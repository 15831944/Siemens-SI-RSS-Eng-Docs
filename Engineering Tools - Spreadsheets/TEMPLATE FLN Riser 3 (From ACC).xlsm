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elpful Documents\Engineering Tools - Spreadsheets\"/>
    </mc:Choice>
  </mc:AlternateContent>
  <xr:revisionPtr revIDLastSave="0" documentId="13_ncr:1_{B4D22759-6B12-414F-B273-0E4373AFE5DE}" xr6:coauthVersionLast="43" xr6:coauthVersionMax="43" xr10:uidLastSave="{00000000-0000-0000-0000-000000000000}"/>
  <bookViews>
    <workbookView xWindow="135" yWindow="180" windowWidth="28725" windowHeight="14055" tabRatio="742" activeTab="2" xr2:uid="{00000000-000D-0000-FFFF-FFFF00000000}"/>
  </bookViews>
  <sheets>
    <sheet name="Joined" sheetId="8" r:id="rId1"/>
    <sheet name="ABT" sheetId="15" r:id="rId2"/>
    <sheet name="Sched" sheetId="11" r:id="rId3"/>
    <sheet name="PanelInstance" sheetId="16" r:id="rId4"/>
  </sheets>
  <definedNames>
    <definedName name="_xlnm._FilterDatabase" localSheetId="0" hidden="1">Joined!$A$2:$I$330</definedName>
    <definedName name="Joined">Joined!$A$3:$M$1003</definedName>
    <definedName name="SchedMark">Sched!$A$1:$A$603</definedName>
    <definedName name="Schedule">Sched!$A$1:$R$603</definedName>
    <definedName name="SystemName">Joined!$H$3:$H$1003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11" l="1"/>
  <c r="F327" i="8" l="1"/>
  <c r="F328" i="8"/>
  <c r="F329" i="8"/>
  <c r="F330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" i="8"/>
  <c r="H202" i="8"/>
  <c r="H201" i="8"/>
  <c r="H200" i="8"/>
  <c r="H199" i="8"/>
  <c r="H198" i="8"/>
  <c r="H197" i="8"/>
  <c r="H196" i="8"/>
  <c r="H195" i="8"/>
  <c r="H194" i="8"/>
  <c r="H193" i="8"/>
  <c r="H192" i="8"/>
  <c r="S71" i="8" l="1"/>
  <c r="S70" i="8"/>
  <c r="S69" i="8"/>
  <c r="S68" i="8"/>
  <c r="S67" i="8"/>
  <c r="S64" i="8"/>
  <c r="S63" i="8"/>
  <c r="S62" i="8"/>
  <c r="S61" i="8"/>
  <c r="S60" i="8"/>
  <c r="S57" i="8"/>
  <c r="S56" i="8"/>
  <c r="S55" i="8"/>
  <c r="S54" i="8"/>
  <c r="S53" i="8"/>
  <c r="S50" i="8"/>
  <c r="S49" i="8"/>
  <c r="S48" i="8"/>
  <c r="S47" i="8"/>
  <c r="S46" i="8"/>
  <c r="S43" i="8"/>
  <c r="S42" i="8"/>
  <c r="S41" i="8"/>
  <c r="S40" i="8"/>
  <c r="S39" i="8"/>
  <c r="S36" i="8"/>
  <c r="S35" i="8"/>
  <c r="S34" i="8"/>
  <c r="S33" i="8"/>
  <c r="S32" i="8"/>
  <c r="S29" i="8"/>
  <c r="S28" i="8"/>
  <c r="S27" i="8"/>
  <c r="S26" i="8"/>
  <c r="S25" i="8"/>
  <c r="S22" i="8"/>
  <c r="S21" i="8"/>
  <c r="S20" i="8"/>
  <c r="S19" i="8"/>
  <c r="S18" i="8"/>
  <c r="S11" i="8"/>
  <c r="S15" i="8"/>
  <c r="S14" i="8"/>
  <c r="S13" i="8"/>
  <c r="S12" i="8"/>
  <c r="S5" i="8"/>
  <c r="S6" i="8"/>
  <c r="S7" i="8"/>
  <c r="S8" i="8"/>
  <c r="S4" i="8"/>
  <c r="S72" i="8" l="1"/>
  <c r="S65" i="8"/>
  <c r="S58" i="8"/>
  <c r="S51" i="8"/>
  <c r="S44" i="8"/>
  <c r="S37" i="8"/>
  <c r="S30" i="8"/>
  <c r="S23" i="8"/>
  <c r="S16" i="8"/>
  <c r="S9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3" i="8"/>
  <c r="C3" i="8" l="1"/>
  <c r="E3" i="8" s="1"/>
  <c r="C56" i="8"/>
  <c r="E56" i="8" s="1"/>
  <c r="C53" i="8"/>
  <c r="E53" i="8" s="1"/>
  <c r="C64" i="8"/>
  <c r="E64" i="8" s="1"/>
  <c r="C48" i="8"/>
  <c r="E48" i="8" s="1"/>
  <c r="C328" i="8"/>
  <c r="E328" i="8" s="1"/>
  <c r="C304" i="8"/>
  <c r="E304" i="8" s="1"/>
  <c r="C280" i="8"/>
  <c r="E280" i="8" s="1"/>
  <c r="C256" i="8"/>
  <c r="E256" i="8" s="1"/>
  <c r="C232" i="8"/>
  <c r="E232" i="8" s="1"/>
  <c r="C208" i="8"/>
  <c r="E208" i="8" s="1"/>
  <c r="C184" i="8"/>
  <c r="E184" i="8" s="1"/>
  <c r="C160" i="8"/>
  <c r="E160" i="8" s="1"/>
  <c r="C128" i="8"/>
  <c r="E128" i="8" s="1"/>
  <c r="C104" i="8"/>
  <c r="E104" i="8" s="1"/>
  <c r="C80" i="8"/>
  <c r="E80" i="8" s="1"/>
  <c r="C6" i="8"/>
  <c r="E6" i="8" s="1"/>
  <c r="C309" i="8"/>
  <c r="E309" i="8" s="1"/>
  <c r="C285" i="8"/>
  <c r="E285" i="8" s="1"/>
  <c r="C245" i="8"/>
  <c r="E245" i="8" s="1"/>
  <c r="C221" i="8"/>
  <c r="E221" i="8" s="1"/>
  <c r="C197" i="8"/>
  <c r="E197" i="8" s="1"/>
  <c r="C173" i="8"/>
  <c r="E173" i="8" s="1"/>
  <c r="C149" i="8"/>
  <c r="E149" i="8" s="1"/>
  <c r="C125" i="8"/>
  <c r="E125" i="8" s="1"/>
  <c r="C101" i="8"/>
  <c r="E101" i="8" s="1"/>
  <c r="C61" i="8"/>
  <c r="E61" i="8" s="1"/>
  <c r="C320" i="8"/>
  <c r="E320" i="8" s="1"/>
  <c r="C296" i="8"/>
  <c r="E296" i="8" s="1"/>
  <c r="C272" i="8"/>
  <c r="E272" i="8" s="1"/>
  <c r="C248" i="8"/>
  <c r="E248" i="8" s="1"/>
  <c r="C224" i="8"/>
  <c r="E224" i="8" s="1"/>
  <c r="C200" i="8"/>
  <c r="E200" i="8" s="1"/>
  <c r="C176" i="8"/>
  <c r="E176" i="8" s="1"/>
  <c r="C152" i="8"/>
  <c r="E152" i="8" s="1"/>
  <c r="C136" i="8"/>
  <c r="E136" i="8" s="1"/>
  <c r="C112" i="8"/>
  <c r="E112" i="8" s="1"/>
  <c r="C88" i="8"/>
  <c r="E88" i="8" s="1"/>
  <c r="C14" i="8"/>
  <c r="E14" i="8" s="1"/>
  <c r="C317" i="8"/>
  <c r="E317" i="8" s="1"/>
  <c r="C293" i="8"/>
  <c r="E293" i="8" s="1"/>
  <c r="C277" i="8"/>
  <c r="E277" i="8" s="1"/>
  <c r="C253" i="8"/>
  <c r="E253" i="8" s="1"/>
  <c r="C229" i="8"/>
  <c r="E229" i="8" s="1"/>
  <c r="C213" i="8"/>
  <c r="E213" i="8" s="1"/>
  <c r="C189" i="8"/>
  <c r="E189" i="8" s="1"/>
  <c r="C165" i="8"/>
  <c r="E165" i="8" s="1"/>
  <c r="C141" i="8"/>
  <c r="E141" i="8" s="1"/>
  <c r="C117" i="8"/>
  <c r="E117" i="8" s="1"/>
  <c r="C93" i="8"/>
  <c r="E93" i="8" s="1"/>
  <c r="C85" i="8"/>
  <c r="E85" i="8" s="1"/>
  <c r="C69" i="8"/>
  <c r="E69" i="8" s="1"/>
  <c r="C45" i="8"/>
  <c r="E45" i="8" s="1"/>
  <c r="C330" i="8"/>
  <c r="E330" i="8" s="1"/>
  <c r="C9" i="8"/>
  <c r="E9" i="8" s="1"/>
  <c r="C312" i="8"/>
  <c r="E312" i="8" s="1"/>
  <c r="C288" i="8"/>
  <c r="E288" i="8" s="1"/>
  <c r="C264" i="8"/>
  <c r="E264" i="8" s="1"/>
  <c r="C240" i="8"/>
  <c r="E240" i="8" s="1"/>
  <c r="C216" i="8"/>
  <c r="E216" i="8" s="1"/>
  <c r="C192" i="8"/>
  <c r="E192" i="8" s="1"/>
  <c r="C168" i="8"/>
  <c r="E168" i="8" s="1"/>
  <c r="C144" i="8"/>
  <c r="E144" i="8" s="1"/>
  <c r="C120" i="8"/>
  <c r="E120" i="8" s="1"/>
  <c r="C96" i="8"/>
  <c r="E96" i="8" s="1"/>
  <c r="C72" i="8"/>
  <c r="E72" i="8" s="1"/>
  <c r="C325" i="8"/>
  <c r="E325" i="8" s="1"/>
  <c r="C301" i="8"/>
  <c r="E301" i="8" s="1"/>
  <c r="C269" i="8"/>
  <c r="E269" i="8" s="1"/>
  <c r="C261" i="8"/>
  <c r="E261" i="8" s="1"/>
  <c r="C237" i="8"/>
  <c r="E237" i="8" s="1"/>
  <c r="C205" i="8"/>
  <c r="E205" i="8" s="1"/>
  <c r="C181" i="8"/>
  <c r="E181" i="8" s="1"/>
  <c r="C157" i="8"/>
  <c r="E157" i="8" s="1"/>
  <c r="C133" i="8"/>
  <c r="E133" i="8" s="1"/>
  <c r="C109" i="8"/>
  <c r="E109" i="8" s="1"/>
  <c r="C77" i="8"/>
  <c r="E77" i="8" s="1"/>
  <c r="C11" i="8"/>
  <c r="E11" i="8" s="1"/>
  <c r="C322" i="8"/>
  <c r="E322" i="8" s="1"/>
  <c r="C40" i="8"/>
  <c r="E40" i="8" s="1"/>
  <c r="C32" i="8"/>
  <c r="E32" i="8" s="1"/>
  <c r="C24" i="8"/>
  <c r="E24" i="8" s="1"/>
  <c r="C16" i="8"/>
  <c r="E16" i="8" s="1"/>
  <c r="C8" i="8"/>
  <c r="E8" i="8" s="1"/>
  <c r="C327" i="8"/>
  <c r="E327" i="8" s="1"/>
  <c r="C319" i="8"/>
  <c r="E319" i="8" s="1"/>
  <c r="C311" i="8"/>
  <c r="E311" i="8" s="1"/>
  <c r="C303" i="8"/>
  <c r="E303" i="8" s="1"/>
  <c r="C295" i="8"/>
  <c r="E295" i="8" s="1"/>
  <c r="C287" i="8"/>
  <c r="E287" i="8" s="1"/>
  <c r="C279" i="8"/>
  <c r="E279" i="8" s="1"/>
  <c r="C271" i="8"/>
  <c r="E271" i="8" s="1"/>
  <c r="C263" i="8"/>
  <c r="E263" i="8" s="1"/>
  <c r="C255" i="8"/>
  <c r="E255" i="8" s="1"/>
  <c r="C247" i="8"/>
  <c r="E247" i="8" s="1"/>
  <c r="C239" i="8"/>
  <c r="E239" i="8" s="1"/>
  <c r="C231" i="8"/>
  <c r="E231" i="8" s="1"/>
  <c r="C223" i="8"/>
  <c r="E223" i="8" s="1"/>
  <c r="C215" i="8"/>
  <c r="E215" i="8" s="1"/>
  <c r="C207" i="8"/>
  <c r="E207" i="8" s="1"/>
  <c r="C199" i="8"/>
  <c r="E199" i="8" s="1"/>
  <c r="C191" i="8"/>
  <c r="E191" i="8" s="1"/>
  <c r="C183" i="8"/>
  <c r="E183" i="8" s="1"/>
  <c r="C175" i="8"/>
  <c r="E175" i="8" s="1"/>
  <c r="C167" i="8"/>
  <c r="E167" i="8" s="1"/>
  <c r="C159" i="8"/>
  <c r="E159" i="8" s="1"/>
  <c r="C151" i="8"/>
  <c r="E151" i="8" s="1"/>
  <c r="C143" i="8"/>
  <c r="E143" i="8" s="1"/>
  <c r="C135" i="8"/>
  <c r="E135" i="8" s="1"/>
  <c r="C127" i="8"/>
  <c r="E127" i="8" s="1"/>
  <c r="C119" i="8"/>
  <c r="E119" i="8" s="1"/>
  <c r="C111" i="8"/>
  <c r="E111" i="8" s="1"/>
  <c r="C103" i="8"/>
  <c r="E103" i="8" s="1"/>
  <c r="C95" i="8"/>
  <c r="E95" i="8" s="1"/>
  <c r="C87" i="8"/>
  <c r="E87" i="8" s="1"/>
  <c r="C79" i="8"/>
  <c r="E79" i="8" s="1"/>
  <c r="C71" i="8"/>
  <c r="E71" i="8" s="1"/>
  <c r="C63" i="8"/>
  <c r="E63" i="8" s="1"/>
  <c r="C55" i="8"/>
  <c r="E55" i="8" s="1"/>
  <c r="C47" i="8"/>
  <c r="E47" i="8" s="1"/>
  <c r="C39" i="8"/>
  <c r="E39" i="8" s="1"/>
  <c r="C31" i="8"/>
  <c r="E31" i="8" s="1"/>
  <c r="C23" i="8"/>
  <c r="E23" i="8" s="1"/>
  <c r="C15" i="8"/>
  <c r="E15" i="8" s="1"/>
  <c r="C7" i="8"/>
  <c r="E7" i="8" s="1"/>
  <c r="C326" i="8"/>
  <c r="E326" i="8" s="1"/>
  <c r="C318" i="8"/>
  <c r="E318" i="8" s="1"/>
  <c r="C310" i="8"/>
  <c r="E310" i="8" s="1"/>
  <c r="C302" i="8"/>
  <c r="E302" i="8" s="1"/>
  <c r="C294" i="8"/>
  <c r="E294" i="8" s="1"/>
  <c r="C286" i="8"/>
  <c r="E286" i="8" s="1"/>
  <c r="C278" i="8"/>
  <c r="E278" i="8" s="1"/>
  <c r="C270" i="8"/>
  <c r="E270" i="8" s="1"/>
  <c r="C262" i="8"/>
  <c r="E262" i="8" s="1"/>
  <c r="C254" i="8"/>
  <c r="E254" i="8" s="1"/>
  <c r="C246" i="8"/>
  <c r="E246" i="8" s="1"/>
  <c r="C238" i="8"/>
  <c r="E238" i="8" s="1"/>
  <c r="C230" i="8"/>
  <c r="E230" i="8" s="1"/>
  <c r="C222" i="8"/>
  <c r="E222" i="8" s="1"/>
  <c r="C214" i="8"/>
  <c r="E214" i="8" s="1"/>
  <c r="C206" i="8"/>
  <c r="E206" i="8" s="1"/>
  <c r="C198" i="8"/>
  <c r="E198" i="8" s="1"/>
  <c r="C190" i="8"/>
  <c r="E190" i="8" s="1"/>
  <c r="C182" i="8"/>
  <c r="E182" i="8" s="1"/>
  <c r="C174" i="8"/>
  <c r="E174" i="8" s="1"/>
  <c r="C166" i="8"/>
  <c r="E166" i="8" s="1"/>
  <c r="C158" i="8"/>
  <c r="E158" i="8" s="1"/>
  <c r="C150" i="8"/>
  <c r="E150" i="8" s="1"/>
  <c r="C142" i="8"/>
  <c r="E142" i="8" s="1"/>
  <c r="C134" i="8"/>
  <c r="E134" i="8" s="1"/>
  <c r="C126" i="8"/>
  <c r="E126" i="8" s="1"/>
  <c r="C118" i="8"/>
  <c r="E118" i="8" s="1"/>
  <c r="C110" i="8"/>
  <c r="E110" i="8" s="1"/>
  <c r="C102" i="8"/>
  <c r="E102" i="8" s="1"/>
  <c r="C94" i="8"/>
  <c r="E94" i="8" s="1"/>
  <c r="C86" i="8"/>
  <c r="E86" i="8" s="1"/>
  <c r="C78" i="8"/>
  <c r="E78" i="8" s="1"/>
  <c r="C70" i="8"/>
  <c r="E70" i="8" s="1"/>
  <c r="C62" i="8"/>
  <c r="E62" i="8" s="1"/>
  <c r="C54" i="8"/>
  <c r="E54" i="8" s="1"/>
  <c r="C46" i="8"/>
  <c r="E46" i="8" s="1"/>
  <c r="C38" i="8"/>
  <c r="E38" i="8" s="1"/>
  <c r="C30" i="8"/>
  <c r="E30" i="8" s="1"/>
  <c r="C22" i="8"/>
  <c r="E22" i="8" s="1"/>
  <c r="C37" i="8"/>
  <c r="E37" i="8" s="1"/>
  <c r="C29" i="8"/>
  <c r="E29" i="8" s="1"/>
  <c r="C21" i="8"/>
  <c r="E21" i="8" s="1"/>
  <c r="C13" i="8"/>
  <c r="E13" i="8" s="1"/>
  <c r="C5" i="8"/>
  <c r="E5" i="8" s="1"/>
  <c r="C324" i="8"/>
  <c r="E324" i="8" s="1"/>
  <c r="C316" i="8"/>
  <c r="E316" i="8" s="1"/>
  <c r="C308" i="8"/>
  <c r="E308" i="8" s="1"/>
  <c r="C300" i="8"/>
  <c r="E300" i="8" s="1"/>
  <c r="C292" i="8"/>
  <c r="E292" i="8" s="1"/>
  <c r="C284" i="8"/>
  <c r="E284" i="8" s="1"/>
  <c r="C276" i="8"/>
  <c r="E276" i="8" s="1"/>
  <c r="C268" i="8"/>
  <c r="E268" i="8" s="1"/>
  <c r="C260" i="8"/>
  <c r="E260" i="8" s="1"/>
  <c r="C252" i="8"/>
  <c r="E252" i="8" s="1"/>
  <c r="C244" i="8"/>
  <c r="E244" i="8" s="1"/>
  <c r="C236" i="8"/>
  <c r="E236" i="8" s="1"/>
  <c r="C228" i="8"/>
  <c r="E228" i="8" s="1"/>
  <c r="C220" i="8"/>
  <c r="E220" i="8" s="1"/>
  <c r="C212" i="8"/>
  <c r="E212" i="8" s="1"/>
  <c r="C204" i="8"/>
  <c r="E204" i="8" s="1"/>
  <c r="C196" i="8"/>
  <c r="E196" i="8" s="1"/>
  <c r="C188" i="8"/>
  <c r="E188" i="8" s="1"/>
  <c r="C180" i="8"/>
  <c r="E180" i="8" s="1"/>
  <c r="C172" i="8"/>
  <c r="E172" i="8" s="1"/>
  <c r="C164" i="8"/>
  <c r="E164" i="8" s="1"/>
  <c r="C156" i="8"/>
  <c r="E156" i="8" s="1"/>
  <c r="C148" i="8"/>
  <c r="E148" i="8" s="1"/>
  <c r="C140" i="8"/>
  <c r="E140" i="8" s="1"/>
  <c r="C132" i="8"/>
  <c r="E132" i="8" s="1"/>
  <c r="C124" i="8"/>
  <c r="E124" i="8" s="1"/>
  <c r="C116" i="8"/>
  <c r="E116" i="8" s="1"/>
  <c r="C108" i="8"/>
  <c r="E108" i="8" s="1"/>
  <c r="C100" i="8"/>
  <c r="E100" i="8" s="1"/>
  <c r="C92" i="8"/>
  <c r="E92" i="8" s="1"/>
  <c r="C84" i="8"/>
  <c r="E84" i="8" s="1"/>
  <c r="C76" i="8"/>
  <c r="E76" i="8" s="1"/>
  <c r="C68" i="8"/>
  <c r="E68" i="8" s="1"/>
  <c r="C60" i="8"/>
  <c r="E60" i="8" s="1"/>
  <c r="C52" i="8"/>
  <c r="E52" i="8" s="1"/>
  <c r="C44" i="8"/>
  <c r="E44" i="8" s="1"/>
  <c r="C36" i="8"/>
  <c r="E36" i="8" s="1"/>
  <c r="C28" i="8"/>
  <c r="E28" i="8" s="1"/>
  <c r="C20" i="8"/>
  <c r="E20" i="8" s="1"/>
  <c r="C12" i="8"/>
  <c r="E12" i="8" s="1"/>
  <c r="C4" i="8"/>
  <c r="E4" i="8" s="1"/>
  <c r="C323" i="8"/>
  <c r="E323" i="8" s="1"/>
  <c r="C315" i="8"/>
  <c r="E315" i="8" s="1"/>
  <c r="C307" i="8"/>
  <c r="E307" i="8" s="1"/>
  <c r="C299" i="8"/>
  <c r="E299" i="8" s="1"/>
  <c r="C291" i="8"/>
  <c r="E291" i="8" s="1"/>
  <c r="C283" i="8"/>
  <c r="E283" i="8" s="1"/>
  <c r="C275" i="8"/>
  <c r="E275" i="8" s="1"/>
  <c r="C267" i="8"/>
  <c r="E267" i="8" s="1"/>
  <c r="C259" i="8"/>
  <c r="E259" i="8" s="1"/>
  <c r="C251" i="8"/>
  <c r="E251" i="8" s="1"/>
  <c r="C243" i="8"/>
  <c r="E243" i="8" s="1"/>
  <c r="C235" i="8"/>
  <c r="E235" i="8" s="1"/>
  <c r="C227" i="8"/>
  <c r="E227" i="8" s="1"/>
  <c r="C219" i="8"/>
  <c r="E219" i="8" s="1"/>
  <c r="C211" i="8"/>
  <c r="E211" i="8" s="1"/>
  <c r="C203" i="8"/>
  <c r="E203" i="8" s="1"/>
  <c r="C195" i="8"/>
  <c r="E195" i="8" s="1"/>
  <c r="C187" i="8"/>
  <c r="E187" i="8" s="1"/>
  <c r="C179" i="8"/>
  <c r="E179" i="8" s="1"/>
  <c r="C171" i="8"/>
  <c r="E171" i="8" s="1"/>
  <c r="C163" i="8"/>
  <c r="E163" i="8" s="1"/>
  <c r="C155" i="8"/>
  <c r="E155" i="8" s="1"/>
  <c r="C147" i="8"/>
  <c r="E147" i="8" s="1"/>
  <c r="C139" i="8"/>
  <c r="E139" i="8" s="1"/>
  <c r="C131" i="8"/>
  <c r="E131" i="8" s="1"/>
  <c r="C123" i="8"/>
  <c r="E123" i="8" s="1"/>
  <c r="C115" i="8"/>
  <c r="E115" i="8" s="1"/>
  <c r="C107" i="8"/>
  <c r="E107" i="8" s="1"/>
  <c r="C99" i="8"/>
  <c r="E99" i="8" s="1"/>
  <c r="C91" i="8"/>
  <c r="E91" i="8" s="1"/>
  <c r="C83" i="8"/>
  <c r="E83" i="8" s="1"/>
  <c r="C75" i="8"/>
  <c r="E75" i="8" s="1"/>
  <c r="C67" i="8"/>
  <c r="E67" i="8" s="1"/>
  <c r="C59" i="8"/>
  <c r="E59" i="8" s="1"/>
  <c r="C51" i="8"/>
  <c r="E51" i="8" s="1"/>
  <c r="C43" i="8"/>
  <c r="E43" i="8" s="1"/>
  <c r="C35" i="8"/>
  <c r="E35" i="8" s="1"/>
  <c r="C27" i="8"/>
  <c r="E27" i="8" s="1"/>
  <c r="C19" i="8"/>
  <c r="E19" i="8" s="1"/>
  <c r="C314" i="8"/>
  <c r="E314" i="8" s="1"/>
  <c r="C306" i="8"/>
  <c r="E306" i="8" s="1"/>
  <c r="C298" i="8"/>
  <c r="E298" i="8" s="1"/>
  <c r="C290" i="8"/>
  <c r="E290" i="8" s="1"/>
  <c r="C282" i="8"/>
  <c r="E282" i="8" s="1"/>
  <c r="C274" i="8"/>
  <c r="E274" i="8" s="1"/>
  <c r="C266" i="8"/>
  <c r="E266" i="8" s="1"/>
  <c r="C258" i="8"/>
  <c r="E258" i="8" s="1"/>
  <c r="C250" i="8"/>
  <c r="E250" i="8" s="1"/>
  <c r="C242" i="8"/>
  <c r="E242" i="8" s="1"/>
  <c r="C234" i="8"/>
  <c r="E234" i="8" s="1"/>
  <c r="C226" i="8"/>
  <c r="E226" i="8" s="1"/>
  <c r="C218" i="8"/>
  <c r="E218" i="8" s="1"/>
  <c r="C210" i="8"/>
  <c r="E210" i="8" s="1"/>
  <c r="C202" i="8"/>
  <c r="E202" i="8" s="1"/>
  <c r="C194" i="8"/>
  <c r="E194" i="8" s="1"/>
  <c r="C186" i="8"/>
  <c r="E186" i="8" s="1"/>
  <c r="C178" i="8"/>
  <c r="E178" i="8" s="1"/>
  <c r="C170" i="8"/>
  <c r="E170" i="8" s="1"/>
  <c r="C162" i="8"/>
  <c r="E162" i="8" s="1"/>
  <c r="C154" i="8"/>
  <c r="E154" i="8" s="1"/>
  <c r="C146" i="8"/>
  <c r="E146" i="8" s="1"/>
  <c r="C138" i="8"/>
  <c r="E138" i="8" s="1"/>
  <c r="C130" i="8"/>
  <c r="E130" i="8" s="1"/>
  <c r="C122" i="8"/>
  <c r="E122" i="8" s="1"/>
  <c r="C114" i="8"/>
  <c r="E114" i="8" s="1"/>
  <c r="C106" i="8"/>
  <c r="E106" i="8" s="1"/>
  <c r="C98" i="8"/>
  <c r="E98" i="8" s="1"/>
  <c r="C90" i="8"/>
  <c r="E90" i="8" s="1"/>
  <c r="C82" i="8"/>
  <c r="E82" i="8" s="1"/>
  <c r="C74" i="8"/>
  <c r="E74" i="8" s="1"/>
  <c r="C66" i="8"/>
  <c r="E66" i="8" s="1"/>
  <c r="C58" i="8"/>
  <c r="E58" i="8" s="1"/>
  <c r="C50" i="8"/>
  <c r="E50" i="8" s="1"/>
  <c r="C42" i="8"/>
  <c r="E42" i="8" s="1"/>
  <c r="C34" i="8"/>
  <c r="E34" i="8" s="1"/>
  <c r="C26" i="8"/>
  <c r="E26" i="8" s="1"/>
  <c r="C18" i="8"/>
  <c r="E18" i="8" s="1"/>
  <c r="C10" i="8"/>
  <c r="E10" i="8" s="1"/>
  <c r="C329" i="8"/>
  <c r="E329" i="8" s="1"/>
  <c r="C321" i="8"/>
  <c r="E321" i="8" s="1"/>
  <c r="C313" i="8"/>
  <c r="E313" i="8" s="1"/>
  <c r="C305" i="8"/>
  <c r="E305" i="8" s="1"/>
  <c r="C297" i="8"/>
  <c r="E297" i="8" s="1"/>
  <c r="C289" i="8"/>
  <c r="E289" i="8" s="1"/>
  <c r="C281" i="8"/>
  <c r="E281" i="8" s="1"/>
  <c r="C273" i="8"/>
  <c r="E273" i="8" s="1"/>
  <c r="C265" i="8"/>
  <c r="E265" i="8" s="1"/>
  <c r="C257" i="8"/>
  <c r="E257" i="8" s="1"/>
  <c r="C249" i="8"/>
  <c r="E249" i="8" s="1"/>
  <c r="C241" i="8"/>
  <c r="E241" i="8" s="1"/>
  <c r="C233" i="8"/>
  <c r="E233" i="8" s="1"/>
  <c r="C225" i="8"/>
  <c r="E225" i="8" s="1"/>
  <c r="C217" i="8"/>
  <c r="E217" i="8" s="1"/>
  <c r="C209" i="8"/>
  <c r="E209" i="8" s="1"/>
  <c r="C201" i="8"/>
  <c r="E201" i="8" s="1"/>
  <c r="C193" i="8"/>
  <c r="E193" i="8" s="1"/>
  <c r="C185" i="8"/>
  <c r="E185" i="8" s="1"/>
  <c r="C177" i="8"/>
  <c r="E177" i="8" s="1"/>
  <c r="C169" i="8"/>
  <c r="E169" i="8" s="1"/>
  <c r="C161" i="8"/>
  <c r="E161" i="8" s="1"/>
  <c r="C153" i="8"/>
  <c r="E153" i="8" s="1"/>
  <c r="C145" i="8"/>
  <c r="E145" i="8" s="1"/>
  <c r="C137" i="8"/>
  <c r="E137" i="8" s="1"/>
  <c r="C129" i="8"/>
  <c r="E129" i="8" s="1"/>
  <c r="C121" i="8"/>
  <c r="E121" i="8" s="1"/>
  <c r="C113" i="8"/>
  <c r="E113" i="8" s="1"/>
  <c r="C105" i="8"/>
  <c r="E105" i="8" s="1"/>
  <c r="C97" i="8"/>
  <c r="E97" i="8" s="1"/>
  <c r="C89" i="8"/>
  <c r="E89" i="8" s="1"/>
  <c r="C81" i="8"/>
  <c r="E81" i="8" s="1"/>
  <c r="C73" i="8"/>
  <c r="E73" i="8" s="1"/>
  <c r="C65" i="8"/>
  <c r="E65" i="8" s="1"/>
  <c r="C57" i="8"/>
  <c r="E57" i="8" s="1"/>
  <c r="C49" i="8"/>
  <c r="E49" i="8" s="1"/>
  <c r="C41" i="8"/>
  <c r="E41" i="8" s="1"/>
  <c r="C33" i="8"/>
  <c r="E33" i="8" s="1"/>
  <c r="C25" i="8"/>
  <c r="E25" i="8" s="1"/>
  <c r="C17" i="8"/>
  <c r="E17" i="8" s="1"/>
  <c r="I330" i="8" l="1"/>
  <c r="H330" i="8"/>
  <c r="I329" i="8"/>
  <c r="H329" i="8"/>
  <c r="H328" i="8"/>
  <c r="H327" i="8"/>
  <c r="H326" i="8" l="1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X130" i="11" l="1"/>
  <c r="W130" i="11" l="1"/>
  <c r="X133" i="11"/>
  <c r="W133" i="11"/>
  <c r="Z133" i="11" s="1"/>
  <c r="X132" i="11"/>
  <c r="W132" i="11"/>
  <c r="Z132" i="11" s="1"/>
  <c r="X131" i="11"/>
  <c r="W131" i="11"/>
  <c r="Z131" i="11" s="1"/>
  <c r="X128" i="11"/>
  <c r="W128" i="11"/>
  <c r="X127" i="11"/>
  <c r="W127" i="11"/>
  <c r="Z127" i="11" s="1"/>
  <c r="X126" i="11"/>
  <c r="W126" i="11"/>
  <c r="Y126" i="11" s="1"/>
  <c r="X125" i="11"/>
  <c r="W125" i="11"/>
  <c r="Z125" i="11" s="1"/>
  <c r="X124" i="11"/>
  <c r="W124" i="11"/>
  <c r="Z124" i="11" s="1"/>
  <c r="X123" i="11"/>
  <c r="W123" i="11"/>
  <c r="Z123" i="11" s="1"/>
  <c r="X122" i="11"/>
  <c r="W122" i="11"/>
  <c r="X121" i="11"/>
  <c r="W121" i="11"/>
  <c r="X120" i="11"/>
  <c r="W120" i="11"/>
  <c r="X119" i="11"/>
  <c r="W119" i="11"/>
  <c r="Z119" i="11" s="1"/>
  <c r="X118" i="11"/>
  <c r="W118" i="11"/>
  <c r="Y118" i="11" s="1"/>
  <c r="X117" i="11"/>
  <c r="W117" i="11"/>
  <c r="Z117" i="11" s="1"/>
  <c r="X116" i="11"/>
  <c r="W116" i="11"/>
  <c r="X115" i="11"/>
  <c r="W115" i="11"/>
  <c r="Z115" i="11" s="1"/>
  <c r="X114" i="11"/>
  <c r="W114" i="11"/>
  <c r="X113" i="11"/>
  <c r="W113" i="11"/>
  <c r="Z113" i="11" s="1"/>
  <c r="X112" i="11"/>
  <c r="W112" i="11"/>
  <c r="X111" i="11"/>
  <c r="W111" i="11"/>
  <c r="Z111" i="11" s="1"/>
  <c r="X110" i="11"/>
  <c r="W110" i="11"/>
  <c r="Y110" i="11" s="1"/>
  <c r="X109" i="11"/>
  <c r="W109" i="11"/>
  <c r="Z109" i="11" s="1"/>
  <c r="X108" i="11"/>
  <c r="W108" i="11"/>
  <c r="X107" i="11"/>
  <c r="W107" i="11"/>
  <c r="Z107" i="11" s="1"/>
  <c r="X106" i="11"/>
  <c r="W106" i="11"/>
  <c r="X105" i="11"/>
  <c r="W105" i="11"/>
  <c r="Z105" i="11" s="1"/>
  <c r="X104" i="11"/>
  <c r="W104" i="11"/>
  <c r="X103" i="11"/>
  <c r="W103" i="11"/>
  <c r="Z103" i="11" s="1"/>
  <c r="X102" i="11"/>
  <c r="W102" i="11"/>
  <c r="Y102" i="11" s="1"/>
  <c r="X101" i="11"/>
  <c r="W101" i="11"/>
  <c r="Z101" i="11" s="1"/>
  <c r="X100" i="11"/>
  <c r="W100" i="11"/>
  <c r="X99" i="11"/>
  <c r="W99" i="11"/>
  <c r="Z99" i="11" s="1"/>
  <c r="X98" i="11"/>
  <c r="W98" i="11"/>
  <c r="X97" i="11"/>
  <c r="W97" i="11"/>
  <c r="Z97" i="11" s="1"/>
  <c r="X96" i="11"/>
  <c r="W96" i="11"/>
  <c r="X95" i="11"/>
  <c r="W95" i="11"/>
  <c r="Z95" i="11" s="1"/>
  <c r="X94" i="11"/>
  <c r="W94" i="11"/>
  <c r="Y94" i="11" s="1"/>
  <c r="X93" i="11"/>
  <c r="W93" i="11"/>
  <c r="Z93" i="11" s="1"/>
  <c r="X90" i="11"/>
  <c r="W90" i="11"/>
  <c r="Z90" i="11" s="1"/>
  <c r="X89" i="11"/>
  <c r="W89" i="11"/>
  <c r="Z89" i="11" s="1"/>
  <c r="X88" i="11"/>
  <c r="W88" i="11"/>
  <c r="Z88" i="11" s="1"/>
  <c r="X87" i="11"/>
  <c r="W87" i="11"/>
  <c r="Z87" i="11" s="1"/>
  <c r="X86" i="11"/>
  <c r="W86" i="11"/>
  <c r="Z86" i="11" s="1"/>
  <c r="X85" i="11"/>
  <c r="W85" i="11"/>
  <c r="Z85" i="11" s="1"/>
  <c r="X84" i="11"/>
  <c r="W84" i="11"/>
  <c r="Z84" i="11" s="1"/>
  <c r="X83" i="11"/>
  <c r="W83" i="11"/>
  <c r="X82" i="11"/>
  <c r="W82" i="11"/>
  <c r="Z82" i="11" s="1"/>
  <c r="X81" i="11"/>
  <c r="W81" i="11"/>
  <c r="Z81" i="11" s="1"/>
  <c r="X80" i="11"/>
  <c r="W80" i="11"/>
  <c r="Z80" i="11" s="1"/>
  <c r="X79" i="11"/>
  <c r="W79" i="11"/>
  <c r="Z79" i="11" s="1"/>
  <c r="X78" i="11"/>
  <c r="W78" i="11"/>
  <c r="Z78" i="11" s="1"/>
  <c r="X77" i="11"/>
  <c r="W77" i="11"/>
  <c r="X76" i="11"/>
  <c r="W76" i="11"/>
  <c r="Z76" i="11" s="1"/>
  <c r="X75" i="11"/>
  <c r="W75" i="11"/>
  <c r="X74" i="11"/>
  <c r="W74" i="11"/>
  <c r="Z74" i="11" s="1"/>
  <c r="X73" i="11"/>
  <c r="W73" i="11"/>
  <c r="Z73" i="11" s="1"/>
  <c r="X72" i="11"/>
  <c r="W72" i="11"/>
  <c r="Z72" i="11" s="1"/>
  <c r="X71" i="11"/>
  <c r="W71" i="11"/>
  <c r="Z71" i="11" s="1"/>
  <c r="X70" i="11"/>
  <c r="W70" i="11"/>
  <c r="Z70" i="11" s="1"/>
  <c r="X69" i="11"/>
  <c r="W69" i="11"/>
  <c r="Z69" i="11" s="1"/>
  <c r="X68" i="11"/>
  <c r="W68" i="11"/>
  <c r="Z68" i="11" s="1"/>
  <c r="X67" i="11"/>
  <c r="W67" i="11"/>
  <c r="Z67" i="11" s="1"/>
  <c r="X66" i="11"/>
  <c r="W66" i="11"/>
  <c r="Z66" i="11" s="1"/>
  <c r="X65" i="11"/>
  <c r="W65" i="11"/>
  <c r="Z65" i="11" s="1"/>
  <c r="X64" i="11"/>
  <c r="W64" i="11"/>
  <c r="Z64" i="11" s="1"/>
  <c r="X63" i="11"/>
  <c r="W63" i="11"/>
  <c r="Z63" i="11" s="1"/>
  <c r="X62" i="11"/>
  <c r="W62" i="11"/>
  <c r="Z62" i="11" s="1"/>
  <c r="X61" i="11"/>
  <c r="W61" i="11"/>
  <c r="X60" i="11"/>
  <c r="W60" i="11"/>
  <c r="Z60" i="11" s="1"/>
  <c r="X59" i="11"/>
  <c r="W59" i="11"/>
  <c r="X58" i="11"/>
  <c r="W58" i="11"/>
  <c r="Z58" i="11" s="1"/>
  <c r="X57" i="11"/>
  <c r="W57" i="11"/>
  <c r="Z57" i="11" s="1"/>
  <c r="X56" i="11"/>
  <c r="W56" i="11"/>
  <c r="Z56" i="11" s="1"/>
  <c r="X52" i="11"/>
  <c r="W52" i="11"/>
  <c r="Z52" i="11" s="1"/>
  <c r="X51" i="11"/>
  <c r="W51" i="11"/>
  <c r="Z51" i="11" s="1"/>
  <c r="X50" i="11"/>
  <c r="W50" i="11"/>
  <c r="Z50" i="11" s="1"/>
  <c r="X49" i="11"/>
  <c r="W49" i="11"/>
  <c r="X48" i="11"/>
  <c r="W48" i="11"/>
  <c r="Z48" i="11" s="1"/>
  <c r="X47" i="11"/>
  <c r="W47" i="11"/>
  <c r="Z47" i="11" s="1"/>
  <c r="X46" i="11"/>
  <c r="W46" i="11"/>
  <c r="Z46" i="11" s="1"/>
  <c r="X45" i="11"/>
  <c r="W45" i="11"/>
  <c r="Z45" i="11" s="1"/>
  <c r="X44" i="11"/>
  <c r="W44" i="11"/>
  <c r="Z44" i="11" s="1"/>
  <c r="X43" i="11"/>
  <c r="W43" i="11"/>
  <c r="Z43" i="11" s="1"/>
  <c r="X42" i="11"/>
  <c r="W42" i="11"/>
  <c r="Z42" i="11" s="1"/>
  <c r="X40" i="11"/>
  <c r="W40" i="11"/>
  <c r="Y40" i="11" s="1"/>
  <c r="X39" i="11"/>
  <c r="W39" i="11"/>
  <c r="Z39" i="11" s="1"/>
  <c r="X38" i="11"/>
  <c r="W38" i="11"/>
  <c r="Y38" i="11" s="1"/>
  <c r="X37" i="11"/>
  <c r="W37" i="11"/>
  <c r="Z37" i="11" s="1"/>
  <c r="X36" i="11"/>
  <c r="W36" i="11"/>
  <c r="Y36" i="11" s="1"/>
  <c r="X35" i="11"/>
  <c r="W35" i="11"/>
  <c r="Z35" i="11" s="1"/>
  <c r="X34" i="11"/>
  <c r="W34" i="11"/>
  <c r="Y34" i="11" s="1"/>
  <c r="X33" i="11"/>
  <c r="W33" i="11"/>
  <c r="Z33" i="11" s="1"/>
  <c r="X32" i="11"/>
  <c r="W32" i="11"/>
  <c r="Y32" i="11" s="1"/>
  <c r="X31" i="11"/>
  <c r="W31" i="11"/>
  <c r="X30" i="11"/>
  <c r="W30" i="11"/>
  <c r="Y30" i="11" s="1"/>
  <c r="X29" i="11"/>
  <c r="W29" i="11"/>
  <c r="W19" i="11"/>
  <c r="Z19" i="11" s="1"/>
  <c r="X27" i="11"/>
  <c r="W27" i="11"/>
  <c r="Z27" i="11" s="1"/>
  <c r="X26" i="11"/>
  <c r="W26" i="11"/>
  <c r="Z26" i="11" s="1"/>
  <c r="X25" i="11"/>
  <c r="W25" i="11"/>
  <c r="Z25" i="11" s="1"/>
  <c r="X24" i="11"/>
  <c r="W24" i="11"/>
  <c r="Z24" i="11" s="1"/>
  <c r="X23" i="11"/>
  <c r="W23" i="11"/>
  <c r="Z23" i="11" s="1"/>
  <c r="X22" i="11"/>
  <c r="W22" i="11"/>
  <c r="Z22" i="11" s="1"/>
  <c r="X21" i="11"/>
  <c r="W21" i="11"/>
  <c r="Z21" i="11" s="1"/>
  <c r="X20" i="11"/>
  <c r="W20" i="11"/>
  <c r="Z20" i="11" s="1"/>
  <c r="X19" i="11"/>
  <c r="X18" i="11"/>
  <c r="W18" i="11"/>
  <c r="Z18" i="11" s="1"/>
  <c r="X17" i="11"/>
  <c r="W17" i="11"/>
  <c r="Z17" i="11" s="1"/>
  <c r="X15" i="11"/>
  <c r="W15" i="11"/>
  <c r="Z15" i="11" s="1"/>
  <c r="X14" i="11"/>
  <c r="W14" i="11"/>
  <c r="Z14" i="11" s="1"/>
  <c r="X13" i="11"/>
  <c r="W13" i="11"/>
  <c r="Z13" i="11" s="1"/>
  <c r="X12" i="11"/>
  <c r="W12" i="11"/>
  <c r="Z12" i="11" s="1"/>
  <c r="X11" i="11"/>
  <c r="W11" i="11"/>
  <c r="Y11" i="11" s="1"/>
  <c r="X10" i="11"/>
  <c r="W10" i="11"/>
  <c r="Z10" i="11" s="1"/>
  <c r="X9" i="11"/>
  <c r="W9" i="11"/>
  <c r="Y9" i="11" s="1"/>
  <c r="X8" i="11"/>
  <c r="W8" i="11"/>
  <c r="Z8" i="11" s="1"/>
  <c r="X7" i="11"/>
  <c r="W7" i="11"/>
  <c r="Z7" i="11" s="1"/>
  <c r="X6" i="11"/>
  <c r="W6" i="11"/>
  <c r="Z6" i="11" s="1"/>
  <c r="X5" i="11"/>
  <c r="W5" i="11"/>
  <c r="Z5" i="11" s="1"/>
  <c r="X4" i="11"/>
  <c r="W4" i="11"/>
  <c r="AA29" i="11" l="1"/>
  <c r="Y131" i="11"/>
  <c r="AA131" i="11"/>
  <c r="AA49" i="11"/>
  <c r="AA98" i="11"/>
  <c r="AA114" i="11"/>
  <c r="AA31" i="11"/>
  <c r="AA83" i="11"/>
  <c r="AA96" i="11"/>
  <c r="AA100" i="11"/>
  <c r="AA104" i="11"/>
  <c r="AA108" i="11"/>
  <c r="AA112" i="11"/>
  <c r="AA116" i="11"/>
  <c r="AA120" i="11"/>
  <c r="AA128" i="11"/>
  <c r="Y96" i="11"/>
  <c r="AA22" i="11"/>
  <c r="Z96" i="11"/>
  <c r="AA39" i="11"/>
  <c r="AA63" i="11"/>
  <c r="AA75" i="11"/>
  <c r="AA23" i="11"/>
  <c r="Z11" i="11"/>
  <c r="Z108" i="11"/>
  <c r="AA101" i="11"/>
  <c r="Y15" i="11"/>
  <c r="Z120" i="11"/>
  <c r="AA102" i="11"/>
  <c r="AA106" i="11"/>
  <c r="Y124" i="11"/>
  <c r="AA125" i="11"/>
  <c r="AA44" i="11"/>
  <c r="AA59" i="11"/>
  <c r="AA71" i="11"/>
  <c r="AA87" i="11"/>
  <c r="AA15" i="11"/>
  <c r="AA105" i="11"/>
  <c r="Z102" i="11"/>
  <c r="AA5" i="11"/>
  <c r="AA126" i="11"/>
  <c r="AA52" i="11"/>
  <c r="AA67" i="11"/>
  <c r="AA79" i="11"/>
  <c r="AA93" i="11"/>
  <c r="AA99" i="11"/>
  <c r="AA122" i="11"/>
  <c r="AA14" i="11"/>
  <c r="AA115" i="11"/>
  <c r="AA60" i="11"/>
  <c r="Z9" i="11"/>
  <c r="Y100" i="11"/>
  <c r="Y112" i="11"/>
  <c r="Z118" i="11"/>
  <c r="AA121" i="11"/>
  <c r="AA7" i="11"/>
  <c r="AA97" i="11"/>
  <c r="Z112" i="11"/>
  <c r="Y4" i="11"/>
  <c r="Y7" i="11"/>
  <c r="AA46" i="11"/>
  <c r="AA57" i="11"/>
  <c r="AA69" i="11"/>
  <c r="AA77" i="11"/>
  <c r="AA85" i="11"/>
  <c r="AA107" i="11"/>
  <c r="Y116" i="11"/>
  <c r="Y128" i="11"/>
  <c r="Z30" i="11"/>
  <c r="Z110" i="11"/>
  <c r="Z116" i="11"/>
  <c r="AA110" i="11"/>
  <c r="AA11" i="11"/>
  <c r="AA18" i="11"/>
  <c r="Z38" i="11"/>
  <c r="Z104" i="11"/>
  <c r="AA123" i="11"/>
  <c r="AA6" i="11"/>
  <c r="AA48" i="11"/>
  <c r="AA117" i="11"/>
  <c r="AA9" i="11"/>
  <c r="AA94" i="11"/>
  <c r="AA33" i="11"/>
  <c r="AA37" i="11"/>
  <c r="Z94" i="11"/>
  <c r="Z100" i="11"/>
  <c r="AA68" i="11"/>
  <c r="AA42" i="11"/>
  <c r="AA50" i="11"/>
  <c r="AA61" i="11"/>
  <c r="AA65" i="11"/>
  <c r="AA73" i="11"/>
  <c r="AA81" i="11"/>
  <c r="AA89" i="11"/>
  <c r="AA109" i="11"/>
  <c r="Y104" i="11"/>
  <c r="AA113" i="11"/>
  <c r="Z128" i="11"/>
  <c r="AA40" i="11"/>
  <c r="AA76" i="11"/>
  <c r="Y108" i="11"/>
  <c r="Y120" i="11"/>
  <c r="AA124" i="11"/>
  <c r="Z126" i="11"/>
  <c r="AA13" i="11"/>
  <c r="AA84" i="11"/>
  <c r="AA118" i="11"/>
  <c r="Z32" i="11"/>
  <c r="AA24" i="11"/>
  <c r="AA95" i="11"/>
  <c r="AA103" i="11"/>
  <c r="AA111" i="11"/>
  <c r="AA119" i="11"/>
  <c r="AA127" i="11"/>
  <c r="Y5" i="11"/>
  <c r="Y13" i="11"/>
  <c r="Y98" i="11"/>
  <c r="Y106" i="11"/>
  <c r="Y114" i="11"/>
  <c r="Y122" i="11"/>
  <c r="AA8" i="11"/>
  <c r="AA17" i="11"/>
  <c r="AA25" i="11"/>
  <c r="AA34" i="11"/>
  <c r="AA43" i="11"/>
  <c r="AA51" i="11"/>
  <c r="AA62" i="11"/>
  <c r="AA70" i="11"/>
  <c r="AA78" i="11"/>
  <c r="AA86" i="11"/>
  <c r="Z36" i="11"/>
  <c r="Z98" i="11"/>
  <c r="Z106" i="11"/>
  <c r="Z114" i="11"/>
  <c r="Z122" i="11"/>
  <c r="AA26" i="11"/>
  <c r="AA35" i="11"/>
  <c r="AA10" i="11"/>
  <c r="AA19" i="11"/>
  <c r="AA27" i="11"/>
  <c r="AA36" i="11"/>
  <c r="AA45" i="11"/>
  <c r="AA56" i="11"/>
  <c r="AA64" i="11"/>
  <c r="AA72" i="11"/>
  <c r="AA80" i="11"/>
  <c r="AA88" i="11"/>
  <c r="AA132" i="11"/>
  <c r="AA32" i="11"/>
  <c r="Z40" i="11"/>
  <c r="Y133" i="11"/>
  <c r="AA20" i="11"/>
  <c r="AA133" i="11"/>
  <c r="Z4" i="11"/>
  <c r="Z34" i="11"/>
  <c r="AA12" i="11"/>
  <c r="AA21" i="11"/>
  <c r="AA30" i="11"/>
  <c r="AA38" i="11"/>
  <c r="AA47" i="11"/>
  <c r="AA58" i="11"/>
  <c r="AA66" i="11"/>
  <c r="AA74" i="11"/>
  <c r="AA82" i="11"/>
  <c r="AA90" i="11"/>
  <c r="Y130" i="11"/>
  <c r="AA130" i="11"/>
  <c r="Z130" i="11"/>
  <c r="Y132" i="11"/>
  <c r="Y93" i="11"/>
  <c r="Y95" i="11"/>
  <c r="Y97" i="11"/>
  <c r="Y99" i="11"/>
  <c r="Y101" i="11"/>
  <c r="Y103" i="11"/>
  <c r="Y105" i="11"/>
  <c r="Y107" i="11"/>
  <c r="Y109" i="11"/>
  <c r="Y111" i="11"/>
  <c r="Y113" i="11"/>
  <c r="Y115" i="11"/>
  <c r="Y117" i="11"/>
  <c r="Y119" i="11"/>
  <c r="Y121" i="11"/>
  <c r="Y123" i="11"/>
  <c r="Y125" i="11"/>
  <c r="Y127" i="11"/>
  <c r="Z121" i="11"/>
  <c r="Y57" i="11"/>
  <c r="Y59" i="11"/>
  <c r="Y61" i="11"/>
  <c r="Y63" i="11"/>
  <c r="Y65" i="11"/>
  <c r="Y67" i="11"/>
  <c r="Y69" i="11"/>
  <c r="Y71" i="11"/>
  <c r="Y73" i="11"/>
  <c r="Y75" i="11"/>
  <c r="Y77" i="11"/>
  <c r="Y79" i="11"/>
  <c r="Y81" i="11"/>
  <c r="Y83" i="11"/>
  <c r="Y85" i="11"/>
  <c r="Y87" i="11"/>
  <c r="Y89" i="11"/>
  <c r="Z59" i="11"/>
  <c r="Z61" i="11"/>
  <c r="Z75" i="11"/>
  <c r="Z77" i="11"/>
  <c r="Z83" i="11"/>
  <c r="Y56" i="11"/>
  <c r="Y58" i="11"/>
  <c r="Y60" i="11"/>
  <c r="Y62" i="11"/>
  <c r="Y64" i="11"/>
  <c r="Y66" i="11"/>
  <c r="Y68" i="11"/>
  <c r="Y70" i="11"/>
  <c r="Y72" i="11"/>
  <c r="Y74" i="11"/>
  <c r="Y76" i="11"/>
  <c r="Y78" i="11"/>
  <c r="Y80" i="11"/>
  <c r="Y82" i="11"/>
  <c r="Y84" i="11"/>
  <c r="Y86" i="11"/>
  <c r="Y88" i="11"/>
  <c r="Y90" i="11"/>
  <c r="Y43" i="11"/>
  <c r="Y45" i="11"/>
  <c r="Y47" i="11"/>
  <c r="Y49" i="11"/>
  <c r="Y51" i="11"/>
  <c r="Z49" i="11"/>
  <c r="Y42" i="11"/>
  <c r="Y44" i="11"/>
  <c r="Y46" i="11"/>
  <c r="Y48" i="11"/>
  <c r="Y50" i="11"/>
  <c r="Y52" i="11"/>
  <c r="Y29" i="11"/>
  <c r="Y31" i="11"/>
  <c r="Y33" i="11"/>
  <c r="Y35" i="11"/>
  <c r="Y37" i="11"/>
  <c r="Y39" i="11"/>
  <c r="Z29" i="11"/>
  <c r="Z31" i="11"/>
  <c r="Y18" i="11"/>
  <c r="Y20" i="11"/>
  <c r="Y22" i="11"/>
  <c r="Y24" i="11"/>
  <c r="Y26" i="11"/>
  <c r="Y17" i="11"/>
  <c r="Y19" i="11"/>
  <c r="Y21" i="11"/>
  <c r="Y23" i="11"/>
  <c r="Y25" i="11"/>
  <c r="Y27" i="11"/>
  <c r="Y6" i="11"/>
  <c r="Y8" i="11"/>
  <c r="Y10" i="11"/>
  <c r="Y12" i="11"/>
  <c r="Y14" i="11"/>
  <c r="W142" i="11" l="1"/>
  <c r="AA142" i="11" s="1"/>
  <c r="X142" i="11"/>
  <c r="Y142" i="11"/>
  <c r="Z142" i="11"/>
  <c r="W143" i="11"/>
  <c r="X143" i="11"/>
  <c r="Y143" i="11"/>
  <c r="Z143" i="11"/>
  <c r="W144" i="11"/>
  <c r="AA144" i="11" s="1"/>
  <c r="X144" i="11"/>
  <c r="Y144" i="11"/>
  <c r="Z144" i="11"/>
  <c r="W145" i="11"/>
  <c r="AA145" i="11" s="1"/>
  <c r="X145" i="11"/>
  <c r="Y145" i="11"/>
  <c r="Z145" i="11"/>
  <c r="W146" i="11"/>
  <c r="AA146" i="11" s="1"/>
  <c r="X146" i="11"/>
  <c r="Y146" i="11"/>
  <c r="Z146" i="11"/>
  <c r="W147" i="11"/>
  <c r="AA147" i="11" s="1"/>
  <c r="X147" i="11"/>
  <c r="Y147" i="11"/>
  <c r="Z147" i="11"/>
  <c r="W148" i="11"/>
  <c r="X148" i="11"/>
  <c r="Y148" i="11"/>
  <c r="Z148" i="11"/>
  <c r="W149" i="11"/>
  <c r="AA149" i="11" s="1"/>
  <c r="X149" i="11"/>
  <c r="Y149" i="11"/>
  <c r="Z149" i="11"/>
  <c r="W150" i="11"/>
  <c r="AA150" i="11" s="1"/>
  <c r="X150" i="11"/>
  <c r="Y150" i="11"/>
  <c r="Z150" i="11"/>
  <c r="W151" i="11"/>
  <c r="X151" i="11"/>
  <c r="Y151" i="11"/>
  <c r="Z151" i="11"/>
  <c r="W152" i="11"/>
  <c r="X152" i="11"/>
  <c r="Y152" i="11"/>
  <c r="Z152" i="11"/>
  <c r="W153" i="11"/>
  <c r="X153" i="11"/>
  <c r="Y153" i="11"/>
  <c r="Z153" i="11"/>
  <c r="W154" i="11"/>
  <c r="X154" i="11"/>
  <c r="Y154" i="11"/>
  <c r="Z154" i="11"/>
  <c r="W155" i="11"/>
  <c r="X155" i="11"/>
  <c r="Y155" i="11"/>
  <c r="Z155" i="11"/>
  <c r="W156" i="11"/>
  <c r="X156" i="11"/>
  <c r="Y156" i="11"/>
  <c r="Z156" i="11"/>
  <c r="W157" i="11"/>
  <c r="X157" i="11"/>
  <c r="Y157" i="11"/>
  <c r="Z157" i="11"/>
  <c r="W158" i="11"/>
  <c r="X158" i="11"/>
  <c r="Y158" i="11"/>
  <c r="Z158" i="11"/>
  <c r="W159" i="11"/>
  <c r="AA159" i="11" s="1"/>
  <c r="X159" i="11"/>
  <c r="Y159" i="11"/>
  <c r="Z159" i="11"/>
  <c r="W160" i="11"/>
  <c r="X160" i="11"/>
  <c r="Y160" i="11"/>
  <c r="Z160" i="11"/>
  <c r="W161" i="11"/>
  <c r="AA161" i="11" s="1"/>
  <c r="X161" i="11"/>
  <c r="Y161" i="11"/>
  <c r="Z161" i="11"/>
  <c r="W162" i="11"/>
  <c r="AA162" i="11" s="1"/>
  <c r="X162" i="11"/>
  <c r="Y162" i="11"/>
  <c r="Z162" i="11"/>
  <c r="W163" i="11"/>
  <c r="X163" i="11"/>
  <c r="Y163" i="11"/>
  <c r="Z163" i="11"/>
  <c r="W164" i="11"/>
  <c r="X164" i="11"/>
  <c r="Y164" i="11"/>
  <c r="Z164" i="11"/>
  <c r="W165" i="11"/>
  <c r="Y165" i="11"/>
  <c r="Z165" i="11"/>
  <c r="W166" i="11"/>
  <c r="AA166" i="11" s="1"/>
  <c r="X166" i="11"/>
  <c r="Y166" i="11"/>
  <c r="Z166" i="11"/>
  <c r="W167" i="11"/>
  <c r="AA167" i="11" s="1"/>
  <c r="X167" i="11"/>
  <c r="Y167" i="11"/>
  <c r="Z167" i="11"/>
  <c r="W168" i="11"/>
  <c r="X168" i="11"/>
  <c r="Y168" i="11"/>
  <c r="Z168" i="11"/>
  <c r="W169" i="11"/>
  <c r="X169" i="11"/>
  <c r="Y169" i="11"/>
  <c r="Z169" i="11"/>
  <c r="W170" i="11"/>
  <c r="X170" i="11"/>
  <c r="Y170" i="11"/>
  <c r="Z170" i="11"/>
  <c r="W171" i="11"/>
  <c r="X171" i="11"/>
  <c r="Y171" i="11"/>
  <c r="Z171" i="11"/>
  <c r="W172" i="11"/>
  <c r="AA172" i="11" s="1"/>
  <c r="X172" i="11"/>
  <c r="Y172" i="11"/>
  <c r="Z172" i="11"/>
  <c r="W173" i="11"/>
  <c r="AA173" i="11" s="1"/>
  <c r="X173" i="11"/>
  <c r="Y173" i="11"/>
  <c r="Z173" i="11"/>
  <c r="W174" i="11"/>
  <c r="X174" i="11"/>
  <c r="Y174" i="11"/>
  <c r="Z174" i="11"/>
  <c r="W175" i="11"/>
  <c r="X175" i="11"/>
  <c r="Y175" i="11"/>
  <c r="Z175" i="11"/>
  <c r="W176" i="11"/>
  <c r="X176" i="11"/>
  <c r="Y176" i="11"/>
  <c r="Z176" i="11"/>
  <c r="W177" i="11"/>
  <c r="X177" i="11"/>
  <c r="Y177" i="11"/>
  <c r="Z177" i="11"/>
  <c r="W178" i="11"/>
  <c r="AA178" i="11" s="1"/>
  <c r="X178" i="11"/>
  <c r="Y178" i="11"/>
  <c r="Z178" i="11"/>
  <c r="W179" i="11"/>
  <c r="X179" i="11"/>
  <c r="Y179" i="11"/>
  <c r="Z179" i="11"/>
  <c r="W180" i="11"/>
  <c r="X180" i="11"/>
  <c r="Y180" i="11"/>
  <c r="Z180" i="11"/>
  <c r="Z141" i="11"/>
  <c r="Y141" i="11"/>
  <c r="X141" i="11"/>
  <c r="W141" i="11"/>
  <c r="AA141" i="11" s="1"/>
  <c r="M214" i="11" l="1"/>
  <c r="AA153" i="11"/>
  <c r="AA160" i="11"/>
  <c r="AA158" i="11"/>
  <c r="AA152" i="11"/>
  <c r="AA168" i="11"/>
  <c r="AA164" i="11"/>
  <c r="AA180" i="11"/>
  <c r="AA176" i="11"/>
  <c r="AA174" i="11"/>
  <c r="AA177" i="11"/>
  <c r="AA156" i="11"/>
  <c r="AA169" i="11"/>
  <c r="AA179" i="11"/>
  <c r="AA175" i="11"/>
  <c r="AA171" i="11"/>
  <c r="AA163" i="11"/>
  <c r="AA157" i="11"/>
  <c r="AA155" i="11"/>
  <c r="AA151" i="11"/>
  <c r="AA143" i="11"/>
  <c r="AA170" i="11"/>
  <c r="AA154" i="11"/>
  <c r="AA148" i="11"/>
  <c r="M215" i="11" l="1"/>
  <c r="M218" i="11"/>
  <c r="M220" i="11"/>
  <c r="M216" i="11"/>
  <c r="M222" i="11"/>
  <c r="M217" i="11"/>
  <c r="M221" i="11"/>
  <c r="M219" i="11"/>
  <c r="M223" i="11"/>
  <c r="AH164" i="15" l="1"/>
  <c r="B164" i="15"/>
  <c r="AF164" i="15"/>
  <c r="I164" i="15"/>
  <c r="H164" i="15"/>
  <c r="E164" i="15"/>
  <c r="D164" i="15"/>
  <c r="AI164" i="15"/>
  <c r="C164" i="15"/>
  <c r="K164" i="15"/>
  <c r="K174" i="15"/>
  <c r="AH174" i="15"/>
  <c r="I174" i="15"/>
  <c r="D174" i="15"/>
  <c r="B174" i="15"/>
  <c r="H174" i="15"/>
  <c r="C174" i="15"/>
  <c r="E174" i="15"/>
  <c r="AI174" i="15"/>
  <c r="AF174" i="15"/>
  <c r="AI173" i="15"/>
  <c r="E173" i="15"/>
  <c r="C172" i="15"/>
  <c r="AF173" i="15"/>
  <c r="D173" i="15"/>
  <c r="B172" i="15"/>
  <c r="C173" i="15"/>
  <c r="K172" i="15"/>
  <c r="B173" i="15"/>
  <c r="I172" i="15"/>
  <c r="K173" i="15"/>
  <c r="H172" i="15"/>
  <c r="I173" i="15"/>
  <c r="AH172" i="15"/>
  <c r="H173" i="15"/>
  <c r="AF172" i="15"/>
  <c r="E172" i="15"/>
  <c r="D172" i="15"/>
  <c r="AH173" i="15"/>
  <c r="AI172" i="15"/>
  <c r="AI163" i="15"/>
  <c r="C163" i="15"/>
  <c r="AF163" i="15"/>
  <c r="AH163" i="15"/>
  <c r="B163" i="15"/>
  <c r="K163" i="15"/>
  <c r="H163" i="15"/>
  <c r="D163" i="15"/>
  <c r="I163" i="15"/>
  <c r="E163" i="15"/>
  <c r="K171" i="15"/>
  <c r="AH170" i="15"/>
  <c r="C170" i="15"/>
  <c r="I169" i="15"/>
  <c r="AF168" i="15"/>
  <c r="E168" i="15"/>
  <c r="I167" i="15"/>
  <c r="AF166" i="15"/>
  <c r="D166" i="15"/>
  <c r="K165" i="15"/>
  <c r="AI162" i="15"/>
  <c r="D162" i="15"/>
  <c r="I161" i="15"/>
  <c r="AF160" i="15"/>
  <c r="AI159" i="15"/>
  <c r="H158" i="15"/>
  <c r="AI156" i="15"/>
  <c r="D156" i="15"/>
  <c r="K155" i="15"/>
  <c r="AI154" i="15"/>
  <c r="B153" i="15"/>
  <c r="E152" i="15"/>
  <c r="C151" i="15"/>
  <c r="I150" i="15"/>
  <c r="AF149" i="15"/>
  <c r="E149" i="15"/>
  <c r="I148" i="15"/>
  <c r="AF147" i="15"/>
  <c r="AI146" i="15"/>
  <c r="E146" i="15"/>
  <c r="AI144" i="15"/>
  <c r="C144" i="15"/>
  <c r="K143" i="15"/>
  <c r="AH142" i="15"/>
  <c r="B142" i="15"/>
  <c r="H141" i="15"/>
  <c r="K140" i="15"/>
  <c r="AH139" i="15"/>
  <c r="C139" i="15"/>
  <c r="I138" i="15"/>
  <c r="AF137" i="15"/>
  <c r="E171" i="15"/>
  <c r="K170" i="15"/>
  <c r="AH169" i="15"/>
  <c r="D169" i="15"/>
  <c r="B168" i="15"/>
  <c r="D167" i="15"/>
  <c r="K166" i="15"/>
  <c r="AI165" i="15"/>
  <c r="AI161" i="15"/>
  <c r="D161" i="15"/>
  <c r="H160" i="15"/>
  <c r="C159" i="15"/>
  <c r="C158" i="15"/>
  <c r="H157" i="15"/>
  <c r="K156" i="15"/>
  <c r="AI155" i="15"/>
  <c r="C154" i="15"/>
  <c r="H153" i="15"/>
  <c r="AF152" i="15"/>
  <c r="B152" i="15"/>
  <c r="I151" i="15"/>
  <c r="AH150" i="15"/>
  <c r="D150" i="15"/>
  <c r="B149" i="15"/>
  <c r="D148" i="15"/>
  <c r="H147" i="15"/>
  <c r="B146" i="15"/>
  <c r="H145" i="15"/>
  <c r="K144" i="15"/>
  <c r="AH143" i="15"/>
  <c r="E143" i="15"/>
  <c r="I142" i="15"/>
  <c r="AF141" i="15"/>
  <c r="C141" i="15"/>
  <c r="E140" i="15"/>
  <c r="K139" i="15"/>
  <c r="AH138" i="15"/>
  <c r="D138" i="15"/>
  <c r="H137" i="15"/>
  <c r="C136" i="15"/>
  <c r="E135" i="15"/>
  <c r="B134" i="15"/>
  <c r="D133" i="15"/>
  <c r="AI131" i="15"/>
  <c r="E131" i="15"/>
  <c r="E130" i="15"/>
  <c r="I129" i="15"/>
  <c r="AF128" i="15"/>
  <c r="AI127" i="15"/>
  <c r="D127" i="15"/>
  <c r="AI125" i="15"/>
  <c r="D125" i="15"/>
  <c r="H124" i="15"/>
  <c r="C123" i="15"/>
  <c r="E122" i="15"/>
  <c r="C121" i="15"/>
  <c r="I120" i="15"/>
  <c r="AF119" i="15"/>
  <c r="B119" i="15"/>
  <c r="AI117" i="15"/>
  <c r="H117" i="15"/>
  <c r="K116" i="15"/>
  <c r="AH115" i="15"/>
  <c r="B115" i="15"/>
  <c r="D114" i="15"/>
  <c r="I113" i="15"/>
  <c r="D171" i="15"/>
  <c r="I170" i="15"/>
  <c r="AF169" i="15"/>
  <c r="C169" i="15"/>
  <c r="AI167" i="15"/>
  <c r="C167" i="15"/>
  <c r="I166" i="15"/>
  <c r="AH165" i="15"/>
  <c r="E165" i="15"/>
  <c r="K162" i="15"/>
  <c r="AH161" i="15"/>
  <c r="C161" i="15"/>
  <c r="E160" i="15"/>
  <c r="B159" i="15"/>
  <c r="B158" i="15"/>
  <c r="E157" i="15"/>
  <c r="I156" i="15"/>
  <c r="AH155" i="15"/>
  <c r="E155" i="15"/>
  <c r="B154" i="15"/>
  <c r="AI151" i="15"/>
  <c r="H151" i="15"/>
  <c r="AF150" i="15"/>
  <c r="C150" i="15"/>
  <c r="AI148" i="15"/>
  <c r="C148" i="15"/>
  <c r="E147" i="15"/>
  <c r="AI145" i="15"/>
  <c r="E145" i="15"/>
  <c r="I144" i="15"/>
  <c r="AF143" i="15"/>
  <c r="D143" i="15"/>
  <c r="H142" i="15"/>
  <c r="B141" i="15"/>
  <c r="D140" i="15"/>
  <c r="I139" i="15"/>
  <c r="AF138" i="15"/>
  <c r="C138" i="15"/>
  <c r="E137" i="15"/>
  <c r="B136" i="15"/>
  <c r="D135" i="15"/>
  <c r="AI133" i="15"/>
  <c r="C133" i="15"/>
  <c r="K132" i="15"/>
  <c r="AH131" i="15"/>
  <c r="D131" i="15"/>
  <c r="D130" i="15"/>
  <c r="H129" i="15"/>
  <c r="K128" i="15"/>
  <c r="AH127" i="15"/>
  <c r="C127" i="15"/>
  <c r="K126" i="15"/>
  <c r="AH125" i="15"/>
  <c r="C125" i="15"/>
  <c r="AF123" i="15"/>
  <c r="B123" i="15"/>
  <c r="D122" i="15"/>
  <c r="B121" i="15"/>
  <c r="H120" i="15"/>
  <c r="AI118" i="15"/>
  <c r="K118" i="15"/>
  <c r="AH117" i="15"/>
  <c r="E117" i="15"/>
  <c r="I116" i="15"/>
  <c r="AF115" i="15"/>
  <c r="AH171" i="15"/>
  <c r="K169" i="15"/>
  <c r="K168" i="15"/>
  <c r="H167" i="15"/>
  <c r="H165" i="15"/>
  <c r="E162" i="15"/>
  <c r="B161" i="15"/>
  <c r="AH159" i="15"/>
  <c r="AH158" i="15"/>
  <c r="D158" i="15"/>
  <c r="B157" i="15"/>
  <c r="AF155" i="15"/>
  <c r="AH154" i="15"/>
  <c r="AH153" i="15"/>
  <c r="AH152" i="15"/>
  <c r="AF148" i="15"/>
  <c r="I147" i="15"/>
  <c r="H146" i="15"/>
  <c r="D145" i="15"/>
  <c r="B144" i="15"/>
  <c r="B143" i="15"/>
  <c r="AH141" i="15"/>
  <c r="AF140" i="15"/>
  <c r="H139" i="15"/>
  <c r="H138" i="15"/>
  <c r="C137" i="15"/>
  <c r="H136" i="15"/>
  <c r="H135" i="15"/>
  <c r="I134" i="15"/>
  <c r="I133" i="15"/>
  <c r="AH130" i="15"/>
  <c r="D129" i="15"/>
  <c r="D128" i="15"/>
  <c r="E127" i="15"/>
  <c r="H126" i="15"/>
  <c r="I125" i="15"/>
  <c r="I124" i="15"/>
  <c r="K123" i="15"/>
  <c r="K122" i="15"/>
  <c r="AH120" i="15"/>
  <c r="B120" i="15"/>
  <c r="C119" i="15"/>
  <c r="H118" i="15"/>
  <c r="AF116" i="15"/>
  <c r="I115" i="15"/>
  <c r="K114" i="15"/>
  <c r="AI112" i="15"/>
  <c r="E112" i="15"/>
  <c r="AI110" i="15"/>
  <c r="C110" i="15"/>
  <c r="K109" i="15"/>
  <c r="AH108" i="15"/>
  <c r="D108" i="15"/>
  <c r="H107" i="15"/>
  <c r="C106" i="15"/>
  <c r="K105" i="15"/>
  <c r="AH104" i="15"/>
  <c r="E104" i="15"/>
  <c r="C103" i="15"/>
  <c r="E102" i="15"/>
  <c r="K101" i="15"/>
  <c r="AI100" i="15"/>
  <c r="C100" i="15"/>
  <c r="H99" i="15"/>
  <c r="K98" i="15"/>
  <c r="AH97" i="15"/>
  <c r="B97" i="15"/>
  <c r="E96" i="15"/>
  <c r="H171" i="15"/>
  <c r="D170" i="15"/>
  <c r="B169" i="15"/>
  <c r="D168" i="15"/>
  <c r="AI166" i="15"/>
  <c r="B166" i="15"/>
  <c r="B165" i="15"/>
  <c r="AF161" i="15"/>
  <c r="K160" i="15"/>
  <c r="I159" i="15"/>
  <c r="AF157" i="15"/>
  <c r="H156" i="15"/>
  <c r="I155" i="15"/>
  <c r="I154" i="15"/>
  <c r="I153" i="15"/>
  <c r="H152" i="15"/>
  <c r="H150" i="15"/>
  <c r="I149" i="15"/>
  <c r="E148" i="15"/>
  <c r="B147" i="15"/>
  <c r="AH145" i="15"/>
  <c r="AH144" i="15"/>
  <c r="K142" i="15"/>
  <c r="I141" i="15"/>
  <c r="C140" i="15"/>
  <c r="B139" i="15"/>
  <c r="AI137" i="15"/>
  <c r="AH136" i="15"/>
  <c r="AI135" i="15"/>
  <c r="AI134" i="15"/>
  <c r="D134" i="15"/>
  <c r="B133" i="15"/>
  <c r="E132" i="15"/>
  <c r="I131" i="15"/>
  <c r="AI129" i="15"/>
  <c r="AI128" i="15"/>
  <c r="AF127" i="15"/>
  <c r="AH126" i="15"/>
  <c r="C126" i="15"/>
  <c r="B125" i="15"/>
  <c r="C124" i="15"/>
  <c r="E123" i="15"/>
  <c r="C122" i="15"/>
  <c r="H121" i="15"/>
  <c r="K119" i="15"/>
  <c r="AF118" i="15"/>
  <c r="C118" i="15"/>
  <c r="D117" i="15"/>
  <c r="D116" i="15"/>
  <c r="D115" i="15"/>
  <c r="E114" i="15"/>
  <c r="H113" i="15"/>
  <c r="B112" i="15"/>
  <c r="H111" i="15"/>
  <c r="K110" i="15"/>
  <c r="AH109" i="15"/>
  <c r="E109" i="15"/>
  <c r="AI107" i="15"/>
  <c r="C107" i="15"/>
  <c r="I106" i="15"/>
  <c r="C171" i="15"/>
  <c r="B170" i="15"/>
  <c r="AI168" i="15"/>
  <c r="C168" i="15"/>
  <c r="AH166" i="15"/>
  <c r="AF165" i="15"/>
  <c r="AH162" i="15"/>
  <c r="I160" i="15"/>
  <c r="H159" i="15"/>
  <c r="K157" i="15"/>
  <c r="H155" i="15"/>
  <c r="H154" i="15"/>
  <c r="E153" i="15"/>
  <c r="D152" i="15"/>
  <c r="E151" i="15"/>
  <c r="E150" i="15"/>
  <c r="H149" i="15"/>
  <c r="B148" i="15"/>
  <c r="AH146" i="15"/>
  <c r="AF145" i="15"/>
  <c r="AF144" i="15"/>
  <c r="E142" i="15"/>
  <c r="E141" i="15"/>
  <c r="B140" i="15"/>
  <c r="AI138" i="15"/>
  <c r="AH137" i="15"/>
  <c r="AF136" i="15"/>
  <c r="AH135" i="15"/>
  <c r="AH134" i="15"/>
  <c r="C134" i="15"/>
  <c r="AI132" i="15"/>
  <c r="D132" i="15"/>
  <c r="H131" i="15"/>
  <c r="AH129" i="15"/>
  <c r="AH128" i="15"/>
  <c r="K127" i="15"/>
  <c r="AF126" i="15"/>
  <c r="B126" i="15"/>
  <c r="AI124" i="15"/>
  <c r="B124" i="15"/>
  <c r="D123" i="15"/>
  <c r="B122" i="15"/>
  <c r="K120" i="15"/>
  <c r="I119" i="15"/>
  <c r="B118" i="15"/>
  <c r="C117" i="15"/>
  <c r="C116" i="15"/>
  <c r="C115" i="15"/>
  <c r="C114" i="15"/>
  <c r="E113" i="15"/>
  <c r="AI111" i="15"/>
  <c r="E111" i="15"/>
  <c r="I110" i="15"/>
  <c r="AF109" i="15"/>
  <c r="D109" i="15"/>
  <c r="K108" i="15"/>
  <c r="AH107" i="15"/>
  <c r="B107" i="15"/>
  <c r="H106" i="15"/>
  <c r="AF105" i="15"/>
  <c r="D105" i="15"/>
  <c r="AI103" i="15"/>
  <c r="I103" i="15"/>
  <c r="AF102" i="15"/>
  <c r="AI101" i="15"/>
  <c r="E101" i="15"/>
  <c r="I100" i="15"/>
  <c r="AF99" i="15"/>
  <c r="B99" i="15"/>
  <c r="D98" i="15"/>
  <c r="H97" i="15"/>
  <c r="AI95" i="15"/>
  <c r="E95" i="15"/>
  <c r="I94" i="15"/>
  <c r="AI170" i="15"/>
  <c r="E169" i="15"/>
  <c r="K167" i="15"/>
  <c r="C162" i="15"/>
  <c r="C160" i="15"/>
  <c r="C157" i="15"/>
  <c r="D155" i="15"/>
  <c r="AF153" i="15"/>
  <c r="AH151" i="15"/>
  <c r="K150" i="15"/>
  <c r="AH148" i="15"/>
  <c r="AF146" i="15"/>
  <c r="C145" i="15"/>
  <c r="H143" i="15"/>
  <c r="K141" i="15"/>
  <c r="K137" i="15"/>
  <c r="E136" i="15"/>
  <c r="E133" i="15"/>
  <c r="AF131" i="15"/>
  <c r="K130" i="15"/>
  <c r="C129" i="15"/>
  <c r="H127" i="15"/>
  <c r="D126" i="15"/>
  <c r="K124" i="15"/>
  <c r="AI122" i="15"/>
  <c r="K121" i="15"/>
  <c r="D120" i="15"/>
  <c r="B116" i="15"/>
  <c r="I114" i="15"/>
  <c r="C113" i="15"/>
  <c r="C112" i="15"/>
  <c r="B111" i="15"/>
  <c r="AF108" i="15"/>
  <c r="K107" i="15"/>
  <c r="K106" i="15"/>
  <c r="AF104" i="15"/>
  <c r="B104" i="15"/>
  <c r="E103" i="15"/>
  <c r="D102" i="15"/>
  <c r="E100" i="15"/>
  <c r="E99" i="15"/>
  <c r="E98" i="15"/>
  <c r="D97" i="15"/>
  <c r="D96" i="15"/>
  <c r="I95" i="15"/>
  <c r="K94" i="15"/>
  <c r="AF93" i="15"/>
  <c r="AI92" i="15"/>
  <c r="C92" i="15"/>
  <c r="K91" i="15"/>
  <c r="AH90" i="15"/>
  <c r="E90" i="15"/>
  <c r="I89" i="15"/>
  <c r="AF88" i="15"/>
  <c r="AI87" i="15"/>
  <c r="B87" i="15"/>
  <c r="D86" i="15"/>
  <c r="H85" i="15"/>
  <c r="K83" i="15"/>
  <c r="AH82" i="15"/>
  <c r="C82" i="15"/>
  <c r="AI80" i="15"/>
  <c r="D80" i="15"/>
  <c r="B79" i="15"/>
  <c r="D78" i="15"/>
  <c r="I77" i="15"/>
  <c r="AH76" i="15"/>
  <c r="D76" i="15"/>
  <c r="AI74" i="15"/>
  <c r="AF170" i="15"/>
  <c r="AH168" i="15"/>
  <c r="E167" i="15"/>
  <c r="B162" i="15"/>
  <c r="B160" i="15"/>
  <c r="K158" i="15"/>
  <c r="AH156" i="15"/>
  <c r="C155" i="15"/>
  <c r="K153" i="15"/>
  <c r="AF151" i="15"/>
  <c r="B150" i="15"/>
  <c r="K148" i="15"/>
  <c r="K146" i="15"/>
  <c r="B145" i="15"/>
  <c r="C143" i="15"/>
  <c r="D141" i="15"/>
  <c r="E139" i="15"/>
  <c r="I137" i="15"/>
  <c r="D136" i="15"/>
  <c r="K134" i="15"/>
  <c r="AH132" i="15"/>
  <c r="I130" i="15"/>
  <c r="B129" i="15"/>
  <c r="AF125" i="15"/>
  <c r="E124" i="15"/>
  <c r="AH122" i="15"/>
  <c r="I121" i="15"/>
  <c r="C120" i="15"/>
  <c r="K117" i="15"/>
  <c r="AI115" i="15"/>
  <c r="H114" i="15"/>
  <c r="B113" i="15"/>
  <c r="AH111" i="15"/>
  <c r="AH110" i="15"/>
  <c r="I107" i="15"/>
  <c r="AH103" i="15"/>
  <c r="D103" i="15"/>
  <c r="C102" i="15"/>
  <c r="D101" i="15"/>
  <c r="D100" i="15"/>
  <c r="D99" i="15"/>
  <c r="C98" i="15"/>
  <c r="C97" i="15"/>
  <c r="C96" i="15"/>
  <c r="H95" i="15"/>
  <c r="H94" i="15"/>
  <c r="K93" i="15"/>
  <c r="AH92" i="15"/>
  <c r="B92" i="15"/>
  <c r="I91" i="15"/>
  <c r="AF90" i="15"/>
  <c r="D90" i="15"/>
  <c r="H89" i="15"/>
  <c r="K88" i="15"/>
  <c r="AH87" i="15"/>
  <c r="AI86" i="15"/>
  <c r="C86" i="15"/>
  <c r="AF84" i="15"/>
  <c r="E84" i="15"/>
  <c r="I83" i="15"/>
  <c r="AF82" i="15"/>
  <c r="B82" i="15"/>
  <c r="K81" i="15"/>
  <c r="AH80" i="15"/>
  <c r="C80" i="15"/>
  <c r="AI78" i="15"/>
  <c r="AI169" i="15"/>
  <c r="AH167" i="15"/>
  <c r="I165" i="15"/>
  <c r="E161" i="15"/>
  <c r="AI158" i="15"/>
  <c r="AF156" i="15"/>
  <c r="K154" i="15"/>
  <c r="I152" i="15"/>
  <c r="AI149" i="15"/>
  <c r="AH147" i="15"/>
  <c r="K145" i="15"/>
  <c r="AI142" i="15"/>
  <c r="I140" i="15"/>
  <c r="E138" i="15"/>
  <c r="AF135" i="15"/>
  <c r="AH133" i="15"/>
  <c r="C132" i="15"/>
  <c r="H130" i="15"/>
  <c r="E128" i="15"/>
  <c r="I126" i="15"/>
  <c r="D124" i="15"/>
  <c r="H122" i="15"/>
  <c r="AI116" i="15"/>
  <c r="AH114" i="15"/>
  <c r="AH112" i="15"/>
  <c r="K111" i="15"/>
  <c r="B110" i="15"/>
  <c r="I108" i="15"/>
  <c r="AI106" i="15"/>
  <c r="AH105" i="15"/>
  <c r="I102" i="15"/>
  <c r="C101" i="15"/>
  <c r="AH99" i="15"/>
  <c r="I98" i="15"/>
  <c r="AI96" i="15"/>
  <c r="AF95" i="15"/>
  <c r="AH94" i="15"/>
  <c r="I93" i="15"/>
  <c r="I92" i="15"/>
  <c r="AI89" i="15"/>
  <c r="AI88" i="15"/>
  <c r="H87" i="15"/>
  <c r="H86" i="15"/>
  <c r="E85" i="15"/>
  <c r="AH83" i="15"/>
  <c r="AF81" i="15"/>
  <c r="C81" i="15"/>
  <c r="B80" i="15"/>
  <c r="H79" i="15"/>
  <c r="H78" i="15"/>
  <c r="K77" i="15"/>
  <c r="AF76" i="15"/>
  <c r="B76" i="15"/>
  <c r="H75" i="15"/>
  <c r="I74" i="15"/>
  <c r="AH73" i="15"/>
  <c r="B73" i="15"/>
  <c r="E72" i="15"/>
  <c r="I71" i="15"/>
  <c r="I70" i="15"/>
  <c r="AF69" i="15"/>
  <c r="D69" i="15"/>
  <c r="I68" i="15"/>
  <c r="AF67" i="15"/>
  <c r="D67" i="15"/>
  <c r="B66" i="15"/>
  <c r="D65" i="15"/>
  <c r="H64" i="15"/>
  <c r="K63" i="15"/>
  <c r="AH62" i="15"/>
  <c r="B62" i="15"/>
  <c r="I61" i="15"/>
  <c r="AF167" i="15"/>
  <c r="D165" i="15"/>
  <c r="AI160" i="15"/>
  <c r="AF158" i="15"/>
  <c r="E156" i="15"/>
  <c r="E154" i="15"/>
  <c r="C152" i="15"/>
  <c r="AH149" i="15"/>
  <c r="K147" i="15"/>
  <c r="I145" i="15"/>
  <c r="AF142" i="15"/>
  <c r="H140" i="15"/>
  <c r="B138" i="15"/>
  <c r="K135" i="15"/>
  <c r="AF133" i="15"/>
  <c r="B132" i="15"/>
  <c r="C130" i="15"/>
  <c r="C128" i="15"/>
  <c r="E126" i="15"/>
  <c r="AI123" i="15"/>
  <c r="AI121" i="15"/>
  <c r="E120" i="15"/>
  <c r="I118" i="15"/>
  <c r="AH116" i="15"/>
  <c r="AF114" i="15"/>
  <c r="AF112" i="15"/>
  <c r="I111" i="15"/>
  <c r="AI109" i="15"/>
  <c r="H108" i="15"/>
  <c r="AH106" i="15"/>
  <c r="K104" i="15"/>
  <c r="H102" i="15"/>
  <c r="B101" i="15"/>
  <c r="H98" i="15"/>
  <c r="AH96" i="15"/>
  <c r="AF94" i="15"/>
  <c r="H93" i="15"/>
  <c r="H92" i="15"/>
  <c r="AH89" i="15"/>
  <c r="AH88" i="15"/>
  <c r="AF87" i="15"/>
  <c r="E87" i="15"/>
  <c r="E86" i="15"/>
  <c r="D85" i="15"/>
  <c r="K84" i="15"/>
  <c r="AF83" i="15"/>
  <c r="K82" i="15"/>
  <c r="B81" i="15"/>
  <c r="AI79" i="15"/>
  <c r="E79" i="15"/>
  <c r="E78" i="15"/>
  <c r="H77" i="15"/>
  <c r="AI75" i="15"/>
  <c r="E75" i="15"/>
  <c r="H74" i="15"/>
  <c r="AF73" i="15"/>
  <c r="AI72" i="15"/>
  <c r="D72" i="15"/>
  <c r="H71" i="15"/>
  <c r="AF70" i="15"/>
  <c r="H70" i="15"/>
  <c r="C69" i="15"/>
  <c r="H68" i="15"/>
  <c r="C67" i="15"/>
  <c r="AI65" i="15"/>
  <c r="C65" i="15"/>
  <c r="E64" i="15"/>
  <c r="I63" i="15"/>
  <c r="AF62" i="15"/>
  <c r="AI61" i="15"/>
  <c r="H61" i="15"/>
  <c r="AF60" i="15"/>
  <c r="AI171" i="15"/>
  <c r="E166" i="15"/>
  <c r="AH160" i="15"/>
  <c r="AI157" i="15"/>
  <c r="B155" i="15"/>
  <c r="D149" i="15"/>
  <c r="C146" i="15"/>
  <c r="D142" i="15"/>
  <c r="D139" i="15"/>
  <c r="K136" i="15"/>
  <c r="K133" i="15"/>
  <c r="B131" i="15"/>
  <c r="I128" i="15"/>
  <c r="I123" i="15"/>
  <c r="AI120" i="15"/>
  <c r="E118" i="15"/>
  <c r="K115" i="15"/>
  <c r="K113" i="15"/>
  <c r="D111" i="15"/>
  <c r="H109" i="15"/>
  <c r="E107" i="15"/>
  <c r="I105" i="15"/>
  <c r="D104" i="15"/>
  <c r="AH102" i="15"/>
  <c r="AH100" i="15"/>
  <c r="C99" i="15"/>
  <c r="I97" i="15"/>
  <c r="C94" i="15"/>
  <c r="AF92" i="15"/>
  <c r="H91" i="15"/>
  <c r="I90" i="15"/>
  <c r="C89" i="15"/>
  <c r="AH86" i="15"/>
  <c r="K85" i="15"/>
  <c r="I84" i="15"/>
  <c r="D83" i="15"/>
  <c r="AI81" i="15"/>
  <c r="K78" i="15"/>
  <c r="I76" i="15"/>
  <c r="K75" i="15"/>
  <c r="H73" i="15"/>
  <c r="I72" i="15"/>
  <c r="E71" i="15"/>
  <c r="AI69" i="15"/>
  <c r="B69" i="15"/>
  <c r="C68" i="15"/>
  <c r="H67" i="15"/>
  <c r="K66" i="15"/>
  <c r="K65" i="15"/>
  <c r="K64" i="15"/>
  <c r="H63" i="15"/>
  <c r="H62" i="15"/>
  <c r="AH60" i="15"/>
  <c r="C60" i="15"/>
  <c r="E59" i="15"/>
  <c r="I58" i="15"/>
  <c r="AH57" i="15"/>
  <c r="C57" i="15"/>
  <c r="E56" i="15"/>
  <c r="AI54" i="15"/>
  <c r="C54" i="15"/>
  <c r="I53" i="15"/>
  <c r="AF52" i="15"/>
  <c r="E52" i="15"/>
  <c r="I51" i="15"/>
  <c r="AF50" i="15"/>
  <c r="B50" i="15"/>
  <c r="D49" i="15"/>
  <c r="AI47" i="15"/>
  <c r="D47" i="15"/>
  <c r="AI45" i="15"/>
  <c r="C45" i="15"/>
  <c r="I44" i="15"/>
  <c r="AF43" i="15"/>
  <c r="C43" i="15"/>
  <c r="B41" i="15"/>
  <c r="H40" i="15"/>
  <c r="AI38" i="15"/>
  <c r="C38" i="15"/>
  <c r="I37" i="15"/>
  <c r="E36" i="15"/>
  <c r="B35" i="15"/>
  <c r="E34" i="15"/>
  <c r="D33" i="15"/>
  <c r="I32" i="15"/>
  <c r="AF31" i="15"/>
  <c r="AI30" i="15"/>
  <c r="E30" i="15"/>
  <c r="I29" i="15"/>
  <c r="AF28" i="15"/>
  <c r="AI27" i="15"/>
  <c r="K26" i="15"/>
  <c r="AH25" i="15"/>
  <c r="H25" i="15"/>
  <c r="K24" i="15"/>
  <c r="AH23" i="15"/>
  <c r="B23" i="15"/>
  <c r="E22" i="15"/>
  <c r="I21" i="15"/>
  <c r="AF20" i="15"/>
  <c r="C20" i="15"/>
  <c r="B18" i="15"/>
  <c r="I17" i="15"/>
  <c r="AF16" i="15"/>
  <c r="AI15" i="15"/>
  <c r="D15" i="15"/>
  <c r="H14" i="15"/>
  <c r="AI12" i="15"/>
  <c r="C12" i="15"/>
  <c r="H11" i="15"/>
  <c r="AF10" i="15"/>
  <c r="B10" i="15"/>
  <c r="D9" i="15"/>
  <c r="H8" i="15"/>
  <c r="I171" i="15"/>
  <c r="I168" i="15"/>
  <c r="C165" i="15"/>
  <c r="AF159" i="15"/>
  <c r="I157" i="15"/>
  <c r="D154" i="15"/>
  <c r="D151" i="15"/>
  <c r="H148" i="15"/>
  <c r="H144" i="15"/>
  <c r="AI141" i="15"/>
  <c r="I135" i="15"/>
  <c r="AF132" i="15"/>
  <c r="B128" i="15"/>
  <c r="H125" i="15"/>
  <c r="AF122" i="15"/>
  <c r="AI119" i="15"/>
  <c r="AF117" i="15"/>
  <c r="E115" i="15"/>
  <c r="K112" i="15"/>
  <c r="AF110" i="15"/>
  <c r="B109" i="15"/>
  <c r="AF106" i="15"/>
  <c r="E105" i="15"/>
  <c r="AF103" i="15"/>
  <c r="B102" i="15"/>
  <c r="K100" i="15"/>
  <c r="AH98" i="15"/>
  <c r="AF96" i="15"/>
  <c r="D95" i="15"/>
  <c r="AI93" i="15"/>
  <c r="AF171" i="15"/>
  <c r="C166" i="15"/>
  <c r="D160" i="15"/>
  <c r="AH157" i="15"/>
  <c r="AF154" i="15"/>
  <c r="K151" i="15"/>
  <c r="C149" i="15"/>
  <c r="C142" i="15"/>
  <c r="I136" i="15"/>
  <c r="H133" i="15"/>
  <c r="AI130" i="15"/>
  <c r="H128" i="15"/>
  <c r="K125" i="15"/>
  <c r="H123" i="15"/>
  <c r="AF120" i="15"/>
  <c r="D118" i="15"/>
  <c r="H115" i="15"/>
  <c r="D113" i="15"/>
  <c r="C111" i="15"/>
  <c r="C109" i="15"/>
  <c r="D107" i="15"/>
  <c r="H105" i="15"/>
  <c r="C104" i="15"/>
  <c r="K102" i="15"/>
  <c r="AF100" i="15"/>
  <c r="AI98" i="15"/>
  <c r="E97" i="15"/>
  <c r="K95" i="15"/>
  <c r="B94" i="15"/>
  <c r="K92" i="15"/>
  <c r="E91" i="15"/>
  <c r="H90" i="15"/>
  <c r="B89" i="15"/>
  <c r="AF86" i="15"/>
  <c r="I85" i="15"/>
  <c r="H84" i="15"/>
  <c r="C83" i="15"/>
  <c r="AH81" i="15"/>
  <c r="AF80" i="15"/>
  <c r="I78" i="15"/>
  <c r="E77" i="15"/>
  <c r="H76" i="15"/>
  <c r="I75" i="15"/>
  <c r="E74" i="15"/>
  <c r="E73" i="15"/>
  <c r="H72" i="15"/>
  <c r="D71" i="15"/>
  <c r="AH69" i="15"/>
  <c r="AI68" i="15"/>
  <c r="B68" i="15"/>
  <c r="E67" i="15"/>
  <c r="I66" i="15"/>
  <c r="I65" i="15"/>
  <c r="I64" i="15"/>
  <c r="E63" i="15"/>
  <c r="E62" i="15"/>
  <c r="K61" i="15"/>
  <c r="B60" i="15"/>
  <c r="D59" i="15"/>
  <c r="H58" i="15"/>
  <c r="AF57" i="15"/>
  <c r="B57" i="15"/>
  <c r="D56" i="15"/>
  <c r="K55" i="15"/>
  <c r="AH54" i="15"/>
  <c r="B54" i="15"/>
  <c r="H53" i="15"/>
  <c r="D52" i="15"/>
  <c r="H51" i="15"/>
  <c r="AI49" i="15"/>
  <c r="C49" i="15"/>
  <c r="K48" i="15"/>
  <c r="AH47" i="15"/>
  <c r="C47" i="15"/>
  <c r="K46" i="15"/>
  <c r="AH45" i="15"/>
  <c r="B45" i="15"/>
  <c r="H44" i="15"/>
  <c r="B43" i="15"/>
  <c r="E42" i="15"/>
  <c r="AI40" i="15"/>
  <c r="E40" i="15"/>
  <c r="K39" i="15"/>
  <c r="AH38" i="15"/>
  <c r="B38" i="15"/>
  <c r="H37" i="15"/>
  <c r="AF36" i="15"/>
  <c r="D36" i="15"/>
  <c r="K35" i="15"/>
  <c r="AI34" i="15"/>
  <c r="D34" i="15"/>
  <c r="C33" i="15"/>
  <c r="H32" i="15"/>
  <c r="K31" i="15"/>
  <c r="AH30" i="15"/>
  <c r="D30" i="15"/>
  <c r="H29" i="15"/>
  <c r="K28" i="15"/>
  <c r="AH27" i="15"/>
  <c r="E27" i="15"/>
  <c r="I26" i="15"/>
  <c r="AF25" i="15"/>
  <c r="E25" i="15"/>
  <c r="I24" i="15"/>
  <c r="AF23" i="15"/>
  <c r="AI22" i="15"/>
  <c r="D22" i="15"/>
  <c r="H21" i="15"/>
  <c r="B20" i="15"/>
  <c r="E19" i="15"/>
  <c r="AI17" i="15"/>
  <c r="H17" i="15"/>
  <c r="K16" i="15"/>
  <c r="AH15" i="15"/>
  <c r="C15" i="15"/>
  <c r="E14" i="15"/>
  <c r="K13" i="15"/>
  <c r="AH12" i="15"/>
  <c r="B12" i="15"/>
  <c r="AI9" i="15"/>
  <c r="C9" i="15"/>
  <c r="E8" i="15"/>
  <c r="B171" i="15"/>
  <c r="H168" i="15"/>
  <c r="AF162" i="15"/>
  <c r="K159" i="15"/>
  <c r="D157" i="15"/>
  <c r="AI153" i="15"/>
  <c r="B151" i="15"/>
  <c r="AI147" i="15"/>
  <c r="E144" i="15"/>
  <c r="K138" i="15"/>
  <c r="C135" i="15"/>
  <c r="AF130" i="15"/>
  <c r="I127" i="15"/>
  <c r="E125" i="15"/>
  <c r="I122" i="15"/>
  <c r="AH119" i="15"/>
  <c r="AI114" i="15"/>
  <c r="I112" i="15"/>
  <c r="H110" i="15"/>
  <c r="AI108" i="15"/>
  <c r="C105" i="15"/>
  <c r="AH101" i="15"/>
  <c r="H100" i="15"/>
  <c r="AF98" i="15"/>
  <c r="K96" i="15"/>
  <c r="C95" i="15"/>
  <c r="AH93" i="15"/>
  <c r="D92" i="15"/>
  <c r="C91" i="15"/>
  <c r="B90" i="15"/>
  <c r="H88" i="15"/>
  <c r="I86" i="15"/>
  <c r="B85" i="15"/>
  <c r="C84" i="15"/>
  <c r="AI82" i="15"/>
  <c r="I80" i="15"/>
  <c r="I79" i="15"/>
  <c r="B78" i="15"/>
  <c r="C77" i="15"/>
  <c r="C76" i="15"/>
  <c r="C75" i="15"/>
  <c r="C74" i="15"/>
  <c r="C73" i="15"/>
  <c r="B72" i="15"/>
  <c r="B71" i="15"/>
  <c r="K70" i="15"/>
  <c r="AF68" i="15"/>
  <c r="AH67" i="15"/>
  <c r="AI66" i="15"/>
  <c r="E66" i="15"/>
  <c r="E65" i="15"/>
  <c r="C64" i="15"/>
  <c r="C63" i="15"/>
  <c r="C62" i="15"/>
  <c r="E61" i="15"/>
  <c r="K60" i="15"/>
  <c r="AH59" i="15"/>
  <c r="B59" i="15"/>
  <c r="E58" i="15"/>
  <c r="K57" i="15"/>
  <c r="AH56" i="15"/>
  <c r="B56" i="15"/>
  <c r="H55" i="15"/>
  <c r="K54" i="15"/>
  <c r="AH53" i="15"/>
  <c r="D53" i="15"/>
  <c r="B52" i="15"/>
  <c r="D51" i="15"/>
  <c r="I50" i="15"/>
  <c r="AF49" i="15"/>
  <c r="AI48" i="15"/>
  <c r="H48" i="15"/>
  <c r="K47" i="15"/>
  <c r="AI46" i="15"/>
  <c r="H46" i="15"/>
  <c r="K45" i="15"/>
  <c r="AH44" i="15"/>
  <c r="D44" i="15"/>
  <c r="K43" i="15"/>
  <c r="AH42" i="15"/>
  <c r="C42" i="15"/>
  <c r="I41" i="15"/>
  <c r="AF40" i="15"/>
  <c r="C40" i="15"/>
  <c r="H39" i="15"/>
  <c r="K38" i="15"/>
  <c r="AH37" i="15"/>
  <c r="D37" i="15"/>
  <c r="B36" i="15"/>
  <c r="H35" i="15"/>
  <c r="AF34" i="15"/>
  <c r="B34" i="15"/>
  <c r="AI32" i="15"/>
  <c r="D32" i="15"/>
  <c r="H31" i="15"/>
  <c r="B30" i="15"/>
  <c r="D29" i="15"/>
  <c r="H28" i="15"/>
  <c r="C27" i="15"/>
  <c r="E26" i="15"/>
  <c r="C25" i="15"/>
  <c r="E24" i="15"/>
  <c r="I23" i="15"/>
  <c r="AF22" i="15"/>
  <c r="B22" i="15"/>
  <c r="D21" i="15"/>
  <c r="K20" i="15"/>
  <c r="AH19" i="15"/>
  <c r="C19" i="15"/>
  <c r="I18" i="15"/>
  <c r="AF17" i="15"/>
  <c r="D17" i="15"/>
  <c r="H16" i="15"/>
  <c r="AI14" i="15"/>
  <c r="C14" i="15"/>
  <c r="H13" i="15"/>
  <c r="K12" i="15"/>
  <c r="AH11" i="15"/>
  <c r="D11" i="15"/>
  <c r="I10" i="15"/>
  <c r="AF9" i="15"/>
  <c r="AI8" i="15"/>
  <c r="C8" i="15"/>
  <c r="H170" i="15"/>
  <c r="B167" i="15"/>
  <c r="I162" i="15"/>
  <c r="E159" i="15"/>
  <c r="C156" i="15"/>
  <c r="D153" i="15"/>
  <c r="AI150" i="15"/>
  <c r="D147" i="15"/>
  <c r="D144" i="15"/>
  <c r="AI140" i="15"/>
  <c r="D137" i="15"/>
  <c r="B135" i="15"/>
  <c r="I132" i="15"/>
  <c r="B130" i="15"/>
  <c r="B127" i="15"/>
  <c r="AH124" i="15"/>
  <c r="AH121" i="15"/>
  <c r="H119" i="15"/>
  <c r="I117" i="15"/>
  <c r="B114" i="15"/>
  <c r="H112" i="15"/>
  <c r="E110" i="15"/>
  <c r="E108" i="15"/>
  <c r="E106" i="15"/>
  <c r="B105" i="15"/>
  <c r="K103" i="15"/>
  <c r="AF101" i="15"/>
  <c r="B100" i="15"/>
  <c r="B98" i="15"/>
  <c r="I96" i="15"/>
  <c r="B95" i="15"/>
  <c r="E93" i="15"/>
  <c r="AI91" i="15"/>
  <c r="B91" i="15"/>
  <c r="AF89" i="15"/>
  <c r="E88" i="15"/>
  <c r="K87" i="15"/>
  <c r="B86" i="15"/>
  <c r="AI84" i="15"/>
  <c r="B84" i="15"/>
  <c r="I82" i="15"/>
  <c r="I81" i="15"/>
  <c r="H80" i="15"/>
  <c r="D79" i="15"/>
  <c r="AI77" i="15"/>
  <c r="B77" i="15"/>
  <c r="AH75" i="15"/>
  <c r="B75" i="15"/>
  <c r="B74" i="15"/>
  <c r="AH72" i="15"/>
  <c r="AI71" i="15"/>
  <c r="AI70" i="15"/>
  <c r="E70" i="15"/>
  <c r="K69" i="15"/>
  <c r="AH66" i="15"/>
  <c r="D66" i="15"/>
  <c r="B65" i="15"/>
  <c r="B64" i="15"/>
  <c r="B63" i="15"/>
  <c r="AH61" i="15"/>
  <c r="D61" i="15"/>
  <c r="I60" i="15"/>
  <c r="AF59" i="15"/>
  <c r="AI58" i="15"/>
  <c r="D58" i="15"/>
  <c r="I57" i="15"/>
  <c r="AF56" i="15"/>
  <c r="AI55" i="15"/>
  <c r="E55" i="15"/>
  <c r="I54" i="15"/>
  <c r="AF53" i="15"/>
  <c r="C53" i="15"/>
  <c r="AI51" i="15"/>
  <c r="C51" i="15"/>
  <c r="H50" i="15"/>
  <c r="K49" i="15"/>
  <c r="AH48" i="15"/>
  <c r="E48" i="15"/>
  <c r="I47" i="15"/>
  <c r="AH46" i="15"/>
  <c r="E46" i="15"/>
  <c r="I45" i="15"/>
  <c r="AF44" i="15"/>
  <c r="C44" i="15"/>
  <c r="I43" i="15"/>
  <c r="AF42" i="15"/>
  <c r="B42" i="15"/>
  <c r="H41" i="15"/>
  <c r="B40" i="15"/>
  <c r="E39" i="15"/>
  <c r="I38" i="15"/>
  <c r="AF37" i="15"/>
  <c r="C37" i="15"/>
  <c r="AI35" i="15"/>
  <c r="AI33" i="15"/>
  <c r="K33" i="15"/>
  <c r="AH32" i="15"/>
  <c r="C32" i="15"/>
  <c r="E31" i="15"/>
  <c r="AI29" i="15"/>
  <c r="C29" i="15"/>
  <c r="E28" i="15"/>
  <c r="B27" i="15"/>
  <c r="D26" i="15"/>
  <c r="B25" i="15"/>
  <c r="D24" i="15"/>
  <c r="H23" i="15"/>
  <c r="AI21" i="15"/>
  <c r="C21" i="15"/>
  <c r="I20" i="15"/>
  <c r="AF19" i="15"/>
  <c r="B19" i="15"/>
  <c r="H18" i="15"/>
  <c r="C17" i="15"/>
  <c r="E16" i="15"/>
  <c r="K15" i="15"/>
  <c r="AH14" i="15"/>
  <c r="B14" i="15"/>
  <c r="E13" i="15"/>
  <c r="I12" i="15"/>
  <c r="AF11" i="15"/>
  <c r="C11" i="15"/>
  <c r="H10" i="15"/>
  <c r="K9" i="15"/>
  <c r="AH8" i="15"/>
  <c r="B8" i="15"/>
  <c r="E170" i="15"/>
  <c r="H161" i="15"/>
  <c r="AI152" i="15"/>
  <c r="AI143" i="15"/>
  <c r="K129" i="15"/>
  <c r="AF121" i="15"/>
  <c r="E116" i="15"/>
  <c r="AI104" i="15"/>
  <c r="H101" i="15"/>
  <c r="B96" i="15"/>
  <c r="E92" i="15"/>
  <c r="C90" i="15"/>
  <c r="C85" i="15"/>
  <c r="B83" i="15"/>
  <c r="K80" i="15"/>
  <c r="C78" i="15"/>
  <c r="E76" i="15"/>
  <c r="D74" i="15"/>
  <c r="C72" i="15"/>
  <c r="AH68" i="15"/>
  <c r="B67" i="15"/>
  <c r="H65" i="15"/>
  <c r="D63" i="15"/>
  <c r="AI59" i="15"/>
  <c r="AI56" i="15"/>
  <c r="I55" i="15"/>
  <c r="AI53" i="15"/>
  <c r="E51" i="15"/>
  <c r="AH49" i="15"/>
  <c r="I48" i="15"/>
  <c r="B47" i="15"/>
  <c r="AF45" i="15"/>
  <c r="E44" i="15"/>
  <c r="AI42" i="15"/>
  <c r="K41" i="15"/>
  <c r="D40" i="15"/>
  <c r="AF38" i="15"/>
  <c r="E37" i="15"/>
  <c r="C36" i="15"/>
  <c r="AH34" i="15"/>
  <c r="E32" i="15"/>
  <c r="AF30" i="15"/>
  <c r="E29" i="15"/>
  <c r="AF27" i="15"/>
  <c r="H26" i="15"/>
  <c r="D25" i="15"/>
  <c r="K23" i="15"/>
  <c r="C22" i="15"/>
  <c r="D19" i="15"/>
  <c r="AH17" i="15"/>
  <c r="I16" i="15"/>
  <c r="B15" i="15"/>
  <c r="I13" i="15"/>
  <c r="AI11" i="15"/>
  <c r="K10" i="15"/>
  <c r="B9" i="15"/>
  <c r="AF14" i="15"/>
  <c r="E10" i="15"/>
  <c r="H169" i="15"/>
  <c r="D121" i="15"/>
  <c r="H104" i="15"/>
  <c r="AI94" i="15"/>
  <c r="E89" i="15"/>
  <c r="E82" i="15"/>
  <c r="AF77" i="15"/>
  <c r="AF71" i="15"/>
  <c r="E68" i="15"/>
  <c r="K62" i="15"/>
  <c r="I59" i="15"/>
  <c r="B58" i="15"/>
  <c r="C55" i="15"/>
  <c r="AI50" i="15"/>
  <c r="C48" i="15"/>
  <c r="AI43" i="15"/>
  <c r="D41" i="15"/>
  <c r="E38" i="15"/>
  <c r="AF35" i="15"/>
  <c r="H33" i="15"/>
  <c r="I30" i="15"/>
  <c r="I27" i="15"/>
  <c r="AH24" i="15"/>
  <c r="AF21" i="15"/>
  <c r="AH18" i="15"/>
  <c r="K14" i="15"/>
  <c r="K11" i="15"/>
  <c r="K8" i="15"/>
  <c r="E158" i="15"/>
  <c r="E134" i="15"/>
  <c r="AF113" i="15"/>
  <c r="H103" i="15"/>
  <c r="E94" i="15"/>
  <c r="D89" i="15"/>
  <c r="AF79" i="15"/>
  <c r="I73" i="15"/>
  <c r="D68" i="15"/>
  <c r="AF64" i="15"/>
  <c r="H59" i="15"/>
  <c r="H56" i="15"/>
  <c r="K53" i="15"/>
  <c r="H52" i="15"/>
  <c r="E49" i="15"/>
  <c r="D45" i="15"/>
  <c r="H42" i="15"/>
  <c r="AF39" i="15"/>
  <c r="AH36" i="15"/>
  <c r="E33" i="15"/>
  <c r="H30" i="15"/>
  <c r="H27" i="15"/>
  <c r="AF24" i="15"/>
  <c r="K21" i="15"/>
  <c r="AF18" i="15"/>
  <c r="B16" i="15"/>
  <c r="B13" i="15"/>
  <c r="C10" i="15"/>
  <c r="B156" i="15"/>
  <c r="H132" i="15"/>
  <c r="D112" i="15"/>
  <c r="B103" i="15"/>
  <c r="D94" i="15"/>
  <c r="I88" i="15"/>
  <c r="D84" i="15"/>
  <c r="D77" i="15"/>
  <c r="D73" i="15"/>
  <c r="AI67" i="15"/>
  <c r="D64" i="15"/>
  <c r="C56" i="15"/>
  <c r="E53" i="15"/>
  <c r="K50" i="15"/>
  <c r="AF47" i="15"/>
  <c r="AI44" i="15"/>
  <c r="AH40" i="15"/>
  <c r="AI37" i="15"/>
  <c r="I35" i="15"/>
  <c r="I31" i="15"/>
  <c r="I28" i="15"/>
  <c r="H24" i="15"/>
  <c r="E21" i="15"/>
  <c r="K18" i="15"/>
  <c r="AF15" i="15"/>
  <c r="AF12" i="15"/>
  <c r="AH9" i="15"/>
  <c r="AF139" i="15"/>
  <c r="D159" i="15"/>
  <c r="K152" i="15"/>
  <c r="AF134" i="15"/>
  <c r="E129" i="15"/>
  <c r="E121" i="15"/>
  <c r="AI113" i="15"/>
  <c r="I109" i="15"/>
  <c r="I104" i="15"/>
  <c r="AI99" i="15"/>
  <c r="AH95" i="15"/>
  <c r="AH91" i="15"/>
  <c r="K89" i="15"/>
  <c r="I87" i="15"/>
  <c r="AH84" i="15"/>
  <c r="H82" i="15"/>
  <c r="E80" i="15"/>
  <c r="AH77" i="15"/>
  <c r="AF75" i="15"/>
  <c r="AI73" i="15"/>
  <c r="AH71" i="15"/>
  <c r="D70" i="15"/>
  <c r="K68" i="15"/>
  <c r="AF66" i="15"/>
  <c r="AI64" i="15"/>
  <c r="AI62" i="15"/>
  <c r="C61" i="15"/>
  <c r="K59" i="15"/>
  <c r="C58" i="15"/>
  <c r="K56" i="15"/>
  <c r="D55" i="15"/>
  <c r="K52" i="15"/>
  <c r="B51" i="15"/>
  <c r="I49" i="15"/>
  <c r="D48" i="15"/>
  <c r="AF46" i="15"/>
  <c r="H45" i="15"/>
  <c r="B44" i="15"/>
  <c r="K42" i="15"/>
  <c r="E41" i="15"/>
  <c r="AI39" i="15"/>
  <c r="H38" i="15"/>
  <c r="B37" i="15"/>
  <c r="AH35" i="15"/>
  <c r="K34" i="15"/>
  <c r="I33" i="15"/>
  <c r="B32" i="15"/>
  <c r="K30" i="15"/>
  <c r="B29" i="15"/>
  <c r="K27" i="15"/>
  <c r="C26" i="15"/>
  <c r="AI24" i="15"/>
  <c r="E23" i="15"/>
  <c r="AH21" i="15"/>
  <c r="H20" i="15"/>
  <c r="AI18" i="15"/>
  <c r="D16" i="15"/>
  <c r="D13" i="15"/>
  <c r="AF8" i="15"/>
  <c r="I158" i="15"/>
  <c r="I143" i="15"/>
  <c r="H134" i="15"/>
  <c r="AI126" i="15"/>
  <c r="AH113" i="15"/>
  <c r="C108" i="15"/>
  <c r="K99" i="15"/>
  <c r="AF91" i="15"/>
  <c r="D87" i="15"/>
  <c r="AH79" i="15"/>
  <c r="K73" i="15"/>
  <c r="C70" i="15"/>
  <c r="AH64" i="15"/>
  <c r="B61" i="15"/>
  <c r="I56" i="15"/>
  <c r="I52" i="15"/>
  <c r="H49" i="15"/>
  <c r="E45" i="15"/>
  <c r="I42" i="15"/>
  <c r="AH39" i="15"/>
  <c r="AI36" i="15"/>
  <c r="I34" i="15"/>
  <c r="AI31" i="15"/>
  <c r="AI28" i="15"/>
  <c r="B26" i="15"/>
  <c r="D23" i="15"/>
  <c r="E20" i="15"/>
  <c r="C16" i="15"/>
  <c r="C13" i="15"/>
  <c r="D10" i="15"/>
  <c r="AH140" i="15"/>
  <c r="E119" i="15"/>
  <c r="B108" i="15"/>
  <c r="I99" i="15"/>
  <c r="C87" i="15"/>
  <c r="D82" i="15"/>
  <c r="K71" i="15"/>
  <c r="B70" i="15"/>
  <c r="I62" i="15"/>
  <c r="AI60" i="15"/>
  <c r="AI57" i="15"/>
  <c r="B55" i="15"/>
  <c r="AH50" i="15"/>
  <c r="B48" i="15"/>
  <c r="AH43" i="15"/>
  <c r="C41" i="15"/>
  <c r="D38" i="15"/>
  <c r="H34" i="15"/>
  <c r="AH31" i="15"/>
  <c r="AH28" i="15"/>
  <c r="AI25" i="15"/>
  <c r="C23" i="15"/>
  <c r="D20" i="15"/>
  <c r="K17" i="15"/>
  <c r="I14" i="15"/>
  <c r="I11" i="15"/>
  <c r="I8" i="15"/>
  <c r="K149" i="15"/>
  <c r="AI139" i="15"/>
  <c r="D119" i="15"/>
  <c r="AF107" i="15"/>
  <c r="AI97" i="15"/>
  <c r="D91" i="15"/>
  <c r="K86" i="15"/>
  <c r="K79" i="15"/>
  <c r="D75" i="15"/>
  <c r="C71" i="15"/>
  <c r="H66" i="15"/>
  <c r="D62" i="15"/>
  <c r="C59" i="15"/>
  <c r="AF54" i="15"/>
  <c r="C52" i="15"/>
  <c r="B49" i="15"/>
  <c r="I46" i="15"/>
  <c r="D42" i="15"/>
  <c r="I39" i="15"/>
  <c r="C34" i="15"/>
  <c r="B33" i="15"/>
  <c r="C30" i="15"/>
  <c r="D27" i="15"/>
  <c r="AH22" i="15"/>
  <c r="AI19" i="15"/>
  <c r="E17" i="15"/>
  <c r="D14" i="15"/>
  <c r="E11" i="15"/>
  <c r="D8" i="15"/>
  <c r="H166" i="15"/>
  <c r="C147" i="15"/>
  <c r="H162" i="15"/>
  <c r="K131" i="15"/>
  <c r="H116" i="15"/>
  <c r="AI90" i="15"/>
  <c r="AF85" i="15"/>
  <c r="AH78" i="15"/>
  <c r="AF72" i="15"/>
  <c r="E69" i="15"/>
  <c r="AH63" i="15"/>
  <c r="AH58" i="15"/>
  <c r="AF55" i="15"/>
  <c r="AF51" i="15"/>
  <c r="H47" i="15"/>
  <c r="K44" i="15"/>
  <c r="K40" i="15"/>
  <c r="K36" i="15"/>
  <c r="AF29" i="15"/>
  <c r="H22" i="15"/>
  <c r="D18" i="15"/>
  <c r="AI13" i="15"/>
  <c r="AH10" i="15"/>
  <c r="K161" i="15"/>
  <c r="C131" i="15"/>
  <c r="AF111" i="15"/>
  <c r="I101" i="15"/>
  <c r="AI83" i="15"/>
  <c r="AF78" i="15"/>
  <c r="AF63" i="15"/>
  <c r="AF58" i="15"/>
  <c r="H54" i="15"/>
  <c r="K51" i="15"/>
  <c r="H43" i="15"/>
  <c r="I40" i="15"/>
  <c r="I36" i="15"/>
  <c r="AF32" i="15"/>
  <c r="K29" i="15"/>
  <c r="K25" i="15"/>
  <c r="B21" i="15"/>
  <c r="C18" i="15"/>
  <c r="AH13" i="15"/>
  <c r="I9" i="15"/>
  <c r="AH123" i="15"/>
  <c r="H96" i="15"/>
  <c r="H81" i="15"/>
  <c r="C66" i="15"/>
  <c r="B53" i="15"/>
  <c r="C46" i="15"/>
  <c r="B39" i="15"/>
  <c r="B28" i="15"/>
  <c r="K19" i="15"/>
  <c r="E12" i="15"/>
  <c r="D146" i="15"/>
  <c r="B106" i="15"/>
  <c r="D93" i="15"/>
  <c r="E81" i="15"/>
  <c r="AH65" i="15"/>
  <c r="D57" i="15"/>
  <c r="AH41" i="15"/>
  <c r="C35" i="15"/>
  <c r="AI26" i="15"/>
  <c r="I15" i="15"/>
  <c r="B137" i="15"/>
  <c r="AH118" i="15"/>
  <c r="AI105" i="15"/>
  <c r="C93" i="15"/>
  <c r="AI85" i="15"/>
  <c r="D81" i="15"/>
  <c r="AF74" i="15"/>
  <c r="I69" i="15"/>
  <c r="AF65" i="15"/>
  <c r="E60" i="15"/>
  <c r="AH55" i="15"/>
  <c r="AH52" i="15"/>
  <c r="AF48" i="15"/>
  <c r="AF41" i="15"/>
  <c r="AH33" i="15"/>
  <c r="B31" i="15"/>
  <c r="AH26" i="15"/>
  <c r="K22" i="15"/>
  <c r="H19" i="15"/>
  <c r="H15" i="15"/>
  <c r="B11" i="15"/>
  <c r="AI136" i="15"/>
  <c r="B117" i="15"/>
  <c r="AI102" i="15"/>
  <c r="B93" i="15"/>
  <c r="AH85" i="15"/>
  <c r="C79" i="15"/>
  <c r="K74" i="15"/>
  <c r="H69" i="15"/>
  <c r="AI63" i="15"/>
  <c r="D60" i="15"/>
  <c r="AH51" i="15"/>
  <c r="K37" i="15"/>
  <c r="AF33" i="15"/>
  <c r="AH29" i="15"/>
  <c r="AF26" i="15"/>
  <c r="I22" i="15"/>
  <c r="E18" i="15"/>
  <c r="E15" i="15"/>
  <c r="AI10" i="15"/>
  <c r="AF129" i="15"/>
  <c r="AF97" i="15"/>
  <c r="K90" i="15"/>
  <c r="H83" i="15"/>
  <c r="AI76" i="15"/>
  <c r="K72" i="15"/>
  <c r="K67" i="15"/>
  <c r="AF61" i="15"/>
  <c r="K58" i="15"/>
  <c r="E54" i="15"/>
  <c r="E50" i="15"/>
  <c r="E47" i="15"/>
  <c r="E43" i="15"/>
  <c r="D39" i="15"/>
  <c r="H36" i="15"/>
  <c r="D28" i="15"/>
  <c r="I25" i="15"/>
  <c r="AI20" i="15"/>
  <c r="B17" i="15"/>
  <c r="AF13" i="15"/>
  <c r="H9" i="15"/>
  <c r="C153" i="15"/>
  <c r="AF124" i="15"/>
  <c r="D110" i="15"/>
  <c r="K97" i="15"/>
  <c r="D88" i="15"/>
  <c r="E83" i="15"/>
  <c r="AH70" i="15"/>
  <c r="I67" i="15"/>
  <c r="H57" i="15"/>
  <c r="D54" i="15"/>
  <c r="D50" i="15"/>
  <c r="D46" i="15"/>
  <c r="D43" i="15"/>
  <c r="C39" i="15"/>
  <c r="E35" i="15"/>
  <c r="K32" i="15"/>
  <c r="C28" i="15"/>
  <c r="C24" i="15"/>
  <c r="AH20" i="15"/>
  <c r="AI16" i="15"/>
  <c r="H12" i="15"/>
  <c r="E9" i="15"/>
  <c r="I146" i="15"/>
  <c r="D106" i="15"/>
  <c r="C88" i="15"/>
  <c r="K76" i="15"/>
  <c r="E57" i="15"/>
  <c r="C50" i="15"/>
  <c r="AI41" i="15"/>
  <c r="D35" i="15"/>
  <c r="D31" i="15"/>
  <c r="B24" i="15"/>
  <c r="AH16" i="15"/>
  <c r="B88" i="15"/>
  <c r="AH74" i="15"/>
  <c r="H60" i="15"/>
  <c r="AI52" i="15"/>
  <c r="B46" i="15"/>
  <c r="C31" i="15"/>
  <c r="AI23" i="15"/>
  <c r="I19" i="15"/>
  <c r="D12" i="15"/>
  <c r="AI7" i="15"/>
  <c r="AH5" i="15"/>
  <c r="AI6" i="15"/>
  <c r="AH6" i="15"/>
  <c r="AI5" i="15"/>
  <c r="AH7" i="15"/>
  <c r="AI3" i="15"/>
  <c r="AF6" i="15"/>
  <c r="AH3" i="15"/>
  <c r="AH4" i="15"/>
  <c r="AI4" i="15"/>
  <c r="AH2" i="15"/>
  <c r="AI2" i="15"/>
  <c r="B2" i="15"/>
  <c r="AF3" i="15"/>
  <c r="B6" i="15"/>
  <c r="AF4" i="15"/>
  <c r="B7" i="15"/>
  <c r="AF5" i="15"/>
  <c r="AF7" i="15"/>
  <c r="B5" i="15"/>
  <c r="AF2" i="15"/>
  <c r="B3" i="15"/>
  <c r="B4" i="15"/>
  <c r="K3" i="15"/>
  <c r="I7" i="15"/>
  <c r="K6" i="15"/>
  <c r="K4" i="15"/>
  <c r="K7" i="15"/>
  <c r="H7" i="15"/>
  <c r="G7" i="15" s="1"/>
  <c r="K2" i="15"/>
  <c r="H6" i="15"/>
  <c r="G6" i="15" s="1"/>
  <c r="I3" i="15"/>
  <c r="H5" i="15"/>
  <c r="G5" i="15" s="1"/>
  <c r="I4" i="15"/>
  <c r="H4" i="15"/>
  <c r="G4" i="15" s="1"/>
  <c r="I5" i="15"/>
  <c r="H3" i="15"/>
  <c r="G3" i="15" s="1"/>
  <c r="I6" i="15"/>
  <c r="H2" i="15"/>
  <c r="G2" i="15" s="1"/>
  <c r="K5" i="15"/>
  <c r="I2" i="15"/>
  <c r="D3" i="15"/>
  <c r="C5" i="15"/>
  <c r="C6" i="15"/>
  <c r="D5" i="15"/>
  <c r="C2" i="15"/>
  <c r="E5" i="15"/>
  <c r="AG5" i="15" s="1"/>
  <c r="D2" i="15"/>
  <c r="E7" i="15"/>
  <c r="AG7" i="15" s="1"/>
  <c r="C4" i="15"/>
  <c r="D4" i="15"/>
  <c r="E3" i="15"/>
  <c r="AG3" i="15" s="1"/>
  <c r="C7" i="15"/>
  <c r="E4" i="15"/>
  <c r="AG4" i="15" s="1"/>
  <c r="D6" i="15"/>
  <c r="D7" i="15"/>
  <c r="E6" i="15"/>
  <c r="AG6" i="15" s="1"/>
  <c r="C3" i="15"/>
  <c r="E2" i="15"/>
  <c r="AG164" i="15" l="1"/>
  <c r="O164" i="15"/>
  <c r="N164" i="15"/>
  <c r="W164" i="15"/>
  <c r="V164" i="15"/>
  <c r="U164" i="15"/>
  <c r="S164" i="15"/>
  <c r="P164" i="15"/>
  <c r="X164" i="15"/>
  <c r="R164" i="15"/>
  <c r="T164" i="15"/>
  <c r="Q164" i="15"/>
  <c r="AC164" i="15"/>
  <c r="G164" i="15"/>
  <c r="Z164" i="15"/>
  <c r="AG174" i="15"/>
  <c r="W174" i="15"/>
  <c r="X174" i="15"/>
  <c r="V174" i="15"/>
  <c r="O174" i="15"/>
  <c r="U174" i="15"/>
  <c r="R174" i="15"/>
  <c r="P174" i="15"/>
  <c r="S174" i="15"/>
  <c r="N174" i="15"/>
  <c r="Q174" i="15"/>
  <c r="T174" i="15"/>
  <c r="G174" i="15"/>
  <c r="Z174" i="15"/>
  <c r="AC174" i="15"/>
  <c r="V173" i="15"/>
  <c r="O173" i="15"/>
  <c r="P173" i="15"/>
  <c r="X173" i="15"/>
  <c r="S173" i="15"/>
  <c r="N173" i="15"/>
  <c r="T173" i="15"/>
  <c r="R173" i="15"/>
  <c r="W173" i="15"/>
  <c r="U173" i="15"/>
  <c r="Q173" i="15"/>
  <c r="AG173" i="15"/>
  <c r="AC173" i="15"/>
  <c r="Z173" i="15"/>
  <c r="G173" i="15"/>
  <c r="G172" i="15"/>
  <c r="AC172" i="15"/>
  <c r="Z172" i="15"/>
  <c r="W172" i="15"/>
  <c r="X172" i="15"/>
  <c r="S172" i="15"/>
  <c r="N172" i="15"/>
  <c r="AG172" i="15"/>
  <c r="O172" i="15"/>
  <c r="Q172" i="15"/>
  <c r="P172" i="15"/>
  <c r="V172" i="15"/>
  <c r="T172" i="15"/>
  <c r="R172" i="15"/>
  <c r="U172" i="15"/>
  <c r="Z60" i="15"/>
  <c r="AC60" i="15"/>
  <c r="G60" i="15"/>
  <c r="Z54" i="15"/>
  <c r="AC54" i="15"/>
  <c r="G54" i="15"/>
  <c r="AC55" i="15"/>
  <c r="Z55" i="15"/>
  <c r="G55" i="15"/>
  <c r="V61" i="15"/>
  <c r="O61" i="15"/>
  <c r="U61" i="15"/>
  <c r="T61" i="15"/>
  <c r="W61" i="15"/>
  <c r="R61" i="15"/>
  <c r="N61" i="15"/>
  <c r="S61" i="15"/>
  <c r="Q61" i="15"/>
  <c r="AG61" i="15"/>
  <c r="X61" i="15"/>
  <c r="P61" i="15"/>
  <c r="W77" i="15"/>
  <c r="R77" i="15"/>
  <c r="S77" i="15"/>
  <c r="T77" i="15"/>
  <c r="N77" i="15"/>
  <c r="X77" i="15"/>
  <c r="V77" i="15"/>
  <c r="P77" i="15"/>
  <c r="Q77" i="15"/>
  <c r="U77" i="15"/>
  <c r="O77" i="15"/>
  <c r="AG77" i="15"/>
  <c r="O36" i="15"/>
  <c r="AG36" i="15"/>
  <c r="Q36" i="15"/>
  <c r="P36" i="15"/>
  <c r="S36" i="15"/>
  <c r="X36" i="15"/>
  <c r="V36" i="15"/>
  <c r="U36" i="15"/>
  <c r="N36" i="15"/>
  <c r="T36" i="15"/>
  <c r="R36" i="15"/>
  <c r="W36" i="15"/>
  <c r="X84" i="15"/>
  <c r="AG84" i="15"/>
  <c r="N84" i="15"/>
  <c r="P84" i="15"/>
  <c r="O84" i="15"/>
  <c r="W84" i="15"/>
  <c r="V84" i="15"/>
  <c r="Q84" i="15"/>
  <c r="T84" i="15"/>
  <c r="R84" i="15"/>
  <c r="S84" i="15"/>
  <c r="U84" i="15"/>
  <c r="W100" i="15"/>
  <c r="O100" i="15"/>
  <c r="T100" i="15"/>
  <c r="U100" i="15"/>
  <c r="AG100" i="15"/>
  <c r="V100" i="15"/>
  <c r="S100" i="15"/>
  <c r="R100" i="15"/>
  <c r="P100" i="15"/>
  <c r="X100" i="15"/>
  <c r="Q100" i="15"/>
  <c r="N100" i="15"/>
  <c r="V113" i="15"/>
  <c r="AG113" i="15"/>
  <c r="P113" i="15"/>
  <c r="W113" i="15"/>
  <c r="S113" i="15"/>
  <c r="U113" i="15"/>
  <c r="O113" i="15"/>
  <c r="N113" i="15"/>
  <c r="R113" i="15"/>
  <c r="Q113" i="15"/>
  <c r="X113" i="15"/>
  <c r="T113" i="15"/>
  <c r="G146" i="15"/>
  <c r="AC146" i="15"/>
  <c r="Z146" i="15"/>
  <c r="V147" i="15"/>
  <c r="O147" i="15"/>
  <c r="W147" i="15"/>
  <c r="T147" i="15"/>
  <c r="X147" i="15"/>
  <c r="R147" i="15"/>
  <c r="N147" i="15"/>
  <c r="AG147" i="15"/>
  <c r="U147" i="15"/>
  <c r="S147" i="15"/>
  <c r="P147" i="15"/>
  <c r="Q147" i="15"/>
  <c r="Q168" i="15"/>
  <c r="O168" i="15"/>
  <c r="N168" i="15"/>
  <c r="X168" i="15"/>
  <c r="P168" i="15"/>
  <c r="T168" i="15"/>
  <c r="V168" i="15"/>
  <c r="W168" i="15"/>
  <c r="R168" i="15"/>
  <c r="AG168" i="15"/>
  <c r="U168" i="15"/>
  <c r="S168" i="15"/>
  <c r="W57" i="15"/>
  <c r="U57" i="15"/>
  <c r="S57" i="15"/>
  <c r="V57" i="15"/>
  <c r="X57" i="15"/>
  <c r="T57" i="15"/>
  <c r="Q57" i="15"/>
  <c r="N57" i="15"/>
  <c r="P57" i="15"/>
  <c r="AG57" i="15"/>
  <c r="O57" i="15"/>
  <c r="R57" i="15"/>
  <c r="X41" i="15"/>
  <c r="R41" i="15"/>
  <c r="P41" i="15"/>
  <c r="AG41" i="15"/>
  <c r="S41" i="15"/>
  <c r="Q41" i="15"/>
  <c r="W41" i="15"/>
  <c r="O41" i="15"/>
  <c r="T41" i="15"/>
  <c r="N41" i="15"/>
  <c r="V41" i="15"/>
  <c r="U41" i="15"/>
  <c r="Z82" i="15"/>
  <c r="G82" i="15"/>
  <c r="AC82" i="15"/>
  <c r="G26" i="15"/>
  <c r="AC26" i="15"/>
  <c r="Z26" i="15"/>
  <c r="T31" i="15"/>
  <c r="AG31" i="15"/>
  <c r="X31" i="15"/>
  <c r="U31" i="15"/>
  <c r="W31" i="15"/>
  <c r="V31" i="15"/>
  <c r="O31" i="15"/>
  <c r="Q31" i="15"/>
  <c r="S31" i="15"/>
  <c r="R31" i="15"/>
  <c r="N31" i="15"/>
  <c r="P31" i="15"/>
  <c r="G50" i="15"/>
  <c r="AC50" i="15"/>
  <c r="Z50" i="15"/>
  <c r="V125" i="15"/>
  <c r="Q125" i="15"/>
  <c r="N125" i="15"/>
  <c r="O125" i="15"/>
  <c r="AG125" i="15"/>
  <c r="P125" i="15"/>
  <c r="U125" i="15"/>
  <c r="W125" i="15"/>
  <c r="R125" i="15"/>
  <c r="T125" i="15"/>
  <c r="S125" i="15"/>
  <c r="X125" i="15"/>
  <c r="Z17" i="15"/>
  <c r="G17" i="15"/>
  <c r="AC17" i="15"/>
  <c r="G90" i="15"/>
  <c r="Z90" i="15"/>
  <c r="AC90" i="15"/>
  <c r="O52" i="15"/>
  <c r="X52" i="15"/>
  <c r="U52" i="15"/>
  <c r="R52" i="15"/>
  <c r="W52" i="15"/>
  <c r="AG52" i="15"/>
  <c r="S52" i="15"/>
  <c r="P52" i="15"/>
  <c r="N52" i="15"/>
  <c r="Q52" i="15"/>
  <c r="T52" i="15"/>
  <c r="V52" i="15"/>
  <c r="V118" i="15"/>
  <c r="N118" i="15"/>
  <c r="U118" i="15"/>
  <c r="AG118" i="15"/>
  <c r="Q118" i="15"/>
  <c r="P118" i="15"/>
  <c r="W118" i="15"/>
  <c r="X118" i="15"/>
  <c r="O118" i="15"/>
  <c r="S118" i="15"/>
  <c r="R118" i="15"/>
  <c r="T118" i="15"/>
  <c r="AC102" i="15"/>
  <c r="G102" i="15"/>
  <c r="Z102" i="15"/>
  <c r="AC149" i="15"/>
  <c r="G149" i="15"/>
  <c r="Z149" i="15"/>
  <c r="AC145" i="15"/>
  <c r="Z145" i="15"/>
  <c r="G145" i="15"/>
  <c r="AC163" i="15"/>
  <c r="G163" i="15"/>
  <c r="Z163" i="15"/>
  <c r="AC36" i="15"/>
  <c r="G36" i="15"/>
  <c r="Z36" i="15"/>
  <c r="AC81" i="15"/>
  <c r="Z81" i="15"/>
  <c r="G81" i="15"/>
  <c r="G66" i="15"/>
  <c r="Z66" i="15"/>
  <c r="AC66" i="15"/>
  <c r="G132" i="15"/>
  <c r="Z132" i="15"/>
  <c r="AC132" i="15"/>
  <c r="G27" i="15"/>
  <c r="AC27" i="15"/>
  <c r="Z27" i="15"/>
  <c r="Z52" i="15"/>
  <c r="G52" i="15"/>
  <c r="AC52" i="15"/>
  <c r="Q38" i="15"/>
  <c r="T38" i="15"/>
  <c r="W38" i="15"/>
  <c r="R38" i="15"/>
  <c r="O38" i="15"/>
  <c r="V38" i="15"/>
  <c r="N38" i="15"/>
  <c r="X38" i="15"/>
  <c r="P38" i="15"/>
  <c r="AG38" i="15"/>
  <c r="U38" i="15"/>
  <c r="S38" i="15"/>
  <c r="X39" i="15"/>
  <c r="V39" i="15"/>
  <c r="S39" i="15"/>
  <c r="AG39" i="15"/>
  <c r="U39" i="15"/>
  <c r="R39" i="15"/>
  <c r="Q39" i="15"/>
  <c r="T39" i="15"/>
  <c r="P39" i="15"/>
  <c r="W39" i="15"/>
  <c r="O39" i="15"/>
  <c r="N39" i="15"/>
  <c r="AC119" i="15"/>
  <c r="Z119" i="15"/>
  <c r="G119" i="15"/>
  <c r="G67" i="15"/>
  <c r="Z67" i="15"/>
  <c r="AC67" i="15"/>
  <c r="G61" i="15"/>
  <c r="AC61" i="15"/>
  <c r="Z61" i="15"/>
  <c r="AC74" i="15"/>
  <c r="G74" i="15"/>
  <c r="Z74" i="15"/>
  <c r="W124" i="15"/>
  <c r="O124" i="15"/>
  <c r="T124" i="15"/>
  <c r="V124" i="15"/>
  <c r="R124" i="15"/>
  <c r="S124" i="15"/>
  <c r="AG124" i="15"/>
  <c r="N124" i="15"/>
  <c r="Q124" i="15"/>
  <c r="P124" i="15"/>
  <c r="U124" i="15"/>
  <c r="X124" i="15"/>
  <c r="T103" i="15"/>
  <c r="S103" i="15"/>
  <c r="R103" i="15"/>
  <c r="X103" i="15"/>
  <c r="U103" i="15"/>
  <c r="W103" i="15"/>
  <c r="AG103" i="15"/>
  <c r="P103" i="15"/>
  <c r="N103" i="15"/>
  <c r="O103" i="15"/>
  <c r="V103" i="15"/>
  <c r="Q103" i="15"/>
  <c r="Z127" i="15"/>
  <c r="G127" i="15"/>
  <c r="AC127" i="15"/>
  <c r="Z113" i="15"/>
  <c r="G113" i="15"/>
  <c r="AC113" i="15"/>
  <c r="Q112" i="15"/>
  <c r="T112" i="15"/>
  <c r="S112" i="15"/>
  <c r="AG112" i="15"/>
  <c r="P112" i="15"/>
  <c r="V112" i="15"/>
  <c r="R112" i="15"/>
  <c r="N112" i="15"/>
  <c r="X112" i="15"/>
  <c r="O112" i="15"/>
  <c r="W112" i="15"/>
  <c r="U112" i="15"/>
  <c r="AC139" i="15"/>
  <c r="G139" i="15"/>
  <c r="Z139" i="15"/>
  <c r="Z142" i="15"/>
  <c r="G142" i="15"/>
  <c r="AC142" i="15"/>
  <c r="U165" i="15"/>
  <c r="W165" i="15"/>
  <c r="R165" i="15"/>
  <c r="T165" i="15"/>
  <c r="N165" i="15"/>
  <c r="O165" i="15"/>
  <c r="P165" i="15"/>
  <c r="S165" i="15"/>
  <c r="Q165" i="15"/>
  <c r="V165" i="15"/>
  <c r="X165" i="15"/>
  <c r="AG165" i="15"/>
  <c r="W140" i="15"/>
  <c r="N140" i="15"/>
  <c r="S140" i="15"/>
  <c r="X140" i="15"/>
  <c r="Q140" i="15"/>
  <c r="V140" i="15"/>
  <c r="U140" i="15"/>
  <c r="O140" i="15"/>
  <c r="T140" i="15"/>
  <c r="P140" i="15"/>
  <c r="AG140" i="15"/>
  <c r="R140" i="15"/>
  <c r="AC57" i="15"/>
  <c r="G57" i="15"/>
  <c r="Z57" i="15"/>
  <c r="R18" i="15"/>
  <c r="V18" i="15"/>
  <c r="U18" i="15"/>
  <c r="O18" i="15"/>
  <c r="AG18" i="15"/>
  <c r="Q18" i="15"/>
  <c r="T18" i="15"/>
  <c r="X18" i="15"/>
  <c r="P18" i="15"/>
  <c r="S18" i="15"/>
  <c r="N18" i="15"/>
  <c r="W18" i="15"/>
  <c r="AG12" i="15"/>
  <c r="T12" i="15"/>
  <c r="W12" i="15"/>
  <c r="S12" i="15"/>
  <c r="O12" i="15"/>
  <c r="X12" i="15"/>
  <c r="V12" i="15"/>
  <c r="N12" i="15"/>
  <c r="U12" i="15"/>
  <c r="R12" i="15"/>
  <c r="P12" i="15"/>
  <c r="Q12" i="15"/>
  <c r="G96" i="15"/>
  <c r="Z96" i="15"/>
  <c r="AC96" i="15"/>
  <c r="G116" i="15"/>
  <c r="AC116" i="15"/>
  <c r="Z116" i="15"/>
  <c r="Q17" i="15"/>
  <c r="V17" i="15"/>
  <c r="P17" i="15"/>
  <c r="N17" i="15"/>
  <c r="W17" i="15"/>
  <c r="O17" i="15"/>
  <c r="AG17" i="15"/>
  <c r="U17" i="15"/>
  <c r="T17" i="15"/>
  <c r="R17" i="15"/>
  <c r="X17" i="15"/>
  <c r="S17" i="15"/>
  <c r="Q20" i="15"/>
  <c r="S20" i="15"/>
  <c r="O20" i="15"/>
  <c r="V20" i="15"/>
  <c r="U20" i="15"/>
  <c r="P20" i="15"/>
  <c r="W20" i="15"/>
  <c r="X20" i="15"/>
  <c r="AG20" i="15"/>
  <c r="R20" i="15"/>
  <c r="N20" i="15"/>
  <c r="T20" i="15"/>
  <c r="AC134" i="15"/>
  <c r="Z134" i="15"/>
  <c r="G134" i="15"/>
  <c r="N121" i="15"/>
  <c r="R121" i="15"/>
  <c r="P121" i="15"/>
  <c r="V121" i="15"/>
  <c r="S121" i="15"/>
  <c r="Q121" i="15"/>
  <c r="X121" i="15"/>
  <c r="AG121" i="15"/>
  <c r="O121" i="15"/>
  <c r="T121" i="15"/>
  <c r="U121" i="15"/>
  <c r="W121" i="15"/>
  <c r="G30" i="15"/>
  <c r="AC30" i="15"/>
  <c r="Z30" i="15"/>
  <c r="V94" i="15"/>
  <c r="T94" i="15"/>
  <c r="O94" i="15"/>
  <c r="AG94" i="15"/>
  <c r="W94" i="15"/>
  <c r="Q94" i="15"/>
  <c r="N94" i="15"/>
  <c r="P94" i="15"/>
  <c r="U94" i="15"/>
  <c r="X94" i="15"/>
  <c r="R94" i="15"/>
  <c r="S94" i="15"/>
  <c r="U68" i="15"/>
  <c r="V68" i="15"/>
  <c r="P68" i="15"/>
  <c r="X68" i="15"/>
  <c r="N68" i="15"/>
  <c r="O68" i="15"/>
  <c r="Q68" i="15"/>
  <c r="T68" i="15"/>
  <c r="AG68" i="15"/>
  <c r="R68" i="15"/>
  <c r="W68" i="15"/>
  <c r="S68" i="15"/>
  <c r="G169" i="15"/>
  <c r="AC169" i="15"/>
  <c r="Z169" i="15"/>
  <c r="W29" i="15"/>
  <c r="V29" i="15"/>
  <c r="S29" i="15"/>
  <c r="X29" i="15"/>
  <c r="N29" i="15"/>
  <c r="P29" i="15"/>
  <c r="AG29" i="15"/>
  <c r="Q29" i="15"/>
  <c r="O29" i="15"/>
  <c r="U29" i="15"/>
  <c r="T29" i="15"/>
  <c r="R29" i="15"/>
  <c r="U92" i="15"/>
  <c r="AG92" i="15"/>
  <c r="P92" i="15"/>
  <c r="O92" i="15"/>
  <c r="N92" i="15"/>
  <c r="R92" i="15"/>
  <c r="T92" i="15"/>
  <c r="Q92" i="15"/>
  <c r="X92" i="15"/>
  <c r="S92" i="15"/>
  <c r="W92" i="15"/>
  <c r="V92" i="15"/>
  <c r="G18" i="15"/>
  <c r="Z18" i="15"/>
  <c r="AC18" i="15"/>
  <c r="Q46" i="15"/>
  <c r="S46" i="15"/>
  <c r="W46" i="15"/>
  <c r="P46" i="15"/>
  <c r="X46" i="15"/>
  <c r="N46" i="15"/>
  <c r="T46" i="15"/>
  <c r="O46" i="15"/>
  <c r="U46" i="15"/>
  <c r="AG46" i="15"/>
  <c r="V46" i="15"/>
  <c r="R46" i="15"/>
  <c r="Z170" i="15"/>
  <c r="G170" i="15"/>
  <c r="AC170" i="15"/>
  <c r="G13" i="15"/>
  <c r="Z13" i="15"/>
  <c r="AC13" i="15"/>
  <c r="W26" i="15"/>
  <c r="P26" i="15"/>
  <c r="U26" i="15"/>
  <c r="Q26" i="15"/>
  <c r="R26" i="15"/>
  <c r="N26" i="15"/>
  <c r="AG26" i="15"/>
  <c r="S26" i="15"/>
  <c r="T26" i="15"/>
  <c r="V26" i="15"/>
  <c r="X26" i="15"/>
  <c r="O26" i="15"/>
  <c r="Q19" i="15"/>
  <c r="T19" i="15"/>
  <c r="V19" i="15"/>
  <c r="X19" i="15"/>
  <c r="P19" i="15"/>
  <c r="O19" i="15"/>
  <c r="N19" i="15"/>
  <c r="R19" i="15"/>
  <c r="AG19" i="15"/>
  <c r="W19" i="15"/>
  <c r="U19" i="15"/>
  <c r="S19" i="15"/>
  <c r="Z37" i="15"/>
  <c r="G37" i="15"/>
  <c r="AC37" i="15"/>
  <c r="Z44" i="15"/>
  <c r="G44" i="15"/>
  <c r="AC44" i="15"/>
  <c r="G72" i="15"/>
  <c r="Z72" i="15"/>
  <c r="AC72" i="15"/>
  <c r="G105" i="15"/>
  <c r="AC105" i="15"/>
  <c r="Z105" i="15"/>
  <c r="G123" i="15"/>
  <c r="Z123" i="15"/>
  <c r="AC123" i="15"/>
  <c r="AC11" i="15"/>
  <c r="G11" i="15"/>
  <c r="Z11" i="15"/>
  <c r="Z25" i="15"/>
  <c r="AC25" i="15"/>
  <c r="G25" i="15"/>
  <c r="AC91" i="15"/>
  <c r="G91" i="15"/>
  <c r="Z91" i="15"/>
  <c r="N75" i="15"/>
  <c r="X75" i="15"/>
  <c r="P75" i="15"/>
  <c r="U75" i="15"/>
  <c r="T75" i="15"/>
  <c r="O75" i="15"/>
  <c r="V75" i="15"/>
  <c r="R75" i="15"/>
  <c r="AG75" i="15"/>
  <c r="Q75" i="15"/>
  <c r="W75" i="15"/>
  <c r="S75" i="15"/>
  <c r="Z92" i="15"/>
  <c r="AC92" i="15"/>
  <c r="G92" i="15"/>
  <c r="Q120" i="15"/>
  <c r="R120" i="15"/>
  <c r="S120" i="15"/>
  <c r="W120" i="15"/>
  <c r="O120" i="15"/>
  <c r="V120" i="15"/>
  <c r="AG120" i="15"/>
  <c r="T120" i="15"/>
  <c r="U120" i="15"/>
  <c r="P120" i="15"/>
  <c r="N120" i="15"/>
  <c r="X120" i="15"/>
  <c r="S154" i="15"/>
  <c r="AG154" i="15"/>
  <c r="T154" i="15"/>
  <c r="O154" i="15"/>
  <c r="U154" i="15"/>
  <c r="N154" i="15"/>
  <c r="Q154" i="15"/>
  <c r="X154" i="15"/>
  <c r="V154" i="15"/>
  <c r="R154" i="15"/>
  <c r="P154" i="15"/>
  <c r="W154" i="15"/>
  <c r="Z75" i="15"/>
  <c r="AC75" i="15"/>
  <c r="G75" i="15"/>
  <c r="G122" i="15"/>
  <c r="AC122" i="15"/>
  <c r="Z122" i="15"/>
  <c r="W138" i="15"/>
  <c r="T138" i="15"/>
  <c r="V138" i="15"/>
  <c r="O138" i="15"/>
  <c r="R138" i="15"/>
  <c r="U138" i="15"/>
  <c r="P138" i="15"/>
  <c r="AG138" i="15"/>
  <c r="S138" i="15"/>
  <c r="Q138" i="15"/>
  <c r="N138" i="15"/>
  <c r="X138" i="15"/>
  <c r="AC97" i="15"/>
  <c r="G97" i="15"/>
  <c r="Z97" i="15"/>
  <c r="U141" i="15"/>
  <c r="W141" i="15"/>
  <c r="V141" i="15"/>
  <c r="R141" i="15"/>
  <c r="P141" i="15"/>
  <c r="T141" i="15"/>
  <c r="O141" i="15"/>
  <c r="S141" i="15"/>
  <c r="Q141" i="15"/>
  <c r="AG141" i="15"/>
  <c r="X141" i="15"/>
  <c r="N141" i="15"/>
  <c r="T151" i="15"/>
  <c r="U151" i="15"/>
  <c r="R151" i="15"/>
  <c r="X151" i="15"/>
  <c r="AG151" i="15"/>
  <c r="N151" i="15"/>
  <c r="Q151" i="15"/>
  <c r="P151" i="15"/>
  <c r="V151" i="15"/>
  <c r="O151" i="15"/>
  <c r="S151" i="15"/>
  <c r="W151" i="15"/>
  <c r="O114" i="15"/>
  <c r="AG114" i="15"/>
  <c r="X114" i="15"/>
  <c r="Q114" i="15"/>
  <c r="S114" i="15"/>
  <c r="N114" i="15"/>
  <c r="T114" i="15"/>
  <c r="P114" i="15"/>
  <c r="W114" i="15"/>
  <c r="R114" i="15"/>
  <c r="V114" i="15"/>
  <c r="U114" i="15"/>
  <c r="W148" i="15"/>
  <c r="Q148" i="15"/>
  <c r="AG148" i="15"/>
  <c r="U148" i="15"/>
  <c r="N148" i="15"/>
  <c r="P148" i="15"/>
  <c r="O148" i="15"/>
  <c r="X148" i="15"/>
  <c r="V148" i="15"/>
  <c r="T148" i="15"/>
  <c r="S148" i="15"/>
  <c r="R148" i="15"/>
  <c r="Z129" i="15"/>
  <c r="AC129" i="15"/>
  <c r="G129" i="15"/>
  <c r="S157" i="15"/>
  <c r="W157" i="15"/>
  <c r="X157" i="15"/>
  <c r="N157" i="15"/>
  <c r="V157" i="15"/>
  <c r="T157" i="15"/>
  <c r="U157" i="15"/>
  <c r="AG157" i="15"/>
  <c r="P157" i="15"/>
  <c r="O157" i="15"/>
  <c r="Q157" i="15"/>
  <c r="R157" i="15"/>
  <c r="G147" i="15"/>
  <c r="AC147" i="15"/>
  <c r="Z147" i="15"/>
  <c r="AC153" i="15"/>
  <c r="G153" i="15"/>
  <c r="Z153" i="15"/>
  <c r="V80" i="15"/>
  <c r="AG80" i="15"/>
  <c r="Q80" i="15"/>
  <c r="X80" i="15"/>
  <c r="T80" i="15"/>
  <c r="P80" i="15"/>
  <c r="W80" i="15"/>
  <c r="S80" i="15"/>
  <c r="N80" i="15"/>
  <c r="U80" i="15"/>
  <c r="O80" i="15"/>
  <c r="R80" i="15"/>
  <c r="Z65" i="15"/>
  <c r="G65" i="15"/>
  <c r="AC65" i="15"/>
  <c r="V159" i="15"/>
  <c r="S159" i="15"/>
  <c r="N159" i="15"/>
  <c r="P159" i="15"/>
  <c r="O159" i="15"/>
  <c r="W159" i="15"/>
  <c r="T159" i="15"/>
  <c r="X159" i="15"/>
  <c r="AG159" i="15"/>
  <c r="Q159" i="15"/>
  <c r="R159" i="15"/>
  <c r="U159" i="15"/>
  <c r="AC31" i="15"/>
  <c r="Z31" i="15"/>
  <c r="G31" i="15"/>
  <c r="Z88" i="15"/>
  <c r="G88" i="15"/>
  <c r="AC88" i="15"/>
  <c r="Z100" i="15"/>
  <c r="G100" i="15"/>
  <c r="AC100" i="15"/>
  <c r="G79" i="15"/>
  <c r="AC79" i="15"/>
  <c r="Z79" i="15"/>
  <c r="Z124" i="15"/>
  <c r="G124" i="15"/>
  <c r="AC124" i="15"/>
  <c r="U152" i="15"/>
  <c r="X152" i="15"/>
  <c r="P152" i="15"/>
  <c r="W152" i="15"/>
  <c r="Q152" i="15"/>
  <c r="O152" i="15"/>
  <c r="T152" i="15"/>
  <c r="N152" i="15"/>
  <c r="R152" i="15"/>
  <c r="S152" i="15"/>
  <c r="V152" i="15"/>
  <c r="AG152" i="15"/>
  <c r="X49" i="15"/>
  <c r="O49" i="15"/>
  <c r="U49" i="15"/>
  <c r="V49" i="15"/>
  <c r="T49" i="15"/>
  <c r="W49" i="15"/>
  <c r="N49" i="15"/>
  <c r="S49" i="15"/>
  <c r="P49" i="15"/>
  <c r="AG49" i="15"/>
  <c r="Q49" i="15"/>
  <c r="R49" i="15"/>
  <c r="AC80" i="15"/>
  <c r="Z80" i="15"/>
  <c r="G80" i="15"/>
  <c r="V42" i="15"/>
  <c r="Q42" i="15"/>
  <c r="T42" i="15"/>
  <c r="P42" i="15"/>
  <c r="O42" i="15"/>
  <c r="X42" i="15"/>
  <c r="N42" i="15"/>
  <c r="U42" i="15"/>
  <c r="W42" i="15"/>
  <c r="AG42" i="15"/>
  <c r="S42" i="15"/>
  <c r="R42" i="15"/>
  <c r="T62" i="15"/>
  <c r="P62" i="15"/>
  <c r="W62" i="15"/>
  <c r="R62" i="15"/>
  <c r="AG62" i="15"/>
  <c r="O62" i="15"/>
  <c r="X62" i="15"/>
  <c r="N62" i="15"/>
  <c r="U62" i="15"/>
  <c r="V62" i="15"/>
  <c r="Q62" i="15"/>
  <c r="S62" i="15"/>
  <c r="AC125" i="15"/>
  <c r="G125" i="15"/>
  <c r="Z125" i="15"/>
  <c r="O30" i="15"/>
  <c r="V30" i="15"/>
  <c r="U30" i="15"/>
  <c r="P30" i="15"/>
  <c r="T30" i="15"/>
  <c r="S30" i="15"/>
  <c r="AG30" i="15"/>
  <c r="W30" i="15"/>
  <c r="N30" i="15"/>
  <c r="R30" i="15"/>
  <c r="Q30" i="15"/>
  <c r="X30" i="15"/>
  <c r="U95" i="15"/>
  <c r="P95" i="15"/>
  <c r="W95" i="15"/>
  <c r="R95" i="15"/>
  <c r="T95" i="15"/>
  <c r="Q95" i="15"/>
  <c r="N95" i="15"/>
  <c r="S95" i="15"/>
  <c r="X95" i="15"/>
  <c r="AG95" i="15"/>
  <c r="V95" i="15"/>
  <c r="O95" i="15"/>
  <c r="G131" i="15"/>
  <c r="AC131" i="15"/>
  <c r="Z131" i="15"/>
  <c r="Z159" i="15"/>
  <c r="G159" i="15"/>
  <c r="AC159" i="15"/>
  <c r="G138" i="15"/>
  <c r="Z138" i="15"/>
  <c r="AC138" i="15"/>
  <c r="S15" i="15"/>
  <c r="V15" i="15"/>
  <c r="N15" i="15"/>
  <c r="P15" i="15"/>
  <c r="T15" i="15"/>
  <c r="AG15" i="15"/>
  <c r="R15" i="15"/>
  <c r="W15" i="15"/>
  <c r="X15" i="15"/>
  <c r="U15" i="15"/>
  <c r="O15" i="15"/>
  <c r="Q15" i="15"/>
  <c r="AC20" i="15"/>
  <c r="Z20" i="15"/>
  <c r="G20" i="15"/>
  <c r="Q51" i="15"/>
  <c r="R51" i="15"/>
  <c r="O51" i="15"/>
  <c r="S51" i="15"/>
  <c r="P51" i="15"/>
  <c r="AG51" i="15"/>
  <c r="X51" i="15"/>
  <c r="U51" i="15"/>
  <c r="V51" i="15"/>
  <c r="T51" i="15"/>
  <c r="W51" i="15"/>
  <c r="N51" i="15"/>
  <c r="Z39" i="15"/>
  <c r="AC39" i="15"/>
  <c r="G39" i="15"/>
  <c r="Q25" i="15"/>
  <c r="T25" i="15"/>
  <c r="R25" i="15"/>
  <c r="U25" i="15"/>
  <c r="P25" i="15"/>
  <c r="O25" i="15"/>
  <c r="W25" i="15"/>
  <c r="N25" i="15"/>
  <c r="X25" i="15"/>
  <c r="S25" i="15"/>
  <c r="V25" i="15"/>
  <c r="AG25" i="15"/>
  <c r="U63" i="15"/>
  <c r="R63" i="15"/>
  <c r="W63" i="15"/>
  <c r="X63" i="15"/>
  <c r="S63" i="15"/>
  <c r="O63" i="15"/>
  <c r="AG63" i="15"/>
  <c r="P63" i="15"/>
  <c r="T63" i="15"/>
  <c r="V63" i="15"/>
  <c r="Q63" i="15"/>
  <c r="N63" i="15"/>
  <c r="W91" i="15"/>
  <c r="P91" i="15"/>
  <c r="X91" i="15"/>
  <c r="N91" i="15"/>
  <c r="U91" i="15"/>
  <c r="R91" i="15"/>
  <c r="O91" i="15"/>
  <c r="S91" i="15"/>
  <c r="Q91" i="15"/>
  <c r="AG91" i="15"/>
  <c r="V91" i="15"/>
  <c r="T91" i="15"/>
  <c r="U59" i="15"/>
  <c r="V59" i="15"/>
  <c r="S59" i="15"/>
  <c r="P59" i="15"/>
  <c r="R59" i="15"/>
  <c r="W59" i="15"/>
  <c r="X59" i="15"/>
  <c r="AG59" i="15"/>
  <c r="O59" i="15"/>
  <c r="Q59" i="15"/>
  <c r="T59" i="15"/>
  <c r="N59" i="15"/>
  <c r="Z68" i="15"/>
  <c r="AC68" i="15"/>
  <c r="G68" i="15"/>
  <c r="U139" i="15"/>
  <c r="R139" i="15"/>
  <c r="T139" i="15"/>
  <c r="S139" i="15"/>
  <c r="V139" i="15"/>
  <c r="N139" i="15"/>
  <c r="W139" i="15"/>
  <c r="P139" i="15"/>
  <c r="X139" i="15"/>
  <c r="Q139" i="15"/>
  <c r="O139" i="15"/>
  <c r="AG139" i="15"/>
  <c r="AC143" i="15"/>
  <c r="Z143" i="15"/>
  <c r="G143" i="15"/>
  <c r="Q150" i="15"/>
  <c r="T150" i="15"/>
  <c r="P150" i="15"/>
  <c r="S150" i="15"/>
  <c r="R150" i="15"/>
  <c r="U150" i="15"/>
  <c r="N150" i="15"/>
  <c r="X150" i="15"/>
  <c r="W150" i="15"/>
  <c r="O150" i="15"/>
  <c r="V150" i="15"/>
  <c r="AG150" i="15"/>
  <c r="Z121" i="15"/>
  <c r="AC121" i="15"/>
  <c r="G121" i="15"/>
  <c r="AC156" i="15"/>
  <c r="G156" i="15"/>
  <c r="Z156" i="15"/>
  <c r="Z99" i="15"/>
  <c r="G99" i="15"/>
  <c r="AC99" i="15"/>
  <c r="AC160" i="15"/>
  <c r="G160" i="15"/>
  <c r="Z160" i="15"/>
  <c r="G141" i="15"/>
  <c r="Z141" i="15"/>
  <c r="AC141" i="15"/>
  <c r="Z9" i="15"/>
  <c r="AC9" i="15"/>
  <c r="G9" i="15"/>
  <c r="U43" i="15"/>
  <c r="P43" i="15"/>
  <c r="Q43" i="15"/>
  <c r="S43" i="15"/>
  <c r="T43" i="15"/>
  <c r="W43" i="15"/>
  <c r="N43" i="15"/>
  <c r="X43" i="15"/>
  <c r="O43" i="15"/>
  <c r="AG43" i="15"/>
  <c r="V43" i="15"/>
  <c r="R43" i="15"/>
  <c r="Z69" i="15"/>
  <c r="AC69" i="15"/>
  <c r="G69" i="15"/>
  <c r="G22" i="15"/>
  <c r="Z22" i="15"/>
  <c r="AC22" i="15"/>
  <c r="S45" i="15"/>
  <c r="U45" i="15"/>
  <c r="O45" i="15"/>
  <c r="P45" i="15"/>
  <c r="R45" i="15"/>
  <c r="Q45" i="15"/>
  <c r="T45" i="15"/>
  <c r="AG45" i="15"/>
  <c r="X45" i="15"/>
  <c r="V45" i="15"/>
  <c r="W45" i="15"/>
  <c r="N45" i="15"/>
  <c r="V23" i="15"/>
  <c r="P23" i="15"/>
  <c r="W23" i="15"/>
  <c r="O23" i="15"/>
  <c r="R23" i="15"/>
  <c r="AG23" i="15"/>
  <c r="S23" i="15"/>
  <c r="U23" i="15"/>
  <c r="T23" i="15"/>
  <c r="Q23" i="15"/>
  <c r="X23" i="15"/>
  <c r="N23" i="15"/>
  <c r="Z45" i="15"/>
  <c r="AC45" i="15"/>
  <c r="G45" i="15"/>
  <c r="W129" i="15"/>
  <c r="S129" i="15"/>
  <c r="R129" i="15"/>
  <c r="N129" i="15"/>
  <c r="AG129" i="15"/>
  <c r="Q129" i="15"/>
  <c r="P129" i="15"/>
  <c r="X129" i="15"/>
  <c r="T129" i="15"/>
  <c r="O129" i="15"/>
  <c r="U129" i="15"/>
  <c r="V129" i="15"/>
  <c r="V33" i="15"/>
  <c r="W33" i="15"/>
  <c r="P33" i="15"/>
  <c r="N33" i="15"/>
  <c r="O33" i="15"/>
  <c r="X33" i="15"/>
  <c r="AG33" i="15"/>
  <c r="T33" i="15"/>
  <c r="S33" i="15"/>
  <c r="Q33" i="15"/>
  <c r="U33" i="15"/>
  <c r="R33" i="15"/>
  <c r="AC56" i="15"/>
  <c r="Z56" i="15"/>
  <c r="G56" i="15"/>
  <c r="Z103" i="15"/>
  <c r="AC103" i="15"/>
  <c r="G103" i="15"/>
  <c r="Q10" i="15"/>
  <c r="X10" i="15"/>
  <c r="AG10" i="15"/>
  <c r="R10" i="15"/>
  <c r="V10" i="15"/>
  <c r="P10" i="15"/>
  <c r="W10" i="15"/>
  <c r="O10" i="15"/>
  <c r="N10" i="15"/>
  <c r="S10" i="15"/>
  <c r="U10" i="15"/>
  <c r="T10" i="15"/>
  <c r="G161" i="15"/>
  <c r="AC161" i="15"/>
  <c r="Z161" i="15"/>
  <c r="Z41" i="15"/>
  <c r="G41" i="15"/>
  <c r="AC41" i="15"/>
  <c r="X93" i="15"/>
  <c r="N93" i="15"/>
  <c r="S93" i="15"/>
  <c r="V93" i="15"/>
  <c r="R93" i="15"/>
  <c r="W93" i="15"/>
  <c r="U93" i="15"/>
  <c r="P93" i="15"/>
  <c r="T93" i="15"/>
  <c r="Q93" i="15"/>
  <c r="AG93" i="15"/>
  <c r="O93" i="15"/>
  <c r="U106" i="15"/>
  <c r="P106" i="15"/>
  <c r="T106" i="15"/>
  <c r="X106" i="15"/>
  <c r="R106" i="15"/>
  <c r="S106" i="15"/>
  <c r="W106" i="15"/>
  <c r="Q106" i="15"/>
  <c r="AG106" i="15"/>
  <c r="O106" i="15"/>
  <c r="V106" i="15"/>
  <c r="N106" i="15"/>
  <c r="G46" i="15"/>
  <c r="Z46" i="15"/>
  <c r="AC46" i="15"/>
  <c r="V58" i="15"/>
  <c r="S58" i="15"/>
  <c r="W58" i="15"/>
  <c r="X58" i="15"/>
  <c r="N58" i="15"/>
  <c r="T58" i="15"/>
  <c r="R58" i="15"/>
  <c r="O58" i="15"/>
  <c r="Q58" i="15"/>
  <c r="P58" i="15"/>
  <c r="AG58" i="15"/>
  <c r="U58" i="15"/>
  <c r="X65" i="15"/>
  <c r="T65" i="15"/>
  <c r="P65" i="15"/>
  <c r="U65" i="15"/>
  <c r="V65" i="15"/>
  <c r="O65" i="15"/>
  <c r="AG65" i="15"/>
  <c r="W65" i="15"/>
  <c r="Q65" i="15"/>
  <c r="R65" i="15"/>
  <c r="N65" i="15"/>
  <c r="S65" i="15"/>
  <c r="Z110" i="15"/>
  <c r="G110" i="15"/>
  <c r="AC110" i="15"/>
  <c r="Z32" i="15"/>
  <c r="G32" i="15"/>
  <c r="AC32" i="15"/>
  <c r="AC51" i="15"/>
  <c r="G51" i="15"/>
  <c r="Z51" i="15"/>
  <c r="Q73" i="15"/>
  <c r="T73" i="15"/>
  <c r="U73" i="15"/>
  <c r="X73" i="15"/>
  <c r="S73" i="15"/>
  <c r="AG73" i="15"/>
  <c r="W73" i="15"/>
  <c r="P73" i="15"/>
  <c r="R73" i="15"/>
  <c r="O73" i="15"/>
  <c r="V73" i="15"/>
  <c r="N73" i="15"/>
  <c r="Z40" i="15"/>
  <c r="AC40" i="15"/>
  <c r="G40" i="15"/>
  <c r="W107" i="15"/>
  <c r="V107" i="15"/>
  <c r="T107" i="15"/>
  <c r="N107" i="15"/>
  <c r="U107" i="15"/>
  <c r="X107" i="15"/>
  <c r="AG107" i="15"/>
  <c r="O107" i="15"/>
  <c r="Q107" i="15"/>
  <c r="P107" i="15"/>
  <c r="R107" i="15"/>
  <c r="S107" i="15"/>
  <c r="G70" i="15"/>
  <c r="Z70" i="15"/>
  <c r="AC70" i="15"/>
  <c r="AC93" i="15"/>
  <c r="Z93" i="15"/>
  <c r="G93" i="15"/>
  <c r="Z108" i="15"/>
  <c r="AC108" i="15"/>
  <c r="G108" i="15"/>
  <c r="V156" i="15"/>
  <c r="Q156" i="15"/>
  <c r="T156" i="15"/>
  <c r="U156" i="15"/>
  <c r="AG156" i="15"/>
  <c r="N156" i="15"/>
  <c r="W156" i="15"/>
  <c r="P156" i="15"/>
  <c r="O156" i="15"/>
  <c r="X156" i="15"/>
  <c r="S156" i="15"/>
  <c r="R156" i="15"/>
  <c r="Z114" i="15"/>
  <c r="AC114" i="15"/>
  <c r="G114" i="15"/>
  <c r="U90" i="15"/>
  <c r="X90" i="15"/>
  <c r="R90" i="15"/>
  <c r="P90" i="15"/>
  <c r="AG90" i="15"/>
  <c r="S90" i="15"/>
  <c r="Q90" i="15"/>
  <c r="W90" i="15"/>
  <c r="V90" i="15"/>
  <c r="T90" i="15"/>
  <c r="O90" i="15"/>
  <c r="N90" i="15"/>
  <c r="AG142" i="15"/>
  <c r="U142" i="15"/>
  <c r="V142" i="15"/>
  <c r="X142" i="15"/>
  <c r="T142" i="15"/>
  <c r="O142" i="15"/>
  <c r="S142" i="15"/>
  <c r="R142" i="15"/>
  <c r="W142" i="15"/>
  <c r="N142" i="15"/>
  <c r="P142" i="15"/>
  <c r="Q142" i="15"/>
  <c r="AG123" i="15"/>
  <c r="O123" i="15"/>
  <c r="T123" i="15"/>
  <c r="P123" i="15"/>
  <c r="R123" i="15"/>
  <c r="N123" i="15"/>
  <c r="U123" i="15"/>
  <c r="V123" i="15"/>
  <c r="X123" i="15"/>
  <c r="W123" i="15"/>
  <c r="Q123" i="15"/>
  <c r="S123" i="15"/>
  <c r="Z107" i="15"/>
  <c r="G107" i="15"/>
  <c r="AC107" i="15"/>
  <c r="Q162" i="15"/>
  <c r="X162" i="15"/>
  <c r="R162" i="15"/>
  <c r="V162" i="15"/>
  <c r="N162" i="15"/>
  <c r="U162" i="15"/>
  <c r="W162" i="15"/>
  <c r="AG162" i="15"/>
  <c r="T162" i="15"/>
  <c r="S162" i="15"/>
  <c r="P162" i="15"/>
  <c r="O162" i="15"/>
  <c r="W117" i="15"/>
  <c r="N117" i="15"/>
  <c r="Q117" i="15"/>
  <c r="X117" i="15"/>
  <c r="R117" i="15"/>
  <c r="O117" i="15"/>
  <c r="U117" i="15"/>
  <c r="AG117" i="15"/>
  <c r="T117" i="15"/>
  <c r="P117" i="15"/>
  <c r="V117" i="15"/>
  <c r="S117" i="15"/>
  <c r="X137" i="15"/>
  <c r="O137" i="15"/>
  <c r="P137" i="15"/>
  <c r="T137" i="15"/>
  <c r="R137" i="15"/>
  <c r="Q137" i="15"/>
  <c r="U137" i="15"/>
  <c r="W137" i="15"/>
  <c r="V137" i="15"/>
  <c r="N137" i="15"/>
  <c r="AG137" i="15"/>
  <c r="S137" i="15"/>
  <c r="O135" i="15"/>
  <c r="S135" i="15"/>
  <c r="N135" i="15"/>
  <c r="X135" i="15"/>
  <c r="Q135" i="15"/>
  <c r="T135" i="15"/>
  <c r="V135" i="15"/>
  <c r="U135" i="15"/>
  <c r="R135" i="15"/>
  <c r="P135" i="15"/>
  <c r="W135" i="15"/>
  <c r="AG135" i="15"/>
  <c r="S171" i="15"/>
  <c r="Q171" i="15"/>
  <c r="P171" i="15"/>
  <c r="AG171" i="15"/>
  <c r="R171" i="15"/>
  <c r="N171" i="15"/>
  <c r="V171" i="15"/>
  <c r="O171" i="15"/>
  <c r="U171" i="15"/>
  <c r="X171" i="15"/>
  <c r="W171" i="15"/>
  <c r="T171" i="15"/>
  <c r="S149" i="15"/>
  <c r="O149" i="15"/>
  <c r="U149" i="15"/>
  <c r="T149" i="15"/>
  <c r="X149" i="15"/>
  <c r="Q149" i="15"/>
  <c r="N149" i="15"/>
  <c r="W149" i="15"/>
  <c r="V149" i="15"/>
  <c r="R149" i="15"/>
  <c r="P149" i="15"/>
  <c r="AG149" i="15"/>
  <c r="G33" i="15"/>
  <c r="AC33" i="15"/>
  <c r="Z33" i="15"/>
  <c r="O37" i="15"/>
  <c r="P37" i="15"/>
  <c r="Q37" i="15"/>
  <c r="T37" i="15"/>
  <c r="W37" i="15"/>
  <c r="R37" i="15"/>
  <c r="X37" i="15"/>
  <c r="N37" i="15"/>
  <c r="V37" i="15"/>
  <c r="U37" i="15"/>
  <c r="S37" i="15"/>
  <c r="AG37" i="15"/>
  <c r="S88" i="15"/>
  <c r="V88" i="15"/>
  <c r="U88" i="15"/>
  <c r="AG88" i="15"/>
  <c r="W88" i="15"/>
  <c r="N88" i="15"/>
  <c r="R88" i="15"/>
  <c r="X88" i="15"/>
  <c r="T88" i="15"/>
  <c r="P88" i="15"/>
  <c r="O88" i="15"/>
  <c r="Q88" i="15"/>
  <c r="Z29" i="15"/>
  <c r="G29" i="15"/>
  <c r="AC29" i="15"/>
  <c r="S167" i="15"/>
  <c r="T167" i="15"/>
  <c r="W167" i="15"/>
  <c r="V167" i="15"/>
  <c r="Q167" i="15"/>
  <c r="X167" i="15"/>
  <c r="O167" i="15"/>
  <c r="R167" i="15"/>
  <c r="AG167" i="15"/>
  <c r="U167" i="15"/>
  <c r="P167" i="15"/>
  <c r="N167" i="15"/>
  <c r="T101" i="15"/>
  <c r="N101" i="15"/>
  <c r="S101" i="15"/>
  <c r="Q101" i="15"/>
  <c r="X101" i="15"/>
  <c r="AG101" i="15"/>
  <c r="W101" i="15"/>
  <c r="V101" i="15"/>
  <c r="R101" i="15"/>
  <c r="P101" i="15"/>
  <c r="O101" i="15"/>
  <c r="U101" i="15"/>
  <c r="G111" i="15"/>
  <c r="Z111" i="15"/>
  <c r="AC111" i="15"/>
  <c r="Q127" i="15"/>
  <c r="T127" i="15"/>
  <c r="P127" i="15"/>
  <c r="R127" i="15"/>
  <c r="W127" i="15"/>
  <c r="S127" i="15"/>
  <c r="V127" i="15"/>
  <c r="N127" i="15"/>
  <c r="U127" i="15"/>
  <c r="O127" i="15"/>
  <c r="X127" i="15"/>
  <c r="AG127" i="15"/>
  <c r="R155" i="15"/>
  <c r="V155" i="15"/>
  <c r="S155" i="15"/>
  <c r="U155" i="15"/>
  <c r="Q155" i="15"/>
  <c r="W155" i="15"/>
  <c r="N155" i="15"/>
  <c r="X155" i="15"/>
  <c r="AG155" i="15"/>
  <c r="T155" i="15"/>
  <c r="P155" i="15"/>
  <c r="O155" i="15"/>
  <c r="Z117" i="15"/>
  <c r="AC117" i="15"/>
  <c r="G117" i="15"/>
  <c r="AC47" i="15"/>
  <c r="G47" i="15"/>
  <c r="Z47" i="15"/>
  <c r="Q11" i="15"/>
  <c r="V11" i="15"/>
  <c r="P11" i="15"/>
  <c r="W11" i="15"/>
  <c r="O11" i="15"/>
  <c r="S11" i="15"/>
  <c r="R11" i="15"/>
  <c r="X11" i="15"/>
  <c r="N11" i="15"/>
  <c r="AG11" i="15"/>
  <c r="T11" i="15"/>
  <c r="U11" i="15"/>
  <c r="R16" i="15"/>
  <c r="AG16" i="15"/>
  <c r="N16" i="15"/>
  <c r="T16" i="15"/>
  <c r="W16" i="15"/>
  <c r="Q16" i="15"/>
  <c r="P16" i="15"/>
  <c r="V16" i="15"/>
  <c r="O16" i="15"/>
  <c r="S16" i="15"/>
  <c r="X16" i="15"/>
  <c r="U16" i="15"/>
  <c r="AG24" i="15"/>
  <c r="R24" i="15"/>
  <c r="T24" i="15"/>
  <c r="S24" i="15"/>
  <c r="Q24" i="15"/>
  <c r="N24" i="15"/>
  <c r="V24" i="15"/>
  <c r="U24" i="15"/>
  <c r="W24" i="15"/>
  <c r="O24" i="15"/>
  <c r="X24" i="15"/>
  <c r="P24" i="15"/>
  <c r="X35" i="15"/>
  <c r="Q35" i="15"/>
  <c r="T35" i="15"/>
  <c r="W35" i="15"/>
  <c r="U35" i="15"/>
  <c r="O35" i="15"/>
  <c r="R35" i="15"/>
  <c r="AG35" i="15"/>
  <c r="N35" i="15"/>
  <c r="P35" i="15"/>
  <c r="S35" i="15"/>
  <c r="V35" i="15"/>
  <c r="Z162" i="15"/>
  <c r="AC162" i="15"/>
  <c r="G162" i="15"/>
  <c r="S32" i="15"/>
  <c r="U32" i="15"/>
  <c r="W32" i="15"/>
  <c r="V32" i="15"/>
  <c r="N32" i="15"/>
  <c r="AG32" i="15"/>
  <c r="Q32" i="15"/>
  <c r="X32" i="15"/>
  <c r="R32" i="15"/>
  <c r="P32" i="15"/>
  <c r="T32" i="15"/>
  <c r="O32" i="15"/>
  <c r="S44" i="15"/>
  <c r="X44" i="15"/>
  <c r="Q44" i="15"/>
  <c r="U44" i="15"/>
  <c r="AG44" i="15"/>
  <c r="W44" i="15"/>
  <c r="R44" i="15"/>
  <c r="O44" i="15"/>
  <c r="T44" i="15"/>
  <c r="V44" i="15"/>
  <c r="N44" i="15"/>
  <c r="P44" i="15"/>
  <c r="U76" i="15"/>
  <c r="R76" i="15"/>
  <c r="Q76" i="15"/>
  <c r="N76" i="15"/>
  <c r="T76" i="15"/>
  <c r="AG76" i="15"/>
  <c r="S76" i="15"/>
  <c r="V76" i="15"/>
  <c r="O76" i="15"/>
  <c r="W76" i="15"/>
  <c r="P76" i="15"/>
  <c r="X76" i="15"/>
  <c r="Q170" i="15"/>
  <c r="O170" i="15"/>
  <c r="V170" i="15"/>
  <c r="P170" i="15"/>
  <c r="U170" i="15"/>
  <c r="W170" i="15"/>
  <c r="N170" i="15"/>
  <c r="S170" i="15"/>
  <c r="R170" i="15"/>
  <c r="T170" i="15"/>
  <c r="X170" i="15"/>
  <c r="AG170" i="15"/>
  <c r="S108" i="15"/>
  <c r="P108" i="15"/>
  <c r="R108" i="15"/>
  <c r="V108" i="15"/>
  <c r="X108" i="15"/>
  <c r="N108" i="15"/>
  <c r="O108" i="15"/>
  <c r="AG108" i="15"/>
  <c r="U108" i="15"/>
  <c r="T108" i="15"/>
  <c r="Q108" i="15"/>
  <c r="W108" i="15"/>
  <c r="X14" i="15"/>
  <c r="O14" i="15"/>
  <c r="R14" i="15"/>
  <c r="W14" i="15"/>
  <c r="V14" i="15"/>
  <c r="N14" i="15"/>
  <c r="AG14" i="15"/>
  <c r="Q14" i="15"/>
  <c r="T14" i="15"/>
  <c r="S14" i="15"/>
  <c r="P14" i="15"/>
  <c r="U14" i="15"/>
  <c r="G21" i="15"/>
  <c r="Z21" i="15"/>
  <c r="AC21" i="15"/>
  <c r="X27" i="15"/>
  <c r="T27" i="15"/>
  <c r="N27" i="15"/>
  <c r="S27" i="15"/>
  <c r="P27" i="15"/>
  <c r="V27" i="15"/>
  <c r="W27" i="15"/>
  <c r="U27" i="15"/>
  <c r="O27" i="15"/>
  <c r="R27" i="15"/>
  <c r="AG27" i="15"/>
  <c r="Q27" i="15"/>
  <c r="Z58" i="15"/>
  <c r="G58" i="15"/>
  <c r="AC58" i="15"/>
  <c r="X74" i="15"/>
  <c r="Q74" i="15"/>
  <c r="T74" i="15"/>
  <c r="U74" i="15"/>
  <c r="O74" i="15"/>
  <c r="R74" i="15"/>
  <c r="N74" i="15"/>
  <c r="P74" i="15"/>
  <c r="W74" i="15"/>
  <c r="S74" i="15"/>
  <c r="AG74" i="15"/>
  <c r="V74" i="15"/>
  <c r="Z128" i="15"/>
  <c r="G128" i="15"/>
  <c r="AC128" i="15"/>
  <c r="AC109" i="15"/>
  <c r="Z109" i="15"/>
  <c r="G109" i="15"/>
  <c r="AC77" i="15"/>
  <c r="G77" i="15"/>
  <c r="Z77" i="15"/>
  <c r="G140" i="15"/>
  <c r="AC140" i="15"/>
  <c r="Z140" i="15"/>
  <c r="Z64" i="15"/>
  <c r="AC64" i="15"/>
  <c r="G64" i="15"/>
  <c r="R85" i="15"/>
  <c r="T85" i="15"/>
  <c r="N85" i="15"/>
  <c r="V85" i="15"/>
  <c r="S85" i="15"/>
  <c r="O85" i="15"/>
  <c r="AG85" i="15"/>
  <c r="Q85" i="15"/>
  <c r="U85" i="15"/>
  <c r="W85" i="15"/>
  <c r="X85" i="15"/>
  <c r="P85" i="15"/>
  <c r="P132" i="15"/>
  <c r="R132" i="15"/>
  <c r="X132" i="15"/>
  <c r="S132" i="15"/>
  <c r="W132" i="15"/>
  <c r="Q132" i="15"/>
  <c r="O132" i="15"/>
  <c r="U132" i="15"/>
  <c r="N132" i="15"/>
  <c r="AG132" i="15"/>
  <c r="T132" i="15"/>
  <c r="V132" i="15"/>
  <c r="AC150" i="15"/>
  <c r="G150" i="15"/>
  <c r="Z150" i="15"/>
  <c r="G171" i="15"/>
  <c r="Z171" i="15"/>
  <c r="AC171" i="15"/>
  <c r="Q9" i="15"/>
  <c r="S9" i="15"/>
  <c r="X9" i="15"/>
  <c r="AG9" i="15"/>
  <c r="T9" i="15"/>
  <c r="V9" i="15"/>
  <c r="P9" i="15"/>
  <c r="U9" i="15"/>
  <c r="O9" i="15"/>
  <c r="R9" i="15"/>
  <c r="N9" i="15"/>
  <c r="W9" i="15"/>
  <c r="Q83" i="15"/>
  <c r="P83" i="15"/>
  <c r="T83" i="15"/>
  <c r="AG83" i="15"/>
  <c r="N83" i="15"/>
  <c r="O83" i="15"/>
  <c r="W83" i="15"/>
  <c r="S83" i="15"/>
  <c r="U83" i="15"/>
  <c r="V83" i="15"/>
  <c r="R83" i="15"/>
  <c r="X83" i="15"/>
  <c r="W50" i="15"/>
  <c r="V50" i="15"/>
  <c r="O50" i="15"/>
  <c r="Q50" i="15"/>
  <c r="N50" i="15"/>
  <c r="AG50" i="15"/>
  <c r="T50" i="15"/>
  <c r="P50" i="15"/>
  <c r="S50" i="15"/>
  <c r="X50" i="15"/>
  <c r="R50" i="15"/>
  <c r="U50" i="15"/>
  <c r="Z43" i="15"/>
  <c r="G43" i="15"/>
  <c r="AC43" i="15"/>
  <c r="W69" i="15"/>
  <c r="R69" i="15"/>
  <c r="N69" i="15"/>
  <c r="O69" i="15"/>
  <c r="Q69" i="15"/>
  <c r="U69" i="15"/>
  <c r="AG69" i="15"/>
  <c r="T69" i="15"/>
  <c r="S69" i="15"/>
  <c r="V69" i="15"/>
  <c r="P69" i="15"/>
  <c r="X69" i="15"/>
  <c r="Z34" i="15"/>
  <c r="AC34" i="15"/>
  <c r="G34" i="15"/>
  <c r="P119" i="15"/>
  <c r="X119" i="15"/>
  <c r="O119" i="15"/>
  <c r="N119" i="15"/>
  <c r="V119" i="15"/>
  <c r="T119" i="15"/>
  <c r="W119" i="15"/>
  <c r="Q119" i="15"/>
  <c r="U119" i="15"/>
  <c r="S119" i="15"/>
  <c r="R119" i="15"/>
  <c r="AG119" i="15"/>
  <c r="V134" i="15"/>
  <c r="R134" i="15"/>
  <c r="W134" i="15"/>
  <c r="S134" i="15"/>
  <c r="P134" i="15"/>
  <c r="X134" i="15"/>
  <c r="Q134" i="15"/>
  <c r="AG134" i="15"/>
  <c r="O134" i="15"/>
  <c r="N134" i="15"/>
  <c r="U134" i="15"/>
  <c r="T134" i="15"/>
  <c r="U28" i="15"/>
  <c r="AG28" i="15"/>
  <c r="R28" i="15"/>
  <c r="V28" i="15"/>
  <c r="X28" i="15"/>
  <c r="W28" i="15"/>
  <c r="N28" i="15"/>
  <c r="O28" i="15"/>
  <c r="T28" i="15"/>
  <c r="S28" i="15"/>
  <c r="Q28" i="15"/>
  <c r="P28" i="15"/>
  <c r="T144" i="15"/>
  <c r="W144" i="15"/>
  <c r="R144" i="15"/>
  <c r="P144" i="15"/>
  <c r="O144" i="15"/>
  <c r="V144" i="15"/>
  <c r="AG144" i="15"/>
  <c r="U144" i="15"/>
  <c r="S144" i="15"/>
  <c r="Q144" i="15"/>
  <c r="X144" i="15"/>
  <c r="N144" i="15"/>
  <c r="W67" i="15"/>
  <c r="T67" i="15"/>
  <c r="Q67" i="15"/>
  <c r="P67" i="15"/>
  <c r="S67" i="15"/>
  <c r="O67" i="15"/>
  <c r="R67" i="15"/>
  <c r="AG67" i="15"/>
  <c r="N67" i="15"/>
  <c r="V67" i="15"/>
  <c r="U67" i="15"/>
  <c r="X67" i="15"/>
  <c r="G63" i="15"/>
  <c r="Z63" i="15"/>
  <c r="AC63" i="15"/>
  <c r="Q86" i="15"/>
  <c r="O86" i="15"/>
  <c r="S86" i="15"/>
  <c r="R86" i="15"/>
  <c r="V86" i="15"/>
  <c r="P86" i="15"/>
  <c r="AG86" i="15"/>
  <c r="U86" i="15"/>
  <c r="T86" i="15"/>
  <c r="X86" i="15"/>
  <c r="N86" i="15"/>
  <c r="W86" i="15"/>
  <c r="S126" i="15"/>
  <c r="O126" i="15"/>
  <c r="X126" i="15"/>
  <c r="R126" i="15"/>
  <c r="T126" i="15"/>
  <c r="AG126" i="15"/>
  <c r="P126" i="15"/>
  <c r="V126" i="15"/>
  <c r="W126" i="15"/>
  <c r="U126" i="15"/>
  <c r="Q126" i="15"/>
  <c r="N126" i="15"/>
  <c r="AC86" i="15"/>
  <c r="Z86" i="15"/>
  <c r="G86" i="15"/>
  <c r="R128" i="15"/>
  <c r="N128" i="15"/>
  <c r="U128" i="15"/>
  <c r="V128" i="15"/>
  <c r="W128" i="15"/>
  <c r="O128" i="15"/>
  <c r="AG128" i="15"/>
  <c r="P128" i="15"/>
  <c r="Q128" i="15"/>
  <c r="T128" i="15"/>
  <c r="S128" i="15"/>
  <c r="X128" i="15"/>
  <c r="AC89" i="15"/>
  <c r="G89" i="15"/>
  <c r="Z89" i="15"/>
  <c r="AC95" i="15"/>
  <c r="G95" i="15"/>
  <c r="Z95" i="15"/>
  <c r="AC85" i="15"/>
  <c r="G85" i="15"/>
  <c r="Z85" i="15"/>
  <c r="T98" i="15"/>
  <c r="Q98" i="15"/>
  <c r="W98" i="15"/>
  <c r="AG98" i="15"/>
  <c r="V98" i="15"/>
  <c r="X98" i="15"/>
  <c r="O98" i="15"/>
  <c r="P98" i="15"/>
  <c r="S98" i="15"/>
  <c r="N98" i="15"/>
  <c r="U98" i="15"/>
  <c r="R98" i="15"/>
  <c r="X133" i="15"/>
  <c r="N133" i="15"/>
  <c r="R133" i="15"/>
  <c r="V133" i="15"/>
  <c r="P133" i="15"/>
  <c r="U133" i="15"/>
  <c r="T133" i="15"/>
  <c r="Q133" i="15"/>
  <c r="S133" i="15"/>
  <c r="O133" i="15"/>
  <c r="AG133" i="15"/>
  <c r="W133" i="15"/>
  <c r="V169" i="15"/>
  <c r="T169" i="15"/>
  <c r="N169" i="15"/>
  <c r="S169" i="15"/>
  <c r="Q169" i="15"/>
  <c r="U169" i="15"/>
  <c r="P169" i="15"/>
  <c r="O169" i="15"/>
  <c r="W169" i="15"/>
  <c r="R169" i="15"/>
  <c r="X169" i="15"/>
  <c r="AG169" i="15"/>
  <c r="W111" i="15"/>
  <c r="N111" i="15"/>
  <c r="S111" i="15"/>
  <c r="O111" i="15"/>
  <c r="V111" i="15"/>
  <c r="U111" i="15"/>
  <c r="Q111" i="15"/>
  <c r="T111" i="15"/>
  <c r="X111" i="15"/>
  <c r="R111" i="15"/>
  <c r="P111" i="15"/>
  <c r="AG111" i="15"/>
  <c r="Z154" i="15"/>
  <c r="G154" i="15"/>
  <c r="AC154" i="15"/>
  <c r="G152" i="15"/>
  <c r="Z152" i="15"/>
  <c r="AC152" i="15"/>
  <c r="S96" i="15"/>
  <c r="W96" i="15"/>
  <c r="R96" i="15"/>
  <c r="AG96" i="15"/>
  <c r="Q96" i="15"/>
  <c r="P96" i="15"/>
  <c r="N96" i="15"/>
  <c r="U96" i="15"/>
  <c r="O96" i="15"/>
  <c r="V96" i="15"/>
  <c r="T96" i="15"/>
  <c r="X96" i="15"/>
  <c r="X102" i="15"/>
  <c r="S102" i="15"/>
  <c r="T102" i="15"/>
  <c r="R102" i="15"/>
  <c r="U102" i="15"/>
  <c r="O102" i="15"/>
  <c r="W102" i="15"/>
  <c r="V102" i="15"/>
  <c r="Q102" i="15"/>
  <c r="AG102" i="15"/>
  <c r="P102" i="15"/>
  <c r="N102" i="15"/>
  <c r="G135" i="15"/>
  <c r="Z135" i="15"/>
  <c r="AC135" i="15"/>
  <c r="G167" i="15"/>
  <c r="Z167" i="15"/>
  <c r="AC167" i="15"/>
  <c r="T145" i="15"/>
  <c r="U145" i="15"/>
  <c r="Q145" i="15"/>
  <c r="R145" i="15"/>
  <c r="P145" i="15"/>
  <c r="S145" i="15"/>
  <c r="W145" i="15"/>
  <c r="X145" i="15"/>
  <c r="AG145" i="15"/>
  <c r="V145" i="15"/>
  <c r="N145" i="15"/>
  <c r="O145" i="15"/>
  <c r="Q160" i="15"/>
  <c r="O160" i="15"/>
  <c r="X160" i="15"/>
  <c r="S160" i="15"/>
  <c r="N160" i="15"/>
  <c r="V160" i="15"/>
  <c r="P160" i="15"/>
  <c r="T160" i="15"/>
  <c r="R160" i="15"/>
  <c r="U160" i="15"/>
  <c r="AG160" i="15"/>
  <c r="W160" i="15"/>
  <c r="U122" i="15"/>
  <c r="Q122" i="15"/>
  <c r="P122" i="15"/>
  <c r="AG122" i="15"/>
  <c r="R122" i="15"/>
  <c r="S122" i="15"/>
  <c r="T122" i="15"/>
  <c r="X122" i="15"/>
  <c r="O122" i="15"/>
  <c r="W122" i="15"/>
  <c r="V122" i="15"/>
  <c r="N122" i="15"/>
  <c r="AC137" i="15"/>
  <c r="G137" i="15"/>
  <c r="Z137" i="15"/>
  <c r="Q143" i="15"/>
  <c r="S143" i="15"/>
  <c r="N143" i="15"/>
  <c r="V143" i="15"/>
  <c r="T143" i="15"/>
  <c r="AG143" i="15"/>
  <c r="O143" i="15"/>
  <c r="X143" i="15"/>
  <c r="P143" i="15"/>
  <c r="U143" i="15"/>
  <c r="W143" i="15"/>
  <c r="R143" i="15"/>
  <c r="AC158" i="15"/>
  <c r="Z158" i="15"/>
  <c r="G158" i="15"/>
  <c r="V163" i="15"/>
  <c r="O163" i="15"/>
  <c r="AG163" i="15"/>
  <c r="U163" i="15"/>
  <c r="N163" i="15"/>
  <c r="R163" i="15"/>
  <c r="W163" i="15"/>
  <c r="X163" i="15"/>
  <c r="T163" i="15"/>
  <c r="S163" i="15"/>
  <c r="P163" i="15"/>
  <c r="Q163" i="15"/>
  <c r="AC115" i="15"/>
  <c r="Z115" i="15"/>
  <c r="G115" i="15"/>
  <c r="Q105" i="15"/>
  <c r="S105" i="15"/>
  <c r="R105" i="15"/>
  <c r="V105" i="15"/>
  <c r="O105" i="15"/>
  <c r="N105" i="15"/>
  <c r="U105" i="15"/>
  <c r="X105" i="15"/>
  <c r="W105" i="15"/>
  <c r="P105" i="15"/>
  <c r="AG105" i="15"/>
  <c r="T105" i="15"/>
  <c r="G73" i="15"/>
  <c r="AC73" i="15"/>
  <c r="Z73" i="15"/>
  <c r="N104" i="15"/>
  <c r="O104" i="15"/>
  <c r="S104" i="15"/>
  <c r="R104" i="15"/>
  <c r="V104" i="15"/>
  <c r="AG104" i="15"/>
  <c r="U104" i="15"/>
  <c r="W104" i="15"/>
  <c r="X104" i="15"/>
  <c r="Q104" i="15"/>
  <c r="T104" i="15"/>
  <c r="P104" i="15"/>
  <c r="Z120" i="15"/>
  <c r="AC120" i="15"/>
  <c r="G120" i="15"/>
  <c r="V131" i="15"/>
  <c r="U131" i="15"/>
  <c r="O131" i="15"/>
  <c r="W131" i="15"/>
  <c r="S131" i="15"/>
  <c r="N131" i="15"/>
  <c r="Q131" i="15"/>
  <c r="X131" i="15"/>
  <c r="P131" i="15"/>
  <c r="AG131" i="15"/>
  <c r="T131" i="15"/>
  <c r="R131" i="15"/>
  <c r="U146" i="15"/>
  <c r="V146" i="15"/>
  <c r="R146" i="15"/>
  <c r="S146" i="15"/>
  <c r="AG146" i="15"/>
  <c r="X146" i="15"/>
  <c r="Q146" i="15"/>
  <c r="O146" i="15"/>
  <c r="P146" i="15"/>
  <c r="W146" i="15"/>
  <c r="N146" i="15"/>
  <c r="T146" i="15"/>
  <c r="AC104" i="15"/>
  <c r="Z104" i="15"/>
  <c r="G104" i="15"/>
  <c r="Z10" i="15"/>
  <c r="AC10" i="15"/>
  <c r="G10" i="15"/>
  <c r="G23" i="15"/>
  <c r="Z23" i="15"/>
  <c r="AC23" i="15"/>
  <c r="P47" i="15"/>
  <c r="U47" i="15"/>
  <c r="Q47" i="15"/>
  <c r="R47" i="15"/>
  <c r="V47" i="15"/>
  <c r="AG47" i="15"/>
  <c r="N47" i="15"/>
  <c r="O47" i="15"/>
  <c r="S47" i="15"/>
  <c r="T47" i="15"/>
  <c r="W47" i="15"/>
  <c r="X47" i="15"/>
  <c r="Z83" i="15"/>
  <c r="AC83" i="15"/>
  <c r="G83" i="15"/>
  <c r="Z15" i="15"/>
  <c r="AC15" i="15"/>
  <c r="G15" i="15"/>
  <c r="G49" i="15"/>
  <c r="Z49" i="15"/>
  <c r="AC49" i="15"/>
  <c r="U21" i="15"/>
  <c r="T21" i="15"/>
  <c r="O21" i="15"/>
  <c r="P21" i="15"/>
  <c r="Q21" i="15"/>
  <c r="W21" i="15"/>
  <c r="AG21" i="15"/>
  <c r="V21" i="15"/>
  <c r="N21" i="15"/>
  <c r="X21" i="15"/>
  <c r="S21" i="15"/>
  <c r="R21" i="15"/>
  <c r="Z59" i="15"/>
  <c r="AC59" i="15"/>
  <c r="G59" i="15"/>
  <c r="AC101" i="15"/>
  <c r="G101" i="15"/>
  <c r="Z101" i="15"/>
  <c r="U13" i="15"/>
  <c r="P13" i="15"/>
  <c r="W13" i="15"/>
  <c r="O13" i="15"/>
  <c r="V13" i="15"/>
  <c r="X13" i="15"/>
  <c r="S13" i="15"/>
  <c r="N13" i="15"/>
  <c r="T13" i="15"/>
  <c r="Q13" i="15"/>
  <c r="AG13" i="15"/>
  <c r="R13" i="15"/>
  <c r="Z28" i="15"/>
  <c r="AC28" i="15"/>
  <c r="G28" i="15"/>
  <c r="Z35" i="15"/>
  <c r="G35" i="15"/>
  <c r="AC35" i="15"/>
  <c r="S66" i="15"/>
  <c r="O66" i="15"/>
  <c r="N66" i="15"/>
  <c r="U66" i="15"/>
  <c r="P66" i="15"/>
  <c r="T66" i="15"/>
  <c r="X66" i="15"/>
  <c r="AG66" i="15"/>
  <c r="W66" i="15"/>
  <c r="R66" i="15"/>
  <c r="V66" i="15"/>
  <c r="Q66" i="15"/>
  <c r="G168" i="15"/>
  <c r="Z168" i="15"/>
  <c r="AC168" i="15"/>
  <c r="Z84" i="15"/>
  <c r="G84" i="15"/>
  <c r="AC84" i="15"/>
  <c r="X115" i="15"/>
  <c r="O115" i="15"/>
  <c r="P115" i="15"/>
  <c r="R115" i="15"/>
  <c r="V115" i="15"/>
  <c r="U115" i="15"/>
  <c r="N115" i="15"/>
  <c r="AG115" i="15"/>
  <c r="Q115" i="15"/>
  <c r="W115" i="15"/>
  <c r="S115" i="15"/>
  <c r="T115" i="15"/>
  <c r="G62" i="15"/>
  <c r="Z62" i="15"/>
  <c r="AC62" i="15"/>
  <c r="Q161" i="15"/>
  <c r="W161" i="15"/>
  <c r="T161" i="15"/>
  <c r="V161" i="15"/>
  <c r="O161" i="15"/>
  <c r="X161" i="15"/>
  <c r="N161" i="15"/>
  <c r="S161" i="15"/>
  <c r="P161" i="15"/>
  <c r="AG161" i="15"/>
  <c r="U161" i="15"/>
  <c r="R161" i="15"/>
  <c r="AC94" i="15"/>
  <c r="G94" i="15"/>
  <c r="Z94" i="15"/>
  <c r="X153" i="15"/>
  <c r="U153" i="15"/>
  <c r="R153" i="15"/>
  <c r="O153" i="15"/>
  <c r="Q153" i="15"/>
  <c r="W153" i="15"/>
  <c r="T153" i="15"/>
  <c r="V153" i="15"/>
  <c r="P153" i="15"/>
  <c r="N153" i="15"/>
  <c r="AG153" i="15"/>
  <c r="S153" i="15"/>
  <c r="U109" i="15"/>
  <c r="T109" i="15"/>
  <c r="Q109" i="15"/>
  <c r="X109" i="15"/>
  <c r="AG109" i="15"/>
  <c r="P109" i="15"/>
  <c r="O109" i="15"/>
  <c r="S109" i="15"/>
  <c r="R109" i="15"/>
  <c r="W109" i="15"/>
  <c r="N109" i="15"/>
  <c r="V109" i="15"/>
  <c r="Z165" i="15"/>
  <c r="G165" i="15"/>
  <c r="AC165" i="15"/>
  <c r="AC151" i="15"/>
  <c r="G151" i="15"/>
  <c r="Z151" i="15"/>
  <c r="Z19" i="15"/>
  <c r="G19" i="15"/>
  <c r="AC19" i="15"/>
  <c r="Z24" i="15"/>
  <c r="G24" i="15"/>
  <c r="AC24" i="15"/>
  <c r="X82" i="15"/>
  <c r="N82" i="15"/>
  <c r="O82" i="15"/>
  <c r="Q82" i="15"/>
  <c r="P82" i="15"/>
  <c r="AG82" i="15"/>
  <c r="W82" i="15"/>
  <c r="S82" i="15"/>
  <c r="V82" i="15"/>
  <c r="T82" i="15"/>
  <c r="R82" i="15"/>
  <c r="U82" i="15"/>
  <c r="Q48" i="15"/>
  <c r="AG48" i="15"/>
  <c r="X48" i="15"/>
  <c r="U48" i="15"/>
  <c r="W48" i="15"/>
  <c r="O48" i="15"/>
  <c r="V48" i="15"/>
  <c r="S48" i="15"/>
  <c r="N48" i="15"/>
  <c r="P48" i="15"/>
  <c r="R48" i="15"/>
  <c r="T48" i="15"/>
  <c r="U110" i="15"/>
  <c r="V110" i="15"/>
  <c r="R110" i="15"/>
  <c r="Q110" i="15"/>
  <c r="AG110" i="15"/>
  <c r="X110" i="15"/>
  <c r="S110" i="15"/>
  <c r="O110" i="15"/>
  <c r="W110" i="15"/>
  <c r="N110" i="15"/>
  <c r="T110" i="15"/>
  <c r="P110" i="15"/>
  <c r="G16" i="15"/>
  <c r="AC16" i="15"/>
  <c r="Z16" i="15"/>
  <c r="G53" i="15"/>
  <c r="AC53" i="15"/>
  <c r="Z53" i="15"/>
  <c r="V97" i="15"/>
  <c r="U97" i="15"/>
  <c r="W97" i="15"/>
  <c r="R97" i="15"/>
  <c r="O97" i="15"/>
  <c r="T97" i="15"/>
  <c r="P97" i="15"/>
  <c r="S97" i="15"/>
  <c r="X97" i="15"/>
  <c r="N97" i="15"/>
  <c r="Q97" i="15"/>
  <c r="AG97" i="15"/>
  <c r="AC144" i="15"/>
  <c r="Z144" i="15"/>
  <c r="G144" i="15"/>
  <c r="G14" i="15"/>
  <c r="AC14" i="15"/>
  <c r="Z14" i="15"/>
  <c r="Q34" i="15"/>
  <c r="S34" i="15"/>
  <c r="X34" i="15"/>
  <c r="R34" i="15"/>
  <c r="P34" i="15"/>
  <c r="O34" i="15"/>
  <c r="W34" i="15"/>
  <c r="U34" i="15"/>
  <c r="V34" i="15"/>
  <c r="T34" i="15"/>
  <c r="N34" i="15"/>
  <c r="AG34" i="15"/>
  <c r="U56" i="15"/>
  <c r="W56" i="15"/>
  <c r="R56" i="15"/>
  <c r="Q56" i="15"/>
  <c r="X56" i="15"/>
  <c r="N56" i="15"/>
  <c r="S56" i="15"/>
  <c r="P56" i="15"/>
  <c r="V56" i="15"/>
  <c r="O56" i="15"/>
  <c r="AG56" i="15"/>
  <c r="T56" i="15"/>
  <c r="T71" i="15"/>
  <c r="O71" i="15"/>
  <c r="W71" i="15"/>
  <c r="U71" i="15"/>
  <c r="X71" i="15"/>
  <c r="P71" i="15"/>
  <c r="V71" i="15"/>
  <c r="AG71" i="15"/>
  <c r="Q71" i="15"/>
  <c r="N71" i="15"/>
  <c r="S71" i="15"/>
  <c r="R71" i="15"/>
  <c r="V64" i="15"/>
  <c r="O64" i="15"/>
  <c r="U64" i="15"/>
  <c r="T64" i="15"/>
  <c r="N64" i="15"/>
  <c r="R64" i="15"/>
  <c r="AG64" i="15"/>
  <c r="S64" i="15"/>
  <c r="Q64" i="15"/>
  <c r="W64" i="15"/>
  <c r="X64" i="15"/>
  <c r="P64" i="15"/>
  <c r="G71" i="15"/>
  <c r="AC71" i="15"/>
  <c r="Z71" i="15"/>
  <c r="T78" i="15"/>
  <c r="V78" i="15"/>
  <c r="W78" i="15"/>
  <c r="R78" i="15"/>
  <c r="P78" i="15"/>
  <c r="X78" i="15"/>
  <c r="AG78" i="15"/>
  <c r="S78" i="15"/>
  <c r="U78" i="15"/>
  <c r="Q78" i="15"/>
  <c r="N78" i="15"/>
  <c r="O78" i="15"/>
  <c r="G12" i="15"/>
  <c r="AC12" i="15"/>
  <c r="Z12" i="15"/>
  <c r="X54" i="15"/>
  <c r="V54" i="15"/>
  <c r="T54" i="15"/>
  <c r="S54" i="15"/>
  <c r="P54" i="15"/>
  <c r="AG54" i="15"/>
  <c r="W54" i="15"/>
  <c r="R54" i="15"/>
  <c r="N54" i="15"/>
  <c r="O54" i="15"/>
  <c r="Q54" i="15"/>
  <c r="U54" i="15"/>
  <c r="AG60" i="15"/>
  <c r="S60" i="15"/>
  <c r="R60" i="15"/>
  <c r="X60" i="15"/>
  <c r="Q60" i="15"/>
  <c r="P60" i="15"/>
  <c r="O60" i="15"/>
  <c r="W60" i="15"/>
  <c r="N60" i="15"/>
  <c r="U60" i="15"/>
  <c r="T60" i="15"/>
  <c r="V60" i="15"/>
  <c r="S81" i="15"/>
  <c r="N81" i="15"/>
  <c r="V81" i="15"/>
  <c r="Q81" i="15"/>
  <c r="U81" i="15"/>
  <c r="P81" i="15"/>
  <c r="R81" i="15"/>
  <c r="T81" i="15"/>
  <c r="W81" i="15"/>
  <c r="O81" i="15"/>
  <c r="X81" i="15"/>
  <c r="AG81" i="15"/>
  <c r="G166" i="15"/>
  <c r="AC166" i="15"/>
  <c r="Z166" i="15"/>
  <c r="G38" i="15"/>
  <c r="Z38" i="15"/>
  <c r="AC38" i="15"/>
  <c r="T53" i="15"/>
  <c r="V53" i="15"/>
  <c r="R53" i="15"/>
  <c r="X53" i="15"/>
  <c r="P53" i="15"/>
  <c r="AG53" i="15"/>
  <c r="O53" i="15"/>
  <c r="N53" i="15"/>
  <c r="Q53" i="15"/>
  <c r="U53" i="15"/>
  <c r="S53" i="15"/>
  <c r="W53" i="15"/>
  <c r="Z42" i="15"/>
  <c r="G42" i="15"/>
  <c r="AC42" i="15"/>
  <c r="Q158" i="15"/>
  <c r="X158" i="15"/>
  <c r="U158" i="15"/>
  <c r="O158" i="15"/>
  <c r="V158" i="15"/>
  <c r="N158" i="15"/>
  <c r="W158" i="15"/>
  <c r="S158" i="15"/>
  <c r="P158" i="15"/>
  <c r="AG158" i="15"/>
  <c r="T158" i="15"/>
  <c r="R158" i="15"/>
  <c r="T89" i="15"/>
  <c r="Q89" i="15"/>
  <c r="X89" i="15"/>
  <c r="P89" i="15"/>
  <c r="V89" i="15"/>
  <c r="R89" i="15"/>
  <c r="S89" i="15"/>
  <c r="U89" i="15"/>
  <c r="N89" i="15"/>
  <c r="AG89" i="15"/>
  <c r="W89" i="15"/>
  <c r="O89" i="15"/>
  <c r="O116" i="15"/>
  <c r="V116" i="15"/>
  <c r="P116" i="15"/>
  <c r="U116" i="15"/>
  <c r="S116" i="15"/>
  <c r="R116" i="15"/>
  <c r="Q116" i="15"/>
  <c r="AG116" i="15"/>
  <c r="T116" i="15"/>
  <c r="X116" i="15"/>
  <c r="N116" i="15"/>
  <c r="W116" i="15"/>
  <c r="P55" i="15"/>
  <c r="AG55" i="15"/>
  <c r="S55" i="15"/>
  <c r="T55" i="15"/>
  <c r="W55" i="15"/>
  <c r="O55" i="15"/>
  <c r="X55" i="15"/>
  <c r="R55" i="15"/>
  <c r="V55" i="15"/>
  <c r="N55" i="15"/>
  <c r="U55" i="15"/>
  <c r="Q55" i="15"/>
  <c r="V70" i="15"/>
  <c r="AG70" i="15"/>
  <c r="Q70" i="15"/>
  <c r="P70" i="15"/>
  <c r="N70" i="15"/>
  <c r="X70" i="15"/>
  <c r="U70" i="15"/>
  <c r="W70" i="15"/>
  <c r="T70" i="15"/>
  <c r="R70" i="15"/>
  <c r="O70" i="15"/>
  <c r="S70" i="15"/>
  <c r="AC112" i="15"/>
  <c r="G112" i="15"/>
  <c r="Z112" i="15"/>
  <c r="G48" i="15"/>
  <c r="AC48" i="15"/>
  <c r="Z48" i="15"/>
  <c r="R8" i="15"/>
  <c r="V8" i="15"/>
  <c r="T8" i="15"/>
  <c r="AG8" i="15"/>
  <c r="U8" i="15"/>
  <c r="S8" i="15"/>
  <c r="X8" i="15"/>
  <c r="Q8" i="15"/>
  <c r="O8" i="15"/>
  <c r="W8" i="15"/>
  <c r="P8" i="15"/>
  <c r="N8" i="15"/>
  <c r="U40" i="15"/>
  <c r="Q40" i="15"/>
  <c r="S40" i="15"/>
  <c r="AG40" i="15"/>
  <c r="R40" i="15"/>
  <c r="O40" i="15"/>
  <c r="P40" i="15"/>
  <c r="W40" i="15"/>
  <c r="T40" i="15"/>
  <c r="X40" i="15"/>
  <c r="N40" i="15"/>
  <c r="V40" i="15"/>
  <c r="Z76" i="15"/>
  <c r="G76" i="15"/>
  <c r="AC76" i="15"/>
  <c r="Z133" i="15"/>
  <c r="AC133" i="15"/>
  <c r="G133" i="15"/>
  <c r="G148" i="15"/>
  <c r="AC148" i="15"/>
  <c r="Z148" i="15"/>
  <c r="AC8" i="15"/>
  <c r="G8" i="15"/>
  <c r="Z8" i="15"/>
  <c r="Q22" i="15"/>
  <c r="S22" i="15"/>
  <c r="W22" i="15"/>
  <c r="P22" i="15"/>
  <c r="X22" i="15"/>
  <c r="N22" i="15"/>
  <c r="V22" i="15"/>
  <c r="AG22" i="15"/>
  <c r="T22" i="15"/>
  <c r="R22" i="15"/>
  <c r="U22" i="15"/>
  <c r="O22" i="15"/>
  <c r="X166" i="15"/>
  <c r="O166" i="15"/>
  <c r="W166" i="15"/>
  <c r="N166" i="15"/>
  <c r="T166" i="15"/>
  <c r="Q166" i="15"/>
  <c r="P166" i="15"/>
  <c r="V166" i="15"/>
  <c r="S166" i="15"/>
  <c r="R166" i="15"/>
  <c r="AG166" i="15"/>
  <c r="U166" i="15"/>
  <c r="S79" i="15"/>
  <c r="R79" i="15"/>
  <c r="X79" i="15"/>
  <c r="T79" i="15"/>
  <c r="W79" i="15"/>
  <c r="U79" i="15"/>
  <c r="P79" i="15"/>
  <c r="N79" i="15"/>
  <c r="O79" i="15"/>
  <c r="V79" i="15"/>
  <c r="Q79" i="15"/>
  <c r="AG79" i="15"/>
  <c r="V87" i="15"/>
  <c r="P87" i="15"/>
  <c r="O87" i="15"/>
  <c r="AG87" i="15"/>
  <c r="X87" i="15"/>
  <c r="W87" i="15"/>
  <c r="R87" i="15"/>
  <c r="S87" i="15"/>
  <c r="N87" i="15"/>
  <c r="U87" i="15"/>
  <c r="Q87" i="15"/>
  <c r="T87" i="15"/>
  <c r="Z98" i="15"/>
  <c r="AC98" i="15"/>
  <c r="G98" i="15"/>
  <c r="T72" i="15"/>
  <c r="AG72" i="15"/>
  <c r="P72" i="15"/>
  <c r="S72" i="15"/>
  <c r="X72" i="15"/>
  <c r="R72" i="15"/>
  <c r="Q72" i="15"/>
  <c r="O72" i="15"/>
  <c r="U72" i="15"/>
  <c r="V72" i="15"/>
  <c r="W72" i="15"/>
  <c r="N72" i="15"/>
  <c r="G78" i="15"/>
  <c r="AC78" i="15"/>
  <c r="Z78" i="15"/>
  <c r="AC87" i="15"/>
  <c r="G87" i="15"/>
  <c r="Z87" i="15"/>
  <c r="G130" i="15"/>
  <c r="Z130" i="15"/>
  <c r="AC130" i="15"/>
  <c r="T99" i="15"/>
  <c r="R99" i="15"/>
  <c r="V99" i="15"/>
  <c r="N99" i="15"/>
  <c r="Q99" i="15"/>
  <c r="W99" i="15"/>
  <c r="S99" i="15"/>
  <c r="AG99" i="15"/>
  <c r="X99" i="15"/>
  <c r="U99" i="15"/>
  <c r="P99" i="15"/>
  <c r="O99" i="15"/>
  <c r="S136" i="15"/>
  <c r="P136" i="15"/>
  <c r="T136" i="15"/>
  <c r="Q136" i="15"/>
  <c r="N136" i="15"/>
  <c r="X136" i="15"/>
  <c r="V136" i="15"/>
  <c r="U136" i="15"/>
  <c r="O136" i="15"/>
  <c r="AG136" i="15"/>
  <c r="W136" i="15"/>
  <c r="R136" i="15"/>
  <c r="AC106" i="15"/>
  <c r="G106" i="15"/>
  <c r="Z106" i="15"/>
  <c r="Z155" i="15"/>
  <c r="G155" i="15"/>
  <c r="AC155" i="15"/>
  <c r="AC118" i="15"/>
  <c r="G118" i="15"/>
  <c r="Z118" i="15"/>
  <c r="Z126" i="15"/>
  <c r="G126" i="15"/>
  <c r="AC126" i="15"/>
  <c r="Z136" i="15"/>
  <c r="AC136" i="15"/>
  <c r="G136" i="15"/>
  <c r="U130" i="15"/>
  <c r="X130" i="15"/>
  <c r="T130" i="15"/>
  <c r="O130" i="15"/>
  <c r="N130" i="15"/>
  <c r="AG130" i="15"/>
  <c r="V130" i="15"/>
  <c r="P130" i="15"/>
  <c r="R130" i="15"/>
  <c r="W130" i="15"/>
  <c r="S130" i="15"/>
  <c r="Q130" i="15"/>
  <c r="AC157" i="15"/>
  <c r="Z157" i="15"/>
  <c r="G157" i="15"/>
  <c r="E181" i="15"/>
  <c r="E178" i="15"/>
  <c r="E184" i="15"/>
  <c r="E186" i="15"/>
  <c r="E185" i="15"/>
  <c r="E183" i="15"/>
  <c r="E182" i="15"/>
  <c r="E179" i="15"/>
  <c r="E177" i="15"/>
  <c r="E180" i="15"/>
  <c r="AG2" i="15"/>
  <c r="Q2" i="15"/>
  <c r="Z2" i="15"/>
  <c r="AC2" i="15"/>
  <c r="AC6" i="15"/>
  <c r="Z6" i="15"/>
  <c r="V6" i="15"/>
  <c r="N6" i="15"/>
  <c r="S6" i="15"/>
  <c r="T6" i="15"/>
  <c r="O6" i="15"/>
  <c r="W6" i="15"/>
  <c r="X6" i="15"/>
  <c r="Q6" i="15"/>
  <c r="R6" i="15"/>
  <c r="U6" i="15"/>
  <c r="P6" i="15"/>
  <c r="N2" i="15"/>
  <c r="S2" i="15"/>
  <c r="X2" i="15"/>
  <c r="U2" i="15"/>
  <c r="P2" i="15"/>
  <c r="R2" i="15"/>
  <c r="W2" i="15"/>
  <c r="V2" i="15"/>
  <c r="O2" i="15"/>
  <c r="T2" i="15"/>
  <c r="Z3" i="15"/>
  <c r="AC3" i="15"/>
  <c r="Q4" i="15"/>
  <c r="U4" i="15"/>
  <c r="N4" i="15"/>
  <c r="V4" i="15"/>
  <c r="S4" i="15"/>
  <c r="T4" i="15"/>
  <c r="O4" i="15"/>
  <c r="R4" i="15"/>
  <c r="W4" i="15"/>
  <c r="X4" i="15"/>
  <c r="P4" i="15"/>
  <c r="Z4" i="15"/>
  <c r="AC4" i="15"/>
  <c r="T3" i="15"/>
  <c r="O3" i="15"/>
  <c r="R3" i="15"/>
  <c r="P3" i="15"/>
  <c r="W3" i="15"/>
  <c r="Q3" i="15"/>
  <c r="U3" i="15"/>
  <c r="N3" i="15"/>
  <c r="V3" i="15"/>
  <c r="X3" i="15"/>
  <c r="S3" i="15"/>
  <c r="Z5" i="15"/>
  <c r="AC5" i="15"/>
  <c r="X7" i="15"/>
  <c r="P7" i="15"/>
  <c r="W7" i="15"/>
  <c r="O7" i="15"/>
  <c r="T7" i="15"/>
  <c r="V7" i="15"/>
  <c r="N7" i="15"/>
  <c r="Q7" i="15"/>
  <c r="S7" i="15"/>
  <c r="R7" i="15"/>
  <c r="U7" i="15"/>
  <c r="AC7" i="15"/>
  <c r="Z7" i="15"/>
  <c r="W5" i="15"/>
  <c r="U5" i="15"/>
  <c r="Q5" i="15"/>
  <c r="V5" i="15"/>
  <c r="X5" i="15"/>
  <c r="P5" i="15"/>
  <c r="T5" i="15"/>
  <c r="O5" i="15"/>
  <c r="R5" i="15"/>
  <c r="N5" i="15"/>
  <c r="S5" i="15"/>
</calcChain>
</file>

<file path=xl/sharedStrings.xml><?xml version="1.0" encoding="utf-8"?>
<sst xmlns="http://schemas.openxmlformats.org/spreadsheetml/2006/main" count="3894" uniqueCount="1180">
  <si>
    <t>BLN 1 - PXCM - BACnet MS/TP</t>
  </si>
  <si>
    <t>Panel</t>
  </si>
  <si>
    <t>FLN</t>
  </si>
  <si>
    <t>MAC Address</t>
  </si>
  <si>
    <t>Net</t>
  </si>
  <si>
    <t>Device Instance</t>
  </si>
  <si>
    <t>Application</t>
  </si>
  <si>
    <t>Tag</t>
  </si>
  <si>
    <t>System Name</t>
  </si>
  <si>
    <t>DWG</t>
  </si>
  <si>
    <t>VFD-AHU-VAV-2-EW</t>
  </si>
  <si>
    <t>M-301</t>
  </si>
  <si>
    <t>AREA</t>
  </si>
  <si>
    <t>VFD-FCU-0-1</t>
  </si>
  <si>
    <t>VFD-FCU-0-2</t>
  </si>
  <si>
    <t>M-100A1</t>
  </si>
  <si>
    <t>A1</t>
  </si>
  <si>
    <t>VFD-AHU-CB1-EW</t>
  </si>
  <si>
    <t>VFD-AHU-CB1-DW</t>
  </si>
  <si>
    <t>PENTHOUSE</t>
  </si>
  <si>
    <t>M-304</t>
  </si>
  <si>
    <t>VFD-AHU-LABS-1</t>
  </si>
  <si>
    <t>VFD-AHU-CB2-SA</t>
  </si>
  <si>
    <t>VFD-AHU-CB2-RA</t>
  </si>
  <si>
    <t>VFD-AHU-CB2-EW</t>
  </si>
  <si>
    <t>VFD-AHU-CB2-DW</t>
  </si>
  <si>
    <t>VFD-FCU-PH-2</t>
  </si>
  <si>
    <t>VFD-MCHP-1</t>
  </si>
  <si>
    <t>VFD-MCHP-2</t>
  </si>
  <si>
    <t>VFD-FCU-PH-1</t>
  </si>
  <si>
    <t>VFD-LEF-2A</t>
  </si>
  <si>
    <t>VFD-LEF-2B</t>
  </si>
  <si>
    <t>VFD-LEF-1A</t>
  </si>
  <si>
    <t>VFD-LEF-1B</t>
  </si>
  <si>
    <t>VFD-LEF-1C</t>
  </si>
  <si>
    <t>VFD-SEF-1A</t>
  </si>
  <si>
    <t>VFD-SEF-1B</t>
  </si>
  <si>
    <t>VFD-SEF-2A</t>
  </si>
  <si>
    <t>VFD-SEF-2B</t>
  </si>
  <si>
    <t>VFD-REA-1A</t>
  </si>
  <si>
    <t>VFD-REA-1B</t>
  </si>
  <si>
    <t>VFD-AHU-VAV-1-EW</t>
  </si>
  <si>
    <t>M-302</t>
  </si>
  <si>
    <t>VVE-3-1-01</t>
  </si>
  <si>
    <t>FCV-1-0-1</t>
  </si>
  <si>
    <t>FCV-1-0-2</t>
  </si>
  <si>
    <t>FCV-1-0-3</t>
  </si>
  <si>
    <t>FCV-1-0-4</t>
  </si>
  <si>
    <t>FCV-1-0-5</t>
  </si>
  <si>
    <t>FCV-1-0-6</t>
  </si>
  <si>
    <t>FCV-1-0-7</t>
  </si>
  <si>
    <t>FCV-2-0-1</t>
  </si>
  <si>
    <t>FCV-2-0-2</t>
  </si>
  <si>
    <t>FCV-2-0-3</t>
  </si>
  <si>
    <t>FCV-2-0-4</t>
  </si>
  <si>
    <t>FCV-2-0-5</t>
  </si>
  <si>
    <t>FCV-2-0-6</t>
  </si>
  <si>
    <t>FCV-2-0-7</t>
  </si>
  <si>
    <t>VV-3-0-01</t>
  </si>
  <si>
    <t>VV-3-0-02</t>
  </si>
  <si>
    <t>VV-3-0-03</t>
  </si>
  <si>
    <t>VV-3-0-04</t>
  </si>
  <si>
    <t>VV-3-0-05</t>
  </si>
  <si>
    <t>VV-3-0-06</t>
  </si>
  <si>
    <t>VV-3-0-07</t>
  </si>
  <si>
    <t>VV-3-0-08</t>
  </si>
  <si>
    <t>VV-3-0-09</t>
  </si>
  <si>
    <t>VV-3-0-10</t>
  </si>
  <si>
    <t>VV-3-0-11</t>
  </si>
  <si>
    <t>VV-3-0-12</t>
  </si>
  <si>
    <t>VV-3-0-13</t>
  </si>
  <si>
    <t>VV-4-0-01</t>
  </si>
  <si>
    <t>VV-4-0-02</t>
  </si>
  <si>
    <t>VV-4-0-03</t>
  </si>
  <si>
    <t>VV-4-0-04</t>
  </si>
  <si>
    <t>VV-4-0-05</t>
  </si>
  <si>
    <t>VV-4-0-06</t>
  </si>
  <si>
    <t>VV-4-0-07</t>
  </si>
  <si>
    <t>VV-4-0-08</t>
  </si>
  <si>
    <t>VV-4-0-09</t>
  </si>
  <si>
    <t>VV-4-0-10</t>
  </si>
  <si>
    <t>VV-1-0-01</t>
  </si>
  <si>
    <t>VV-1-0-02</t>
  </si>
  <si>
    <t>VV-1-0-03</t>
  </si>
  <si>
    <t>VV-1-0-04</t>
  </si>
  <si>
    <t>VV-1-0-05</t>
  </si>
  <si>
    <t>VV-1-0-06</t>
  </si>
  <si>
    <t>VV-2-0-01</t>
  </si>
  <si>
    <t>VV-2-0-02</t>
  </si>
  <si>
    <t>VV-2-0-03</t>
  </si>
  <si>
    <t>VV-2-0-04</t>
  </si>
  <si>
    <t>VV-2-0-05</t>
  </si>
  <si>
    <t>VV-2-0-06</t>
  </si>
  <si>
    <t>VV-2-0-07</t>
  </si>
  <si>
    <t>VV-3-1-01</t>
  </si>
  <si>
    <t>VV-3-1-02</t>
  </si>
  <si>
    <t>VV-3-1-03</t>
  </si>
  <si>
    <t>VV-3-1-04</t>
  </si>
  <si>
    <t>VV-3-1-05</t>
  </si>
  <si>
    <t>VV-3-1-06</t>
  </si>
  <si>
    <t>VV-3-1-07</t>
  </si>
  <si>
    <t>VV-3-1-08</t>
  </si>
  <si>
    <t>VV-3-1-09</t>
  </si>
  <si>
    <t>VV-3-1-10</t>
  </si>
  <si>
    <t>VV-3-1-11</t>
  </si>
  <si>
    <t>VV-3-1-12</t>
  </si>
  <si>
    <t>VV-3-1-13</t>
  </si>
  <si>
    <t>VV-4-1-01</t>
  </si>
  <si>
    <t>VV-4-1-02</t>
  </si>
  <si>
    <t>VV-4-1-03</t>
  </si>
  <si>
    <t>VV-4-1-04</t>
  </si>
  <si>
    <t>VV-4-1-05</t>
  </si>
  <si>
    <t>VV-4-1-06</t>
  </si>
  <si>
    <t>VV-4-1-07</t>
  </si>
  <si>
    <t>VV-4-1-08</t>
  </si>
  <si>
    <t>VV-4-1-09</t>
  </si>
  <si>
    <t>VV-4-1-10</t>
  </si>
  <si>
    <t>VV-4-1-11</t>
  </si>
  <si>
    <t>VV-4-1-12</t>
  </si>
  <si>
    <t>VV-4-1-13</t>
  </si>
  <si>
    <t>VVE-3-1-02</t>
  </si>
  <si>
    <t>VVE-4-1-01</t>
  </si>
  <si>
    <t>VV-1-1-01</t>
  </si>
  <si>
    <t>VV-1-1-02</t>
  </si>
  <si>
    <t>VV-1-1-03</t>
  </si>
  <si>
    <t>VV-1-1-04</t>
  </si>
  <si>
    <t>VV-1-1-05</t>
  </si>
  <si>
    <t>VV-1-1-06</t>
  </si>
  <si>
    <t>VV-1-1-07</t>
  </si>
  <si>
    <t>VV-1-1-08</t>
  </si>
  <si>
    <t>VV-1-1-09</t>
  </si>
  <si>
    <t>VV-1-1-10</t>
  </si>
  <si>
    <t>VV-1-1-11</t>
  </si>
  <si>
    <t>VV-1-1-12</t>
  </si>
  <si>
    <t>VV-3-2-01</t>
  </si>
  <si>
    <t>VV-3-2-02</t>
  </si>
  <si>
    <t>VV-3-2-03</t>
  </si>
  <si>
    <t>VV-3-2-04</t>
  </si>
  <si>
    <t>VV-3-2-05</t>
  </si>
  <si>
    <t>VV-3-2-06</t>
  </si>
  <si>
    <t>VV-3-2-07</t>
  </si>
  <si>
    <t>VV-3-2-08</t>
  </si>
  <si>
    <t>VV-3-2-09</t>
  </si>
  <si>
    <t>VV-3-2-10</t>
  </si>
  <si>
    <t>VV-3-2-11</t>
  </si>
  <si>
    <t>VV-3-2-12</t>
  </si>
  <si>
    <t>VV-3-2-13</t>
  </si>
  <si>
    <t>VV-3-2-14</t>
  </si>
  <si>
    <t>VV-3-2-15</t>
  </si>
  <si>
    <t>VV-3-2-16</t>
  </si>
  <si>
    <t>VV-3-2-17</t>
  </si>
  <si>
    <t>VV-3-2-18</t>
  </si>
  <si>
    <t>VV-3-2-19</t>
  </si>
  <si>
    <t>VV-3-2-20</t>
  </si>
  <si>
    <t>VV-4-2-01</t>
  </si>
  <si>
    <t>VV-4-2-02</t>
  </si>
  <si>
    <t>VV-4-2-03</t>
  </si>
  <si>
    <t>VV-4-2-04</t>
  </si>
  <si>
    <t>VV-4-2-05</t>
  </si>
  <si>
    <t>VV-4-2-06</t>
  </si>
  <si>
    <t>VV-4-2-07</t>
  </si>
  <si>
    <t>VV-4-2-08</t>
  </si>
  <si>
    <t>VV-4-2-09</t>
  </si>
  <si>
    <t>VV-4-2-10</t>
  </si>
  <si>
    <t>VV-4-2-11</t>
  </si>
  <si>
    <t>VV-4-2-12</t>
  </si>
  <si>
    <t>VV-4-2-13</t>
  </si>
  <si>
    <t>VV-4-2-14</t>
  </si>
  <si>
    <t>VV-4-2-15</t>
  </si>
  <si>
    <t>VVE-3-2-01</t>
  </si>
  <si>
    <t>VVE-4-2-01</t>
  </si>
  <si>
    <t>VV-2-2-01</t>
  </si>
  <si>
    <t>VV-2-2-02</t>
  </si>
  <si>
    <t>VV-2-2-03</t>
  </si>
  <si>
    <t>VV-2-2-04</t>
  </si>
  <si>
    <t>VV-2-2-05</t>
  </si>
  <si>
    <t>VV-2-2-06</t>
  </si>
  <si>
    <t>VV-2-2-07</t>
  </si>
  <si>
    <t>VV-2-2-08</t>
  </si>
  <si>
    <t>VV-2-2-09</t>
  </si>
  <si>
    <t>VV-2-2-10</t>
  </si>
  <si>
    <t>VV-2-3-01</t>
  </si>
  <si>
    <t>VV-2-3-02</t>
  </si>
  <si>
    <t>VV-2-3-03</t>
  </si>
  <si>
    <t>VV-2-3-04</t>
  </si>
  <si>
    <t>VV-2-3-05</t>
  </si>
  <si>
    <t>VV-3-3-01</t>
  </si>
  <si>
    <t>VV-3-3-02</t>
  </si>
  <si>
    <t>VV-3-3-03</t>
  </si>
  <si>
    <t>VV-3-3-04</t>
  </si>
  <si>
    <t>VV-3-3-05</t>
  </si>
  <si>
    <t>VV-3-3-06</t>
  </si>
  <si>
    <t>VV-3-3-07</t>
  </si>
  <si>
    <t>VV-3-3-08</t>
  </si>
  <si>
    <t>VV-3-3-09</t>
  </si>
  <si>
    <t>VV-3-3-10</t>
  </si>
  <si>
    <t>VV-3-3-11</t>
  </si>
  <si>
    <t>VV-3-3-12</t>
  </si>
  <si>
    <t>VV-3-3-13</t>
  </si>
  <si>
    <t>VV-3-3-14</t>
  </si>
  <si>
    <t>VV-3-3-15</t>
  </si>
  <si>
    <t>VV-3-3-16</t>
  </si>
  <si>
    <t>VV-3-3-17</t>
  </si>
  <si>
    <t>VV-3-3-18</t>
  </si>
  <si>
    <t>VV-3-3-19</t>
  </si>
  <si>
    <t>VV-4-3-01</t>
  </si>
  <si>
    <t>VV-4-3-02</t>
  </si>
  <si>
    <t>VV-4-3-03</t>
  </si>
  <si>
    <t>VV-4-3-04</t>
  </si>
  <si>
    <t>VV-4-3-05</t>
  </si>
  <si>
    <t>VV-4-3-06</t>
  </si>
  <si>
    <t>VV-4-3-07</t>
  </si>
  <si>
    <t>VV-4-3-08</t>
  </si>
  <si>
    <t>VV-4-3-09</t>
  </si>
  <si>
    <t>VV-4-3-10</t>
  </si>
  <si>
    <t>VV-4-3-11</t>
  </si>
  <si>
    <t>VV-4-3-12</t>
  </si>
  <si>
    <t>VV-4-3-13</t>
  </si>
  <si>
    <t>VV-4-3-14</t>
  </si>
  <si>
    <t>VV-4-3-15</t>
  </si>
  <si>
    <t>VV-4-3-16</t>
  </si>
  <si>
    <t>VV-4-3-17</t>
  </si>
  <si>
    <t>VV-4-3-18</t>
  </si>
  <si>
    <t>VV-4-3-19</t>
  </si>
  <si>
    <t>VV-4-3-20</t>
  </si>
  <si>
    <t>VV-4-3-21</t>
  </si>
  <si>
    <t>VV-4-3-22</t>
  </si>
  <si>
    <t>VVE-3-3-01</t>
  </si>
  <si>
    <t>VVE-4-3-01</t>
  </si>
  <si>
    <t>FCV-2-3-1</t>
  </si>
  <si>
    <t>FCV-2-3-2</t>
  </si>
  <si>
    <t>AFMS-1-0-OA-1</t>
  </si>
  <si>
    <t>AFMS-1-0-OA-2</t>
  </si>
  <si>
    <t>AFMS-1-0-RA-1</t>
  </si>
  <si>
    <t>AFMS-1-0-REA-1</t>
  </si>
  <si>
    <t>AFMS-1-0-SA-1</t>
  </si>
  <si>
    <t>AFMS-1-1-SA-1</t>
  </si>
  <si>
    <t>AFMS-2-0-OA-1</t>
  </si>
  <si>
    <t>AFMS-2-0-OA-2</t>
  </si>
  <si>
    <t>AFMS-2-0-RA-1</t>
  </si>
  <si>
    <t>AFMS-2-0-REA-1</t>
  </si>
  <si>
    <t>AFMS-2-0-SA-1</t>
  </si>
  <si>
    <t>AFMS-2-2-SA-1</t>
  </si>
  <si>
    <t>AFMS-2-3-SA-1</t>
  </si>
  <si>
    <t>AFMS-2-3-SA-2</t>
  </si>
  <si>
    <t>AFMS-3-0-EA-1</t>
  </si>
  <si>
    <t>AFMS-3-1-EA-1</t>
  </si>
  <si>
    <t>AFMS-3-2-EA-1</t>
  </si>
  <si>
    <t>AFMS-3-3-EA-1</t>
  </si>
  <si>
    <t>AFMS-3-3-EA-2</t>
  </si>
  <si>
    <t>AFMS-3-3-SA-1</t>
  </si>
  <si>
    <t>AFMS-4-0-EA-1</t>
  </si>
  <si>
    <t>AFMS-4-1-EA-1</t>
  </si>
  <si>
    <t>AFMS-4-2-EA-1</t>
  </si>
  <si>
    <t>AFMS-4-3-EA-1</t>
  </si>
  <si>
    <t>AFMS-4-3-EA-2</t>
  </si>
  <si>
    <t>AFMS-4-3-SA-1</t>
  </si>
  <si>
    <t>AFMS-5-P-SA-1</t>
  </si>
  <si>
    <t>AFMS-5-P-SA-2</t>
  </si>
  <si>
    <t>AFMS-5-P-SA-3</t>
  </si>
  <si>
    <t>AFMS-5-R-EA-1</t>
  </si>
  <si>
    <t>AFMS-5-R-EA-2</t>
  </si>
  <si>
    <t>FCU-0-1</t>
  </si>
  <si>
    <t>FCU-0-2</t>
  </si>
  <si>
    <t>FCU-0-3</t>
  </si>
  <si>
    <t>M-303</t>
  </si>
  <si>
    <t>FCU-0-4</t>
  </si>
  <si>
    <t>FCU-1-1</t>
  </si>
  <si>
    <t>FCU-1-2</t>
  </si>
  <si>
    <t>FCU-2-1</t>
  </si>
  <si>
    <t>FCU-2-2</t>
  </si>
  <si>
    <t>FCU-2-3</t>
  </si>
  <si>
    <t>FCU-2-4</t>
  </si>
  <si>
    <t>FCU-3-1</t>
  </si>
  <si>
    <t>FCU-3-2</t>
  </si>
  <si>
    <t>M-101B1</t>
  </si>
  <si>
    <t>B1</t>
  </si>
  <si>
    <t>M-101A2</t>
  </si>
  <si>
    <t>A2</t>
  </si>
  <si>
    <t>M-101A1</t>
  </si>
  <si>
    <t>M-102B2</t>
  </si>
  <si>
    <t>B2</t>
  </si>
  <si>
    <t>M-102A1</t>
  </si>
  <si>
    <t>M-102A2</t>
  </si>
  <si>
    <t>M-102B1</t>
  </si>
  <si>
    <t>M-103B1</t>
  </si>
  <si>
    <t>M-103B2</t>
  </si>
  <si>
    <t>M-103A2</t>
  </si>
  <si>
    <t>M-103A1</t>
  </si>
  <si>
    <t>M-104A2</t>
  </si>
  <si>
    <t>ROOF A2</t>
  </si>
  <si>
    <t>M-100B1</t>
  </si>
  <si>
    <t>M-100A2</t>
  </si>
  <si>
    <t>M-100B2</t>
  </si>
  <si>
    <t>M-101B2</t>
  </si>
  <si>
    <t>A</t>
  </si>
  <si>
    <t>M-202A</t>
  </si>
  <si>
    <t>M-202B</t>
  </si>
  <si>
    <t>M-203A</t>
  </si>
  <si>
    <t>PANEL 1</t>
  </si>
  <si>
    <t>PANEL 2</t>
  </si>
  <si>
    <t>PANEL 3</t>
  </si>
  <si>
    <t>PANEL 4</t>
  </si>
  <si>
    <t>PANEL 5</t>
  </si>
  <si>
    <t>PANEL 6</t>
  </si>
  <si>
    <t>PANEL 7</t>
  </si>
  <si>
    <t>B1, MECH ROOM 1003.25</t>
  </si>
  <si>
    <t>A2, MECH ROOM 1002.01</t>
  </si>
  <si>
    <t>B2, MECH ROOM 1003.24</t>
  </si>
  <si>
    <t>Total:</t>
  </si>
  <si>
    <t>PANEL</t>
  </si>
  <si>
    <t>SERVES</t>
  </si>
  <si>
    <t>LOCATED</t>
  </si>
  <si>
    <t>COUNT</t>
  </si>
  <si>
    <t>MECH RM 1003.25 (M-301)</t>
  </si>
  <si>
    <t>MECH RM 1003.24 (M-302)</t>
  </si>
  <si>
    <t>LEVEL 4 (M-304)</t>
  </si>
  <si>
    <t>PXCM</t>
  </si>
  <si>
    <t>AHU VAV-1</t>
  </si>
  <si>
    <t>AHU-VAV-2</t>
  </si>
  <si>
    <t>UNIT HEATERS</t>
  </si>
  <si>
    <t>GAS METERS</t>
  </si>
  <si>
    <t>LEF 1A, 1B, 1C</t>
  </si>
  <si>
    <t>AHU-CB-1</t>
  </si>
  <si>
    <t>AHU-CB-2</t>
  </si>
  <si>
    <t>M-702</t>
  </si>
  <si>
    <t>AFMS-1-0-RA-2</t>
  </si>
  <si>
    <t>AFMS-2-0-RA-2</t>
  </si>
  <si>
    <t>BASEMENT</t>
  </si>
  <si>
    <t>VFD-AHU-CB2-SA2</t>
  </si>
  <si>
    <t>VFD-AHU-CB2-RA2</t>
  </si>
  <si>
    <t>VFD-AHU-VAV-1-SA2</t>
  </si>
  <si>
    <t>VFD-AHU-VAV-1-SA1</t>
  </si>
  <si>
    <t>VFD-AHU-VAV-1-RA2</t>
  </si>
  <si>
    <t>VFD-AHU-VAV-1-RA1</t>
  </si>
  <si>
    <t>VFD-AHU-VAV-1-OA2</t>
  </si>
  <si>
    <t>VFD-AHU-VAV-1-OA1</t>
  </si>
  <si>
    <t>VFD-AHU-VAV-1-REA2</t>
  </si>
  <si>
    <t>VFD-AHU-VAV-1-REA1</t>
  </si>
  <si>
    <t>VFD-AHU-VAV-2-SA2</t>
  </si>
  <si>
    <t>VFD-AHU-VAV-2-SA1</t>
  </si>
  <si>
    <t>VFD-AHU-VAV-2-RA2</t>
  </si>
  <si>
    <t>VFD-AHU-VAV-2-RA1</t>
  </si>
  <si>
    <t>VFD-AHU-VAV-2-OA2</t>
  </si>
  <si>
    <t>VFD-AHU-VAV-2-OA1</t>
  </si>
  <si>
    <t>VFD-AHU-VAV-2-REA2</t>
  </si>
  <si>
    <t>VFD-AHU-VAV-2-REA1</t>
  </si>
  <si>
    <t>VFD-AHU-CB1-SA2</t>
  </si>
  <si>
    <t>VFD-AHU-CB1-SA1</t>
  </si>
  <si>
    <t>VFD-AHU-CB1-RA2</t>
  </si>
  <si>
    <t>VFD-AHU-CB1-RA1</t>
  </si>
  <si>
    <t>Area Served / Reference</t>
  </si>
  <si>
    <r>
      <rPr>
        <sz val="8"/>
        <rFont val="Arial"/>
        <family val="2"/>
      </rPr>
      <t>LS-5-3-03</t>
    </r>
  </si>
  <si>
    <r>
      <rPr>
        <sz val="8"/>
        <rFont val="Arial"/>
        <family val="2"/>
      </rPr>
      <t>LE-6-3-03A</t>
    </r>
  </si>
  <si>
    <r>
      <rPr>
        <sz val="8"/>
        <rFont val="Arial"/>
        <family val="2"/>
      </rPr>
      <t>LE-6-3-03B</t>
    </r>
  </si>
  <si>
    <r>
      <rPr>
        <sz val="8"/>
        <rFont val="Arial"/>
        <family val="2"/>
      </rPr>
      <t>LS-5-3-04</t>
    </r>
  </si>
  <si>
    <r>
      <rPr>
        <sz val="8"/>
        <rFont val="Arial"/>
        <family val="2"/>
      </rPr>
      <t>LS-5-3-06</t>
    </r>
  </si>
  <si>
    <r>
      <rPr>
        <sz val="8"/>
        <rFont val="Arial"/>
        <family val="2"/>
      </rPr>
      <t>LS-5-3-05B</t>
    </r>
  </si>
  <si>
    <r>
      <rPr>
        <sz val="8"/>
        <rFont val="Arial"/>
        <family val="2"/>
      </rPr>
      <t>LE-6-3-05A</t>
    </r>
  </si>
  <si>
    <r>
      <rPr>
        <sz val="8"/>
        <rFont val="Arial"/>
        <family val="2"/>
      </rPr>
      <t>LE-6-3-05D</t>
    </r>
  </si>
  <si>
    <r>
      <rPr>
        <sz val="8"/>
        <rFont val="Arial"/>
        <family val="2"/>
      </rPr>
      <t>LE-6-3-05E</t>
    </r>
  </si>
  <si>
    <r>
      <rPr>
        <sz val="8"/>
        <rFont val="Arial"/>
        <family val="2"/>
      </rPr>
      <t>LS-5-3-05A</t>
    </r>
  </si>
  <si>
    <r>
      <rPr>
        <sz val="8"/>
        <rFont val="Arial"/>
        <family val="2"/>
      </rPr>
      <t>LE-6-3-05B</t>
    </r>
  </si>
  <si>
    <r>
      <rPr>
        <sz val="8"/>
        <rFont val="Arial"/>
        <family val="2"/>
      </rPr>
      <t>LE-6-3-05C</t>
    </r>
  </si>
  <si>
    <r>
      <rPr>
        <sz val="8"/>
        <rFont val="Arial"/>
        <family val="2"/>
      </rPr>
      <t>LS-5-3-01</t>
    </r>
  </si>
  <si>
    <r>
      <rPr>
        <sz val="8"/>
        <rFont val="Arial"/>
        <family val="2"/>
      </rPr>
      <t>LE-6-3-01</t>
    </r>
  </si>
  <si>
    <r>
      <rPr>
        <sz val="8"/>
        <rFont val="Arial"/>
        <family val="2"/>
      </rPr>
      <t>LS-5-3-02A</t>
    </r>
  </si>
  <si>
    <r>
      <rPr>
        <sz val="8"/>
        <rFont val="Arial"/>
        <family val="2"/>
      </rPr>
      <t>LS-5-3-02B</t>
    </r>
  </si>
  <si>
    <r>
      <rPr>
        <sz val="8"/>
        <rFont val="Arial"/>
        <family val="2"/>
      </rPr>
      <t>LS-5-3-02C</t>
    </r>
  </si>
  <si>
    <r>
      <rPr>
        <sz val="8"/>
        <rFont val="Arial"/>
        <family val="2"/>
      </rPr>
      <t>LS-5-3-02D</t>
    </r>
  </si>
  <si>
    <r>
      <rPr>
        <sz val="8"/>
        <rFont val="Arial"/>
        <family val="2"/>
      </rPr>
      <t>LS-5-3-02E</t>
    </r>
  </si>
  <si>
    <r>
      <rPr>
        <sz val="8"/>
        <rFont val="Arial"/>
        <family val="2"/>
      </rPr>
      <t>LE-6-3-02A</t>
    </r>
  </si>
  <si>
    <r>
      <rPr>
        <sz val="8"/>
        <rFont val="Arial"/>
        <family val="2"/>
      </rPr>
      <t>LE-6-3-02B</t>
    </r>
  </si>
  <si>
    <r>
      <rPr>
        <sz val="8"/>
        <rFont val="Arial"/>
        <family val="2"/>
      </rPr>
      <t>LE-6-3-02C</t>
    </r>
  </si>
  <si>
    <r>
      <rPr>
        <sz val="8"/>
        <rFont val="Arial"/>
        <family val="2"/>
      </rPr>
      <t>LE-6-3-02D</t>
    </r>
  </si>
  <si>
    <r>
      <rPr>
        <sz val="8"/>
        <rFont val="Arial"/>
        <family val="2"/>
      </rPr>
      <t>LE-6-3-02E</t>
    </r>
  </si>
  <si>
    <r>
      <rPr>
        <sz val="8"/>
        <rFont val="Arial"/>
        <family val="2"/>
      </rPr>
      <t>LE-6-3-02F</t>
    </r>
  </si>
  <si>
    <r>
      <rPr>
        <sz val="8"/>
        <rFont val="Arial"/>
        <family val="2"/>
      </rPr>
      <t>LE-6-3-02G</t>
    </r>
  </si>
  <si>
    <r>
      <rPr>
        <sz val="8"/>
        <rFont val="Arial"/>
        <family val="2"/>
      </rPr>
      <t>LE-6-3-02H</t>
    </r>
  </si>
  <si>
    <r>
      <rPr>
        <sz val="8"/>
        <rFont val="Arial"/>
        <family val="2"/>
      </rPr>
      <t>LE-6-3-02I</t>
    </r>
  </si>
  <si>
    <r>
      <rPr>
        <sz val="8"/>
        <rFont val="Arial"/>
        <family val="2"/>
      </rPr>
      <t>LE-6-3-02J</t>
    </r>
  </si>
  <si>
    <r>
      <rPr>
        <sz val="8"/>
        <rFont val="Arial"/>
        <family val="2"/>
      </rPr>
      <t>LE-6-3-02K</t>
    </r>
  </si>
  <si>
    <r>
      <rPr>
        <sz val="8"/>
        <rFont val="Arial"/>
        <family val="2"/>
      </rPr>
      <t>LS-5-2-07</t>
    </r>
  </si>
  <si>
    <r>
      <rPr>
        <sz val="8"/>
        <rFont val="Arial"/>
        <family val="2"/>
      </rPr>
      <t>LS-5-2-06</t>
    </r>
  </si>
  <si>
    <r>
      <rPr>
        <sz val="8"/>
        <rFont val="Arial"/>
        <family val="2"/>
      </rPr>
      <t>LE-6-2-06</t>
    </r>
  </si>
  <si>
    <r>
      <rPr>
        <sz val="8"/>
        <rFont val="Arial"/>
        <family val="2"/>
      </rPr>
      <t>LE-7-2-08</t>
    </r>
  </si>
  <si>
    <r>
      <rPr>
        <sz val="8"/>
        <rFont val="Arial"/>
        <family val="2"/>
      </rPr>
      <t>LS-5-2-05</t>
    </r>
  </si>
  <si>
    <r>
      <rPr>
        <sz val="8"/>
        <rFont val="Arial"/>
        <family val="2"/>
      </rPr>
      <t>LS-5-2-04</t>
    </r>
  </si>
  <si>
    <r>
      <rPr>
        <sz val="8"/>
        <rFont val="Arial"/>
        <family val="2"/>
      </rPr>
      <t>LS-5-2-01</t>
    </r>
  </si>
  <si>
    <r>
      <rPr>
        <sz val="8"/>
        <rFont val="Arial"/>
        <family val="2"/>
      </rPr>
      <t>LE-6-2-01</t>
    </r>
  </si>
  <si>
    <r>
      <rPr>
        <sz val="8"/>
        <rFont val="Arial"/>
        <family val="2"/>
      </rPr>
      <t>LS-5-2-02</t>
    </r>
  </si>
  <si>
    <r>
      <rPr>
        <sz val="8"/>
        <rFont val="Arial"/>
        <family val="2"/>
      </rPr>
      <t>LE-6-2-02</t>
    </r>
  </si>
  <si>
    <r>
      <rPr>
        <sz val="8"/>
        <rFont val="Arial"/>
        <family val="2"/>
      </rPr>
      <t>LS-5-2-03</t>
    </r>
  </si>
  <si>
    <t>IP</t>
  </si>
  <si>
    <t>AC-1</t>
  </si>
  <si>
    <r>
      <rPr>
        <sz val="8"/>
        <rFont val="Arial"/>
        <family val="2"/>
      </rPr>
      <t>VV-3-0-01</t>
    </r>
  </si>
  <si>
    <r>
      <rPr>
        <sz val="8"/>
        <rFont val="Arial"/>
        <family val="2"/>
      </rPr>
      <t>VV-3-0-02</t>
    </r>
  </si>
  <si>
    <r>
      <rPr>
        <sz val="8"/>
        <rFont val="Arial"/>
        <family val="2"/>
      </rPr>
      <t>VV-3-0-03</t>
    </r>
  </si>
  <si>
    <r>
      <rPr>
        <sz val="8"/>
        <rFont val="Arial"/>
        <family val="2"/>
      </rPr>
      <t>VV-3-0-04</t>
    </r>
  </si>
  <si>
    <r>
      <rPr>
        <sz val="8"/>
        <rFont val="Arial"/>
        <family val="2"/>
      </rPr>
      <t>VV-3-0-05</t>
    </r>
  </si>
  <si>
    <r>
      <rPr>
        <sz val="8"/>
        <rFont val="Arial"/>
        <family val="2"/>
      </rPr>
      <t>VV-3-0-06</t>
    </r>
  </si>
  <si>
    <r>
      <rPr>
        <sz val="8"/>
        <rFont val="Arial"/>
        <family val="2"/>
      </rPr>
      <t>VV-3-0-07</t>
    </r>
  </si>
  <si>
    <r>
      <rPr>
        <sz val="8"/>
        <rFont val="Arial"/>
        <family val="2"/>
      </rPr>
      <t>VV-3-0-08</t>
    </r>
  </si>
  <si>
    <r>
      <rPr>
        <sz val="8"/>
        <rFont val="Arial"/>
        <family val="2"/>
      </rPr>
      <t>VV-3-0-09</t>
    </r>
  </si>
  <si>
    <r>
      <rPr>
        <sz val="8"/>
        <rFont val="Arial"/>
        <family val="2"/>
      </rPr>
      <t>VV-3-0-10</t>
    </r>
  </si>
  <si>
    <r>
      <rPr>
        <sz val="8"/>
        <rFont val="Arial"/>
        <family val="2"/>
      </rPr>
      <t>VV-3-0-11</t>
    </r>
  </si>
  <si>
    <r>
      <rPr>
        <sz val="8"/>
        <rFont val="Arial"/>
        <family val="2"/>
      </rPr>
      <t>VV-3-0-12</t>
    </r>
  </si>
  <si>
    <r>
      <rPr>
        <sz val="8"/>
        <rFont val="Arial"/>
        <family val="2"/>
      </rPr>
      <t>VV-3-0-13</t>
    </r>
  </si>
  <si>
    <r>
      <rPr>
        <sz val="8"/>
        <rFont val="Arial"/>
        <family val="2"/>
      </rPr>
      <t>VV-4-0-01</t>
    </r>
  </si>
  <si>
    <r>
      <rPr>
        <sz val="8"/>
        <rFont val="Arial"/>
        <family val="2"/>
      </rPr>
      <t>VV-4-0-02</t>
    </r>
  </si>
  <si>
    <r>
      <rPr>
        <sz val="8"/>
        <rFont val="Arial"/>
        <family val="2"/>
      </rPr>
      <t>VV-4-0-03</t>
    </r>
  </si>
  <si>
    <r>
      <rPr>
        <sz val="8"/>
        <rFont val="Arial"/>
        <family val="2"/>
      </rPr>
      <t>VV-4-0-04</t>
    </r>
  </si>
  <si>
    <r>
      <rPr>
        <sz val="8"/>
        <rFont val="Arial"/>
        <family val="2"/>
      </rPr>
      <t>VV-4-0-05</t>
    </r>
  </si>
  <si>
    <r>
      <rPr>
        <sz val="8"/>
        <rFont val="Arial"/>
        <family val="2"/>
      </rPr>
      <t>VV-4-0-06</t>
    </r>
  </si>
  <si>
    <r>
      <rPr>
        <sz val="8"/>
        <rFont val="Arial"/>
        <family val="2"/>
      </rPr>
      <t>VV-4-0-07</t>
    </r>
  </si>
  <si>
    <r>
      <rPr>
        <sz val="8"/>
        <rFont val="Arial"/>
        <family val="2"/>
      </rPr>
      <t>VV-4-0-08</t>
    </r>
  </si>
  <si>
    <r>
      <rPr>
        <sz val="8"/>
        <rFont val="Arial"/>
        <family val="2"/>
      </rPr>
      <t>VV-4-0-09</t>
    </r>
  </si>
  <si>
    <r>
      <rPr>
        <sz val="8"/>
        <rFont val="Arial"/>
        <family val="2"/>
      </rPr>
      <t>VV-4-0-10</t>
    </r>
  </si>
  <si>
    <r>
      <rPr>
        <sz val="8"/>
        <rFont val="Arial"/>
        <family val="2"/>
      </rPr>
      <t>VV-3-1-01</t>
    </r>
  </si>
  <si>
    <r>
      <rPr>
        <sz val="8"/>
        <rFont val="Arial"/>
        <family val="2"/>
      </rPr>
      <t>VV-3-1-02</t>
    </r>
  </si>
  <si>
    <r>
      <rPr>
        <sz val="8"/>
        <rFont val="Arial"/>
        <family val="2"/>
      </rPr>
      <t>VV-3-1-03</t>
    </r>
  </si>
  <si>
    <r>
      <rPr>
        <sz val="8"/>
        <rFont val="Arial"/>
        <family val="2"/>
      </rPr>
      <t>VV-3-1-04</t>
    </r>
  </si>
  <si>
    <r>
      <rPr>
        <sz val="8"/>
        <rFont val="Arial"/>
        <family val="2"/>
      </rPr>
      <t>VV-3-1-05</t>
    </r>
  </si>
  <si>
    <r>
      <rPr>
        <sz val="8"/>
        <rFont val="Arial"/>
        <family val="2"/>
      </rPr>
      <t>VV-3-1-06</t>
    </r>
  </si>
  <si>
    <r>
      <rPr>
        <sz val="8"/>
        <rFont val="Arial"/>
        <family val="2"/>
      </rPr>
      <t>VV-3-1-07</t>
    </r>
  </si>
  <si>
    <r>
      <rPr>
        <sz val="8"/>
        <rFont val="Arial"/>
        <family val="2"/>
      </rPr>
      <t>VV-3-1-08</t>
    </r>
  </si>
  <si>
    <r>
      <rPr>
        <sz val="8"/>
        <rFont val="Arial"/>
        <family val="2"/>
      </rPr>
      <t>VV-3-1-09</t>
    </r>
  </si>
  <si>
    <r>
      <rPr>
        <sz val="8"/>
        <rFont val="Arial"/>
        <family val="2"/>
      </rPr>
      <t>VV-3-1-10</t>
    </r>
  </si>
  <si>
    <r>
      <rPr>
        <sz val="8"/>
        <rFont val="Arial"/>
        <family val="2"/>
      </rPr>
      <t>VV-3-1-11</t>
    </r>
  </si>
  <si>
    <r>
      <rPr>
        <sz val="8"/>
        <rFont val="Arial"/>
        <family val="2"/>
      </rPr>
      <t>VV-3-1-12</t>
    </r>
  </si>
  <si>
    <r>
      <rPr>
        <sz val="8"/>
        <rFont val="Arial"/>
        <family val="2"/>
      </rPr>
      <t>VV-3-1-13</t>
    </r>
  </si>
  <si>
    <r>
      <rPr>
        <sz val="8"/>
        <rFont val="Arial"/>
        <family val="2"/>
      </rPr>
      <t>VV-4-1-01</t>
    </r>
  </si>
  <si>
    <r>
      <rPr>
        <sz val="8"/>
        <rFont val="Arial"/>
        <family val="2"/>
      </rPr>
      <t>VV-4-1-02</t>
    </r>
  </si>
  <si>
    <r>
      <rPr>
        <sz val="8"/>
        <rFont val="Arial"/>
        <family val="2"/>
      </rPr>
      <t>VV-4-1-03</t>
    </r>
  </si>
  <si>
    <r>
      <rPr>
        <sz val="8"/>
        <rFont val="Arial"/>
        <family val="2"/>
      </rPr>
      <t>VV-4-1-04</t>
    </r>
  </si>
  <si>
    <r>
      <rPr>
        <sz val="8"/>
        <rFont val="Arial"/>
        <family val="2"/>
      </rPr>
      <t>VV-4-1-05</t>
    </r>
  </si>
  <si>
    <r>
      <rPr>
        <sz val="8"/>
        <rFont val="Arial"/>
        <family val="2"/>
      </rPr>
      <t>VV-4-1-06</t>
    </r>
  </si>
  <si>
    <r>
      <rPr>
        <sz val="8"/>
        <rFont val="Arial"/>
        <family val="2"/>
      </rPr>
      <t>VV-4-1-07</t>
    </r>
  </si>
  <si>
    <r>
      <rPr>
        <sz val="8"/>
        <rFont val="Arial"/>
        <family val="2"/>
      </rPr>
      <t>VV-4-1-08</t>
    </r>
  </si>
  <si>
    <r>
      <rPr>
        <sz val="8"/>
        <rFont val="Arial"/>
        <family val="2"/>
      </rPr>
      <t>VV-4-1-09</t>
    </r>
  </si>
  <si>
    <r>
      <rPr>
        <sz val="8"/>
        <rFont val="Arial"/>
        <family val="2"/>
      </rPr>
      <t>VV-4-1-10</t>
    </r>
  </si>
  <si>
    <r>
      <rPr>
        <sz val="8"/>
        <rFont val="Arial"/>
        <family val="2"/>
      </rPr>
      <t>VV-4-1-11</t>
    </r>
  </si>
  <si>
    <r>
      <rPr>
        <sz val="8"/>
        <rFont val="Arial"/>
        <family val="2"/>
      </rPr>
      <t>VV-4-1-12</t>
    </r>
  </si>
  <si>
    <r>
      <rPr>
        <sz val="8"/>
        <rFont val="Arial"/>
        <family val="2"/>
      </rPr>
      <t>VV-4-1-13</t>
    </r>
  </si>
  <si>
    <r>
      <rPr>
        <sz val="8"/>
        <rFont val="Arial"/>
        <family val="2"/>
      </rPr>
      <t>VV-3-2-01</t>
    </r>
  </si>
  <si>
    <r>
      <rPr>
        <sz val="8"/>
        <rFont val="Arial"/>
        <family val="2"/>
      </rPr>
      <t>VV-3-2-02</t>
    </r>
  </si>
  <si>
    <r>
      <rPr>
        <sz val="8"/>
        <rFont val="Arial"/>
        <family val="2"/>
      </rPr>
      <t>VV-3-2-03</t>
    </r>
  </si>
  <si>
    <r>
      <rPr>
        <sz val="8"/>
        <rFont val="Arial"/>
        <family val="2"/>
      </rPr>
      <t>VV-3-2-04</t>
    </r>
  </si>
  <si>
    <r>
      <rPr>
        <sz val="8"/>
        <rFont val="Arial"/>
        <family val="2"/>
      </rPr>
      <t>VV-3-2-05</t>
    </r>
  </si>
  <si>
    <r>
      <rPr>
        <sz val="8"/>
        <rFont val="Arial"/>
        <family val="2"/>
      </rPr>
      <t>VV-3-2-06</t>
    </r>
  </si>
  <si>
    <r>
      <rPr>
        <sz val="8"/>
        <rFont val="Arial"/>
        <family val="2"/>
      </rPr>
      <t>VV-3-2-07</t>
    </r>
  </si>
  <si>
    <r>
      <rPr>
        <sz val="8"/>
        <rFont val="Arial"/>
        <family val="2"/>
      </rPr>
      <t>VV-3-2-08</t>
    </r>
  </si>
  <si>
    <r>
      <rPr>
        <sz val="8"/>
        <rFont val="Arial"/>
        <family val="2"/>
      </rPr>
      <t>VV-3-2-09</t>
    </r>
  </si>
  <si>
    <r>
      <rPr>
        <sz val="8"/>
        <rFont val="Arial"/>
        <family val="2"/>
      </rPr>
      <t>VV-3-2-10</t>
    </r>
  </si>
  <si>
    <r>
      <rPr>
        <sz val="8"/>
        <rFont val="Arial"/>
        <family val="2"/>
      </rPr>
      <t>VV-3-2-11</t>
    </r>
  </si>
  <si>
    <r>
      <rPr>
        <sz val="8"/>
        <rFont val="Arial"/>
        <family val="2"/>
      </rPr>
      <t>VV-3-2-12</t>
    </r>
  </si>
  <si>
    <r>
      <rPr>
        <sz val="8"/>
        <rFont val="Arial"/>
        <family val="2"/>
      </rPr>
      <t>VV-3-2-13</t>
    </r>
  </si>
  <si>
    <r>
      <rPr>
        <sz val="8"/>
        <rFont val="Arial"/>
        <family val="2"/>
      </rPr>
      <t>VV-3-2-14</t>
    </r>
  </si>
  <si>
    <r>
      <rPr>
        <sz val="8"/>
        <rFont val="Arial"/>
        <family val="2"/>
      </rPr>
      <t>VV-3-2-15</t>
    </r>
  </si>
  <si>
    <r>
      <rPr>
        <sz val="8"/>
        <rFont val="Arial"/>
        <family val="2"/>
      </rPr>
      <t>VV-3-2-16</t>
    </r>
  </si>
  <si>
    <r>
      <rPr>
        <sz val="8"/>
        <rFont val="Arial"/>
        <family val="2"/>
      </rPr>
      <t>VV-3-2-17</t>
    </r>
  </si>
  <si>
    <r>
      <rPr>
        <sz val="8"/>
        <rFont val="Arial"/>
        <family val="2"/>
      </rPr>
      <t>VV-3-2-18</t>
    </r>
  </si>
  <si>
    <r>
      <rPr>
        <sz val="8"/>
        <rFont val="Arial"/>
        <family val="2"/>
      </rPr>
      <t>VV-3-2-19</t>
    </r>
  </si>
  <si>
    <r>
      <rPr>
        <sz val="8"/>
        <rFont val="Arial"/>
        <family val="2"/>
      </rPr>
      <t>VV-3-2-20</t>
    </r>
  </si>
  <si>
    <r>
      <rPr>
        <sz val="8"/>
        <rFont val="Arial"/>
        <family val="2"/>
      </rPr>
      <t>VV-4-2-01</t>
    </r>
  </si>
  <si>
    <r>
      <rPr>
        <sz val="8"/>
        <rFont val="Arial"/>
        <family val="2"/>
      </rPr>
      <t>VV-4-2-02</t>
    </r>
  </si>
  <si>
    <r>
      <rPr>
        <sz val="8"/>
        <rFont val="Arial"/>
        <family val="2"/>
      </rPr>
      <t>VV-4-2-03</t>
    </r>
  </si>
  <si>
    <r>
      <rPr>
        <sz val="8"/>
        <rFont val="Arial"/>
        <family val="2"/>
      </rPr>
      <t>VV-4-2-04</t>
    </r>
  </si>
  <si>
    <r>
      <rPr>
        <sz val="8"/>
        <rFont val="Arial"/>
        <family val="2"/>
      </rPr>
      <t>VV-4-2-05</t>
    </r>
  </si>
  <si>
    <r>
      <rPr>
        <sz val="8"/>
        <rFont val="Arial"/>
        <family val="2"/>
      </rPr>
      <t>VV-4-2-06</t>
    </r>
  </si>
  <si>
    <r>
      <rPr>
        <sz val="8"/>
        <rFont val="Arial"/>
        <family val="2"/>
      </rPr>
      <t>VV-4-2-07</t>
    </r>
  </si>
  <si>
    <r>
      <rPr>
        <sz val="8"/>
        <rFont val="Arial"/>
        <family val="2"/>
      </rPr>
      <t>VV-4-2-08</t>
    </r>
  </si>
  <si>
    <r>
      <rPr>
        <sz val="8"/>
        <rFont val="Arial"/>
        <family val="2"/>
      </rPr>
      <t>VV-4-2-09</t>
    </r>
  </si>
  <si>
    <r>
      <rPr>
        <sz val="8"/>
        <rFont val="Arial"/>
        <family val="2"/>
      </rPr>
      <t>VV-4-2-10</t>
    </r>
  </si>
  <si>
    <r>
      <rPr>
        <sz val="8"/>
        <rFont val="Arial"/>
        <family val="2"/>
      </rPr>
      <t>VV-4-2-11</t>
    </r>
  </si>
  <si>
    <r>
      <rPr>
        <sz val="8"/>
        <rFont val="Arial"/>
        <family val="2"/>
      </rPr>
      <t>VV-4-2-12</t>
    </r>
  </si>
  <si>
    <r>
      <rPr>
        <sz val="8"/>
        <rFont val="Arial"/>
        <family val="2"/>
      </rPr>
      <t>VV-4-2-13</t>
    </r>
  </si>
  <si>
    <r>
      <rPr>
        <sz val="8"/>
        <rFont val="Arial"/>
        <family val="2"/>
      </rPr>
      <t>VV-4-2-14</t>
    </r>
  </si>
  <si>
    <r>
      <rPr>
        <sz val="8"/>
        <rFont val="Arial"/>
        <family val="2"/>
      </rPr>
      <t>VV-4-2-15</t>
    </r>
  </si>
  <si>
    <r>
      <rPr>
        <sz val="8"/>
        <rFont val="Arial"/>
        <family val="2"/>
      </rPr>
      <t>VV-3-3-01</t>
    </r>
  </si>
  <si>
    <r>
      <rPr>
        <sz val="8"/>
        <rFont val="Arial"/>
        <family val="2"/>
      </rPr>
      <t>VV-3-3-02</t>
    </r>
  </si>
  <si>
    <r>
      <rPr>
        <sz val="8"/>
        <rFont val="Arial"/>
        <family val="2"/>
      </rPr>
      <t>VV-3-3-03</t>
    </r>
  </si>
  <si>
    <r>
      <rPr>
        <sz val="8"/>
        <rFont val="Arial"/>
        <family val="2"/>
      </rPr>
      <t>VV-3-3-04</t>
    </r>
  </si>
  <si>
    <r>
      <rPr>
        <sz val="8"/>
        <rFont val="Arial"/>
        <family val="2"/>
      </rPr>
      <t>VV-3-3-05</t>
    </r>
  </si>
  <si>
    <r>
      <rPr>
        <sz val="8"/>
        <rFont val="Arial"/>
        <family val="2"/>
      </rPr>
      <t>VV-3-3-06</t>
    </r>
  </si>
  <si>
    <r>
      <rPr>
        <sz val="8"/>
        <rFont val="Arial"/>
        <family val="2"/>
      </rPr>
      <t>VV-3-3-07</t>
    </r>
  </si>
  <si>
    <r>
      <rPr>
        <sz val="8"/>
        <rFont val="Arial"/>
        <family val="2"/>
      </rPr>
      <t>VV-3-3-08</t>
    </r>
  </si>
  <si>
    <r>
      <rPr>
        <sz val="8"/>
        <rFont val="Arial"/>
        <family val="2"/>
      </rPr>
      <t>VV-3-3-09</t>
    </r>
  </si>
  <si>
    <r>
      <rPr>
        <sz val="8"/>
        <rFont val="Arial"/>
        <family val="2"/>
      </rPr>
      <t>VV-3-3-10</t>
    </r>
  </si>
  <si>
    <r>
      <rPr>
        <sz val="8"/>
        <rFont val="Arial"/>
        <family val="2"/>
      </rPr>
      <t>VV-3-3-11</t>
    </r>
  </si>
  <si>
    <r>
      <rPr>
        <sz val="8"/>
        <rFont val="Arial"/>
        <family val="2"/>
      </rPr>
      <t>VV-3-3-12</t>
    </r>
  </si>
  <si>
    <r>
      <rPr>
        <sz val="8"/>
        <rFont val="Arial"/>
        <family val="2"/>
      </rPr>
      <t>VV-3-3-13</t>
    </r>
  </si>
  <si>
    <r>
      <rPr>
        <sz val="8"/>
        <rFont val="Arial"/>
        <family val="2"/>
      </rPr>
      <t>VV-3-3-14</t>
    </r>
  </si>
  <si>
    <r>
      <rPr>
        <sz val="8"/>
        <rFont val="Arial"/>
        <family val="2"/>
      </rPr>
      <t>VV-3-3-15</t>
    </r>
  </si>
  <si>
    <r>
      <rPr>
        <sz val="8"/>
        <rFont val="Arial"/>
        <family val="2"/>
      </rPr>
      <t>VV-3-3-16</t>
    </r>
  </si>
  <si>
    <r>
      <rPr>
        <sz val="8"/>
        <rFont val="Arial"/>
        <family val="2"/>
      </rPr>
      <t>VV-3-3-17</t>
    </r>
  </si>
  <si>
    <r>
      <rPr>
        <sz val="8"/>
        <rFont val="Arial"/>
        <family val="2"/>
      </rPr>
      <t>VV-3-3-18</t>
    </r>
  </si>
  <si>
    <r>
      <rPr>
        <sz val="8"/>
        <rFont val="Arial"/>
        <family val="2"/>
      </rPr>
      <t>VV-3-3-19</t>
    </r>
  </si>
  <si>
    <r>
      <rPr>
        <sz val="8"/>
        <rFont val="Arial"/>
        <family val="2"/>
      </rPr>
      <t>VV-4-3-01</t>
    </r>
  </si>
  <si>
    <r>
      <rPr>
        <sz val="8"/>
        <rFont val="Arial"/>
        <family val="2"/>
      </rPr>
      <t>VV-4-3-02</t>
    </r>
  </si>
  <si>
    <r>
      <rPr>
        <sz val="8"/>
        <rFont val="Arial"/>
        <family val="2"/>
      </rPr>
      <t>VV-4-3-03</t>
    </r>
  </si>
  <si>
    <r>
      <rPr>
        <sz val="8"/>
        <rFont val="Arial"/>
        <family val="2"/>
      </rPr>
      <t>VV-4-3-04</t>
    </r>
  </si>
  <si>
    <r>
      <rPr>
        <sz val="8"/>
        <rFont val="Arial"/>
        <family val="2"/>
      </rPr>
      <t>VV-4-3-05</t>
    </r>
  </si>
  <si>
    <r>
      <rPr>
        <sz val="8"/>
        <rFont val="Arial"/>
        <family val="2"/>
      </rPr>
      <t>VV-4-3-06</t>
    </r>
  </si>
  <si>
    <r>
      <rPr>
        <sz val="8"/>
        <rFont val="Arial"/>
        <family val="2"/>
      </rPr>
      <t>VV-4-3-07</t>
    </r>
  </si>
  <si>
    <r>
      <rPr>
        <sz val="8"/>
        <rFont val="Arial"/>
        <family val="2"/>
      </rPr>
      <t>VV-4-3-08</t>
    </r>
  </si>
  <si>
    <r>
      <rPr>
        <sz val="8"/>
        <rFont val="Arial"/>
        <family val="2"/>
      </rPr>
      <t>VV-4-3-09</t>
    </r>
  </si>
  <si>
    <r>
      <rPr>
        <sz val="8"/>
        <rFont val="Arial"/>
        <family val="2"/>
      </rPr>
      <t>VV-4-3-10</t>
    </r>
  </si>
  <si>
    <r>
      <rPr>
        <sz val="8"/>
        <rFont val="Arial"/>
        <family val="2"/>
      </rPr>
      <t>VV-4-3-11</t>
    </r>
  </si>
  <si>
    <r>
      <rPr>
        <sz val="8"/>
        <rFont val="Arial"/>
        <family val="2"/>
      </rPr>
      <t>VV-4-3-12</t>
    </r>
  </si>
  <si>
    <r>
      <rPr>
        <sz val="8"/>
        <rFont val="Arial"/>
        <family val="2"/>
      </rPr>
      <t>VV-4-3-13</t>
    </r>
  </si>
  <si>
    <r>
      <rPr>
        <sz val="8"/>
        <rFont val="Arial"/>
        <family val="2"/>
      </rPr>
      <t>VV-4-3-14</t>
    </r>
  </si>
  <si>
    <r>
      <rPr>
        <sz val="8"/>
        <rFont val="Arial"/>
        <family val="2"/>
      </rPr>
      <t>VV-4-3-15</t>
    </r>
  </si>
  <si>
    <r>
      <rPr>
        <sz val="8"/>
        <rFont val="Arial"/>
        <family val="2"/>
      </rPr>
      <t>VV-4-3-16</t>
    </r>
  </si>
  <si>
    <r>
      <rPr>
        <sz val="8"/>
        <rFont val="Arial"/>
        <family val="2"/>
      </rPr>
      <t>VV-4-3-17</t>
    </r>
  </si>
  <si>
    <r>
      <rPr>
        <sz val="8"/>
        <rFont val="Arial"/>
        <family val="2"/>
      </rPr>
      <t>VV-4-3-18</t>
    </r>
  </si>
  <si>
    <r>
      <rPr>
        <sz val="8"/>
        <rFont val="Arial"/>
        <family val="2"/>
      </rPr>
      <t>VV-4-3-20</t>
    </r>
  </si>
  <si>
    <r>
      <rPr>
        <sz val="8"/>
        <rFont val="Arial"/>
        <family val="2"/>
      </rPr>
      <t>VV-4-3-21</t>
    </r>
  </si>
  <si>
    <r>
      <rPr>
        <sz val="8"/>
        <rFont val="Arial"/>
        <family val="2"/>
      </rPr>
      <t>VV-4-3-22</t>
    </r>
  </si>
  <si>
    <r>
      <rPr>
        <sz val="8"/>
        <rFont val="Arial"/>
        <family val="2"/>
      </rPr>
      <t>FCV-1-0-1</t>
    </r>
  </si>
  <si>
    <r>
      <rPr>
        <sz val="8"/>
        <rFont val="Arial"/>
        <family val="2"/>
      </rPr>
      <t>FCV-1-0-2</t>
    </r>
  </si>
  <si>
    <r>
      <rPr>
        <sz val="8"/>
        <rFont val="Arial"/>
        <family val="2"/>
      </rPr>
      <t>FCV-1-0-3</t>
    </r>
  </si>
  <si>
    <r>
      <rPr>
        <sz val="8"/>
        <rFont val="Arial"/>
        <family val="2"/>
      </rPr>
      <t>FCV-1-0-4</t>
    </r>
  </si>
  <si>
    <r>
      <rPr>
        <sz val="8"/>
        <rFont val="Arial"/>
        <family val="2"/>
      </rPr>
      <t>FCV-1-0-5</t>
    </r>
  </si>
  <si>
    <r>
      <rPr>
        <sz val="8"/>
        <rFont val="Arial"/>
        <family val="2"/>
      </rPr>
      <t>FCV-1-0-6</t>
    </r>
  </si>
  <si>
    <r>
      <rPr>
        <sz val="8"/>
        <rFont val="Arial"/>
        <family val="2"/>
      </rPr>
      <t>FCV-1-0-7</t>
    </r>
  </si>
  <si>
    <r>
      <rPr>
        <sz val="8"/>
        <rFont val="Arial"/>
        <family val="2"/>
      </rPr>
      <t>FCV-2-0-1</t>
    </r>
  </si>
  <si>
    <r>
      <rPr>
        <sz val="8"/>
        <rFont val="Arial"/>
        <family val="2"/>
      </rPr>
      <t>FCV-2-0-2</t>
    </r>
  </si>
  <si>
    <r>
      <rPr>
        <sz val="8"/>
        <rFont val="Arial"/>
        <family val="2"/>
      </rPr>
      <t>FCV-2-0-3</t>
    </r>
  </si>
  <si>
    <r>
      <rPr>
        <sz val="8"/>
        <rFont val="Arial"/>
        <family val="2"/>
      </rPr>
      <t>FCV-2-0-4</t>
    </r>
  </si>
  <si>
    <r>
      <rPr>
        <sz val="8"/>
        <rFont val="Arial"/>
        <family val="2"/>
      </rPr>
      <t>FCV-2-0-5</t>
    </r>
  </si>
  <si>
    <r>
      <rPr>
        <sz val="8"/>
        <rFont val="Arial"/>
        <family val="2"/>
      </rPr>
      <t>FCV-2-0-6</t>
    </r>
  </si>
  <si>
    <r>
      <rPr>
        <sz val="8"/>
        <rFont val="Arial"/>
        <family val="2"/>
      </rPr>
      <t>FCV-2-0-7</t>
    </r>
  </si>
  <si>
    <r>
      <rPr>
        <sz val="8"/>
        <rFont val="Arial"/>
        <family val="2"/>
      </rPr>
      <t>FCV-2-3-1</t>
    </r>
  </si>
  <si>
    <r>
      <rPr>
        <sz val="8"/>
        <rFont val="Arial"/>
        <family val="2"/>
      </rPr>
      <t>FCV-2-3-2</t>
    </r>
  </si>
  <si>
    <r>
      <rPr>
        <sz val="8"/>
        <rFont val="Arial"/>
        <family val="2"/>
      </rPr>
      <t>VVE-3-1-02</t>
    </r>
  </si>
  <si>
    <r>
      <rPr>
        <sz val="8"/>
        <rFont val="Arial"/>
        <family val="2"/>
      </rPr>
      <t>VVE-4-1-01</t>
    </r>
  </si>
  <si>
    <r>
      <rPr>
        <sz val="8"/>
        <rFont val="Arial"/>
        <family val="2"/>
      </rPr>
      <t>VVE-3-2-01</t>
    </r>
  </si>
  <si>
    <r>
      <rPr>
        <sz val="8"/>
        <rFont val="Arial"/>
        <family val="2"/>
      </rPr>
      <t>VVE-4-2-01</t>
    </r>
  </si>
  <si>
    <r>
      <rPr>
        <sz val="8"/>
        <rFont val="Arial"/>
        <family val="2"/>
      </rPr>
      <t>VVE-3-3-01</t>
    </r>
  </si>
  <si>
    <r>
      <rPr>
        <sz val="8"/>
        <rFont val="Arial"/>
        <family val="2"/>
      </rPr>
      <t>VVE-4-3-01</t>
    </r>
  </si>
  <si>
    <t>Name</t>
  </si>
  <si>
    <t>Location</t>
  </si>
  <si>
    <t>Description</t>
  </si>
  <si>
    <t>Device instance
number</t>
  </si>
  <si>
    <t>Equipment ID</t>
  </si>
  <si>
    <t>Serial number</t>
  </si>
  <si>
    <t>Application template</t>
  </si>
  <si>
    <t>Application number</t>
  </si>
  <si>
    <t>Network</t>
  </si>
  <si>
    <t>Auto addressing</t>
  </si>
  <si>
    <t>MAC address</t>
  </si>
  <si>
    <t>Max master
address</t>
  </si>
  <si>
    <t>Baud rate</t>
  </si>
  <si>
    <t>Cooling setpoint for comfort
Default command
[°F]</t>
  </si>
  <si>
    <t>Delta cooling setpoint for pre-comfort
Present value
[°F]</t>
  </si>
  <si>
    <t>Cooling setpoint for economy
Present value
[°F]</t>
  </si>
  <si>
    <t>Heating setpoint for comfort
Default command
[°F]</t>
  </si>
  <si>
    <t>Delta heating setpoint for pre-comfort
Present value
[°F]</t>
  </si>
  <si>
    <t>Heating setpoint for economy
Present value
[°F]</t>
  </si>
  <si>
    <t>Ventilation control
Minimum room air volume flow for comfort
[ft3/min]</t>
  </si>
  <si>
    <t>Ventilation control
Min.room air volume flow for pre-comfort
[ft3/min]</t>
  </si>
  <si>
    <t>Ventilation control
Minimum room air volume flow for economy
[ft3/min]</t>
  </si>
  <si>
    <t>Supply air VAV dimension A
Present value
[in]</t>
  </si>
  <si>
    <t>Supply air VAV max.air vol.flow f.cool.
Present value
[ft3/min]</t>
  </si>
  <si>
    <t>Supply air VAV min.air vol.flow f.cool.
Present value
[ft3/min]</t>
  </si>
  <si>
    <t>Supply air VAV max.air vol.flow f.heat.
Present value
[ft3/min]</t>
  </si>
  <si>
    <t>Supply air VAV min.air vol.flow f.heat.
Present value
[ft3/min]</t>
  </si>
  <si>
    <t>Supply air VAV max.air vol.flow f.vent.
Present value
[ft3/min]</t>
  </si>
  <si>
    <t>Supply air VAV min.air vol.flow f.vent.
Present value
[ft3/min]</t>
  </si>
  <si>
    <t>Room
hierarchy</t>
  </si>
  <si>
    <t>Room
name</t>
  </si>
  <si>
    <t>Segment
hierarchy</t>
  </si>
  <si>
    <t>Segment
name</t>
  </si>
  <si>
    <t>Guid</t>
  </si>
  <si>
    <t>ACC.RGC.VV-3-0-10</t>
  </si>
  <si>
    <t>ACC.RGC.VV-3-1-06</t>
  </si>
  <si>
    <t>ACC.RGC.VV-3-1-07</t>
  </si>
  <si>
    <t>ACC.RGC.VV-3-1-08</t>
  </si>
  <si>
    <t>ACC.RGC.VV-3-1-09</t>
  </si>
  <si>
    <t>ACC.RGC.VV-3-1-10</t>
  </si>
  <si>
    <t>ACC.RGC.VV-3-1-11</t>
  </si>
  <si>
    <t>ACC.RGC.VV-3-2-05</t>
  </si>
  <si>
    <t>ACC.RGC.VV-3-2-06</t>
  </si>
  <si>
    <t>ACC.RGC.VV-3-2-07</t>
  </si>
  <si>
    <t>ACC.RGC.VV-3-2-08</t>
  </si>
  <si>
    <t>ACC.RGC.VV-3-2-09</t>
  </si>
  <si>
    <t>ACC.RGC.VV-3-2-10</t>
  </si>
  <si>
    <t>ACC.RGC.VV-3-2-11</t>
  </si>
  <si>
    <t>ACC.RGC.VV-3-2-12</t>
  </si>
  <si>
    <t>ACC.RGC.VV-3-2-13</t>
  </si>
  <si>
    <t>ACC.RGC.VV-3-2-15</t>
  </si>
  <si>
    <t>ACC.RGC.VV-3-2-16</t>
  </si>
  <si>
    <t>ACC.RGC.VV-3-2-17</t>
  </si>
  <si>
    <t>ACC.RGC.VV-3-2-18</t>
  </si>
  <si>
    <t>ACC.RGC.VV-3-2-19</t>
  </si>
  <si>
    <t>ACC.RGC.VV-3-0-01</t>
  </si>
  <si>
    <t>ACC.RGC.VV-3-0-02</t>
  </si>
  <si>
    <t>ACC.RGC.VV-3-0-03</t>
  </si>
  <si>
    <t>ACC.RGC.VV-3-0-04</t>
  </si>
  <si>
    <t>ACC.RGC.VV-3-0-05</t>
  </si>
  <si>
    <t>ACC.RGC.VV-3-0-06</t>
  </si>
  <si>
    <t>ACC.RGC.VV-3-0-07</t>
  </si>
  <si>
    <t>ACC.RGC.VV-3-0-08</t>
  </si>
  <si>
    <t>ACC.RGC.VV-3-0-09</t>
  </si>
  <si>
    <t>ACC.RGC.VV-3-0-11</t>
  </si>
  <si>
    <t>ACC.RGC.VV-3-0-12</t>
  </si>
  <si>
    <t>ACC.RGC.VV-3-1-01</t>
  </si>
  <si>
    <t>ACC.RGC.VV-3-1-03</t>
  </si>
  <si>
    <t>ACC.RGC.VV-3-1-04</t>
  </si>
  <si>
    <t>ACC.RGC.VV-3-1-05</t>
  </si>
  <si>
    <t>ACC.RGC.VV-3-1-12</t>
  </si>
  <si>
    <t>ACC.RGC.VV-3-1-13</t>
  </si>
  <si>
    <t>ACC.RGC.VV-3-2-01</t>
  </si>
  <si>
    <t>ACC.RGC.VV-3-2-02</t>
  </si>
  <si>
    <t>ACC.RGC.VV-3-2-03</t>
  </si>
  <si>
    <t>ACC.RGC.VV-3-2-04</t>
  </si>
  <si>
    <t>ACC.RGC.VV-3-2-14</t>
  </si>
  <si>
    <t>ACC.RGC.VV-3-2-20</t>
  </si>
  <si>
    <t>ACC.RGC.VV-4-0-10</t>
  </si>
  <si>
    <t>ACC.RGC.VV-4-1-06</t>
  </si>
  <si>
    <t>ACC.RGC.VV-4-1-07</t>
  </si>
  <si>
    <t>ACC.RGC.VV-4-1-08</t>
  </si>
  <si>
    <t>ACC.RGC.VV-4-1-09</t>
  </si>
  <si>
    <t>ACC.RGC.VV-4-1-10</t>
  </si>
  <si>
    <t>ACC.RGC.VV-4-1-11</t>
  </si>
  <si>
    <t>ACC.RGC.VV-4-1-12</t>
  </si>
  <si>
    <t>ACC.RGC.VV-4-2-04</t>
  </si>
  <si>
    <t>ACC.RGC.VV-4-2-06</t>
  </si>
  <si>
    <t>ACC.RGC.VV-4-2-07</t>
  </si>
  <si>
    <t>ACC.RGC.VV-4-2-08</t>
  </si>
  <si>
    <t>ACC.RGC.VV-4-2-09</t>
  </si>
  <si>
    <t>ACC.RGC.VV-4-2-15</t>
  </si>
  <si>
    <t>ACC.RGC.VV-4-0-01</t>
  </si>
  <si>
    <t>ACC.RGC.VV-4-0-02</t>
  </si>
  <si>
    <t>ACC.RGC.VV-4-0-03</t>
  </si>
  <si>
    <t>ACC.RGC.VV-4-0-04</t>
  </si>
  <si>
    <t>ACC.RGC.VV-4-0-05</t>
  </si>
  <si>
    <t>ACC.RGC.VV-4-0-06</t>
  </si>
  <si>
    <t>ACC.RGC.VV-4-0-07</t>
  </si>
  <si>
    <t>ACC.RGC.VV-4-0-08</t>
  </si>
  <si>
    <t>ACC.RGC.VV-4-0-09</t>
  </si>
  <si>
    <t>ACC.RGC.VV-4-1-01</t>
  </si>
  <si>
    <t>ACC.RGC.VV-4-1-03</t>
  </si>
  <si>
    <t>ACC.RGC.VV-4-1-04</t>
  </si>
  <si>
    <t>ACC.RGC.VV-4-1-05</t>
  </si>
  <si>
    <t>ACC.RGC.VV-4-1-13</t>
  </si>
  <si>
    <t>ACC.RGC.VV-4-2-01</t>
  </si>
  <si>
    <t>ACC.RGC.VV-4-2-02</t>
  </si>
  <si>
    <t>ACC.RGC.VV-4-2-03</t>
  </si>
  <si>
    <t>ACC.RGC.VV-4-2-05</t>
  </si>
  <si>
    <t>ACC.RGC.VV-4-2-10</t>
  </si>
  <si>
    <t>ACC.RGC.VV-4-2-11</t>
  </si>
  <si>
    <t>ACC.RGC.VV-4-2-12</t>
  </si>
  <si>
    <t>ACC.RGC.VV-4-2-14</t>
  </si>
  <si>
    <t>ACC.RGC.VV-4-2-13</t>
  </si>
  <si>
    <t>ACC.RGC.VV-3-3-18</t>
  </si>
  <si>
    <t>ACC.RGC.VV-3-3-17</t>
  </si>
  <si>
    <t>ACC.RGC.VV-3-3-16</t>
  </si>
  <si>
    <t>ACC.RGC.VV-3-3-15</t>
  </si>
  <si>
    <t>ACC.RGC.VV-3-3-14</t>
  </si>
  <si>
    <t>ACC.RGC.VV-3-3-13</t>
  </si>
  <si>
    <t>ACC.RGC.VV-3-3-12</t>
  </si>
  <si>
    <t>ACC.RGC.VV-3-3-11</t>
  </si>
  <si>
    <t>ACC.RGC.VV-3-3-09</t>
  </si>
  <si>
    <t>ACC.RGC.VV-3-3-08</t>
  </si>
  <si>
    <t>ACC.RGC.VV-3-3-07</t>
  </si>
  <si>
    <t>ACC.RGC.VV-3-3-06</t>
  </si>
  <si>
    <t>ACC.RGC.VV-3-3-05</t>
  </si>
  <si>
    <t>ACC.RGC.VV-4-3-20</t>
  </si>
  <si>
    <t>ACC.RGC.VV-4-3-17</t>
  </si>
  <si>
    <t>ACC.RGC.VV-4-3-16</t>
  </si>
  <si>
    <t>ACC.RGC.VV-4-3-15</t>
  </si>
  <si>
    <t>ACC.RGC.VV-4-3-06</t>
  </si>
  <si>
    <t>ACC.RGC.VV-4-3-05</t>
  </si>
  <si>
    <t>ACC.RGC.VV-4-3-02</t>
  </si>
  <si>
    <t>ACC.RGC.VV-4-3-21</t>
  </si>
  <si>
    <t>ACC.RGC.VV-4-3-14</t>
  </si>
  <si>
    <t>ACC.RGC.VV-4-3-13</t>
  </si>
  <si>
    <t>ACC.RGC.VV-4-3-12</t>
  </si>
  <si>
    <t>ACC.RGC.VV-4-3-11</t>
  </si>
  <si>
    <t>ACC.RGC.VV-4-3-10</t>
  </si>
  <si>
    <t>ACC.RGC.VV-4-3-09</t>
  </si>
  <si>
    <t>ACC.RGC.VV-4-3-08</t>
  </si>
  <si>
    <t>ACC.RGC.VV-4-3-07</t>
  </si>
  <si>
    <t>ACC.RGC.VV-4-3-04</t>
  </si>
  <si>
    <t>ACC.RGC.VV-4-3-03</t>
  </si>
  <si>
    <t>ACC.RGC.VV-4-3-01</t>
  </si>
  <si>
    <t>ACC.RGC.VV-3-3-19</t>
  </si>
  <si>
    <t>ACC.RGC.VV-4-3-22</t>
  </si>
  <si>
    <t>ACC.RGC.VV-3-3-10</t>
  </si>
  <si>
    <t>ACC.RGC.VV-3-3-04</t>
  </si>
  <si>
    <t>ACC.RGC.VV-3-3-03</t>
  </si>
  <si>
    <t>ACC.RGC.VV-3-3-02</t>
  </si>
  <si>
    <t>ACC.RGC.VV-3-3-01</t>
  </si>
  <si>
    <t>~</t>
  </si>
  <si>
    <t>Flr</t>
  </si>
  <si>
    <t>M-306</t>
  </si>
  <si>
    <t>M-305</t>
  </si>
  <si>
    <r>
      <rPr>
        <b/>
        <sz val="12"/>
        <rFont val="Arial"/>
        <family val="2"/>
      </rPr>
      <t>SCHEDULE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-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SINGLE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DUCT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TERMINAL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BOX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(HEATING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WATER)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SERVING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CHILLED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BEAMS</t>
    </r>
  </si>
  <si>
    <r>
      <rPr>
        <b/>
        <sz val="8"/>
        <rFont val="Arial"/>
        <family val="2"/>
      </rPr>
      <t>MARK</t>
    </r>
  </si>
  <si>
    <r>
      <rPr>
        <b/>
        <sz val="8"/>
        <rFont val="Arial"/>
        <family val="2"/>
      </rPr>
      <t>LEVEL</t>
    </r>
  </si>
  <si>
    <r>
      <rPr>
        <b/>
        <sz val="8"/>
        <rFont val="Arial"/>
        <family val="2"/>
      </rPr>
      <t>BOX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TYPE</t>
    </r>
  </si>
  <si>
    <r>
      <rPr>
        <b/>
        <sz val="8"/>
        <rFont val="Arial"/>
        <family val="2"/>
      </rPr>
      <t>SERVED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AHU/FAN</t>
    </r>
  </si>
  <si>
    <r>
      <rPr>
        <b/>
        <sz val="8"/>
        <rFont val="Arial"/>
        <family val="2"/>
      </rPr>
      <t>PRIMARY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AIR</t>
    </r>
  </si>
  <si>
    <r>
      <rPr>
        <b/>
        <sz val="8"/>
        <rFont val="Arial"/>
        <family val="2"/>
      </rPr>
      <t>UO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CFM</t>
    </r>
  </si>
  <si>
    <r>
      <rPr>
        <b/>
        <sz val="8"/>
        <rFont val="Arial"/>
        <family val="2"/>
      </rPr>
      <t>BOX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INLET</t>
    </r>
  </si>
  <si>
    <r>
      <rPr>
        <b/>
        <sz val="8"/>
        <rFont val="Arial"/>
        <family val="2"/>
      </rPr>
      <t>MAX
S.P.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WG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</si>
  <si>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COIL</t>
    </r>
  </si>
  <si>
    <r>
      <rPr>
        <b/>
        <sz val="8"/>
        <rFont val="Arial"/>
        <family val="2"/>
      </rPr>
      <t>REMARKS</t>
    </r>
  </si>
  <si>
    <r>
      <rPr>
        <b/>
        <sz val="8"/>
        <rFont val="Arial"/>
        <family val="2"/>
      </rPr>
      <t>MAX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(CFM)</t>
    </r>
  </si>
  <si>
    <r>
      <rPr>
        <b/>
        <sz val="8"/>
        <rFont val="Arial"/>
        <family val="2"/>
      </rPr>
      <t>MIN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(CFM)</t>
    </r>
  </si>
  <si>
    <t>CFM</t>
  </si>
  <si>
    <r>
      <rPr>
        <b/>
        <sz val="8"/>
        <rFont val="Arial"/>
        <family val="2"/>
      </rPr>
      <t>EAT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(F)</t>
    </r>
  </si>
  <si>
    <r>
      <rPr>
        <b/>
        <sz val="8"/>
        <rFont val="Arial"/>
        <family val="2"/>
      </rPr>
      <t>LAT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(F)</t>
    </r>
  </si>
  <si>
    <t>MBH</t>
  </si>
  <si>
    <r>
      <rPr>
        <b/>
        <sz val="8"/>
        <rFont val="Arial"/>
        <family val="2"/>
      </rPr>
      <t>ENTERING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(F)</t>
    </r>
  </si>
  <si>
    <r>
      <rPr>
        <b/>
        <sz val="8"/>
        <rFont val="Arial"/>
        <family val="2"/>
      </rPr>
      <t>LEAVING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(F)</t>
    </r>
  </si>
  <si>
    <t>GPM</t>
  </si>
  <si>
    <r>
      <rPr>
        <b/>
        <sz val="8"/>
        <rFont val="Arial"/>
        <family val="2"/>
      </rPr>
      <t>MAX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ROWS</t>
    </r>
  </si>
  <si>
    <r>
      <rPr>
        <sz val="8"/>
        <rFont val="Arial"/>
        <family val="2"/>
      </rPr>
      <t>Level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0</t>
    </r>
  </si>
  <si>
    <r>
      <rPr>
        <sz val="8"/>
        <rFont val="Arial"/>
        <family val="2"/>
      </rPr>
      <t>VAV</t>
    </r>
  </si>
  <si>
    <r>
      <rPr>
        <sz val="8"/>
        <rFont val="Arial"/>
        <family val="2"/>
      </rPr>
      <t>AHU-CB-1</t>
    </r>
  </si>
  <si>
    <r>
      <rPr>
        <sz val="8"/>
        <rFont val="Arial"/>
        <family val="2"/>
      </rPr>
      <t>AHU-CB-2</t>
    </r>
  </si>
  <si>
    <r>
      <rPr>
        <sz val="8"/>
        <rFont val="Arial"/>
        <family val="2"/>
      </rPr>
      <t>Level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1</t>
    </r>
  </si>
  <si>
    <r>
      <rPr>
        <sz val="8"/>
        <rFont val="Arial"/>
        <family val="2"/>
      </rPr>
      <t>VVE-3-1-01</t>
    </r>
  </si>
  <si>
    <r>
      <rPr>
        <sz val="8"/>
        <rFont val="Arial"/>
        <family val="2"/>
      </rPr>
      <t>NOTE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1</t>
    </r>
  </si>
  <si>
    <r>
      <rPr>
        <sz val="8"/>
        <rFont val="Arial"/>
        <family val="2"/>
      </rPr>
      <t>Level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2</t>
    </r>
  </si>
  <si>
    <r>
      <rPr>
        <sz val="8"/>
        <rFont val="Arial"/>
        <family val="2"/>
      </rPr>
      <t>Level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3</t>
    </r>
  </si>
  <si>
    <r>
      <rPr>
        <b/>
        <sz val="12"/>
        <rFont val="Arial"/>
        <family val="2"/>
      </rPr>
      <t>SCHEDULE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-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SINGLE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DUCT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TERMINAL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BOX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(HEATING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WATER)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SERVING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VAV</t>
    </r>
    <r>
      <rPr>
        <b/>
        <sz val="12"/>
        <rFont val="Times New Roman"/>
        <family val="1"/>
      </rPr>
      <t xml:space="preserve"> </t>
    </r>
    <r>
      <rPr>
        <b/>
        <sz val="12"/>
        <rFont val="Arial"/>
        <family val="2"/>
      </rPr>
      <t>SYSTEM</t>
    </r>
  </si>
  <si>
    <r>
      <rPr>
        <b/>
        <sz val="8"/>
        <rFont val="Arial"/>
        <family val="2"/>
      </rPr>
      <t xml:space="preserve">MAX
</t>
    </r>
    <r>
      <rPr>
        <b/>
        <sz val="8"/>
        <rFont val="Arial"/>
        <family val="2"/>
      </rPr>
      <t>S.P.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WG</t>
    </r>
  </si>
  <si>
    <r>
      <rPr>
        <b/>
        <sz val="8"/>
        <rFont val="Arial"/>
        <family val="2"/>
      </rPr>
      <t>CFM</t>
    </r>
  </si>
  <si>
    <r>
      <rPr>
        <b/>
        <sz val="8"/>
        <rFont val="Arial"/>
        <family val="2"/>
      </rPr>
      <t>MBH</t>
    </r>
  </si>
  <si>
    <r>
      <rPr>
        <b/>
        <sz val="8"/>
        <rFont val="Arial"/>
        <family val="2"/>
      </rPr>
      <t>GPM</t>
    </r>
  </si>
  <si>
    <r>
      <rPr>
        <sz val="8"/>
        <rFont val="Arial"/>
        <family val="2"/>
      </rPr>
      <t>VV-1-0-01</t>
    </r>
  </si>
  <si>
    <r>
      <rPr>
        <sz val="8"/>
        <rFont val="Arial"/>
        <family val="2"/>
      </rPr>
      <t>AHU-VAV-1</t>
    </r>
  </si>
  <si>
    <r>
      <rPr>
        <sz val="8"/>
        <rFont val="Arial"/>
        <family val="2"/>
      </rPr>
      <t>VV-1-0-02</t>
    </r>
  </si>
  <si>
    <r>
      <rPr>
        <sz val="8"/>
        <rFont val="Arial"/>
        <family val="2"/>
      </rPr>
      <t>VV-1-0-03</t>
    </r>
  </si>
  <si>
    <r>
      <rPr>
        <sz val="8"/>
        <rFont val="Arial"/>
        <family val="2"/>
      </rPr>
      <t>VV-1-0-04</t>
    </r>
  </si>
  <si>
    <r>
      <rPr>
        <sz val="8"/>
        <rFont val="Arial"/>
        <family val="2"/>
      </rPr>
      <t>VV-1-0-05</t>
    </r>
  </si>
  <si>
    <r>
      <rPr>
        <sz val="8"/>
        <rFont val="Arial"/>
        <family val="2"/>
      </rPr>
      <t>VV-1-0-06</t>
    </r>
  </si>
  <si>
    <r>
      <rPr>
        <sz val="8"/>
        <rFont val="Arial"/>
        <family val="2"/>
      </rPr>
      <t>VV-2-0-01</t>
    </r>
  </si>
  <si>
    <r>
      <rPr>
        <sz val="8"/>
        <rFont val="Arial"/>
        <family val="2"/>
      </rPr>
      <t>AHU-VAV-2</t>
    </r>
  </si>
  <si>
    <r>
      <rPr>
        <sz val="8"/>
        <rFont val="Arial"/>
        <family val="2"/>
      </rPr>
      <t>VV-2-0-02</t>
    </r>
  </si>
  <si>
    <r>
      <rPr>
        <sz val="8"/>
        <rFont val="Arial"/>
        <family val="2"/>
      </rPr>
      <t>VV-2-0-03</t>
    </r>
  </si>
  <si>
    <r>
      <rPr>
        <sz val="8"/>
        <rFont val="Arial"/>
        <family val="2"/>
      </rPr>
      <t>VV-2-0-04</t>
    </r>
  </si>
  <si>
    <r>
      <rPr>
        <sz val="8"/>
        <rFont val="Arial"/>
        <family val="2"/>
      </rPr>
      <t>VV-2-0-05</t>
    </r>
  </si>
  <si>
    <r>
      <rPr>
        <sz val="8"/>
        <rFont val="Arial"/>
        <family val="2"/>
      </rPr>
      <t>VV-2-0-06</t>
    </r>
  </si>
  <si>
    <r>
      <rPr>
        <sz val="8"/>
        <rFont val="Arial"/>
        <family val="2"/>
      </rPr>
      <t>VV-2-0-07</t>
    </r>
  </si>
  <si>
    <r>
      <rPr>
        <sz val="8"/>
        <rFont val="Arial"/>
        <family val="2"/>
      </rPr>
      <t>VV-1-1-01</t>
    </r>
  </si>
  <si>
    <r>
      <rPr>
        <sz val="8"/>
        <rFont val="Arial"/>
        <family val="2"/>
      </rPr>
      <t>VV-1-1-02</t>
    </r>
  </si>
  <si>
    <r>
      <rPr>
        <sz val="8"/>
        <rFont val="Arial"/>
        <family val="2"/>
      </rPr>
      <t>VV-1-1-03</t>
    </r>
  </si>
  <si>
    <r>
      <rPr>
        <sz val="8"/>
        <rFont val="Arial"/>
        <family val="2"/>
      </rPr>
      <t>VV-1-1-04</t>
    </r>
  </si>
  <si>
    <r>
      <rPr>
        <sz val="8"/>
        <rFont val="Arial"/>
        <family val="2"/>
      </rPr>
      <t>VV-1-1-05</t>
    </r>
  </si>
  <si>
    <r>
      <rPr>
        <sz val="8"/>
        <rFont val="Arial"/>
        <family val="2"/>
      </rPr>
      <t>VV-1-1-06</t>
    </r>
  </si>
  <si>
    <r>
      <rPr>
        <sz val="8"/>
        <rFont val="Arial"/>
        <family val="2"/>
      </rPr>
      <t>VV-1-1-07</t>
    </r>
  </si>
  <si>
    <r>
      <rPr>
        <sz val="8"/>
        <rFont val="Arial"/>
        <family val="2"/>
      </rPr>
      <t>VV-1-1-08</t>
    </r>
  </si>
  <si>
    <r>
      <rPr>
        <sz val="8"/>
        <rFont val="Arial"/>
        <family val="2"/>
      </rPr>
      <t>VV-1-1-09</t>
    </r>
  </si>
  <si>
    <r>
      <rPr>
        <sz val="8"/>
        <rFont val="Arial"/>
        <family val="2"/>
      </rPr>
      <t>VV-1-1-10</t>
    </r>
  </si>
  <si>
    <r>
      <rPr>
        <sz val="8"/>
        <rFont val="Arial"/>
        <family val="2"/>
      </rPr>
      <t>VV-1-1-11</t>
    </r>
  </si>
  <si>
    <r>
      <rPr>
        <sz val="8"/>
        <rFont val="Arial"/>
        <family val="2"/>
      </rPr>
      <t>VV-2-2-01</t>
    </r>
  </si>
  <si>
    <r>
      <rPr>
        <sz val="8"/>
        <rFont val="Arial"/>
        <family val="2"/>
      </rPr>
      <t>VV-2-2-02</t>
    </r>
  </si>
  <si>
    <r>
      <rPr>
        <sz val="8"/>
        <rFont val="Arial"/>
        <family val="2"/>
      </rPr>
      <t>VV-2-2-03</t>
    </r>
  </si>
  <si>
    <r>
      <rPr>
        <sz val="8"/>
        <rFont val="Arial"/>
        <family val="2"/>
      </rPr>
      <t>VV-2-2-04</t>
    </r>
  </si>
  <si>
    <r>
      <rPr>
        <sz val="8"/>
        <rFont val="Arial"/>
        <family val="2"/>
      </rPr>
      <t>VV-2-2-05</t>
    </r>
  </si>
  <si>
    <r>
      <rPr>
        <sz val="8"/>
        <rFont val="Arial"/>
        <family val="2"/>
      </rPr>
      <t>VV-2-2-06</t>
    </r>
  </si>
  <si>
    <r>
      <rPr>
        <sz val="8"/>
        <rFont val="Arial"/>
        <family val="2"/>
      </rPr>
      <t>VV-2-2-07</t>
    </r>
  </si>
  <si>
    <r>
      <rPr>
        <sz val="8"/>
        <rFont val="Arial"/>
        <family val="2"/>
      </rPr>
      <t>VV-2-2-08</t>
    </r>
  </si>
  <si>
    <r>
      <rPr>
        <sz val="8"/>
        <rFont val="Arial"/>
        <family val="2"/>
      </rPr>
      <t>VV-2-2-09</t>
    </r>
  </si>
  <si>
    <r>
      <rPr>
        <sz val="8"/>
        <rFont val="Arial"/>
        <family val="2"/>
      </rPr>
      <t>VV-2-2-10</t>
    </r>
  </si>
  <si>
    <r>
      <rPr>
        <sz val="8"/>
        <rFont val="Arial"/>
        <family val="2"/>
      </rPr>
      <t>VV-2-3-01</t>
    </r>
  </si>
  <si>
    <r>
      <rPr>
        <sz val="8"/>
        <rFont val="Arial"/>
        <family val="2"/>
      </rPr>
      <t>VV-2-3-02</t>
    </r>
  </si>
  <si>
    <r>
      <rPr>
        <sz val="8"/>
        <rFont val="Arial"/>
        <family val="2"/>
      </rPr>
      <t>VV-2-3-03</t>
    </r>
  </si>
  <si>
    <r>
      <rPr>
        <sz val="8"/>
        <rFont val="Arial"/>
        <family val="2"/>
      </rPr>
      <t>VV-2-3-04</t>
    </r>
  </si>
  <si>
    <r>
      <rPr>
        <sz val="8"/>
        <rFont val="Arial"/>
        <family val="2"/>
      </rPr>
      <t>VV-2-3-05</t>
    </r>
  </si>
  <si>
    <t>ACC.RGC.VV-4-3-19</t>
  </si>
  <si>
    <t>ACC.RGC.VV-1-0-04</t>
  </si>
  <si>
    <t>ACC.RGC.VV-1-0-05</t>
  </si>
  <si>
    <t>ACC.RGC.VV-1-0-06</t>
  </si>
  <si>
    <t>ACC.RGC.VV-1-1-08</t>
  </si>
  <si>
    <t>ACC.RGC.VV-1-1-09</t>
  </si>
  <si>
    <t>ACC.RGC.VV-1-0-01</t>
  </si>
  <si>
    <t>ACC.RGC.VV-1-0-02</t>
  </si>
  <si>
    <t>ACC.RGC.VV-1-0-03</t>
  </si>
  <si>
    <t>ACC.RGC.VV-2-2-07</t>
  </si>
  <si>
    <t>ACC.RGC.VV-1-1-06</t>
  </si>
  <si>
    <t>ACC.RGC.VV-2-2-02</t>
  </si>
  <si>
    <t>ACC.RGC.VV-2-2-01</t>
  </si>
  <si>
    <t>ACC.RGC.VV-2-0-01</t>
  </si>
  <si>
    <t>ACC.RGC.VV-2-0-03</t>
  </si>
  <si>
    <t>ACC.RGC.VV-2-0-04</t>
  </si>
  <si>
    <t>ACC.RGC.VV-2-2-08</t>
  </si>
  <si>
    <t>ACC.RGC.VV-2-3-03</t>
  </si>
  <si>
    <t>AFMS-1-0-SAF-1</t>
  </si>
  <si>
    <t>AFMS-1-0-RAF-1</t>
  </si>
  <si>
    <t>AFMS-2-0-SAF-1</t>
  </si>
  <si>
    <t>AFMS-2-0-RAF-1</t>
  </si>
  <si>
    <t>GWH-1</t>
  </si>
  <si>
    <t>GWH-2</t>
  </si>
  <si>
    <t>P-204A</t>
  </si>
  <si>
    <t>PB</t>
  </si>
  <si>
    <t>ACC.RGC.VV-1-1-02</t>
  </si>
  <si>
    <t>ACC.RGC.VV-2-0-02</t>
  </si>
  <si>
    <t>ACC.RGC.VVE-3-1-01</t>
  </si>
  <si>
    <t>ACC.RGC.VV-3-1-02</t>
  </si>
  <si>
    <t>Supply air VAV duct area
Present value
[ft2]</t>
  </si>
  <si>
    <t>Supply air VAV flow coefficient
Present value
[---]</t>
  </si>
  <si>
    <t>15001_VAV_DXR2M12P_US</t>
  </si>
  <si>
    <t>15004_</t>
  </si>
  <si>
    <t>15002_VAV_DXR2M12P_US</t>
  </si>
  <si>
    <t>15003_VAV_DXR2M12P_US</t>
  </si>
  <si>
    <t>15202_CB_DXR2M12P_US</t>
  </si>
  <si>
    <t>15201_CB_DXR2M12P_US</t>
  </si>
  <si>
    <t>15801_VAV_DXR2M12P_US</t>
  </si>
  <si>
    <t>15401_VAV_Series_FPB_DXR2M12P_US</t>
  </si>
  <si>
    <t>15501_Fan_Coil_DXR2M18_US</t>
  </si>
  <si>
    <t>Room</t>
  </si>
  <si>
    <t>3-WAY</t>
  </si>
  <si>
    <t>TSTAT TYPE</t>
  </si>
  <si>
    <t>CORRIDOR</t>
  </si>
  <si>
    <t>HW COIL, 34</t>
  </si>
  <si>
    <t>HW COIL, 74</t>
  </si>
  <si>
    <t>Cooling, 34</t>
  </si>
  <si>
    <t>Cooling, 74</t>
  </si>
  <si>
    <t>NO</t>
  </si>
  <si>
    <t>TS</t>
  </si>
  <si>
    <t>TS,CO2</t>
  </si>
  <si>
    <t>YES</t>
  </si>
  <si>
    <t>?</t>
  </si>
  <si>
    <t>TS,H</t>
  </si>
  <si>
    <t>*Treat like 15002</t>
  </si>
  <si>
    <t>CORRIDOR?</t>
  </si>
  <si>
    <t>Heating, 34</t>
  </si>
  <si>
    <t>heating, 74</t>
  </si>
  <si>
    <t>DXR</t>
  </si>
  <si>
    <t>TS/H</t>
  </si>
  <si>
    <t>TS, S</t>
  </si>
  <si>
    <t>Roll Up door</t>
  </si>
  <si>
    <t>pb</t>
  </si>
  <si>
    <t>yes</t>
  </si>
  <si>
    <t>no</t>
  </si>
  <si>
    <t>Removed PR7</t>
  </si>
  <si>
    <t>There are actuall 2 of them</t>
  </si>
  <si>
    <t>Application #</t>
  </si>
  <si>
    <t>Drawing</t>
  </si>
  <si>
    <t>Qty</t>
  </si>
  <si>
    <t>VAV Hot Water P34</t>
  </si>
  <si>
    <t>VAV Hot Water P74</t>
  </si>
  <si>
    <t>VAV Cooling</t>
  </si>
  <si>
    <t>VAV CB Heat P74</t>
  </si>
  <si>
    <t>FCV Box</t>
  </si>
  <si>
    <t>VVE Exhaust</t>
  </si>
  <si>
    <t>VAV CB Heat Push button</t>
  </si>
  <si>
    <t>VAV, Lifting Gate</t>
  </si>
  <si>
    <t>(old)</t>
  </si>
  <si>
    <r>
      <rPr>
        <b/>
        <sz val="8"/>
        <rFont val="Arial"/>
        <family val="2"/>
      </rPr>
      <t>FAN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MOTOR</t>
    </r>
  </si>
  <si>
    <r>
      <rPr>
        <b/>
        <sz val="8"/>
        <rFont val="Arial"/>
        <family val="2"/>
      </rPr>
      <t>UNOCC.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CFM</t>
    </r>
  </si>
  <si>
    <r>
      <rPr>
        <b/>
        <sz val="8"/>
        <rFont val="Arial"/>
        <family val="2"/>
      </rPr>
      <t>FAN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CFM</t>
    </r>
  </si>
  <si>
    <r>
      <rPr>
        <b/>
        <sz val="8"/>
        <rFont val="Arial"/>
        <family val="2"/>
      </rPr>
      <t>EAT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ºF</t>
    </r>
  </si>
  <si>
    <r>
      <rPr>
        <b/>
        <sz val="8"/>
        <rFont val="Arial"/>
        <family val="2"/>
      </rPr>
      <t>LAT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ºF</t>
    </r>
  </si>
  <si>
    <r>
      <rPr>
        <b/>
        <sz val="8"/>
        <rFont val="Arial"/>
        <family val="2"/>
      </rPr>
      <t xml:space="preserve">LWT
</t>
    </r>
    <r>
      <rPr>
        <b/>
        <sz val="8"/>
        <rFont val="Arial"/>
        <family val="2"/>
      </rPr>
      <t>ºF</t>
    </r>
  </si>
  <si>
    <r>
      <rPr>
        <b/>
        <sz val="8"/>
        <rFont val="Arial"/>
        <family val="2"/>
      </rPr>
      <t>LWT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ºF</t>
    </r>
  </si>
  <si>
    <r>
      <rPr>
        <sz val="8"/>
        <rFont val="Arial"/>
        <family val="2"/>
      </rPr>
      <t>SERIES</t>
    </r>
  </si>
  <si>
    <t>No</t>
  </si>
  <si>
    <t>M1003.00</t>
  </si>
  <si>
    <t>1213.00A</t>
  </si>
  <si>
    <t>1209.00A</t>
  </si>
  <si>
    <t>1200.04A</t>
  </si>
  <si>
    <t>1317.00A</t>
  </si>
  <si>
    <t>South Atrium - 1100.09</t>
  </si>
  <si>
    <t>North Atrium 1116.04</t>
  </si>
  <si>
    <t>see 102A1, box on 103B1</t>
  </si>
  <si>
    <t>see 102A2, box on 103B2</t>
  </si>
  <si>
    <t>ed310301-9fe9-42ea-9ecd-7e7309723543</t>
  </si>
  <si>
    <t>5e916842-a8e8-4364-b39d-b0feeed64e01</t>
  </si>
  <si>
    <t>a0fb1497-09a0-4d1d-ae66-35078b8d3e92</t>
  </si>
  <si>
    <t>9ea95e2d-2bec-4b4a-aab8-958b317f8abf</t>
  </si>
  <si>
    <t>ae297216-6003-4291-808e-4467305c2dbe</t>
  </si>
  <si>
    <t>1007.00</t>
  </si>
  <si>
    <t>1011.00</t>
  </si>
  <si>
    <t>1113.00</t>
  </si>
  <si>
    <t>1114.00</t>
  </si>
  <si>
    <t>1215.00</t>
  </si>
  <si>
    <t>1211.00</t>
  </si>
  <si>
    <t>1205.00</t>
  </si>
  <si>
    <t>1204.00</t>
  </si>
  <si>
    <t>1201.00</t>
  </si>
  <si>
    <t>1307.00</t>
  </si>
  <si>
    <t>1304.00</t>
  </si>
  <si>
    <t>1305.00</t>
  </si>
  <si>
    <t>1302.00</t>
  </si>
  <si>
    <t>1303.00</t>
  </si>
  <si>
    <t>1301.00</t>
  </si>
  <si>
    <t>1337.00</t>
  </si>
  <si>
    <t>1335.00</t>
  </si>
  <si>
    <t>1328.00</t>
  </si>
  <si>
    <t>1333.00</t>
  </si>
  <si>
    <t>1331.00</t>
  </si>
  <si>
    <t>1306.00</t>
  </si>
  <si>
    <t>1308.00</t>
  </si>
  <si>
    <t>1309.00</t>
  </si>
  <si>
    <t>1310.00</t>
  </si>
  <si>
    <t>1311.00</t>
  </si>
  <si>
    <t>1313.00</t>
  </si>
  <si>
    <t>1315.00</t>
  </si>
  <si>
    <t>1319.00</t>
  </si>
  <si>
    <t>1229.00</t>
  </si>
  <si>
    <t>1249.00</t>
  </si>
  <si>
    <t>1228.00</t>
  </si>
  <si>
    <t>1247.00</t>
  </si>
  <si>
    <t>1245.00</t>
  </si>
  <si>
    <t>1243.00</t>
  </si>
  <si>
    <t>1241.00</t>
  </si>
  <si>
    <t>1237.00</t>
  </si>
  <si>
    <t>1235.00</t>
  </si>
  <si>
    <t>1221.00</t>
  </si>
  <si>
    <t>1111.00</t>
  </si>
  <si>
    <t>1130.00</t>
  </si>
  <si>
    <t>1128.00</t>
  </si>
  <si>
    <t>1127.00</t>
  </si>
  <si>
    <t>1121.00</t>
  </si>
  <si>
    <t>1123.00</t>
  </si>
  <si>
    <t>1122.00</t>
  </si>
  <si>
    <t>1116.00</t>
  </si>
  <si>
    <t>1117.00</t>
  </si>
  <si>
    <t>1101.00</t>
  </si>
  <si>
    <t>1103.00</t>
  </si>
  <si>
    <t>1105.00</t>
  </si>
  <si>
    <t>1107.00</t>
  </si>
  <si>
    <t>1109.00</t>
  </si>
  <si>
    <t>1003.00</t>
  </si>
  <si>
    <t>1004.00</t>
  </si>
  <si>
    <t>1110.00</t>
  </si>
  <si>
    <t>1115.00</t>
  </si>
  <si>
    <t>1106.00</t>
  </si>
  <si>
    <t>1126.00</t>
  </si>
  <si>
    <t>1226.00</t>
  </si>
  <si>
    <t>1239.00</t>
  </si>
  <si>
    <t>1218.00</t>
  </si>
  <si>
    <t>1224.00</t>
  </si>
  <si>
    <t>1206.00</t>
  </si>
  <si>
    <t>1318.00</t>
  </si>
  <si>
    <t>1326.00</t>
  </si>
  <si>
    <t>1336.00</t>
  </si>
  <si>
    <t>1312.00</t>
  </si>
  <si>
    <t>3d7e1592-5d7b-4800-b30a-0f0e4aa6c8cc</t>
  </si>
  <si>
    <t>ACC.RGC.VV-1-1-04</t>
  </si>
  <si>
    <t>ACC.RGC.VV-1-1-12</t>
  </si>
  <si>
    <t>ACC.RGC.VV-2-0-06</t>
  </si>
  <si>
    <t>ACC.RGC.VV-2-0-07</t>
  </si>
  <si>
    <t>ACC.RGC.VV-1-1-03</t>
  </si>
  <si>
    <t>ACC.RGC.VV-1-1-05</t>
  </si>
  <si>
    <t>ACC.RGC.VV-2-0-05</t>
  </si>
  <si>
    <t>ACC.RGC.VV-1-1-10</t>
  </si>
  <si>
    <t>ACC.RGC.VV-2-2-10</t>
  </si>
  <si>
    <t>ACC.RGC.VV-1-1-01</t>
  </si>
  <si>
    <t>ACC.RGC.VV-2-2-06</t>
  </si>
  <si>
    <t>ACC.RGC.VV-1-1-11</t>
  </si>
  <si>
    <t>ACC.RGC.VV-2-2-03</t>
  </si>
  <si>
    <t>ACC.RGC.VV-2-2-04</t>
  </si>
  <si>
    <t>ACC.RGC.VV-1-1-07</t>
  </si>
  <si>
    <t>ACC.RGC.VV-2-2-05</t>
  </si>
  <si>
    <t>ACC.RGC.VV-2-2-09</t>
  </si>
  <si>
    <t>ACC.RGC.VV-2-3-05</t>
  </si>
  <si>
    <t>ACC.RGC.VV-2-3-04</t>
  </si>
  <si>
    <t>ACC.RGC.VV-2-3-02</t>
  </si>
  <si>
    <t>ACC.RGC.VV-2-3-01</t>
  </si>
  <si>
    <t>ACC.RGC.VVE-3-1-02</t>
  </si>
  <si>
    <t>ACC.RGC.VVE-3-2-01</t>
  </si>
  <si>
    <t>ACC.RGC.VVE-4-1-01</t>
  </si>
  <si>
    <t>ACC.RGC.VVE-4-2-01</t>
  </si>
  <si>
    <t>ACC.RGC.VVE-4-3-01</t>
  </si>
  <si>
    <t>ACC.RGC.VVE-3-3-01</t>
  </si>
  <si>
    <t>a8b6caee-8b67-4fe5-9922-bfddb150edd4</t>
  </si>
  <si>
    <t>fc7b7c0f-0c33-4043-a978-df6eb1f63e4a</t>
  </si>
  <si>
    <t>e49948da-8a28-4f1b-858f-75fede974199</t>
  </si>
  <si>
    <t>ca8d3397-d44f-4b92-96f7-7178aa191bce</t>
  </si>
  <si>
    <t>73a45bd4-e0c1-4070-94d6-8b619860d1c1</t>
  </si>
  <si>
    <t>67a3a723-e2e1-43db-b4c1-6ee79c09ec59</t>
  </si>
  <si>
    <t>e2fc603b-e49d-4f4c-9991-3ad92e274093</t>
  </si>
  <si>
    <t>4147eb4c-34f1-449a-8f92-7dad9b6261a3</t>
  </si>
  <si>
    <t>058c060e-3f2c-4224-92e4-2211c95a4617</t>
  </si>
  <si>
    <t>ad427a73-37b0-4b45-bf26-b3e30032f503</t>
  </si>
  <si>
    <t>83d54ca1-f5f3-4025-ba0b-cfdaf094715b</t>
  </si>
  <si>
    <t>0b215157-5715-4cf0-8bc1-0f638780b265</t>
  </si>
  <si>
    <t>bd42dc95-2509-4a72-ba77-276d9bc18df6</t>
  </si>
  <si>
    <t>958271d2-3817-46d1-b8ae-e4e0d65ea7eb</t>
  </si>
  <si>
    <t>033f9c3a-0997-4100-b887-9ebd08b2a080</t>
  </si>
  <si>
    <t>b5d28339-c5d1-4567-965a-3f7d3071f79f</t>
  </si>
  <si>
    <t>9a400e20-701d-4ebd-bf1b-064c8cbee12c</t>
  </si>
  <si>
    <t>1b87e5ef-70b8-4033-a181-1b814c2e78a4</t>
  </si>
  <si>
    <t>ff0e73dc-fa69-4daa-93ef-89308c32bb19</t>
  </si>
  <si>
    <t>02aeca36-e690-4866-9371-814ca918142b</t>
  </si>
  <si>
    <t>77edd491-dd3f-48e2-abfb-c82c9e2b93ce</t>
  </si>
  <si>
    <t>c0d2a8c5-3035-4c72-9945-91e32c07541a</t>
  </si>
  <si>
    <t>306b5b4b-92ca-4067-ac76-a094eec29784</t>
  </si>
  <si>
    <t>eb9ce939-e19d-4adb-b905-2923c336edc1</t>
  </si>
  <si>
    <t>e376d1e3-599e-4f0b-a816-71729c1f6b1e</t>
  </si>
  <si>
    <t>3c0b28a8-3c39-4010-953b-babfb92805b5</t>
  </si>
  <si>
    <t>d9ea35e4-ab80-4b6b-ba1a-62d4eed32bcc</t>
  </si>
  <si>
    <t>aa2a4985-4e39-419a-8176-7f02317461dd</t>
  </si>
  <si>
    <t>5901a647-696e-4f4b-8cea-18d2a58a2a50</t>
  </si>
  <si>
    <t>ecf36daa-e1a2-4232-b624-36c77f3af41e</t>
  </si>
  <si>
    <t>201a2de7-537c-4b4b-9b45-20021a1fd2f7</t>
  </si>
  <si>
    <t>8b24c787-307f-4c8d-8cb8-f3629242a7b6</t>
  </si>
  <si>
    <t>447cba29-3f7a-4bac-ab98-fb7cf58d6be9</t>
  </si>
  <si>
    <t>a1f82b6f-d33d-4e8d-b07f-96b99d3749b9</t>
  </si>
  <si>
    <t>1a01cd85-41f5-4b16-901a-04a4ce8086dc</t>
  </si>
  <si>
    <t>4296c4d3-bc6b-4a0f-a662-0d36f17ab4c6</t>
  </si>
  <si>
    <t>2ccb1eaa-31de-48ab-82d0-a19a9c5e4244</t>
  </si>
  <si>
    <t>4b366c2f-433e-4bc6-9da5-94e2f624ccbf</t>
  </si>
  <si>
    <t>6aa55e38-2786-47dc-8db5-c5497d8e793f</t>
  </si>
  <si>
    <t>7812556e-bc65-4dcc-953d-79f5a59dc893</t>
  </si>
  <si>
    <t>7e08097a-40cc-4262-9167-47dae3750bb4</t>
  </si>
  <si>
    <t>c87771c4-1ef0-4dac-89e6-b8305e85700d</t>
  </si>
  <si>
    <t>57372d8b-3e95-45bf-b872-8c4cfc4c4de0</t>
  </si>
  <si>
    <t>e05336d6-4203-4232-87a1-fd4c7011fed3</t>
  </si>
  <si>
    <t>8c93bbd7-99cc-41de-a016-f3feb79f051c</t>
  </si>
  <si>
    <t>4fa3b5ef-c8d6-4dc3-8cc9-e7135e9681da</t>
  </si>
  <si>
    <t>52cc99fd-9953-4f7f-9a5d-d6c3a733f3b9</t>
  </si>
  <si>
    <t>341bf45b-c632-4a68-92df-9bbbe21bdc97</t>
  </si>
  <si>
    <t>7720368f-a54f-4347-9be5-f2f275af1cda</t>
  </si>
  <si>
    <t>efaa63a3-02c4-4c06-af64-db8fd5e2abb9</t>
  </si>
  <si>
    <t>b2444c94-6a2f-4474-8656-207795743575</t>
  </si>
  <si>
    <t>4eb564f7-e6ce-472f-aa4a-debbaf614012</t>
  </si>
  <si>
    <t>4c947f94-34c1-470f-a610-7a51c9af7338</t>
  </si>
  <si>
    <t>0e813290-92da-4bf5-b920-44c029fcfc31</t>
  </si>
  <si>
    <t>2d68dd92-deb6-4667-a53a-3ee8c7e453ad</t>
  </si>
  <si>
    <t>369fa89c-6940-4933-900a-0f0c381badfc</t>
  </si>
  <si>
    <t>bb308f4d-8abd-446f-9351-cda65382fa57</t>
  </si>
  <si>
    <t>d5042be9-ef95-4f49-baf0-9ab108a7b81f</t>
  </si>
  <si>
    <t>1bc130f1-a803-4d6c-947d-96cac8acc05f</t>
  </si>
  <si>
    <t>13126b3f-c179-48bc-85de-0bd9c82430a2</t>
  </si>
  <si>
    <t>f27630dd-9b0a-4501-bb84-4d316ef4da35</t>
  </si>
  <si>
    <t>43917866-ba43-4cde-8d61-03727512bfd9</t>
  </si>
  <si>
    <t>ea654be7-0a90-4adb-b2d9-091e294ea1ac</t>
  </si>
  <si>
    <t>3c7db028-7fa3-4987-852f-aa503194193c</t>
  </si>
  <si>
    <t>a84f91ba-1903-4078-bee1-08123cc4ad4a</t>
  </si>
  <si>
    <t>cb6faee0-bf87-4716-9fd1-187c2a18c15d</t>
  </si>
  <si>
    <t>b83d5059-43e5-4001-91fc-bc0a99252a22</t>
  </si>
  <si>
    <t>91432fc8-31b6-4079-a8a0-2c486945691f</t>
  </si>
  <si>
    <t>3ed103a6-8420-4bba-8fe3-fae13a31c1a9</t>
  </si>
  <si>
    <t>1403130e-0225-4e2b-9a19-f357071f0d97</t>
  </si>
  <si>
    <t>beba26e3-0fd5-4c0e-9cb1-fc2c29ef8b2e</t>
  </si>
  <si>
    <t>5b90a2d4-70aa-4d52-bda2-cb7c37ead156</t>
  </si>
  <si>
    <t>1332fc4d-e2fe-4551-821e-7fde703458a7</t>
  </si>
  <si>
    <t>87a74a4a-2b2f-4ad2-bb3c-9a18e4b1ec36</t>
  </si>
  <si>
    <t>4d6b2d5e-aaab-4b92-afcb-450cef4466d4</t>
  </si>
  <si>
    <t>e0cb4c7c-c90c-4120-a84c-837e1748ca61</t>
  </si>
  <si>
    <t>fc078c90-4a9d-4967-91d2-62cfc5ebecd8</t>
  </si>
  <si>
    <t>6e873e6c-1e21-4300-b7cb-d8b4b2acfc85</t>
  </si>
  <si>
    <t>796f85fb-b34f-4be5-aa21-2b4b5506d8a2</t>
  </si>
  <si>
    <t>ba6cfaa4-83f0-436c-84b0-878c02645800</t>
  </si>
  <si>
    <t>3c0bddf0-b00e-4b0f-a158-065cc8bbb2da</t>
  </si>
  <si>
    <t>717c4197-5da7-4fb0-834c-383b35c52e92</t>
  </si>
  <si>
    <t>3eeead36-ca39-407b-be95-fa68b4eaa8ea</t>
  </si>
  <si>
    <t>192934a2-0015-46cd-8d44-430a634fd033</t>
  </si>
  <si>
    <t>48d011b0-18b5-4cfa-b043-2c6bf0d36036</t>
  </si>
  <si>
    <t>1f09735c-52c0-4358-a4cc-8de3394b60f2</t>
  </si>
  <si>
    <t>14c40faf-ba8b-4fee-9891-54842be90dd5</t>
  </si>
  <si>
    <t>25ce9c3d-44ee-477c-82b2-0deafd8d5639</t>
  </si>
  <si>
    <t>aee38faa-0b9d-4d11-a395-0c6bf61a392e</t>
  </si>
  <si>
    <t>26d0a135-c042-45ea-9482-cef8fd0850ad</t>
  </si>
  <si>
    <t>3bd7f8a0-1a3f-4aac-8638-e2f7ebde10a3</t>
  </si>
  <si>
    <t>d07720c9-f86b-4e3c-8344-0868d542f4fa</t>
  </si>
  <si>
    <t>481279fe-fe7a-48b1-98b9-62716819ebd7</t>
  </si>
  <si>
    <t>98c15783-c30f-4bf3-a788-16ef922310c6</t>
  </si>
  <si>
    <t>cf2bae45-a92d-4073-b7bc-49b8ffb0d895</t>
  </si>
  <si>
    <t>9bcbabc8-ba3e-42d4-aeef-7003a53166a5</t>
  </si>
  <si>
    <t>127b64e4-fa92-41c4-8647-3fa57407020a</t>
  </si>
  <si>
    <t>b5d308b9-cb90-4bc9-9c16-0b1f678a65af</t>
  </si>
  <si>
    <t>2353f30f-7613-482e-9188-582869649ee4</t>
  </si>
  <si>
    <t>edd9d7be-42cd-4a45-96f1-6ea87772020c</t>
  </si>
  <si>
    <t>0e42423c-601f-4607-b511-fb23bc655e88</t>
  </si>
  <si>
    <t>8e610325-202f-4aa5-9c32-897b01367bfb</t>
  </si>
  <si>
    <t>23fc048d-89d4-49bc-8fc4-0f07ac4e8634</t>
  </si>
  <si>
    <t>c199f597-ca27-4aa4-a580-01ddea03cd27</t>
  </si>
  <si>
    <t>e573fba1-7a55-4e75-a9e2-d2510ff9c2fc</t>
  </si>
  <si>
    <t>4f53e909-7dce-4261-9f1e-6e2aca58bc4a</t>
  </si>
  <si>
    <t>bcdac598-2e5c-4eb0-9812-3dbed052213a</t>
  </si>
  <si>
    <t>e03ecc0b-7ec1-4989-8df5-3f4923ec0de1</t>
  </si>
  <si>
    <t>39a0cb03-87af-4782-a914-0b215852ed9e</t>
  </si>
  <si>
    <t>8d33b4a8-15fb-4fcc-bdd5-b890945d5a1d</t>
  </si>
  <si>
    <t>a0cc6d30-2566-4bac-901e-237c8819e5ad</t>
  </si>
  <si>
    <t>ca66a438-6164-4ca9-9a37-4a4a7d2f26ea</t>
  </si>
  <si>
    <t>55cafae3-0528-4854-8c27-7186666c6f4c</t>
  </si>
  <si>
    <t>d130adf5-6eef-4ac1-87a1-bea5fdcbc94d</t>
  </si>
  <si>
    <t>10e5ff4b-4382-4bdc-ab5c-93d12ed68e37</t>
  </si>
  <si>
    <t>04e321ad-3d24-4a8f-a7aa-13e1f622e602</t>
  </si>
  <si>
    <t>efce8497-c086-42be-a8f9-063c16d9a424</t>
  </si>
  <si>
    <t>389083d9-7045-41c5-b09a-1f982c2d4da6</t>
  </si>
  <si>
    <t>fc0fa729-7c70-4218-8e86-431ddbaa53c3</t>
  </si>
  <si>
    <t>e99e4f2d-7d73-4175-9f09-3ffcf933badb</t>
  </si>
  <si>
    <t>6aa374b0-41a8-439c-b4c6-22e04947846f</t>
  </si>
  <si>
    <t>6bf3b2c5-398d-406e-b1c6-2449eb6d7dd7</t>
  </si>
  <si>
    <t>0c2d1327-c8af-43d8-8bfe-7fca55ee16ed</t>
  </si>
  <si>
    <t>01d73620-605c-4cbc-8450-742f34a8fd85</t>
  </si>
  <si>
    <t>f6d7c67c-9f17-4e0e-9230-02245e9aca77</t>
  </si>
  <si>
    <t>b3c3084b-a1d7-441e-849a-4da541d2b42a</t>
  </si>
  <si>
    <t>f73cfaec-9a61-4b26-99fa-9fdfe05bc87c</t>
  </si>
  <si>
    <t>6a771bb2-5ba8-4dc5-9184-38d3a3e727c1</t>
  </si>
  <si>
    <t>5fe961c8-333d-419c-bb81-cf7b6de4bc04</t>
  </si>
  <si>
    <t>a2f2e079-fb49-4457-b5a4-a86fb5e9e85d</t>
  </si>
  <si>
    <t>d2c9bd55-8704-4914-9706-994772e0a5c6</t>
  </si>
  <si>
    <t>6f88346c-3f54-420a-9310-12cd3640b119</t>
  </si>
  <si>
    <t>bfb09f68-124d-4eae-8fe4-877d3f69754a</t>
  </si>
  <si>
    <t>3d55076c-1204-4164-ae14-b4aa93c2a44e</t>
  </si>
  <si>
    <t>628175fe-06b8-4a3f-97dd-1963c72e2edd</t>
  </si>
  <si>
    <t>fffe9f29-287b-4a79-983f-a135edfdb74a</t>
  </si>
  <si>
    <t>ace86624-3084-413f-87a1-03c6019885f6</t>
  </si>
  <si>
    <t>8fc2c3d3-8adc-4a63-8482-b42533965d79</t>
  </si>
  <si>
    <t>465ddaa6-2507-426a-8d46-604dbcb316dc</t>
  </si>
  <si>
    <t>7984c55d-3089-4412-990e-3f373c8ced06</t>
  </si>
  <si>
    <t>225f7838-0af9-4eee-b489-1343bd5f062b</t>
  </si>
  <si>
    <t>741c60c7-5c76-48bf-a34f-868ad43d94f7</t>
  </si>
  <si>
    <t>b421fd61-3c06-4707-95bf-a3552a8337a9</t>
  </si>
  <si>
    <t>80740d4a-9b61-4f6b-83e9-aa02d8bc04ba</t>
  </si>
  <si>
    <t>397ad05d-2825-410d-9efd-4e021ee5fc70</t>
  </si>
  <si>
    <t>1c05d9d8-3a50-4a41-9c77-5bd4e4811a82</t>
  </si>
  <si>
    <t>8689e551-f01a-4561-a1fa-89aa697a32a4</t>
  </si>
  <si>
    <t>53255b83-f9e2-49c8-8bbf-7b73fac83142</t>
  </si>
  <si>
    <t>92cd306f-08df-44d9-a5fa-2f34e2ef1417</t>
  </si>
  <si>
    <t>f63223e6-a5ba-4a5d-aa10-75c332f2f309</t>
  </si>
  <si>
    <t>48c140e4-47e6-463d-a63a-96f08bd348b6</t>
  </si>
  <si>
    <t>7072e4fc-774e-476f-8ba7-92e935d51afb</t>
  </si>
  <si>
    <t>00ae9c53-4c55-4964-9ed6-f57bf04350af</t>
  </si>
  <si>
    <t>bfa5c1ba-fad5-4d4e-a927-eb9f16b32ec1</t>
  </si>
  <si>
    <t>97f5f64a-d4df-4d37-8bc7-0b64097830ee</t>
  </si>
  <si>
    <t>2a2ccd27-97c0-4053-9a07-a5e212d3dc37</t>
  </si>
  <si>
    <t>6eb4c439-67e6-4651-b186-3a12b37ad57a</t>
  </si>
  <si>
    <t>41b0b5f2-8779-4dff-a1f4-1ca2bf4f152f</t>
  </si>
  <si>
    <t>b35332b5-fa4d-47ba-9e72-e6e5c8eb9f31</t>
  </si>
  <si>
    <t>1a0e7dc4-53c8-4d51-926a-75eecee37db6</t>
  </si>
  <si>
    <t>eeca3c83-20bb-44fd-a6dc-a552d4f0552c</t>
  </si>
  <si>
    <t>ed46905d-2e4e-4642-9185-140eba7cab23</t>
  </si>
  <si>
    <t>8ea59ad9-f771-4ef4-934e-69999c5f37c1</t>
  </si>
  <si>
    <t>Qty needed</t>
  </si>
  <si>
    <t>ACC.RGC.FCU-0-1</t>
  </si>
  <si>
    <t>ACC.RGC.FCU-0-3</t>
  </si>
  <si>
    <t>ACC.RGC.VV-3-0-13</t>
  </si>
  <si>
    <t>ACC.RGC.VV-4-1-02</t>
  </si>
  <si>
    <t>Penthouse</t>
  </si>
  <si>
    <t>PANEL 8</t>
  </si>
  <si>
    <t>1st floor FLN</t>
  </si>
  <si>
    <t>2nd floor FLN</t>
  </si>
  <si>
    <t>Panel Name</t>
  </si>
  <si>
    <t>Instance</t>
  </si>
  <si>
    <t>Number</t>
  </si>
  <si>
    <t>ACC.RGC.1000.PXCC02</t>
  </si>
  <si>
    <t>ACC.RGC.1000.PXCM01</t>
  </si>
  <si>
    <t>ACC.RGC.1000.PXCM02</t>
  </si>
  <si>
    <t>ACC.RGC.1000.PXCM03</t>
  </si>
  <si>
    <t>ACC.RGC.1000.PXCM04</t>
  </si>
  <si>
    <t>ACC.RGC.1000.PXCM05</t>
  </si>
  <si>
    <t>ACC.RGC.1000.PXCM06</t>
  </si>
  <si>
    <t>ACC.RGC.1000.PXCM07</t>
  </si>
  <si>
    <t>ACC.RGC.1000.PXCM08</t>
  </si>
  <si>
    <t>ACC.RGC.1000.PXCC01</t>
  </si>
  <si>
    <t>PANEL 9</t>
  </si>
  <si>
    <t>PANEL 10</t>
  </si>
  <si>
    <t>Labs AHU</t>
  </si>
  <si>
    <t>Lab exhaust</t>
  </si>
  <si>
    <t>EF</t>
  </si>
  <si>
    <t>DI</t>
  </si>
  <si>
    <t>penthouse FCUs</t>
  </si>
  <si>
    <t>MTCHW</t>
  </si>
  <si>
    <t>3rd Floor FLN</t>
  </si>
  <si>
    <t>Net #</t>
  </si>
  <si>
    <t>FLN1</t>
  </si>
  <si>
    <t>FLN2</t>
  </si>
  <si>
    <t>Floor</t>
  </si>
  <si>
    <t>SPD</t>
  </si>
  <si>
    <t>Lighting Contacts</t>
  </si>
  <si>
    <t>PH Monitor</t>
  </si>
  <si>
    <t>(11 IP)</t>
  </si>
  <si>
    <t>(30 IP)</t>
  </si>
  <si>
    <t>MECH RM 1126.00 (M-101B2)</t>
  </si>
  <si>
    <t>MECH RM 1126.00 (M-102B2)</t>
  </si>
  <si>
    <t>MECH RM 1336.00 (M-103B2)</t>
  </si>
  <si>
    <t>Application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</si>
</sst>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name val="Tahoma"/>
      <family val="2"/>
    </font>
    <font>
      <sz val="10"/>
      <color theme="1"/>
      <name val="Tahoma"/>
      <family val="2"/>
    </font>
    <font>
      <sz val="10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8"/>
      <name val="Arial"/>
      <family val="2"/>
    </font>
    <font>
      <b/>
      <sz val="8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6">
    <xf numFmtId="0" fontId="0" fillId="0" borderId="0"/>
    <xf numFmtId="0" fontId="3" fillId="0" borderId="0"/>
    <xf numFmtId="0" fontId="7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1" fillId="0" borderId="0"/>
    <xf numFmtId="0" fontId="4" fillId="0" borderId="0">
      <alignment vertical="top"/>
    </xf>
    <xf numFmtId="0" fontId="4" fillId="0" borderId="0">
      <alignment vertical="top"/>
    </xf>
    <xf numFmtId="0" fontId="8" fillId="0" borderId="0"/>
    <xf numFmtId="0" fontId="1" fillId="0" borderId="0"/>
    <xf numFmtId="0" fontId="4" fillId="0" borderId="0">
      <alignment vertical="top"/>
    </xf>
    <xf numFmtId="0" fontId="3" fillId="0" borderId="0"/>
    <xf numFmtId="0" fontId="5" fillId="0" borderId="0"/>
    <xf numFmtId="0" fontId="1" fillId="0" borderId="0"/>
    <xf numFmtId="0" fontId="5" fillId="0" borderId="0"/>
  </cellStyleXfs>
  <cellXfs count="164">
    <xf numFmtId="0" fontId="0" fillId="0" borderId="0" xfId="0"/>
    <xf numFmtId="49" fontId="6" fillId="2" borderId="3" xfId="1" applyNumberFormat="1" applyFont="1" applyFill="1" applyBorder="1" applyAlignment="1">
      <alignment horizontal="center" textRotation="90" wrapText="1"/>
    </xf>
    <xf numFmtId="0" fontId="2" fillId="0" borderId="0" xfId="0" applyFont="1" applyAlignment="1">
      <alignment horizontal="center"/>
    </xf>
    <xf numFmtId="49" fontId="9" fillId="2" borderId="1" xfId="1" applyNumberFormat="1" applyFont="1" applyFill="1" applyBorder="1" applyAlignment="1">
      <alignment horizontal="center" textRotation="90" wrapText="1"/>
    </xf>
    <xf numFmtId="0" fontId="10" fillId="0" borderId="0" xfId="0" applyFont="1"/>
    <xf numFmtId="0" fontId="11" fillId="0" borderId="0" xfId="0" applyFont="1" applyAlignment="1">
      <alignment horizontal="left"/>
    </xf>
    <xf numFmtId="2" fontId="12" fillId="3" borderId="8" xfId="0" applyNumberFormat="1" applyFont="1" applyFill="1" applyBorder="1" applyAlignment="1">
      <alignment horizontal="center" vertical="top" wrapText="1"/>
    </xf>
    <xf numFmtId="1" fontId="12" fillId="3" borderId="8" xfId="19" applyNumberFormat="1" applyFont="1" applyFill="1" applyBorder="1" applyAlignment="1">
      <alignment horizontal="center" vertical="top" wrapText="1"/>
    </xf>
    <xf numFmtId="1" fontId="12" fillId="3" borderId="8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11" fontId="0" fillId="0" borderId="0" xfId="0" applyNumberFormat="1"/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17" fillId="0" borderId="9" xfId="0" applyFont="1" applyBorder="1" applyAlignment="1">
      <alignment vertical="top"/>
    </xf>
    <xf numFmtId="0" fontId="17" fillId="0" borderId="11" xfId="0" applyFont="1" applyBorder="1" applyAlignment="1">
      <alignment vertical="top"/>
    </xf>
    <xf numFmtId="0" fontId="17" fillId="0" borderId="12" xfId="0" applyFont="1" applyBorder="1" applyAlignment="1">
      <alignment vertical="top"/>
    </xf>
    <xf numFmtId="0" fontId="17" fillId="0" borderId="8" xfId="0" applyFont="1" applyBorder="1" applyAlignment="1">
      <alignment horizontal="left" vertical="top"/>
    </xf>
    <xf numFmtId="0" fontId="17" fillId="0" borderId="13" xfId="0" applyFont="1" applyBorder="1" applyAlignment="1">
      <alignment vertical="top"/>
    </xf>
    <xf numFmtId="0" fontId="15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0" xfId="0" applyAlignment="1"/>
    <xf numFmtId="0" fontId="15" fillId="0" borderId="12" xfId="0" applyFont="1" applyBorder="1" applyAlignment="1"/>
    <xf numFmtId="0" fontId="0" fillId="0" borderId="12" xfId="0" applyBorder="1" applyAlignment="1"/>
    <xf numFmtId="0" fontId="17" fillId="0" borderId="12" xfId="0" applyFont="1" applyBorder="1" applyAlignment="1"/>
    <xf numFmtId="0" fontId="15" fillId="0" borderId="13" xfId="0" applyFont="1" applyBorder="1" applyAlignment="1"/>
    <xf numFmtId="0" fontId="0" fillId="0" borderId="13" xfId="0" applyBorder="1" applyAlignment="1"/>
    <xf numFmtId="0" fontId="17" fillId="0" borderId="13" xfId="0" applyFont="1" applyBorder="1" applyAlignment="1"/>
    <xf numFmtId="0" fontId="12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2" fontId="12" fillId="0" borderId="8" xfId="0" applyNumberFormat="1" applyFont="1" applyBorder="1" applyAlignment="1">
      <alignment horizontal="center" vertical="center"/>
    </xf>
    <xf numFmtId="164" fontId="12" fillId="0" borderId="8" xfId="0" applyNumberFormat="1" applyFont="1" applyBorder="1" applyAlignment="1">
      <alignment horizontal="center" vertical="center"/>
    </xf>
    <xf numFmtId="1" fontId="19" fillId="0" borderId="8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/>
    </xf>
    <xf numFmtId="0" fontId="15" fillId="0" borderId="8" xfId="0" applyFont="1" applyBorder="1" applyAlignment="1">
      <alignment horizontal="left" vertical="center"/>
    </xf>
    <xf numFmtId="1" fontId="19" fillId="0" borderId="9" xfId="0" applyNumberFormat="1" applyFont="1" applyBorder="1" applyAlignment="1">
      <alignment vertical="center"/>
    </xf>
    <xf numFmtId="2" fontId="19" fillId="0" borderId="8" xfId="0" applyNumberFormat="1" applyFont="1" applyBorder="1" applyAlignment="1">
      <alignment horizontal="center" vertical="center"/>
    </xf>
    <xf numFmtId="164" fontId="19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21" fillId="4" borderId="8" xfId="0" applyFont="1" applyFill="1" applyBorder="1" applyAlignment="1">
      <alignment horizontal="center" vertical="center"/>
    </xf>
    <xf numFmtId="0" fontId="15" fillId="0" borderId="14" xfId="0" applyFont="1" applyBorder="1" applyAlignment="1"/>
    <xf numFmtId="0" fontId="0" fillId="0" borderId="9" xfId="0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0" fillId="0" borderId="0" xfId="0" applyBorder="1" applyAlignment="1"/>
    <xf numFmtId="0" fontId="20" fillId="7" borderId="15" xfId="0" applyFont="1" applyFill="1" applyBorder="1" applyAlignment="1">
      <alignment vertical="center" wrapText="1"/>
    </xf>
    <xf numFmtId="0" fontId="20" fillId="7" borderId="16" xfId="0" applyFont="1" applyFill="1" applyBorder="1" applyAlignment="1">
      <alignment vertical="center" wrapText="1"/>
    </xf>
    <xf numFmtId="0" fontId="7" fillId="7" borderId="16" xfId="0" applyFont="1" applyFill="1" applyBorder="1" applyAlignment="1">
      <alignment wrapText="1"/>
    </xf>
    <xf numFmtId="0" fontId="7" fillId="7" borderId="16" xfId="0" applyFont="1" applyFill="1" applyBorder="1" applyAlignment="1">
      <alignment horizontal="left" vertical="top" wrapText="1"/>
    </xf>
    <xf numFmtId="0" fontId="0" fillId="7" borderId="17" xfId="0" applyFill="1" applyBorder="1" applyAlignment="1">
      <alignment horizontal="left" vertical="top"/>
    </xf>
    <xf numFmtId="0" fontId="19" fillId="0" borderId="18" xfId="0" applyFont="1" applyBorder="1" applyAlignment="1">
      <alignment horizontal="center" vertical="top"/>
    </xf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center" vertical="top"/>
    </xf>
    <xf numFmtId="0" fontId="19" fillId="0" borderId="20" xfId="0" applyFont="1" applyBorder="1" applyAlignment="1">
      <alignment horizontal="center" vertical="top"/>
    </xf>
    <xf numFmtId="0" fontId="1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9" xfId="0" applyBorder="1" applyAlignment="1">
      <alignment horizontal="center" vertical="top"/>
    </xf>
    <xf numFmtId="0" fontId="0" fillId="0" borderId="9" xfId="0" applyBorder="1" applyAlignment="1">
      <alignment horizontal="right" vertical="top"/>
    </xf>
    <xf numFmtId="0" fontId="0" fillId="8" borderId="0" xfId="0" applyFill="1" applyBorder="1" applyAlignment="1">
      <alignment horizontal="left" vertical="top"/>
    </xf>
    <xf numFmtId="0" fontId="17" fillId="5" borderId="0" xfId="0" applyFont="1" applyFill="1" applyBorder="1" applyAlignment="1">
      <alignment horizontal="left" vertical="top"/>
    </xf>
    <xf numFmtId="0" fontId="7" fillId="0" borderId="19" xfId="0" applyFont="1" applyBorder="1" applyAlignment="1">
      <alignment horizontal="left" vertical="top"/>
    </xf>
    <xf numFmtId="0" fontId="0" fillId="0" borderId="19" xfId="0" applyBorder="1" applyAlignment="1"/>
    <xf numFmtId="0" fontId="17" fillId="5" borderId="19" xfId="0" applyFont="1" applyFill="1" applyBorder="1" applyAlignment="1">
      <alignment horizontal="left" vertical="top"/>
    </xf>
    <xf numFmtId="0" fontId="0" fillId="0" borderId="21" xfId="0" applyBorder="1" applyAlignment="1"/>
    <xf numFmtId="0" fontId="0" fillId="0" borderId="22" xfId="0" applyBorder="1" applyAlignment="1"/>
    <xf numFmtId="0" fontId="15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center"/>
    </xf>
    <xf numFmtId="0" fontId="0" fillId="7" borderId="16" xfId="0" applyFill="1" applyBorder="1" applyAlignment="1">
      <alignment horizontal="left" vertical="top"/>
    </xf>
    <xf numFmtId="0" fontId="0" fillId="0" borderId="8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/>
    </xf>
    <xf numFmtId="0" fontId="22" fillId="0" borderId="8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top" wrapText="1"/>
    </xf>
    <xf numFmtId="0" fontId="23" fillId="0" borderId="8" xfId="0" applyFont="1" applyBorder="1" applyAlignment="1">
      <alignment horizontal="center" vertical="top" wrapText="1"/>
    </xf>
    <xf numFmtId="1" fontId="19" fillId="0" borderId="8" xfId="0" applyNumberFormat="1" applyFont="1" applyBorder="1" applyAlignment="1">
      <alignment horizontal="center" vertical="top" wrapText="1"/>
    </xf>
    <xf numFmtId="1" fontId="19" fillId="0" borderId="8" xfId="0" applyNumberFormat="1" applyFont="1" applyBorder="1" applyAlignment="1">
      <alignment horizontal="left" vertical="top" wrapText="1" indent="1"/>
    </xf>
    <xf numFmtId="164" fontId="19" fillId="0" borderId="8" xfId="0" applyNumberFormat="1" applyFont="1" applyBorder="1" applyAlignment="1">
      <alignment horizontal="center" vertical="top" wrapText="1"/>
    </xf>
    <xf numFmtId="1" fontId="19" fillId="0" borderId="8" xfId="0" applyNumberFormat="1" applyFont="1" applyBorder="1" applyAlignment="1">
      <alignment horizontal="left" vertical="top"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9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22" fillId="0" borderId="12" xfId="0" applyFont="1" applyBorder="1" applyAlignment="1">
      <alignment wrapText="1"/>
    </xf>
    <xf numFmtId="0" fontId="22" fillId="0" borderId="13" xfId="0" applyFont="1" applyBorder="1" applyAlignment="1">
      <alignment wrapText="1"/>
    </xf>
    <xf numFmtId="0" fontId="0" fillId="0" borderId="8" xfId="0" applyBorder="1" applyAlignment="1">
      <alignment vertical="top" wrapText="1"/>
    </xf>
    <xf numFmtId="0" fontId="0" fillId="0" borderId="0" xfId="0" applyBorder="1" applyAlignment="1">
      <alignment vertical="top"/>
    </xf>
    <xf numFmtId="49" fontId="0" fillId="0" borderId="0" xfId="0" applyNumberFormat="1" applyBorder="1" applyAlignment="1">
      <alignment horizontal="left" vertical="top"/>
    </xf>
    <xf numFmtId="49" fontId="0" fillId="8" borderId="0" xfId="0" applyNumberFormat="1" applyFill="1" applyBorder="1" applyAlignment="1">
      <alignment horizontal="left" vertical="top"/>
    </xf>
    <xf numFmtId="49" fontId="0" fillId="0" borderId="0" xfId="0" applyNumberFormat="1" applyBorder="1" applyAlignment="1"/>
    <xf numFmtId="49" fontId="0" fillId="0" borderId="0" xfId="0" applyNumberFormat="1" applyFill="1" applyBorder="1" applyAlignment="1">
      <alignment horizontal="left" vertical="top"/>
    </xf>
    <xf numFmtId="49" fontId="17" fillId="5" borderId="0" xfId="0" applyNumberFormat="1" applyFont="1" applyFill="1" applyBorder="1" applyAlignment="1">
      <alignment horizontal="left" vertical="top"/>
    </xf>
    <xf numFmtId="49" fontId="0" fillId="0" borderId="21" xfId="0" applyNumberFormat="1" applyBorder="1" applyAlignment="1"/>
    <xf numFmtId="49" fontId="15" fillId="7" borderId="16" xfId="0" applyNumberFormat="1" applyFont="1" applyFill="1" applyBorder="1" applyAlignment="1">
      <alignment horizontal="center"/>
    </xf>
    <xf numFmtId="49" fontId="2" fillId="0" borderId="0" xfId="0" applyNumberFormat="1" applyFont="1" applyBorder="1" applyAlignment="1"/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0" fontId="0" fillId="9" borderId="0" xfId="0" applyFill="1"/>
    <xf numFmtId="0" fontId="0" fillId="7" borderId="0" xfId="0" applyFill="1"/>
    <xf numFmtId="0" fontId="3" fillId="7" borderId="0" xfId="20" applyFont="1" applyFill="1" applyAlignment="1">
      <alignment horizontal="left"/>
    </xf>
    <xf numFmtId="0" fontId="0" fillId="10" borderId="0" xfId="0" applyFill="1"/>
    <xf numFmtId="0" fontId="0" fillId="11" borderId="0" xfId="0" applyFill="1"/>
    <xf numFmtId="49" fontId="9" fillId="2" borderId="7" xfId="1" applyNumberFormat="1" applyFont="1" applyFill="1" applyBorder="1" applyAlignment="1">
      <alignment horizontal="center" textRotation="90" wrapText="1"/>
    </xf>
    <xf numFmtId="49" fontId="9" fillId="2" borderId="4" xfId="1" applyNumberFormat="1" applyFont="1" applyFill="1" applyBorder="1" applyAlignment="1">
      <alignment horizontal="center" textRotation="90" wrapText="1"/>
    </xf>
    <xf numFmtId="49" fontId="9" fillId="2" borderId="1" xfId="1" applyNumberFormat="1" applyFont="1" applyFill="1" applyBorder="1" applyAlignment="1">
      <alignment horizontal="center" textRotation="90"/>
    </xf>
    <xf numFmtId="0" fontId="0" fillId="0" borderId="2" xfId="0" applyBorder="1"/>
    <xf numFmtId="0" fontId="0" fillId="0" borderId="2" xfId="0" quotePrefix="1" applyBorder="1"/>
    <xf numFmtId="0" fontId="5" fillId="0" borderId="2" xfId="0" applyFont="1" applyBorder="1" applyAlignment="1">
      <alignment horizontal="left"/>
    </xf>
    <xf numFmtId="0" fontId="5" fillId="0" borderId="2" xfId="20" applyFont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2" xfId="0" applyFont="1" applyBorder="1" applyAlignment="1">
      <alignment horizontal="left"/>
    </xf>
    <xf numFmtId="0" fontId="10" fillId="0" borderId="2" xfId="0" applyFont="1" applyBorder="1"/>
    <xf numFmtId="0" fontId="3" fillId="0" borderId="2" xfId="0" applyFont="1" applyBorder="1" applyAlignment="1">
      <alignment horizontal="center"/>
    </xf>
    <xf numFmtId="1" fontId="12" fillId="3" borderId="2" xfId="19" applyNumberFormat="1" applyFont="1" applyFill="1" applyBorder="1" applyAlignment="1">
      <alignment horizontal="center" vertical="top" wrapText="1"/>
    </xf>
    <xf numFmtId="1" fontId="12" fillId="3" borderId="2" xfId="0" applyNumberFormat="1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left"/>
    </xf>
    <xf numFmtId="2" fontId="12" fillId="3" borderId="2" xfId="0" applyNumberFormat="1" applyFont="1" applyFill="1" applyBorder="1" applyAlignment="1">
      <alignment horizontal="center" vertical="top" wrapText="1"/>
    </xf>
    <xf numFmtId="0" fontId="2" fillId="0" borderId="0" xfId="0" applyFont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left" wrapText="1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 wrapText="1"/>
    </xf>
    <xf numFmtId="0" fontId="0" fillId="0" borderId="0" xfId="0" applyBorder="1" applyAlignment="1">
      <alignment wrapText="1"/>
    </xf>
    <xf numFmtId="0" fontId="0" fillId="0" borderId="15" xfId="0" applyBorder="1"/>
    <xf numFmtId="0" fontId="0" fillId="0" borderId="16" xfId="0" applyBorder="1"/>
    <xf numFmtId="0" fontId="0" fillId="0" borderId="16" xfId="0" applyBorder="1" applyAlignment="1">
      <alignment horizontal="left" wrapText="1"/>
    </xf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left" wrapText="1"/>
    </xf>
    <xf numFmtId="0" fontId="2" fillId="0" borderId="21" xfId="0" applyFont="1" applyBorder="1"/>
    <xf numFmtId="0" fontId="2" fillId="0" borderId="22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7" xfId="0" applyBorder="1"/>
    <xf numFmtId="0" fontId="0" fillId="0" borderId="19" xfId="0" applyBorder="1"/>
    <xf numFmtId="0" fontId="2" fillId="0" borderId="22" xfId="0" applyFont="1" applyBorder="1"/>
    <xf numFmtId="0" fontId="2" fillId="0" borderId="21" xfId="0" applyFont="1" applyBorder="1" applyAlignment="1">
      <alignment horizontal="left" wrapText="1"/>
    </xf>
    <xf numFmtId="0" fontId="0" fillId="0" borderId="21" xfId="0" applyBorder="1" applyAlignment="1">
      <alignment wrapText="1"/>
    </xf>
    <xf numFmtId="49" fontId="9" fillId="2" borderId="5" xfId="1" applyNumberFormat="1" applyFont="1" applyFill="1" applyBorder="1" applyAlignment="1">
      <alignment horizontal="center"/>
    </xf>
    <xf numFmtId="49" fontId="9" fillId="2" borderId="6" xfId="1" applyNumberFormat="1" applyFont="1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/>
    <xf numFmtId="0" fontId="0" fillId="0" borderId="25" xfId="0" applyBorder="1" applyAlignment="1"/>
    <xf numFmtId="0" fontId="0" fillId="0" borderId="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8" xfId="0" applyBorder="1" applyAlignment="1"/>
    <xf numFmtId="0" fontId="0" fillId="0" borderId="29" xfId="0" applyBorder="1"/>
  </cellXfs>
  <cellStyles count="26">
    <cellStyle name="Normal" xfId="0" builtinId="0"/>
    <cellStyle name="Normal 10" xfId="2" xr:uid="{00000000-0005-0000-0000-000001000000}"/>
    <cellStyle name="Normal 11" xfId="1" xr:uid="{00000000-0005-0000-0000-000002000000}"/>
    <cellStyle name="Normal 2" xfId="3" xr:uid="{00000000-0005-0000-0000-000003000000}"/>
    <cellStyle name="Normal 2 2" xfId="4" xr:uid="{00000000-0005-0000-0000-000004000000}"/>
    <cellStyle name="Normal 2 2 2" xfId="5" xr:uid="{00000000-0005-0000-0000-000005000000}"/>
    <cellStyle name="Normal 2 3" xfId="6" xr:uid="{00000000-0005-0000-0000-000006000000}"/>
    <cellStyle name="Normal 2 3 2" xfId="7" xr:uid="{00000000-0005-0000-0000-000007000000}"/>
    <cellStyle name="Normal 2 4" xfId="8" xr:uid="{00000000-0005-0000-0000-000008000000}"/>
    <cellStyle name="Normal 2 5" xfId="9" xr:uid="{00000000-0005-0000-0000-000009000000}"/>
    <cellStyle name="Normal 3" xfId="10" xr:uid="{00000000-0005-0000-0000-00000A000000}"/>
    <cellStyle name="Normal 3 2" xfId="11" xr:uid="{00000000-0005-0000-0000-00000B000000}"/>
    <cellStyle name="Normal 3 3" xfId="12" xr:uid="{00000000-0005-0000-0000-00000C000000}"/>
    <cellStyle name="Normal 3 3 2" xfId="13" xr:uid="{00000000-0005-0000-0000-00000D000000}"/>
    <cellStyle name="Normal 3 4" xfId="14" xr:uid="{00000000-0005-0000-0000-00000E000000}"/>
    <cellStyle name="Normal 3 4 2" xfId="15" xr:uid="{00000000-0005-0000-0000-00000F000000}"/>
    <cellStyle name="Normal 3 5" xfId="16" xr:uid="{00000000-0005-0000-0000-000010000000}"/>
    <cellStyle name="Normal 4" xfId="17" xr:uid="{00000000-0005-0000-0000-000011000000}"/>
    <cellStyle name="Normal 4 2" xfId="18" xr:uid="{00000000-0005-0000-0000-000012000000}"/>
    <cellStyle name="Normal 4 3" xfId="19" xr:uid="{00000000-0005-0000-0000-000013000000}"/>
    <cellStyle name="Normal 5" xfId="20" xr:uid="{00000000-0005-0000-0000-000014000000}"/>
    <cellStyle name="Normal 6" xfId="21" xr:uid="{00000000-0005-0000-0000-000015000000}"/>
    <cellStyle name="Normal 7" xfId="22" xr:uid="{00000000-0005-0000-0000-000016000000}"/>
    <cellStyle name="Normal 7 2" xfId="23" xr:uid="{00000000-0005-0000-0000-000017000000}"/>
    <cellStyle name="Normal 8" xfId="24" xr:uid="{00000000-0005-0000-0000-000018000000}"/>
    <cellStyle name="Normal 9" xfId="25" xr:uid="{00000000-0005-0000-0000-000019000000}"/>
  </cellStyles>
  <dxfs count="5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EC3D3-9F0D-4F70-A940-BBFBF6B578C5}">
  <dimension ref="A1:Y330"/>
  <sheetViews>
    <sheetView zoomScaleNormal="100" workbookViewId="0">
      <selection activeCell="N3" sqref="N3"/>
    </sheetView>
  </sheetViews>
  <sheetFormatPr defaultRowHeight="12.75" x14ac:dyDescent="0.2"/>
  <cols>
    <col min="1" max="1" width="22.5703125" customWidth="1"/>
    <col min="2" max="2" width="7.85546875" bestFit="1" customWidth="1"/>
    <col min="3" max="3" width="5.7109375" bestFit="1" customWidth="1"/>
    <col min="4" max="4" width="7.85546875" bestFit="1" customWidth="1"/>
    <col min="5" max="5" width="8" bestFit="1" customWidth="1"/>
    <col min="6" max="6" width="7.85546875" bestFit="1" customWidth="1"/>
    <col min="7" max="7" width="19.5703125" bestFit="1" customWidth="1"/>
    <col min="8" max="8" width="30.28515625" bestFit="1" customWidth="1"/>
    <col min="9" max="9" width="8.42578125" bestFit="1" customWidth="1"/>
    <col min="11" max="11" width="8.42578125" bestFit="1" customWidth="1"/>
    <col min="12" max="12" width="23.7109375" bestFit="1" customWidth="1"/>
    <col min="13" max="13" width="9.85546875" bestFit="1" customWidth="1"/>
    <col min="16" max="16" width="22.140625" bestFit="1" customWidth="1"/>
    <col min="17" max="17" width="14.5703125" style="9" bestFit="1" customWidth="1"/>
  </cols>
  <sheetData>
    <row r="1" spans="1:25" x14ac:dyDescent="0.2">
      <c r="A1" s="152" t="s">
        <v>0</v>
      </c>
      <c r="B1" s="153"/>
      <c r="C1" s="153"/>
      <c r="D1" s="153"/>
      <c r="E1" s="153"/>
      <c r="F1" s="153"/>
      <c r="G1" s="153"/>
      <c r="H1" s="153"/>
      <c r="I1" s="153"/>
    </row>
    <row r="2" spans="1:25" ht="61.5" customHeight="1" x14ac:dyDescent="0.2">
      <c r="A2" s="3" t="s">
        <v>1</v>
      </c>
      <c r="B2" s="3" t="s">
        <v>2</v>
      </c>
      <c r="C2" s="3" t="s">
        <v>3</v>
      </c>
      <c r="D2" s="113" t="s">
        <v>4</v>
      </c>
      <c r="E2" s="3" t="s">
        <v>5</v>
      </c>
      <c r="F2" s="114" t="s">
        <v>6</v>
      </c>
      <c r="G2" s="115" t="s">
        <v>7</v>
      </c>
      <c r="H2" s="113" t="s">
        <v>8</v>
      </c>
      <c r="I2" s="3" t="s">
        <v>351</v>
      </c>
      <c r="K2" s="1" t="s">
        <v>9</v>
      </c>
      <c r="L2" s="1" t="s">
        <v>12</v>
      </c>
      <c r="M2" t="s">
        <v>696</v>
      </c>
    </row>
    <row r="3" spans="1:25" ht="13.5" thickBot="1" x14ac:dyDescent="0.25">
      <c r="A3" s="116" t="s">
        <v>1149</v>
      </c>
      <c r="B3" s="116" t="s">
        <v>1168</v>
      </c>
      <c r="C3" s="117">
        <f>COUNTIF($D$3:D3, D3)</f>
        <v>1</v>
      </c>
      <c r="D3" s="117">
        <f>INDEX(PanelInstance!$B$2:$H$11, MATCH(Joined!$A3, PanelInstance!$B$2:$B$11, 0), MATCH(Joined!B3, PanelInstance!$B$1:$H$1, 0)+1)</f>
        <v>301</v>
      </c>
      <c r="E3" s="117" t="str">
        <f>10 &amp; D3 &amp; IF(LEN(C3) = 1, "0" &amp; C3, C3)</f>
        <v>1030101</v>
      </c>
      <c r="F3" s="117">
        <f>IFERROR(VLOOKUP($G3, Sched!$A:$AA, 27, FALSE), "")</f>
        <v>15201</v>
      </c>
      <c r="G3" s="118" t="s">
        <v>67</v>
      </c>
      <c r="H3" s="116" t="str">
        <f xml:space="preserve"> "ACC.RGC." &amp; G3</f>
        <v>ACC.RGC.VV-3-0-10</v>
      </c>
      <c r="I3" s="117" t="str">
        <f>K3</f>
        <v>M-100B1</v>
      </c>
      <c r="K3" t="s">
        <v>291</v>
      </c>
      <c r="L3" t="s">
        <v>276</v>
      </c>
      <c r="M3">
        <v>0</v>
      </c>
      <c r="O3" s="2" t="s">
        <v>310</v>
      </c>
      <c r="P3" s="2" t="s">
        <v>311</v>
      </c>
      <c r="Q3" s="128" t="s">
        <v>312</v>
      </c>
      <c r="R3" s="2" t="s">
        <v>1170</v>
      </c>
      <c r="S3" s="2" t="s">
        <v>313</v>
      </c>
      <c r="T3" s="4"/>
      <c r="U3" s="4"/>
      <c r="V3" s="4"/>
      <c r="W3" s="5"/>
      <c r="X3" s="4"/>
      <c r="Y3" s="4"/>
    </row>
    <row r="4" spans="1:25" ht="25.5" x14ac:dyDescent="0.2">
      <c r="A4" s="116" t="s">
        <v>1149</v>
      </c>
      <c r="B4" s="116" t="s">
        <v>1168</v>
      </c>
      <c r="C4" s="117">
        <f>COUNTIF($D$3:D4, D4)</f>
        <v>2</v>
      </c>
      <c r="D4" s="117">
        <f>INDEX(PanelInstance!$B$2:$H$11, MATCH(Joined!$A4, PanelInstance!$B$2:$B$11, 0), MATCH(Joined!B4, PanelInstance!$B$1:$H$1, 0)+1)</f>
        <v>301</v>
      </c>
      <c r="E4" s="117" t="str">
        <f t="shared" ref="E4:E67" si="0">10 &amp; D4 &amp; IF(LEN(C4) = 1, "0" &amp; C4, C4)</f>
        <v>1030102</v>
      </c>
      <c r="F4" s="117">
        <f>IFERROR(VLOOKUP($G4, Sched!$A:$AA, 27, FALSE), "")</f>
        <v>15001</v>
      </c>
      <c r="G4" s="119" t="s">
        <v>84</v>
      </c>
      <c r="H4" s="116" t="str">
        <f t="shared" ref="H4:H67" si="1" xml:space="preserve"> "ACC.RGC." &amp; G4</f>
        <v>ACC.RGC.VV-1-0-04</v>
      </c>
      <c r="I4" s="117" t="str">
        <f t="shared" ref="I4:I67" si="2">K4</f>
        <v>M-100B1</v>
      </c>
      <c r="K4" t="s">
        <v>291</v>
      </c>
      <c r="L4" t="s">
        <v>276</v>
      </c>
      <c r="M4">
        <v>0</v>
      </c>
      <c r="O4" s="135" t="s">
        <v>299</v>
      </c>
      <c r="P4" s="136" t="s">
        <v>1149</v>
      </c>
      <c r="Q4" s="137" t="s">
        <v>314</v>
      </c>
      <c r="R4" s="136">
        <v>0</v>
      </c>
      <c r="S4" s="138">
        <f>COUNTIFS(A:A, P$4, M:M, R4)</f>
        <v>45</v>
      </c>
    </row>
    <row r="5" spans="1:25" x14ac:dyDescent="0.2">
      <c r="A5" s="116" t="s">
        <v>1149</v>
      </c>
      <c r="B5" s="116" t="s">
        <v>1168</v>
      </c>
      <c r="C5" s="117">
        <f>COUNTIF($D$3:D5, D5)</f>
        <v>3</v>
      </c>
      <c r="D5" s="117">
        <f>INDEX(PanelInstance!$B$2:$H$11, MATCH(Joined!$A5, PanelInstance!$B$2:$B$11, 0), MATCH(Joined!B5, PanelInstance!$B$1:$H$1, 0)+1)</f>
        <v>301</v>
      </c>
      <c r="E5" s="117" t="str">
        <f t="shared" si="0"/>
        <v>1030103</v>
      </c>
      <c r="F5" s="117">
        <f>IFERROR(VLOOKUP($G5, Sched!$A:$AA, 27, FALSE), "")</f>
        <v>15001</v>
      </c>
      <c r="G5" s="119" t="s">
        <v>85</v>
      </c>
      <c r="H5" s="116" t="str">
        <f t="shared" si="1"/>
        <v>ACC.RGC.VV-1-0-05</v>
      </c>
      <c r="I5" s="117" t="str">
        <f t="shared" si="2"/>
        <v>M-100B1</v>
      </c>
      <c r="K5" t="s">
        <v>291</v>
      </c>
      <c r="L5" t="s">
        <v>276</v>
      </c>
      <c r="M5">
        <v>0</v>
      </c>
      <c r="O5" s="139"/>
      <c r="P5" s="129" t="s">
        <v>318</v>
      </c>
      <c r="Q5" s="130"/>
      <c r="R5" s="129">
        <v>1</v>
      </c>
      <c r="S5" s="140">
        <f t="shared" ref="S5:S8" si="3">COUNTIFS(A:A, P$4, M:M, R5)</f>
        <v>2</v>
      </c>
    </row>
    <row r="6" spans="1:25" x14ac:dyDescent="0.2">
      <c r="A6" s="116" t="s">
        <v>1149</v>
      </c>
      <c r="B6" s="116" t="s">
        <v>1168</v>
      </c>
      <c r="C6" s="117">
        <f>COUNTIF($D$3:D6, D6)</f>
        <v>4</v>
      </c>
      <c r="D6" s="117">
        <f>INDEX(PanelInstance!$B$2:$H$11, MATCH(Joined!$A6, PanelInstance!$B$2:$B$11, 0), MATCH(Joined!B6, PanelInstance!$B$1:$H$1, 0)+1)</f>
        <v>301</v>
      </c>
      <c r="E6" s="117" t="str">
        <f t="shared" si="0"/>
        <v>1030104</v>
      </c>
      <c r="F6" s="117">
        <f>IFERROR(VLOOKUP($G6, Sched!$A:$AA, 27, FALSE), "")</f>
        <v>15001</v>
      </c>
      <c r="G6" s="119" t="s">
        <v>86</v>
      </c>
      <c r="H6" s="116" t="str">
        <f t="shared" si="1"/>
        <v>ACC.RGC.VV-1-0-06</v>
      </c>
      <c r="I6" s="117" t="str">
        <f t="shared" si="2"/>
        <v>M-100B1</v>
      </c>
      <c r="K6" t="s">
        <v>291</v>
      </c>
      <c r="L6" t="s">
        <v>276</v>
      </c>
      <c r="M6">
        <v>0</v>
      </c>
      <c r="O6" s="139"/>
      <c r="P6" s="129" t="s">
        <v>320</v>
      </c>
      <c r="Q6" s="130"/>
      <c r="R6" s="129">
        <v>2</v>
      </c>
      <c r="S6" s="140">
        <f t="shared" si="3"/>
        <v>0</v>
      </c>
    </row>
    <row r="7" spans="1:25" x14ac:dyDescent="0.2">
      <c r="A7" s="116" t="s">
        <v>1149</v>
      </c>
      <c r="B7" s="116" t="s">
        <v>1168</v>
      </c>
      <c r="C7" s="117">
        <f>COUNTIF($D$3:D7, D7)</f>
        <v>5</v>
      </c>
      <c r="D7" s="117">
        <f>INDEX(PanelInstance!$B$2:$H$11, MATCH(Joined!$A7, PanelInstance!$B$2:$B$11, 0), MATCH(Joined!B7, PanelInstance!$B$1:$H$1, 0)+1)</f>
        <v>301</v>
      </c>
      <c r="E7" s="117" t="str">
        <f t="shared" si="0"/>
        <v>1030105</v>
      </c>
      <c r="F7" s="117">
        <f>IFERROR(VLOOKUP($G7, Sched!$A:$AA, 27, FALSE), "")</f>
        <v>15401</v>
      </c>
      <c r="G7" s="118" t="s">
        <v>44</v>
      </c>
      <c r="H7" s="116" t="str">
        <f t="shared" si="1"/>
        <v>ACC.RGC.FCV-1-0-1</v>
      </c>
      <c r="I7" s="117" t="str">
        <f t="shared" si="2"/>
        <v>M-301</v>
      </c>
      <c r="K7" t="s">
        <v>11</v>
      </c>
      <c r="L7" t="s">
        <v>306</v>
      </c>
      <c r="M7">
        <v>0</v>
      </c>
      <c r="O7" s="139"/>
      <c r="P7" s="129" t="s">
        <v>321</v>
      </c>
      <c r="Q7" s="130"/>
      <c r="R7" s="129">
        <v>3</v>
      </c>
      <c r="S7" s="140">
        <f t="shared" si="3"/>
        <v>0</v>
      </c>
    </row>
    <row r="8" spans="1:25" x14ac:dyDescent="0.2">
      <c r="A8" s="116" t="s">
        <v>1149</v>
      </c>
      <c r="B8" s="116" t="s">
        <v>1168</v>
      </c>
      <c r="C8" s="117">
        <f>COUNTIF($D$3:D8, D8)</f>
        <v>6</v>
      </c>
      <c r="D8" s="117">
        <f>INDEX(PanelInstance!$B$2:$H$11, MATCH(Joined!$A8, PanelInstance!$B$2:$B$11, 0), MATCH(Joined!B8, PanelInstance!$B$1:$H$1, 0)+1)</f>
        <v>301</v>
      </c>
      <c r="E8" s="117" t="str">
        <f t="shared" si="0"/>
        <v>1030106</v>
      </c>
      <c r="F8" s="117">
        <f>IFERROR(VLOOKUP($G8, Sched!$A:$AA, 27, FALSE), "")</f>
        <v>15401</v>
      </c>
      <c r="G8" s="118" t="s">
        <v>45</v>
      </c>
      <c r="H8" s="116" t="str">
        <f t="shared" si="1"/>
        <v>ACC.RGC.FCV-1-0-2</v>
      </c>
      <c r="I8" s="117" t="str">
        <f t="shared" si="2"/>
        <v>M-301</v>
      </c>
      <c r="K8" t="s">
        <v>11</v>
      </c>
      <c r="L8" t="s">
        <v>306</v>
      </c>
      <c r="M8">
        <v>0</v>
      </c>
      <c r="O8" s="139"/>
      <c r="P8" s="129" t="s">
        <v>262</v>
      </c>
      <c r="Q8" s="130"/>
      <c r="R8" s="129" t="s">
        <v>1141</v>
      </c>
      <c r="S8" s="140">
        <f t="shared" si="3"/>
        <v>0</v>
      </c>
    </row>
    <row r="9" spans="1:25" ht="13.5" thickBot="1" x14ac:dyDescent="0.25">
      <c r="A9" s="116" t="s">
        <v>1149</v>
      </c>
      <c r="B9" s="116" t="s">
        <v>1168</v>
      </c>
      <c r="C9" s="117">
        <f>COUNTIF($D$3:D9, D9)</f>
        <v>7</v>
      </c>
      <c r="D9" s="117">
        <f>INDEX(PanelInstance!$B$2:$H$11, MATCH(Joined!$A9, PanelInstance!$B$2:$B$11, 0), MATCH(Joined!B9, PanelInstance!$B$1:$H$1, 0)+1)</f>
        <v>301</v>
      </c>
      <c r="E9" s="117" t="str">
        <f t="shared" si="0"/>
        <v>1030107</v>
      </c>
      <c r="F9" s="117">
        <f>IFERROR(VLOOKUP($G9, Sched!$A:$AA, 27, FALSE), "")</f>
        <v>15401</v>
      </c>
      <c r="G9" s="118" t="s">
        <v>46</v>
      </c>
      <c r="H9" s="116" t="str">
        <f t="shared" si="1"/>
        <v>ACC.RGC.FCV-1-0-3</v>
      </c>
      <c r="I9" s="117" t="str">
        <f t="shared" si="2"/>
        <v>M-301</v>
      </c>
      <c r="K9" t="s">
        <v>11</v>
      </c>
      <c r="L9" t="s">
        <v>306</v>
      </c>
      <c r="M9">
        <v>0</v>
      </c>
      <c r="O9" s="141"/>
      <c r="P9" s="142" t="s">
        <v>263</v>
      </c>
      <c r="Q9" s="143"/>
      <c r="R9" s="144" t="s">
        <v>309</v>
      </c>
      <c r="S9" s="145">
        <f>SUM(S4:S8)</f>
        <v>47</v>
      </c>
    </row>
    <row r="10" spans="1:25" ht="13.5" thickBot="1" x14ac:dyDescent="0.25">
      <c r="A10" s="116" t="s">
        <v>1149</v>
      </c>
      <c r="B10" s="116" t="s">
        <v>1168</v>
      </c>
      <c r="C10" s="117">
        <f>COUNTIF($D$3:D10, D10)</f>
        <v>8</v>
      </c>
      <c r="D10" s="117">
        <f>INDEX(PanelInstance!$B$2:$H$11, MATCH(Joined!$A10, PanelInstance!$B$2:$B$11, 0), MATCH(Joined!B10, PanelInstance!$B$1:$H$1, 0)+1)</f>
        <v>301</v>
      </c>
      <c r="E10" s="117" t="str">
        <f t="shared" si="0"/>
        <v>1030108</v>
      </c>
      <c r="F10" s="117">
        <f>IFERROR(VLOOKUP($G10, Sched!$A:$AA, 27, FALSE), "")</f>
        <v>15401</v>
      </c>
      <c r="G10" s="118" t="s">
        <v>47</v>
      </c>
      <c r="H10" s="116" t="str">
        <f t="shared" si="1"/>
        <v>ACC.RGC.FCV-1-0-4</v>
      </c>
      <c r="I10" s="117" t="str">
        <f t="shared" si="2"/>
        <v>M-301</v>
      </c>
      <c r="K10" t="s">
        <v>11</v>
      </c>
      <c r="L10" t="s">
        <v>306</v>
      </c>
      <c r="M10">
        <v>0</v>
      </c>
      <c r="O10" s="129"/>
      <c r="P10" s="129"/>
      <c r="Q10" s="130"/>
      <c r="R10" s="131"/>
      <c r="S10" s="132"/>
    </row>
    <row r="11" spans="1:25" ht="38.25" x14ac:dyDescent="0.2">
      <c r="A11" s="116" t="s">
        <v>1149</v>
      </c>
      <c r="B11" s="116" t="s">
        <v>1168</v>
      </c>
      <c r="C11" s="117">
        <f>COUNTIF($D$3:D11, D11)</f>
        <v>9</v>
      </c>
      <c r="D11" s="117">
        <f>INDEX(PanelInstance!$B$2:$H$11, MATCH(Joined!$A11, PanelInstance!$B$2:$B$11, 0), MATCH(Joined!B11, PanelInstance!$B$1:$H$1, 0)+1)</f>
        <v>301</v>
      </c>
      <c r="E11" s="117" t="str">
        <f t="shared" si="0"/>
        <v>1030109</v>
      </c>
      <c r="F11" s="117">
        <f>IFERROR(VLOOKUP($G11, Sched!$A:$AA, 27, FALSE), "")</f>
        <v>15401</v>
      </c>
      <c r="G11" s="118" t="s">
        <v>48</v>
      </c>
      <c r="H11" s="116" t="str">
        <f t="shared" si="1"/>
        <v>ACC.RGC.FCV-1-0-5</v>
      </c>
      <c r="I11" s="117" t="str">
        <f t="shared" si="2"/>
        <v>M-301</v>
      </c>
      <c r="K11" t="s">
        <v>11</v>
      </c>
      <c r="L11" t="s">
        <v>306</v>
      </c>
      <c r="M11">
        <v>0</v>
      </c>
      <c r="O11" s="135" t="s">
        <v>300</v>
      </c>
      <c r="P11" s="136" t="s">
        <v>1150</v>
      </c>
      <c r="Q11" s="137" t="s">
        <v>1176</v>
      </c>
      <c r="R11" s="136">
        <v>0</v>
      </c>
      <c r="S11" s="138">
        <f>COUNTIFS(A:A, P$11, M:M, R11)</f>
        <v>0</v>
      </c>
    </row>
    <row r="12" spans="1:25" x14ac:dyDescent="0.2">
      <c r="A12" s="116" t="s">
        <v>1149</v>
      </c>
      <c r="B12" s="116" t="s">
        <v>1168</v>
      </c>
      <c r="C12" s="117">
        <f>COUNTIF($D$3:D12, D12)</f>
        <v>10</v>
      </c>
      <c r="D12" s="117">
        <f>INDEX(PanelInstance!$B$2:$H$11, MATCH(Joined!$A12, PanelInstance!$B$2:$B$11, 0), MATCH(Joined!B12, PanelInstance!$B$1:$H$1, 0)+1)</f>
        <v>301</v>
      </c>
      <c r="E12" s="117" t="str">
        <f t="shared" si="0"/>
        <v>1030110</v>
      </c>
      <c r="F12" s="117">
        <f>IFERROR(VLOOKUP($G12, Sched!$A:$AA, 27, FALSE), "")</f>
        <v>15401</v>
      </c>
      <c r="G12" s="118" t="s">
        <v>49</v>
      </c>
      <c r="H12" s="116" t="str">
        <f t="shared" si="1"/>
        <v>ACC.RGC.FCV-1-0-6</v>
      </c>
      <c r="I12" s="117" t="str">
        <f t="shared" si="2"/>
        <v>M-301</v>
      </c>
      <c r="K12" t="s">
        <v>11</v>
      </c>
      <c r="L12" t="s">
        <v>306</v>
      </c>
      <c r="M12">
        <v>0</v>
      </c>
      <c r="O12" s="146">
        <v>36</v>
      </c>
      <c r="P12" s="129" t="s">
        <v>1143</v>
      </c>
      <c r="Q12" s="130"/>
      <c r="R12" s="129">
        <v>1</v>
      </c>
      <c r="S12" s="140">
        <f t="shared" ref="S12:S15" si="4">COUNTIFS(A:A, P$11, M:M, R12)</f>
        <v>46</v>
      </c>
    </row>
    <row r="13" spans="1:25" x14ac:dyDescent="0.2">
      <c r="A13" s="116" t="s">
        <v>1149</v>
      </c>
      <c r="B13" s="116" t="s">
        <v>1168</v>
      </c>
      <c r="C13" s="117">
        <f>COUNTIF($D$3:D13, D13)</f>
        <v>11</v>
      </c>
      <c r="D13" s="117">
        <f>INDEX(PanelInstance!$B$2:$H$11, MATCH(Joined!$A13, PanelInstance!$B$2:$B$11, 0), MATCH(Joined!B13, PanelInstance!$B$1:$H$1, 0)+1)</f>
        <v>301</v>
      </c>
      <c r="E13" s="117" t="str">
        <f t="shared" si="0"/>
        <v>1030111</v>
      </c>
      <c r="F13" s="117">
        <f>IFERROR(VLOOKUP($G13, Sched!$A:$AA, 27, FALSE), "")</f>
        <v>15401</v>
      </c>
      <c r="G13" s="118" t="s">
        <v>50</v>
      </c>
      <c r="H13" s="116" t="str">
        <f t="shared" si="1"/>
        <v>ACC.RGC.FCV-1-0-7</v>
      </c>
      <c r="I13" s="117" t="str">
        <f t="shared" si="2"/>
        <v>M-301</v>
      </c>
      <c r="K13" t="s">
        <v>11</v>
      </c>
      <c r="L13" t="s">
        <v>306</v>
      </c>
      <c r="M13">
        <v>0</v>
      </c>
      <c r="O13" s="139"/>
      <c r="P13" s="129"/>
      <c r="Q13" s="130"/>
      <c r="R13" s="129">
        <v>2</v>
      </c>
      <c r="S13" s="140">
        <f t="shared" si="4"/>
        <v>0</v>
      </c>
    </row>
    <row r="14" spans="1:25" x14ac:dyDescent="0.2">
      <c r="A14" s="116" t="s">
        <v>1149</v>
      </c>
      <c r="B14" s="116" t="s">
        <v>1169</v>
      </c>
      <c r="C14" s="117">
        <f>COUNTIF($D$3:D14, D14)</f>
        <v>1</v>
      </c>
      <c r="D14" s="117">
        <f>INDEX(PanelInstance!$B$2:$H$11, MATCH(Joined!$A14, PanelInstance!$B$2:$B$11, 0), MATCH(Joined!B14, PanelInstance!$B$1:$H$1, 0)+1)</f>
        <v>351</v>
      </c>
      <c r="E14" s="117" t="str">
        <f t="shared" si="0"/>
        <v>1035101</v>
      </c>
      <c r="F14" s="117" t="str">
        <f>IFERROR(VLOOKUP($G14, Sched!$A:$AA, 27, FALSE), "")</f>
        <v/>
      </c>
      <c r="G14" s="120" t="s">
        <v>332</v>
      </c>
      <c r="H14" s="116" t="str">
        <f t="shared" si="1"/>
        <v>ACC.RGC.VFD-AHU-VAV-1-SA1</v>
      </c>
      <c r="I14" s="117" t="str">
        <f t="shared" si="2"/>
        <v>M-301</v>
      </c>
      <c r="K14" t="s">
        <v>11</v>
      </c>
      <c r="L14" t="s">
        <v>306</v>
      </c>
      <c r="M14">
        <v>0</v>
      </c>
      <c r="O14" s="139"/>
      <c r="P14" s="129"/>
      <c r="Q14" s="130"/>
      <c r="R14" s="129">
        <v>3</v>
      </c>
      <c r="S14" s="140">
        <f t="shared" si="4"/>
        <v>0</v>
      </c>
    </row>
    <row r="15" spans="1:25" x14ac:dyDescent="0.2">
      <c r="A15" s="116" t="s">
        <v>1149</v>
      </c>
      <c r="B15" s="116" t="s">
        <v>1169</v>
      </c>
      <c r="C15" s="117">
        <f>COUNTIF($D$3:D15, D15)</f>
        <v>2</v>
      </c>
      <c r="D15" s="117">
        <f>INDEX(PanelInstance!$B$2:$H$11, MATCH(Joined!$A15, PanelInstance!$B$2:$B$11, 0), MATCH(Joined!B15, PanelInstance!$B$1:$H$1, 0)+1)</f>
        <v>351</v>
      </c>
      <c r="E15" s="117" t="str">
        <f t="shared" si="0"/>
        <v>1035102</v>
      </c>
      <c r="F15" s="117" t="str">
        <f>IFERROR(VLOOKUP($G15, Sched!$A:$AA, 27, FALSE), "")</f>
        <v/>
      </c>
      <c r="G15" s="120" t="s">
        <v>331</v>
      </c>
      <c r="H15" s="116" t="str">
        <f t="shared" si="1"/>
        <v>ACC.RGC.VFD-AHU-VAV-1-SA2</v>
      </c>
      <c r="I15" s="117">
        <f t="shared" si="2"/>
        <v>0</v>
      </c>
      <c r="M15">
        <v>0</v>
      </c>
      <c r="O15" s="139"/>
      <c r="P15" s="129"/>
      <c r="Q15" s="130"/>
      <c r="R15" s="129" t="s">
        <v>1141</v>
      </c>
      <c r="S15" s="140">
        <f t="shared" si="4"/>
        <v>0</v>
      </c>
    </row>
    <row r="16" spans="1:25" ht="13.5" thickBot="1" x14ac:dyDescent="0.25">
      <c r="A16" s="116" t="s">
        <v>1149</v>
      </c>
      <c r="B16" s="116" t="s">
        <v>1169</v>
      </c>
      <c r="C16" s="117">
        <f>COUNTIF($D$3:D16, D16)</f>
        <v>3</v>
      </c>
      <c r="D16" s="117">
        <f>INDEX(PanelInstance!$B$2:$H$11, MATCH(Joined!$A16, PanelInstance!$B$2:$B$11, 0), MATCH(Joined!B16, PanelInstance!$B$1:$H$1, 0)+1)</f>
        <v>351</v>
      </c>
      <c r="E16" s="117" t="str">
        <f t="shared" si="0"/>
        <v>1035103</v>
      </c>
      <c r="F16" s="117" t="str">
        <f>IFERROR(VLOOKUP($G16, Sched!$A:$AA, 27, FALSE), "")</f>
        <v/>
      </c>
      <c r="G16" s="120" t="s">
        <v>334</v>
      </c>
      <c r="H16" s="116" t="str">
        <f t="shared" si="1"/>
        <v>ACC.RGC.VFD-AHU-VAV-1-RA1</v>
      </c>
      <c r="I16" s="117" t="str">
        <f t="shared" si="2"/>
        <v>M-301</v>
      </c>
      <c r="K16" t="s">
        <v>11</v>
      </c>
      <c r="L16" t="s">
        <v>306</v>
      </c>
      <c r="M16">
        <v>0</v>
      </c>
      <c r="O16" s="141"/>
      <c r="P16" s="142"/>
      <c r="Q16" s="143"/>
      <c r="R16" s="144" t="s">
        <v>309</v>
      </c>
      <c r="S16" s="145">
        <f>SUM(S11:S15)</f>
        <v>46</v>
      </c>
    </row>
    <row r="17" spans="1:20" ht="13.5" thickBot="1" x14ac:dyDescent="0.25">
      <c r="A17" s="116" t="s">
        <v>1149</v>
      </c>
      <c r="B17" s="116" t="s">
        <v>1169</v>
      </c>
      <c r="C17" s="117">
        <f>COUNTIF($D$3:D17, D17)</f>
        <v>4</v>
      </c>
      <c r="D17" s="117">
        <f>INDEX(PanelInstance!$B$2:$H$11, MATCH(Joined!$A17, PanelInstance!$B$2:$B$11, 0), MATCH(Joined!B17, PanelInstance!$B$1:$H$1, 0)+1)</f>
        <v>351</v>
      </c>
      <c r="E17" s="117" t="str">
        <f t="shared" si="0"/>
        <v>1035104</v>
      </c>
      <c r="F17" s="117" t="str">
        <f>IFERROR(VLOOKUP($G17, Sched!$A:$AA, 27, FALSE), "")</f>
        <v/>
      </c>
      <c r="G17" s="120" t="s">
        <v>333</v>
      </c>
      <c r="H17" s="116" t="str">
        <f t="shared" si="1"/>
        <v>ACC.RGC.VFD-AHU-VAV-1-RA2</v>
      </c>
      <c r="I17" s="117">
        <f t="shared" si="2"/>
        <v>0</v>
      </c>
      <c r="M17">
        <v>0</v>
      </c>
      <c r="O17" s="129"/>
      <c r="P17" s="129"/>
      <c r="Q17" s="130"/>
      <c r="R17" s="131"/>
      <c r="S17" s="132"/>
    </row>
    <row r="18" spans="1:20" ht="25.5" x14ac:dyDescent="0.2">
      <c r="A18" s="116" t="s">
        <v>1149</v>
      </c>
      <c r="B18" s="116" t="s">
        <v>1169</v>
      </c>
      <c r="C18" s="117">
        <f>COUNTIF($D$3:D18, D18)</f>
        <v>5</v>
      </c>
      <c r="D18" s="117">
        <f>INDEX(PanelInstance!$B$2:$H$11, MATCH(Joined!$A18, PanelInstance!$B$2:$B$11, 0), MATCH(Joined!B18, PanelInstance!$B$1:$H$1, 0)+1)</f>
        <v>351</v>
      </c>
      <c r="E18" s="117" t="str">
        <f t="shared" si="0"/>
        <v>1035105</v>
      </c>
      <c r="F18" s="117" t="str">
        <f>IFERROR(VLOOKUP($G18, Sched!$A:$AA, 27, FALSE), "")</f>
        <v/>
      </c>
      <c r="G18" s="120" t="s">
        <v>336</v>
      </c>
      <c r="H18" s="116" t="str">
        <f t="shared" si="1"/>
        <v>ACC.RGC.VFD-AHU-VAV-1-OA1</v>
      </c>
      <c r="I18" s="117" t="str">
        <f t="shared" si="2"/>
        <v>M-301</v>
      </c>
      <c r="K18" t="s">
        <v>11</v>
      </c>
      <c r="L18" t="s">
        <v>306</v>
      </c>
      <c r="M18">
        <v>0</v>
      </c>
      <c r="O18" s="135" t="s">
        <v>301</v>
      </c>
      <c r="P18" s="136" t="s">
        <v>1151</v>
      </c>
      <c r="Q18" s="137" t="s">
        <v>315</v>
      </c>
      <c r="R18" s="136">
        <v>0</v>
      </c>
      <c r="S18" s="138">
        <f>COUNTIFS(A:A, P$18, M:M, R18)</f>
        <v>44</v>
      </c>
    </row>
    <row r="19" spans="1:20" x14ac:dyDescent="0.2">
      <c r="A19" s="116" t="s">
        <v>1149</v>
      </c>
      <c r="B19" s="116" t="s">
        <v>1169</v>
      </c>
      <c r="C19" s="117">
        <f>COUNTIF($D$3:D19, D19)</f>
        <v>6</v>
      </c>
      <c r="D19" s="117">
        <f>INDEX(PanelInstance!$B$2:$H$11, MATCH(Joined!$A19, PanelInstance!$B$2:$B$11, 0), MATCH(Joined!B19, PanelInstance!$B$1:$H$1, 0)+1)</f>
        <v>351</v>
      </c>
      <c r="E19" s="117" t="str">
        <f t="shared" si="0"/>
        <v>1035106</v>
      </c>
      <c r="F19" s="117" t="str">
        <f>IFERROR(VLOOKUP($G19, Sched!$A:$AA, 27, FALSE), "")</f>
        <v/>
      </c>
      <c r="G19" s="120" t="s">
        <v>335</v>
      </c>
      <c r="H19" s="116" t="str">
        <f t="shared" si="1"/>
        <v>ACC.RGC.VFD-AHU-VAV-1-OA2</v>
      </c>
      <c r="I19" s="117">
        <f t="shared" si="2"/>
        <v>0</v>
      </c>
      <c r="M19">
        <v>0</v>
      </c>
      <c r="O19" s="139" t="s">
        <v>317</v>
      </c>
      <c r="P19" s="129" t="s">
        <v>319</v>
      </c>
      <c r="Q19" s="130"/>
      <c r="R19" s="129">
        <v>1</v>
      </c>
      <c r="S19" s="140">
        <f t="shared" ref="S19:S22" si="5">COUNTIFS(A:A, P$18, M:M, R19)</f>
        <v>0</v>
      </c>
    </row>
    <row r="20" spans="1:20" x14ac:dyDescent="0.2">
      <c r="A20" s="116" t="s">
        <v>1149</v>
      </c>
      <c r="B20" s="116" t="s">
        <v>1169</v>
      </c>
      <c r="C20" s="117">
        <f>COUNTIF($D$3:D20, D20)</f>
        <v>7</v>
      </c>
      <c r="D20" s="117">
        <f>INDEX(PanelInstance!$B$2:$H$11, MATCH(Joined!$A20, PanelInstance!$B$2:$B$11, 0), MATCH(Joined!B20, PanelInstance!$B$1:$H$1, 0)+1)</f>
        <v>351</v>
      </c>
      <c r="E20" s="117" t="str">
        <f t="shared" si="0"/>
        <v>1035107</v>
      </c>
      <c r="F20" s="117" t="str">
        <f>IFERROR(VLOOKUP($G20, Sched!$A:$AA, 27, FALSE), "")</f>
        <v/>
      </c>
      <c r="G20" s="120" t="s">
        <v>338</v>
      </c>
      <c r="H20" s="116" t="str">
        <f t="shared" si="1"/>
        <v>ACC.RGC.VFD-AHU-VAV-1-REA1</v>
      </c>
      <c r="I20" s="117" t="str">
        <f t="shared" si="2"/>
        <v>M-301</v>
      </c>
      <c r="K20" t="s">
        <v>11</v>
      </c>
      <c r="L20" t="s">
        <v>306</v>
      </c>
      <c r="M20">
        <v>0</v>
      </c>
      <c r="O20" s="139"/>
      <c r="P20" s="129" t="s">
        <v>1173</v>
      </c>
      <c r="Q20" s="130"/>
      <c r="R20" s="129">
        <v>2</v>
      </c>
      <c r="S20" s="140">
        <f t="shared" si="5"/>
        <v>0</v>
      </c>
    </row>
    <row r="21" spans="1:20" x14ac:dyDescent="0.2">
      <c r="A21" s="116" t="s">
        <v>1149</v>
      </c>
      <c r="B21" s="116" t="s">
        <v>1169</v>
      </c>
      <c r="C21" s="117">
        <f>COUNTIF($D$3:D21, D21)</f>
        <v>8</v>
      </c>
      <c r="D21" s="117">
        <f>INDEX(PanelInstance!$B$2:$H$11, MATCH(Joined!$A21, PanelInstance!$B$2:$B$11, 0), MATCH(Joined!B21, PanelInstance!$B$1:$H$1, 0)+1)</f>
        <v>351</v>
      </c>
      <c r="E21" s="117" t="str">
        <f t="shared" si="0"/>
        <v>1035108</v>
      </c>
      <c r="F21" s="117" t="str">
        <f>IFERROR(VLOOKUP($G21, Sched!$A:$AA, 27, FALSE), "")</f>
        <v/>
      </c>
      <c r="G21" s="120" t="s">
        <v>337</v>
      </c>
      <c r="H21" s="116" t="str">
        <f t="shared" si="1"/>
        <v>ACC.RGC.VFD-AHU-VAV-1-REA2</v>
      </c>
      <c r="I21" s="117">
        <f t="shared" si="2"/>
        <v>0</v>
      </c>
      <c r="M21">
        <v>0</v>
      </c>
      <c r="O21" s="139"/>
      <c r="P21" s="129" t="s">
        <v>1172</v>
      </c>
      <c r="Q21" s="130"/>
      <c r="R21" s="129">
        <v>3</v>
      </c>
      <c r="S21" s="140">
        <f t="shared" si="5"/>
        <v>0</v>
      </c>
    </row>
    <row r="22" spans="1:20" x14ac:dyDescent="0.2">
      <c r="A22" s="116" t="s">
        <v>1149</v>
      </c>
      <c r="B22" s="116" t="s">
        <v>1169</v>
      </c>
      <c r="C22" s="117">
        <f>COUNTIF($D$3:D22, D22)</f>
        <v>9</v>
      </c>
      <c r="D22" s="117">
        <f>INDEX(PanelInstance!$B$2:$H$11, MATCH(Joined!$A22, PanelInstance!$B$2:$B$11, 0), MATCH(Joined!B22, PanelInstance!$B$1:$H$1, 0)+1)</f>
        <v>351</v>
      </c>
      <c r="E22" s="117" t="str">
        <f t="shared" si="0"/>
        <v>1035109</v>
      </c>
      <c r="F22" s="117" t="str">
        <f>IFERROR(VLOOKUP($G22, Sched!$A:$AA, 27, FALSE), "")</f>
        <v/>
      </c>
      <c r="G22" s="121" t="s">
        <v>41</v>
      </c>
      <c r="H22" s="116" t="str">
        <f t="shared" si="1"/>
        <v>ACC.RGC.VFD-AHU-VAV-1-EW</v>
      </c>
      <c r="I22" s="117" t="str">
        <f t="shared" si="2"/>
        <v>M-301</v>
      </c>
      <c r="K22" t="s">
        <v>11</v>
      </c>
      <c r="L22" t="s">
        <v>306</v>
      </c>
      <c r="M22">
        <v>0</v>
      </c>
      <c r="O22" s="139"/>
      <c r="P22" s="129" t="s">
        <v>1171</v>
      </c>
      <c r="Q22" s="130"/>
      <c r="R22" s="129" t="s">
        <v>1141</v>
      </c>
      <c r="S22" s="140">
        <f t="shared" si="5"/>
        <v>0</v>
      </c>
    </row>
    <row r="23" spans="1:20" ht="13.5" thickBot="1" x14ac:dyDescent="0.25">
      <c r="A23" s="116" t="s">
        <v>1149</v>
      </c>
      <c r="B23" s="116" t="s">
        <v>1169</v>
      </c>
      <c r="C23" s="117">
        <f>COUNTIF($D$3:D23, D23)</f>
        <v>10</v>
      </c>
      <c r="D23" s="117">
        <f>INDEX(PanelInstance!$B$2:$H$11, MATCH(Joined!$A23, PanelInstance!$B$2:$B$11, 0), MATCH(Joined!B23, PanelInstance!$B$1:$H$1, 0)+1)</f>
        <v>351</v>
      </c>
      <c r="E23" s="117" t="str">
        <f t="shared" si="0"/>
        <v>1035110</v>
      </c>
      <c r="F23" s="117" t="str">
        <f>IFERROR(VLOOKUP($G23, Sched!$A:$AA, 27, FALSE), "")</f>
        <v/>
      </c>
      <c r="G23" s="120" t="s">
        <v>231</v>
      </c>
      <c r="H23" s="116" t="str">
        <f t="shared" si="1"/>
        <v>ACC.RGC.AFMS-1-0-OA-1</v>
      </c>
      <c r="I23" s="117" t="str">
        <f t="shared" si="2"/>
        <v>M-301</v>
      </c>
      <c r="K23" t="s">
        <v>11</v>
      </c>
      <c r="L23" t="s">
        <v>306</v>
      </c>
      <c r="M23">
        <v>0</v>
      </c>
      <c r="O23" s="141"/>
      <c r="P23" s="142"/>
      <c r="Q23" s="143"/>
      <c r="R23" s="144" t="s">
        <v>309</v>
      </c>
      <c r="S23" s="145">
        <f>SUM(S18:S22)</f>
        <v>44</v>
      </c>
    </row>
    <row r="24" spans="1:20" ht="13.5" thickBot="1" x14ac:dyDescent="0.25">
      <c r="A24" s="116" t="s">
        <v>1149</v>
      </c>
      <c r="B24" s="116" t="s">
        <v>1169</v>
      </c>
      <c r="C24" s="117">
        <f>COUNTIF($D$3:D24, D24)</f>
        <v>11</v>
      </c>
      <c r="D24" s="117">
        <f>INDEX(PanelInstance!$B$2:$H$11, MATCH(Joined!$A24, PanelInstance!$B$2:$B$11, 0), MATCH(Joined!B24, PanelInstance!$B$1:$H$1, 0)+1)</f>
        <v>351</v>
      </c>
      <c r="E24" s="117" t="str">
        <f t="shared" si="0"/>
        <v>1035111</v>
      </c>
      <c r="F24" s="117" t="str">
        <f>IFERROR(VLOOKUP($G24, Sched!$A:$AA, 27, FALSE), "")</f>
        <v/>
      </c>
      <c r="G24" s="120" t="s">
        <v>232</v>
      </c>
      <c r="H24" s="116" t="str">
        <f t="shared" si="1"/>
        <v>ACC.RGC.AFMS-1-0-OA-2</v>
      </c>
      <c r="I24" s="117" t="str">
        <f t="shared" si="2"/>
        <v>M-301</v>
      </c>
      <c r="K24" t="s">
        <v>11</v>
      </c>
      <c r="L24" t="s">
        <v>306</v>
      </c>
      <c r="M24">
        <v>0</v>
      </c>
      <c r="O24" s="129"/>
      <c r="P24" s="129"/>
      <c r="Q24" s="130"/>
      <c r="R24" s="131"/>
      <c r="S24" s="132"/>
    </row>
    <row r="25" spans="1:20" ht="38.25" x14ac:dyDescent="0.2">
      <c r="A25" s="116" t="s">
        <v>1149</v>
      </c>
      <c r="B25" s="116" t="s">
        <v>1169</v>
      </c>
      <c r="C25" s="117">
        <f>COUNTIF($D$3:D25, D25)</f>
        <v>12</v>
      </c>
      <c r="D25" s="117">
        <f>INDEX(PanelInstance!$B$2:$H$11, MATCH(Joined!$A25, PanelInstance!$B$2:$B$11, 0), MATCH(Joined!B25, PanelInstance!$B$1:$H$1, 0)+1)</f>
        <v>351</v>
      </c>
      <c r="E25" s="117" t="str">
        <f t="shared" si="0"/>
        <v>1035112</v>
      </c>
      <c r="F25" s="117" t="str">
        <f>IFERROR(VLOOKUP($G25, Sched!$A:$AA, 27, FALSE), "")</f>
        <v/>
      </c>
      <c r="G25" s="120" t="s">
        <v>233</v>
      </c>
      <c r="H25" s="116" t="str">
        <f t="shared" si="1"/>
        <v>ACC.RGC.AFMS-1-0-RA-1</v>
      </c>
      <c r="I25" s="117" t="str">
        <f t="shared" si="2"/>
        <v>M-301</v>
      </c>
      <c r="K25" t="s">
        <v>11</v>
      </c>
      <c r="L25" t="s">
        <v>306</v>
      </c>
      <c r="M25">
        <v>0</v>
      </c>
      <c r="O25" s="135" t="s">
        <v>302</v>
      </c>
      <c r="P25" s="136" t="s">
        <v>1152</v>
      </c>
      <c r="Q25" s="137" t="s">
        <v>1177</v>
      </c>
      <c r="R25" s="136">
        <v>0</v>
      </c>
      <c r="S25" s="138">
        <f>COUNTIFS(A:A, P$25, M:M, R25)</f>
        <v>0</v>
      </c>
    </row>
    <row r="26" spans="1:20" x14ac:dyDescent="0.2">
      <c r="A26" s="116" t="s">
        <v>1149</v>
      </c>
      <c r="B26" s="116" t="s">
        <v>1169</v>
      </c>
      <c r="C26" s="117">
        <f>COUNTIF($D$3:D26, D26)</f>
        <v>13</v>
      </c>
      <c r="D26" s="117">
        <f>INDEX(PanelInstance!$B$2:$H$11, MATCH(Joined!$A26, PanelInstance!$B$2:$B$11, 0), MATCH(Joined!B26, PanelInstance!$B$1:$H$1, 0)+1)</f>
        <v>351</v>
      </c>
      <c r="E26" s="117" t="str">
        <f t="shared" si="0"/>
        <v>1035113</v>
      </c>
      <c r="F26" s="117" t="str">
        <f>IFERROR(VLOOKUP($G26, Sched!$A:$AA, 27, FALSE), "")</f>
        <v/>
      </c>
      <c r="G26" s="120" t="s">
        <v>234</v>
      </c>
      <c r="H26" s="116" t="str">
        <f t="shared" si="1"/>
        <v>ACC.RGC.AFMS-1-0-REA-1</v>
      </c>
      <c r="I26" s="117" t="str">
        <f t="shared" si="2"/>
        <v>M-301</v>
      </c>
      <c r="K26" t="s">
        <v>11</v>
      </c>
      <c r="L26" t="s">
        <v>306</v>
      </c>
      <c r="M26">
        <v>0</v>
      </c>
      <c r="O26" s="146">
        <v>36</v>
      </c>
      <c r="P26" s="129" t="s">
        <v>1144</v>
      </c>
      <c r="Q26" s="130"/>
      <c r="R26" s="129">
        <v>1</v>
      </c>
      <c r="S26" s="140">
        <f t="shared" ref="S26:S29" si="6">COUNTIFS(A:A, P$25, M:M, R26)</f>
        <v>0</v>
      </c>
    </row>
    <row r="27" spans="1:20" x14ac:dyDescent="0.2">
      <c r="A27" s="116" t="s">
        <v>1149</v>
      </c>
      <c r="B27" s="116" t="s">
        <v>1169</v>
      </c>
      <c r="C27" s="117">
        <f>COUNTIF($D$3:D27, D27)</f>
        <v>14</v>
      </c>
      <c r="D27" s="117">
        <f>INDEX(PanelInstance!$B$2:$H$11, MATCH(Joined!$A27, PanelInstance!$B$2:$B$11, 0), MATCH(Joined!B27, PanelInstance!$B$1:$H$1, 0)+1)</f>
        <v>351</v>
      </c>
      <c r="E27" s="117" t="str">
        <f t="shared" si="0"/>
        <v>1035114</v>
      </c>
      <c r="F27" s="117" t="str">
        <f>IFERROR(VLOOKUP($G27, Sched!$A:$AA, 27, FALSE), "")</f>
        <v/>
      </c>
      <c r="G27" s="120" t="s">
        <v>235</v>
      </c>
      <c r="H27" s="116" t="str">
        <f t="shared" si="1"/>
        <v>ACC.RGC.AFMS-1-0-SA-1</v>
      </c>
      <c r="I27" s="117" t="str">
        <f t="shared" si="2"/>
        <v>M-301</v>
      </c>
      <c r="K27" t="s">
        <v>11</v>
      </c>
      <c r="L27" t="s">
        <v>306</v>
      </c>
      <c r="M27">
        <v>0</v>
      </c>
      <c r="O27" s="139"/>
      <c r="P27" s="129"/>
      <c r="Q27" s="130"/>
      <c r="R27" s="129">
        <v>2</v>
      </c>
      <c r="S27" s="140">
        <f t="shared" si="6"/>
        <v>65</v>
      </c>
      <c r="T27" t="s">
        <v>1174</v>
      </c>
    </row>
    <row r="28" spans="1:20" x14ac:dyDescent="0.2">
      <c r="A28" s="116" t="s">
        <v>1149</v>
      </c>
      <c r="B28" s="116" t="s">
        <v>1169</v>
      </c>
      <c r="C28" s="117">
        <f>COUNTIF($D$3:D28, D28)</f>
        <v>15</v>
      </c>
      <c r="D28" s="117">
        <f>INDEX(PanelInstance!$B$2:$H$11, MATCH(Joined!$A28, PanelInstance!$B$2:$B$11, 0), MATCH(Joined!B28, PanelInstance!$B$1:$H$1, 0)+1)</f>
        <v>351</v>
      </c>
      <c r="E28" s="117" t="str">
        <f t="shared" si="0"/>
        <v>1035115</v>
      </c>
      <c r="F28" s="117" t="str">
        <f>IFERROR(VLOOKUP($G28, Sched!$A:$AA, 27, FALSE), "")</f>
        <v/>
      </c>
      <c r="G28" s="116" t="s">
        <v>326</v>
      </c>
      <c r="H28" s="116" t="str">
        <f t="shared" si="1"/>
        <v>ACC.RGC.AFMS-1-0-RA-2</v>
      </c>
      <c r="I28" s="117" t="str">
        <f t="shared" si="2"/>
        <v>M-702</v>
      </c>
      <c r="K28" t="s">
        <v>325</v>
      </c>
      <c r="L28" t="s">
        <v>328</v>
      </c>
      <c r="M28">
        <v>0</v>
      </c>
      <c r="O28" s="139"/>
      <c r="P28" s="129"/>
      <c r="Q28" s="130"/>
      <c r="R28" s="129">
        <v>3</v>
      </c>
      <c r="S28" s="140">
        <f t="shared" si="6"/>
        <v>0</v>
      </c>
    </row>
    <row r="29" spans="1:20" x14ac:dyDescent="0.2">
      <c r="A29" s="116" t="s">
        <v>1149</v>
      </c>
      <c r="B29" s="116" t="s">
        <v>1168</v>
      </c>
      <c r="C29" s="117">
        <f>COUNTIF($D$3:D29, D29)</f>
        <v>12</v>
      </c>
      <c r="D29" s="117">
        <f>INDEX(PanelInstance!$B$2:$H$11, MATCH(Joined!$A29, PanelInstance!$B$2:$B$11, 0), MATCH(Joined!B29, PanelInstance!$B$1:$H$1, 0)+1)</f>
        <v>301</v>
      </c>
      <c r="E29" s="117" t="str">
        <f t="shared" si="0"/>
        <v>1030112</v>
      </c>
      <c r="F29" s="117">
        <f>IFERROR(VLOOKUP($G29, Sched!$A:$AA, 27, FALSE), "")</f>
        <v>15501</v>
      </c>
      <c r="G29" s="120" t="s">
        <v>262</v>
      </c>
      <c r="H29" s="116" t="str">
        <f t="shared" si="1"/>
        <v>ACC.RGC.FCU-0-1</v>
      </c>
      <c r="I29" s="117" t="str">
        <f t="shared" si="2"/>
        <v>M-100A1</v>
      </c>
      <c r="K29" t="s">
        <v>15</v>
      </c>
      <c r="L29" t="s">
        <v>16</v>
      </c>
      <c r="M29">
        <v>0</v>
      </c>
      <c r="O29" s="139"/>
      <c r="P29" s="129"/>
      <c r="Q29" s="130"/>
      <c r="R29" s="129" t="s">
        <v>1141</v>
      </c>
      <c r="S29" s="140">
        <f t="shared" si="6"/>
        <v>0</v>
      </c>
    </row>
    <row r="30" spans="1:20" ht="13.5" thickBot="1" x14ac:dyDescent="0.25">
      <c r="A30" s="116" t="s">
        <v>1149</v>
      </c>
      <c r="B30" s="116" t="s">
        <v>1168</v>
      </c>
      <c r="C30" s="117">
        <f>COUNTIF($D$3:D30, D30)</f>
        <v>13</v>
      </c>
      <c r="D30" s="117">
        <f>INDEX(PanelInstance!$B$2:$H$11, MATCH(Joined!$A30, PanelInstance!$B$2:$B$11, 0), MATCH(Joined!B30, PanelInstance!$B$1:$H$1, 0)+1)</f>
        <v>301</v>
      </c>
      <c r="E30" s="117" t="str">
        <f t="shared" si="0"/>
        <v>1030113</v>
      </c>
      <c r="F30" s="117">
        <f>IFERROR(VLOOKUP($G30, Sched!$A:$AA, 27, FALSE), "")</f>
        <v>15201</v>
      </c>
      <c r="G30" s="118" t="s">
        <v>58</v>
      </c>
      <c r="H30" s="116" t="str">
        <f t="shared" si="1"/>
        <v>ACC.RGC.VV-3-0-01</v>
      </c>
      <c r="I30" s="117" t="str">
        <f t="shared" si="2"/>
        <v>M-100A1</v>
      </c>
      <c r="K30" t="s">
        <v>15</v>
      </c>
      <c r="L30" t="s">
        <v>16</v>
      </c>
      <c r="M30">
        <v>0</v>
      </c>
      <c r="O30" s="141"/>
      <c r="P30" s="142"/>
      <c r="Q30" s="143"/>
      <c r="R30" s="144" t="s">
        <v>309</v>
      </c>
      <c r="S30" s="145">
        <f>SUM(S25:S29)</f>
        <v>65</v>
      </c>
    </row>
    <row r="31" spans="1:20" ht="13.5" thickBot="1" x14ac:dyDescent="0.25">
      <c r="A31" s="116" t="s">
        <v>1149</v>
      </c>
      <c r="B31" s="116" t="s">
        <v>1168</v>
      </c>
      <c r="C31" s="117">
        <f>COUNTIF($D$3:D31, D31)</f>
        <v>14</v>
      </c>
      <c r="D31" s="117">
        <f>INDEX(PanelInstance!$B$2:$H$11, MATCH(Joined!$A31, PanelInstance!$B$2:$B$11, 0), MATCH(Joined!B31, PanelInstance!$B$1:$H$1, 0)+1)</f>
        <v>301</v>
      </c>
      <c r="E31" s="117" t="str">
        <f t="shared" si="0"/>
        <v>1030114</v>
      </c>
      <c r="F31" s="117">
        <f>IFERROR(VLOOKUP($G31, Sched!$A:$AA, 27, FALSE), "")</f>
        <v>15201</v>
      </c>
      <c r="G31" s="118" t="s">
        <v>59</v>
      </c>
      <c r="H31" s="116" t="str">
        <f t="shared" si="1"/>
        <v>ACC.RGC.VV-3-0-02</v>
      </c>
      <c r="I31" s="117" t="str">
        <f t="shared" si="2"/>
        <v>M-100A1</v>
      </c>
      <c r="K31" t="s">
        <v>15</v>
      </c>
      <c r="L31" t="s">
        <v>16</v>
      </c>
      <c r="M31">
        <v>0</v>
      </c>
      <c r="O31" s="129"/>
      <c r="P31" s="129"/>
      <c r="Q31" s="130"/>
      <c r="R31" s="129"/>
      <c r="S31" s="129"/>
    </row>
    <row r="32" spans="1:20" ht="25.5" x14ac:dyDescent="0.2">
      <c r="A32" s="116" t="s">
        <v>1149</v>
      </c>
      <c r="B32" s="116" t="s">
        <v>1168</v>
      </c>
      <c r="C32" s="117">
        <f>COUNTIF($D$3:D32, D32)</f>
        <v>15</v>
      </c>
      <c r="D32" s="117">
        <f>INDEX(PanelInstance!$B$2:$H$11, MATCH(Joined!$A32, PanelInstance!$B$2:$B$11, 0), MATCH(Joined!B32, PanelInstance!$B$1:$H$1, 0)+1)</f>
        <v>301</v>
      </c>
      <c r="E32" s="117" t="str">
        <f t="shared" si="0"/>
        <v>1030115</v>
      </c>
      <c r="F32" s="117">
        <f>IFERROR(VLOOKUP($G32, Sched!$A:$AA, 27, FALSE), "")</f>
        <v>15201</v>
      </c>
      <c r="G32" s="118" t="s">
        <v>60</v>
      </c>
      <c r="H32" s="116" t="str">
        <f t="shared" si="1"/>
        <v>ACC.RGC.VV-3-0-03</v>
      </c>
      <c r="I32" s="117" t="str">
        <f t="shared" si="2"/>
        <v>M-100A1</v>
      </c>
      <c r="K32" t="s">
        <v>15</v>
      </c>
      <c r="L32" t="s">
        <v>16</v>
      </c>
      <c r="M32">
        <v>0</v>
      </c>
      <c r="O32" s="135" t="s">
        <v>303</v>
      </c>
      <c r="P32" s="136" t="s">
        <v>1153</v>
      </c>
      <c r="Q32" s="137" t="s">
        <v>316</v>
      </c>
      <c r="R32" s="136">
        <v>0</v>
      </c>
      <c r="S32" s="138">
        <f>COUNTIFS(A:A, P$32, M:M, R32)</f>
        <v>0</v>
      </c>
    </row>
    <row r="33" spans="1:19" x14ac:dyDescent="0.2">
      <c r="A33" s="116" t="s">
        <v>1149</v>
      </c>
      <c r="B33" s="116" t="s">
        <v>1168</v>
      </c>
      <c r="C33" s="117">
        <f>COUNTIF($D$3:D33, D33)</f>
        <v>16</v>
      </c>
      <c r="D33" s="117">
        <f>INDEX(PanelInstance!$B$2:$H$11, MATCH(Joined!$A33, PanelInstance!$B$2:$B$11, 0), MATCH(Joined!B33, PanelInstance!$B$1:$H$1, 0)+1)</f>
        <v>301</v>
      </c>
      <c r="E33" s="117" t="str">
        <f t="shared" si="0"/>
        <v>1030116</v>
      </c>
      <c r="F33" s="117">
        <f>IFERROR(VLOOKUP($G33, Sched!$A:$AA, 27, FALSE), "")</f>
        <v>15201</v>
      </c>
      <c r="G33" s="118" t="s">
        <v>61</v>
      </c>
      <c r="H33" s="116" t="str">
        <f t="shared" si="1"/>
        <v>ACC.RGC.VV-3-0-04</v>
      </c>
      <c r="I33" s="117" t="str">
        <f t="shared" si="2"/>
        <v>M-100A1</v>
      </c>
      <c r="K33" t="s">
        <v>15</v>
      </c>
      <c r="L33" t="s">
        <v>16</v>
      </c>
      <c r="M33">
        <v>0</v>
      </c>
      <c r="O33" s="139" t="s">
        <v>317</v>
      </c>
      <c r="P33" s="129" t="s">
        <v>1160</v>
      </c>
      <c r="Q33" s="130"/>
      <c r="R33" s="129">
        <v>1</v>
      </c>
      <c r="S33" s="140">
        <f t="shared" ref="S33:S36" si="7">COUNTIFS(A:A, P$32, M:M, R33)</f>
        <v>0</v>
      </c>
    </row>
    <row r="34" spans="1:19" x14ac:dyDescent="0.2">
      <c r="A34" s="116" t="s">
        <v>1149</v>
      </c>
      <c r="B34" s="116" t="s">
        <v>1168</v>
      </c>
      <c r="C34" s="117">
        <f>COUNTIF($D$3:D34, D34)</f>
        <v>17</v>
      </c>
      <c r="D34" s="117">
        <f>INDEX(PanelInstance!$B$2:$H$11, MATCH(Joined!$A34, PanelInstance!$B$2:$B$11, 0), MATCH(Joined!B34, PanelInstance!$B$1:$H$1, 0)+1)</f>
        <v>301</v>
      </c>
      <c r="E34" s="117" t="str">
        <f t="shared" si="0"/>
        <v>1030117</v>
      </c>
      <c r="F34" s="117">
        <f>IFERROR(VLOOKUP($G34, Sched!$A:$AA, 27, FALSE), "")</f>
        <v>15201</v>
      </c>
      <c r="G34" s="118" t="s">
        <v>62</v>
      </c>
      <c r="H34" s="116" t="str">
        <f t="shared" si="1"/>
        <v>ACC.RGC.VV-3-0-05</v>
      </c>
      <c r="I34" s="117" t="str">
        <f t="shared" si="2"/>
        <v>M-100A1</v>
      </c>
      <c r="K34" t="s">
        <v>15</v>
      </c>
      <c r="L34" t="s">
        <v>16</v>
      </c>
      <c r="M34">
        <v>0</v>
      </c>
      <c r="O34" s="139"/>
      <c r="P34" s="129" t="s">
        <v>1161</v>
      </c>
      <c r="Q34" s="130"/>
      <c r="R34" s="129">
        <v>2</v>
      </c>
      <c r="S34" s="140">
        <f t="shared" si="7"/>
        <v>0</v>
      </c>
    </row>
    <row r="35" spans="1:19" x14ac:dyDescent="0.2">
      <c r="A35" s="116" t="s">
        <v>1149</v>
      </c>
      <c r="B35" s="116" t="s">
        <v>1168</v>
      </c>
      <c r="C35" s="117">
        <f>COUNTIF($D$3:D35, D35)</f>
        <v>18</v>
      </c>
      <c r="D35" s="117">
        <f>INDEX(PanelInstance!$B$2:$H$11, MATCH(Joined!$A35, PanelInstance!$B$2:$B$11, 0), MATCH(Joined!B35, PanelInstance!$B$1:$H$1, 0)+1)</f>
        <v>301</v>
      </c>
      <c r="E35" s="117" t="str">
        <f t="shared" si="0"/>
        <v>1030118</v>
      </c>
      <c r="F35" s="117">
        <f>IFERROR(VLOOKUP($G35, Sched!$A:$AA, 27, FALSE), "")</f>
        <v>15201</v>
      </c>
      <c r="G35" s="118" t="s">
        <v>63</v>
      </c>
      <c r="H35" s="116" t="str">
        <f t="shared" si="1"/>
        <v>ACC.RGC.VV-3-0-06</v>
      </c>
      <c r="I35" s="117" t="str">
        <f t="shared" si="2"/>
        <v>M-100A1</v>
      </c>
      <c r="K35" t="s">
        <v>15</v>
      </c>
      <c r="L35" t="s">
        <v>16</v>
      </c>
      <c r="M35">
        <v>0</v>
      </c>
      <c r="O35" s="139"/>
      <c r="P35" s="129" t="s">
        <v>1162</v>
      </c>
      <c r="Q35" s="130"/>
      <c r="R35" s="129">
        <v>3</v>
      </c>
      <c r="S35" s="140">
        <f t="shared" si="7"/>
        <v>0</v>
      </c>
    </row>
    <row r="36" spans="1:19" x14ac:dyDescent="0.2">
      <c r="A36" s="116" t="s">
        <v>1149</v>
      </c>
      <c r="B36" s="116" t="s">
        <v>1168</v>
      </c>
      <c r="C36" s="117">
        <f>COUNTIF($D$3:D36, D36)</f>
        <v>19</v>
      </c>
      <c r="D36" s="117">
        <f>INDEX(PanelInstance!$B$2:$H$11, MATCH(Joined!$A36, PanelInstance!$B$2:$B$11, 0), MATCH(Joined!B36, PanelInstance!$B$1:$H$1, 0)+1)</f>
        <v>301</v>
      </c>
      <c r="E36" s="117" t="str">
        <f t="shared" si="0"/>
        <v>1030119</v>
      </c>
      <c r="F36" s="117">
        <f>IFERROR(VLOOKUP($G36, Sched!$A:$AA, 27, FALSE), "")</f>
        <v>15201</v>
      </c>
      <c r="G36" s="118" t="s">
        <v>64</v>
      </c>
      <c r="H36" s="116" t="str">
        <f t="shared" si="1"/>
        <v>ACC.RGC.VV-3-0-07</v>
      </c>
      <c r="I36" s="117" t="str">
        <f t="shared" si="2"/>
        <v>M-100A1</v>
      </c>
      <c r="K36" t="s">
        <v>15</v>
      </c>
      <c r="L36" t="s">
        <v>16</v>
      </c>
      <c r="M36">
        <v>0</v>
      </c>
      <c r="O36" s="139"/>
      <c r="P36" s="129" t="s">
        <v>1163</v>
      </c>
      <c r="Q36" s="130"/>
      <c r="R36" s="129" t="s">
        <v>1141</v>
      </c>
      <c r="S36" s="140">
        <f t="shared" si="7"/>
        <v>13</v>
      </c>
    </row>
    <row r="37" spans="1:19" ht="13.5" thickBot="1" x14ac:dyDescent="0.25">
      <c r="A37" s="116" t="s">
        <v>1149</v>
      </c>
      <c r="B37" s="116" t="s">
        <v>1168</v>
      </c>
      <c r="C37" s="117">
        <f>COUNTIF($D$3:D37, D37)</f>
        <v>20</v>
      </c>
      <c r="D37" s="117">
        <f>INDEX(PanelInstance!$B$2:$H$11, MATCH(Joined!$A37, PanelInstance!$B$2:$B$11, 0), MATCH(Joined!B37, PanelInstance!$B$1:$H$1, 0)+1)</f>
        <v>301</v>
      </c>
      <c r="E37" s="117" t="str">
        <f t="shared" si="0"/>
        <v>1030120</v>
      </c>
      <c r="F37" s="117">
        <f>IFERROR(VLOOKUP($G37, Sched!$A:$AA, 27, FALSE), "")</f>
        <v>15201</v>
      </c>
      <c r="G37" s="118" t="s">
        <v>65</v>
      </c>
      <c r="H37" s="116" t="str">
        <f t="shared" si="1"/>
        <v>ACC.RGC.VV-3-0-08</v>
      </c>
      <c r="I37" s="117" t="str">
        <f t="shared" si="2"/>
        <v>M-100A1</v>
      </c>
      <c r="K37" t="s">
        <v>15</v>
      </c>
      <c r="L37" t="s">
        <v>16</v>
      </c>
      <c r="M37">
        <v>0</v>
      </c>
      <c r="O37" s="141"/>
      <c r="P37" s="142" t="s">
        <v>1164</v>
      </c>
      <c r="Q37" s="143"/>
      <c r="R37" s="144" t="s">
        <v>309</v>
      </c>
      <c r="S37" s="145">
        <f>SUM(S32:S36)</f>
        <v>13</v>
      </c>
    </row>
    <row r="38" spans="1:19" ht="13.5" thickBot="1" x14ac:dyDescent="0.25">
      <c r="A38" s="116" t="s">
        <v>1149</v>
      </c>
      <c r="B38" s="116" t="s">
        <v>1168</v>
      </c>
      <c r="C38" s="117">
        <f>COUNTIF($D$3:D38, D38)</f>
        <v>21</v>
      </c>
      <c r="D38" s="117">
        <f>INDEX(PanelInstance!$B$2:$H$11, MATCH(Joined!$A38, PanelInstance!$B$2:$B$11, 0), MATCH(Joined!B38, PanelInstance!$B$1:$H$1, 0)+1)</f>
        <v>301</v>
      </c>
      <c r="E38" s="117" t="str">
        <f t="shared" si="0"/>
        <v>1030121</v>
      </c>
      <c r="F38" s="117">
        <f>IFERROR(VLOOKUP($G38, Sched!$A:$AA, 27, FALSE), "")</f>
        <v>15201</v>
      </c>
      <c r="G38" s="118" t="s">
        <v>66</v>
      </c>
      <c r="H38" s="116" t="str">
        <f t="shared" si="1"/>
        <v>ACC.RGC.VV-3-0-09</v>
      </c>
      <c r="I38" s="117" t="str">
        <f t="shared" si="2"/>
        <v>M-100A1</v>
      </c>
      <c r="K38" t="s">
        <v>15</v>
      </c>
      <c r="L38" t="s">
        <v>16</v>
      </c>
      <c r="M38">
        <v>0</v>
      </c>
      <c r="O38" s="129"/>
      <c r="P38" s="129"/>
      <c r="Q38" s="130"/>
      <c r="R38" s="129"/>
      <c r="S38" s="129"/>
    </row>
    <row r="39" spans="1:19" ht="25.5" x14ac:dyDescent="0.2">
      <c r="A39" s="116" t="s">
        <v>1149</v>
      </c>
      <c r="B39" s="116" t="s">
        <v>1168</v>
      </c>
      <c r="C39" s="117">
        <f>COUNTIF($D$3:D39, D39)</f>
        <v>22</v>
      </c>
      <c r="D39" s="117">
        <f>INDEX(PanelInstance!$B$2:$H$11, MATCH(Joined!$A39, PanelInstance!$B$2:$B$11, 0), MATCH(Joined!B39, PanelInstance!$B$1:$H$1, 0)+1)</f>
        <v>301</v>
      </c>
      <c r="E39" s="117" t="str">
        <f t="shared" si="0"/>
        <v>1030122</v>
      </c>
      <c r="F39" s="117">
        <f>IFERROR(VLOOKUP($G39, Sched!$A:$AA, 27, FALSE), "")</f>
        <v>15201</v>
      </c>
      <c r="G39" s="118" t="s">
        <v>68</v>
      </c>
      <c r="H39" s="116" t="str">
        <f t="shared" si="1"/>
        <v>ACC.RGC.VV-3-0-11</v>
      </c>
      <c r="I39" s="117" t="str">
        <f t="shared" si="2"/>
        <v>M-100A1</v>
      </c>
      <c r="K39" t="s">
        <v>15</v>
      </c>
      <c r="L39" t="s">
        <v>16</v>
      </c>
      <c r="M39">
        <v>0</v>
      </c>
      <c r="O39" s="135" t="s">
        <v>304</v>
      </c>
      <c r="P39" s="136" t="s">
        <v>1154</v>
      </c>
      <c r="Q39" s="137" t="s">
        <v>316</v>
      </c>
      <c r="R39" s="136">
        <v>0</v>
      </c>
      <c r="S39" s="138">
        <f>COUNTIFS(A:A, P$39, M:M, R39)</f>
        <v>0</v>
      </c>
    </row>
    <row r="40" spans="1:19" x14ac:dyDescent="0.2">
      <c r="A40" s="116" t="s">
        <v>1149</v>
      </c>
      <c r="B40" s="116" t="s">
        <v>1168</v>
      </c>
      <c r="C40" s="117">
        <f>COUNTIF($D$3:D40, D40)</f>
        <v>23</v>
      </c>
      <c r="D40" s="117">
        <f>INDEX(PanelInstance!$B$2:$H$11, MATCH(Joined!$A40, PanelInstance!$B$2:$B$11, 0), MATCH(Joined!B40, PanelInstance!$B$1:$H$1, 0)+1)</f>
        <v>301</v>
      </c>
      <c r="E40" s="117" t="str">
        <f t="shared" si="0"/>
        <v>1030123</v>
      </c>
      <c r="F40" s="117">
        <f>IFERROR(VLOOKUP($G40, Sched!$A:$AA, 27, FALSE), "")</f>
        <v>15201</v>
      </c>
      <c r="G40" s="118" t="s">
        <v>69</v>
      </c>
      <c r="H40" s="116" t="str">
        <f t="shared" si="1"/>
        <v>ACC.RGC.VV-3-0-12</v>
      </c>
      <c r="I40" s="117" t="str">
        <f t="shared" si="2"/>
        <v>M-100A1</v>
      </c>
      <c r="K40" t="s">
        <v>15</v>
      </c>
      <c r="L40" t="s">
        <v>16</v>
      </c>
      <c r="M40">
        <v>0</v>
      </c>
      <c r="O40" s="139" t="s">
        <v>317</v>
      </c>
      <c r="P40" s="129" t="s">
        <v>1164</v>
      </c>
      <c r="Q40" s="130"/>
      <c r="R40" s="129">
        <v>1</v>
      </c>
      <c r="S40" s="140">
        <f t="shared" ref="S40:S43" si="8">COUNTIFS(A:A, P$39, M:M, R40)</f>
        <v>0</v>
      </c>
    </row>
    <row r="41" spans="1:19" x14ac:dyDescent="0.2">
      <c r="A41" s="116" t="s">
        <v>1149</v>
      </c>
      <c r="B41" s="116" t="s">
        <v>1168</v>
      </c>
      <c r="C41" s="117">
        <f>COUNTIF($D$3:D41, D41)</f>
        <v>24</v>
      </c>
      <c r="D41" s="117">
        <f>INDEX(PanelInstance!$B$2:$H$11, MATCH(Joined!$A41, PanelInstance!$B$2:$B$11, 0), MATCH(Joined!B41, PanelInstance!$B$1:$H$1, 0)+1)</f>
        <v>301</v>
      </c>
      <c r="E41" s="117" t="str">
        <f t="shared" si="0"/>
        <v>1030124</v>
      </c>
      <c r="F41" s="117">
        <f>IFERROR(VLOOKUP($G41, Sched!$A:$AA, 27, FALSE), "")</f>
        <v>15004</v>
      </c>
      <c r="G41" s="118" t="s">
        <v>70</v>
      </c>
      <c r="H41" s="116" t="str">
        <f t="shared" si="1"/>
        <v>ACC.RGC.VV-3-0-13</v>
      </c>
      <c r="I41" s="117" t="str">
        <f t="shared" si="2"/>
        <v>M-100A1</v>
      </c>
      <c r="K41" t="s">
        <v>15</v>
      </c>
      <c r="L41" t="s">
        <v>16</v>
      </c>
      <c r="M41">
        <v>0</v>
      </c>
      <c r="O41" s="139"/>
      <c r="P41" s="129" t="s">
        <v>324</v>
      </c>
      <c r="Q41" s="130"/>
      <c r="R41" s="129">
        <v>2</v>
      </c>
      <c r="S41" s="140">
        <f t="shared" si="8"/>
        <v>0</v>
      </c>
    </row>
    <row r="42" spans="1:19" x14ac:dyDescent="0.2">
      <c r="A42" s="116" t="s">
        <v>1149</v>
      </c>
      <c r="B42" s="116" t="s">
        <v>1168</v>
      </c>
      <c r="C42" s="117">
        <f>COUNTIF($D$3:D42, D42)</f>
        <v>25</v>
      </c>
      <c r="D42" s="117">
        <f>INDEX(PanelInstance!$B$2:$H$11, MATCH(Joined!$A42, PanelInstance!$B$2:$B$11, 0), MATCH(Joined!B42, PanelInstance!$B$1:$H$1, 0)+1)</f>
        <v>301</v>
      </c>
      <c r="E42" s="117" t="str">
        <f t="shared" si="0"/>
        <v>1030125</v>
      </c>
      <c r="F42" s="117">
        <f>IFERROR(VLOOKUP($G42, Sched!$A:$AA, 27, FALSE), "")</f>
        <v>15001</v>
      </c>
      <c r="G42" s="119" t="s">
        <v>81</v>
      </c>
      <c r="H42" s="116" t="str">
        <f t="shared" si="1"/>
        <v>ACC.RGC.VV-1-0-01</v>
      </c>
      <c r="I42" s="117" t="str">
        <f t="shared" si="2"/>
        <v>M-100A1</v>
      </c>
      <c r="K42" t="s">
        <v>15</v>
      </c>
      <c r="L42" t="s">
        <v>16</v>
      </c>
      <c r="M42">
        <v>0</v>
      </c>
      <c r="O42" s="139"/>
      <c r="P42" s="129"/>
      <c r="Q42" s="130"/>
      <c r="R42" s="129">
        <v>3</v>
      </c>
      <c r="S42" s="140">
        <f t="shared" si="8"/>
        <v>0</v>
      </c>
    </row>
    <row r="43" spans="1:19" x14ac:dyDescent="0.2">
      <c r="A43" s="116" t="s">
        <v>1149</v>
      </c>
      <c r="B43" s="116" t="s">
        <v>1168</v>
      </c>
      <c r="C43" s="117">
        <f>COUNTIF($D$3:D43, D43)</f>
        <v>26</v>
      </c>
      <c r="D43" s="117">
        <f>INDEX(PanelInstance!$B$2:$H$11, MATCH(Joined!$A43, PanelInstance!$B$2:$B$11, 0), MATCH(Joined!B43, PanelInstance!$B$1:$H$1, 0)+1)</f>
        <v>301</v>
      </c>
      <c r="E43" s="117" t="str">
        <f t="shared" si="0"/>
        <v>1030126</v>
      </c>
      <c r="F43" s="117">
        <f>IFERROR(VLOOKUP($G43, Sched!$A:$AA, 27, FALSE), "")</f>
        <v>15001</v>
      </c>
      <c r="G43" s="119" t="s">
        <v>82</v>
      </c>
      <c r="H43" s="116" t="str">
        <f t="shared" si="1"/>
        <v>ACC.RGC.VV-1-0-02</v>
      </c>
      <c r="I43" s="117" t="str">
        <f t="shared" si="2"/>
        <v>M-100A1</v>
      </c>
      <c r="K43" t="s">
        <v>15</v>
      </c>
      <c r="L43" t="s">
        <v>16</v>
      </c>
      <c r="M43">
        <v>0</v>
      </c>
      <c r="O43" s="139"/>
      <c r="P43" s="129"/>
      <c r="Q43" s="130"/>
      <c r="R43" s="129" t="s">
        <v>1141</v>
      </c>
      <c r="S43" s="140">
        <f t="shared" si="8"/>
        <v>12</v>
      </c>
    </row>
    <row r="44" spans="1:19" ht="13.5" thickBot="1" x14ac:dyDescent="0.25">
      <c r="A44" s="116" t="s">
        <v>1149</v>
      </c>
      <c r="B44" s="116" t="s">
        <v>1168</v>
      </c>
      <c r="C44" s="117">
        <f>COUNTIF($D$3:D44, D44)</f>
        <v>27</v>
      </c>
      <c r="D44" s="117">
        <f>INDEX(PanelInstance!$B$2:$H$11, MATCH(Joined!$A44, PanelInstance!$B$2:$B$11, 0), MATCH(Joined!B44, PanelInstance!$B$1:$H$1, 0)+1)</f>
        <v>301</v>
      </c>
      <c r="E44" s="117" t="str">
        <f t="shared" si="0"/>
        <v>1030127</v>
      </c>
      <c r="F44" s="117">
        <f>IFERROR(VLOOKUP($G44, Sched!$A:$AA, 27, FALSE), "")</f>
        <v>15002</v>
      </c>
      <c r="G44" s="119" t="s">
        <v>83</v>
      </c>
      <c r="H44" s="116" t="str">
        <f t="shared" si="1"/>
        <v>ACC.RGC.VV-1-0-03</v>
      </c>
      <c r="I44" s="117" t="str">
        <f t="shared" si="2"/>
        <v>M-100A1</v>
      </c>
      <c r="K44" t="s">
        <v>15</v>
      </c>
      <c r="L44" t="s">
        <v>16</v>
      </c>
      <c r="M44">
        <v>0</v>
      </c>
      <c r="O44" s="141"/>
      <c r="P44" s="142"/>
      <c r="Q44" s="143"/>
      <c r="R44" s="144" t="s">
        <v>309</v>
      </c>
      <c r="S44" s="145">
        <f>SUM(S39:S43)</f>
        <v>12</v>
      </c>
    </row>
    <row r="45" spans="1:19" ht="13.5" thickBot="1" x14ac:dyDescent="0.25">
      <c r="A45" s="116" t="s">
        <v>1149</v>
      </c>
      <c r="B45" s="116" t="s">
        <v>1169</v>
      </c>
      <c r="C45" s="117">
        <f>COUNTIF($D$3:D45, D45)</f>
        <v>16</v>
      </c>
      <c r="D45" s="117">
        <f>INDEX(PanelInstance!$B$2:$H$11, MATCH(Joined!$A45, PanelInstance!$B$2:$B$11, 0), MATCH(Joined!B45, PanelInstance!$B$1:$H$1, 0)+1)</f>
        <v>351</v>
      </c>
      <c r="E45" s="117" t="str">
        <f t="shared" si="0"/>
        <v>1035116</v>
      </c>
      <c r="F45" s="117" t="str">
        <f>IFERROR(VLOOKUP($G45, Sched!$A:$AA, 27, FALSE), "")</f>
        <v/>
      </c>
      <c r="G45" s="121" t="s">
        <v>13</v>
      </c>
      <c r="H45" s="116" t="str">
        <f t="shared" si="1"/>
        <v>ACC.RGC.VFD-FCU-0-1</v>
      </c>
      <c r="I45" s="117" t="str">
        <f t="shared" si="2"/>
        <v>M-100A1</v>
      </c>
      <c r="K45" t="s">
        <v>15</v>
      </c>
      <c r="L45" t="s">
        <v>16</v>
      </c>
      <c r="M45">
        <v>0</v>
      </c>
      <c r="O45" s="129"/>
      <c r="P45" s="129"/>
      <c r="Q45" s="130"/>
      <c r="R45" s="129"/>
      <c r="S45" s="129"/>
    </row>
    <row r="46" spans="1:19" ht="25.5" x14ac:dyDescent="0.2">
      <c r="A46" s="116" t="s">
        <v>1149</v>
      </c>
      <c r="B46" s="116" t="s">
        <v>1169</v>
      </c>
      <c r="C46" s="117">
        <f>COUNTIF($D$3:D46, D46)</f>
        <v>17</v>
      </c>
      <c r="D46" s="117">
        <f>INDEX(PanelInstance!$B$2:$H$11, MATCH(Joined!$A46, PanelInstance!$B$2:$B$11, 0), MATCH(Joined!B46, PanelInstance!$B$1:$H$1, 0)+1)</f>
        <v>351</v>
      </c>
      <c r="E46" s="117" t="str">
        <f t="shared" si="0"/>
        <v>1035117</v>
      </c>
      <c r="F46" s="117" t="str">
        <f>IFERROR(VLOOKUP($G46, Sched!$A:$AA, 27, FALSE), "")</f>
        <v/>
      </c>
      <c r="G46" s="121" t="s">
        <v>14</v>
      </c>
      <c r="H46" s="116" t="str">
        <f t="shared" si="1"/>
        <v>ACC.RGC.VFD-FCU-0-2</v>
      </c>
      <c r="I46" s="117" t="str">
        <f t="shared" si="2"/>
        <v>M-100A1</v>
      </c>
      <c r="K46" t="s">
        <v>15</v>
      </c>
      <c r="L46" t="s">
        <v>16</v>
      </c>
      <c r="M46">
        <v>0</v>
      </c>
      <c r="O46" s="135" t="s">
        <v>305</v>
      </c>
      <c r="P46" s="136" t="s">
        <v>1155</v>
      </c>
      <c r="Q46" s="137" t="s">
        <v>316</v>
      </c>
      <c r="R46" s="147">
        <v>0</v>
      </c>
      <c r="S46" s="138">
        <f>COUNTIFS(A:A, P$46, M:M, R46)</f>
        <v>0</v>
      </c>
    </row>
    <row r="47" spans="1:19" x14ac:dyDescent="0.2">
      <c r="A47" s="116" t="s">
        <v>1149</v>
      </c>
      <c r="B47" s="116" t="s">
        <v>1169</v>
      </c>
      <c r="C47" s="117">
        <f>COUNTIF($D$3:D47, D47)</f>
        <v>18</v>
      </c>
      <c r="D47" s="117">
        <f>INDEX(PanelInstance!$B$2:$H$11, MATCH(Joined!$A47, PanelInstance!$B$2:$B$11, 0), MATCH(Joined!B47, PanelInstance!$B$1:$H$1, 0)+1)</f>
        <v>351</v>
      </c>
      <c r="E47" s="117" t="str">
        <f t="shared" si="0"/>
        <v>1035118</v>
      </c>
      <c r="F47" s="117" t="str">
        <f>IFERROR(VLOOKUP($G47, Sched!$A:$AA, 27, FALSE), "")</f>
        <v/>
      </c>
      <c r="G47" s="120" t="s">
        <v>245</v>
      </c>
      <c r="H47" s="116" t="str">
        <f t="shared" si="1"/>
        <v>ACC.RGC.AFMS-3-0-EA-1</v>
      </c>
      <c r="I47" s="117" t="str">
        <f t="shared" si="2"/>
        <v>M-100A1</v>
      </c>
      <c r="K47" t="s">
        <v>15</v>
      </c>
      <c r="L47" t="s">
        <v>16</v>
      </c>
      <c r="M47">
        <v>0</v>
      </c>
      <c r="O47" s="139" t="s">
        <v>317</v>
      </c>
      <c r="P47" s="129" t="s">
        <v>323</v>
      </c>
      <c r="Q47" s="130"/>
      <c r="R47" s="148">
        <v>1</v>
      </c>
      <c r="S47" s="140">
        <f t="shared" ref="S47:S50" si="9">COUNTIFS(A:A, P$46, M:M, R47)</f>
        <v>0</v>
      </c>
    </row>
    <row r="48" spans="1:19" x14ac:dyDescent="0.2">
      <c r="A48" s="116" t="s">
        <v>1151</v>
      </c>
      <c r="B48" s="116" t="s">
        <v>1168</v>
      </c>
      <c r="C48" s="117">
        <f>COUNTIF($D$3:D48, D48)</f>
        <v>1</v>
      </c>
      <c r="D48" s="117">
        <f>INDEX(PanelInstance!$B$2:$H$11, MATCH(Joined!$A48, PanelInstance!$B$2:$B$11, 0), MATCH(Joined!B48, PanelInstance!$B$1:$H$1, 0)+1)</f>
        <v>303</v>
      </c>
      <c r="E48" s="117" t="str">
        <f t="shared" si="0"/>
        <v>1030301</v>
      </c>
      <c r="F48" s="117">
        <f>IFERROR(VLOOKUP($G48, Sched!$A:$AA, 27, FALSE), "")</f>
        <v>15201</v>
      </c>
      <c r="G48" s="118" t="s">
        <v>80</v>
      </c>
      <c r="H48" s="116" t="str">
        <f t="shared" si="1"/>
        <v>ACC.RGC.VV-4-0-10</v>
      </c>
      <c r="I48" s="117" t="str">
        <f t="shared" si="2"/>
        <v>M-100B2</v>
      </c>
      <c r="K48" t="s">
        <v>293</v>
      </c>
      <c r="L48" t="s">
        <v>281</v>
      </c>
      <c r="M48">
        <v>0</v>
      </c>
      <c r="O48" s="139"/>
      <c r="P48" s="129"/>
      <c r="Q48" s="130"/>
      <c r="R48" s="148">
        <v>2</v>
      </c>
      <c r="S48" s="140">
        <f t="shared" si="9"/>
        <v>0</v>
      </c>
    </row>
    <row r="49" spans="1:19" x14ac:dyDescent="0.2">
      <c r="A49" s="116" t="s">
        <v>1151</v>
      </c>
      <c r="B49" s="116" t="s">
        <v>1168</v>
      </c>
      <c r="C49" s="117">
        <f>COUNTIF($D$3:D49, D49)</f>
        <v>2</v>
      </c>
      <c r="D49" s="117">
        <f>INDEX(PanelInstance!$B$2:$H$11, MATCH(Joined!$A49, PanelInstance!$B$2:$B$11, 0), MATCH(Joined!B49, PanelInstance!$B$1:$H$1, 0)+1)</f>
        <v>303</v>
      </c>
      <c r="E49" s="117" t="str">
        <f t="shared" si="0"/>
        <v>1030302</v>
      </c>
      <c r="F49" s="117">
        <f>IFERROR(VLOOKUP($G49, Sched!$A:$AA, 27, FALSE), "")</f>
        <v>15002</v>
      </c>
      <c r="G49" s="119" t="s">
        <v>92</v>
      </c>
      <c r="H49" s="116" t="str">
        <f t="shared" si="1"/>
        <v>ACC.RGC.VV-2-0-06</v>
      </c>
      <c r="I49" s="117" t="str">
        <f t="shared" si="2"/>
        <v>M-100B2</v>
      </c>
      <c r="K49" t="s">
        <v>293</v>
      </c>
      <c r="L49" t="s">
        <v>281</v>
      </c>
      <c r="M49">
        <v>0</v>
      </c>
      <c r="O49" s="139"/>
      <c r="P49" s="129"/>
      <c r="Q49" s="130"/>
      <c r="R49" s="148">
        <v>3</v>
      </c>
      <c r="S49" s="140">
        <f t="shared" si="9"/>
        <v>0</v>
      </c>
    </row>
    <row r="50" spans="1:19" x14ac:dyDescent="0.2">
      <c r="A50" s="116" t="s">
        <v>1151</v>
      </c>
      <c r="B50" s="116" t="s">
        <v>1168</v>
      </c>
      <c r="C50" s="117">
        <f>COUNTIF($D$3:D50, D50)</f>
        <v>3</v>
      </c>
      <c r="D50" s="117">
        <f>INDEX(PanelInstance!$B$2:$H$11, MATCH(Joined!$A50, PanelInstance!$B$2:$B$11, 0), MATCH(Joined!B50, PanelInstance!$B$1:$H$1, 0)+1)</f>
        <v>303</v>
      </c>
      <c r="E50" s="117" t="str">
        <f t="shared" si="0"/>
        <v>1030303</v>
      </c>
      <c r="F50" s="117">
        <f>IFERROR(VLOOKUP($G50, Sched!$A:$AA, 27, FALSE), "")</f>
        <v>15002</v>
      </c>
      <c r="G50" s="119" t="s">
        <v>93</v>
      </c>
      <c r="H50" s="116" t="str">
        <f t="shared" si="1"/>
        <v>ACC.RGC.VV-2-0-07</v>
      </c>
      <c r="I50" s="117" t="str">
        <f t="shared" si="2"/>
        <v>M-100B2</v>
      </c>
      <c r="K50" t="s">
        <v>293</v>
      </c>
      <c r="L50" t="s">
        <v>281</v>
      </c>
      <c r="M50">
        <v>0</v>
      </c>
      <c r="O50" s="139"/>
      <c r="P50" s="129"/>
      <c r="Q50" s="130"/>
      <c r="R50" s="148" t="s">
        <v>1141</v>
      </c>
      <c r="S50" s="140">
        <f t="shared" si="9"/>
        <v>6</v>
      </c>
    </row>
    <row r="51" spans="1:19" ht="13.5" thickBot="1" x14ac:dyDescent="0.25">
      <c r="A51" s="116" t="s">
        <v>1151</v>
      </c>
      <c r="B51" s="116" t="s">
        <v>1168</v>
      </c>
      <c r="C51" s="117">
        <f>COUNTIF($D$3:D51, D51)</f>
        <v>4</v>
      </c>
      <c r="D51" s="117">
        <f>INDEX(PanelInstance!$B$2:$H$11, MATCH(Joined!$A51, PanelInstance!$B$2:$B$11, 0), MATCH(Joined!B51, PanelInstance!$B$1:$H$1, 0)+1)</f>
        <v>303</v>
      </c>
      <c r="E51" s="117" t="str">
        <f t="shared" si="0"/>
        <v>1030304</v>
      </c>
      <c r="F51" s="117">
        <f>IFERROR(VLOOKUP($G51, Sched!$A:$AA, 27, FALSE), "")</f>
        <v>15401</v>
      </c>
      <c r="G51" s="118" t="s">
        <v>51</v>
      </c>
      <c r="H51" s="116" t="str">
        <f t="shared" si="1"/>
        <v>ACC.RGC.FCV-2-0-1</v>
      </c>
      <c r="I51" s="117" t="str">
        <f t="shared" si="2"/>
        <v>M-302</v>
      </c>
      <c r="K51" t="s">
        <v>42</v>
      </c>
      <c r="L51" t="s">
        <v>308</v>
      </c>
      <c r="M51">
        <v>0</v>
      </c>
      <c r="O51" s="141"/>
      <c r="P51" s="142"/>
      <c r="Q51" s="143"/>
      <c r="R51" s="149" t="s">
        <v>309</v>
      </c>
      <c r="S51" s="145">
        <f>SUM(S46:S50)</f>
        <v>6</v>
      </c>
    </row>
    <row r="52" spans="1:19" ht="13.5" thickBot="1" x14ac:dyDescent="0.25">
      <c r="A52" s="116" t="s">
        <v>1151</v>
      </c>
      <c r="B52" s="116" t="s">
        <v>1168</v>
      </c>
      <c r="C52" s="117">
        <f>COUNTIF($D$3:D52, D52)</f>
        <v>5</v>
      </c>
      <c r="D52" s="117">
        <f>INDEX(PanelInstance!$B$2:$H$11, MATCH(Joined!$A52, PanelInstance!$B$2:$B$11, 0), MATCH(Joined!B52, PanelInstance!$B$1:$H$1, 0)+1)</f>
        <v>303</v>
      </c>
      <c r="E52" s="117" t="str">
        <f t="shared" si="0"/>
        <v>1030305</v>
      </c>
      <c r="F52" s="117">
        <f>IFERROR(VLOOKUP($G52, Sched!$A:$AA, 27, FALSE), "")</f>
        <v>15401</v>
      </c>
      <c r="G52" s="118" t="s">
        <v>52</v>
      </c>
      <c r="H52" s="116" t="str">
        <f t="shared" si="1"/>
        <v>ACC.RGC.FCV-2-0-2</v>
      </c>
      <c r="I52" s="117" t="str">
        <f t="shared" si="2"/>
        <v>M-302</v>
      </c>
      <c r="K52" t="s">
        <v>42</v>
      </c>
      <c r="L52" t="s">
        <v>308</v>
      </c>
      <c r="M52">
        <v>0</v>
      </c>
      <c r="O52" s="129"/>
      <c r="P52" s="129"/>
      <c r="Q52" s="130"/>
      <c r="R52" s="129"/>
      <c r="S52" s="129"/>
    </row>
    <row r="53" spans="1:19" x14ac:dyDescent="0.2">
      <c r="A53" s="116" t="s">
        <v>1151</v>
      </c>
      <c r="B53" s="116" t="s">
        <v>1168</v>
      </c>
      <c r="C53" s="117">
        <f>COUNTIF($D$3:D53, D53)</f>
        <v>6</v>
      </c>
      <c r="D53" s="117">
        <f>INDEX(PanelInstance!$B$2:$H$11, MATCH(Joined!$A53, PanelInstance!$B$2:$B$11, 0), MATCH(Joined!B53, PanelInstance!$B$1:$H$1, 0)+1)</f>
        <v>303</v>
      </c>
      <c r="E53" s="117" t="str">
        <f t="shared" si="0"/>
        <v>1030306</v>
      </c>
      <c r="F53" s="117">
        <f>IFERROR(VLOOKUP($G53, Sched!$A:$AA, 27, FALSE), "")</f>
        <v>15401</v>
      </c>
      <c r="G53" s="118" t="s">
        <v>53</v>
      </c>
      <c r="H53" s="116" t="str">
        <f t="shared" si="1"/>
        <v>ACC.RGC.FCV-2-0-3</v>
      </c>
      <c r="I53" s="117" t="str">
        <f t="shared" si="2"/>
        <v>M-302</v>
      </c>
      <c r="K53" t="s">
        <v>42</v>
      </c>
      <c r="L53" t="s">
        <v>308</v>
      </c>
      <c r="M53">
        <v>0</v>
      </c>
      <c r="O53" s="135" t="s">
        <v>1142</v>
      </c>
      <c r="P53" s="136" t="s">
        <v>1157</v>
      </c>
      <c r="Q53" s="137"/>
      <c r="R53" s="136">
        <v>0</v>
      </c>
      <c r="S53" s="138">
        <f>COUNTIFS(A:A, P$53, M:M, R53)</f>
        <v>0</v>
      </c>
    </row>
    <row r="54" spans="1:19" x14ac:dyDescent="0.2">
      <c r="A54" s="116" t="s">
        <v>1151</v>
      </c>
      <c r="B54" s="116" t="s">
        <v>1168</v>
      </c>
      <c r="C54" s="117">
        <f>COUNTIF($D$3:D54, D54)</f>
        <v>7</v>
      </c>
      <c r="D54" s="117">
        <f>INDEX(PanelInstance!$B$2:$H$11, MATCH(Joined!$A54, PanelInstance!$B$2:$B$11, 0), MATCH(Joined!B54, PanelInstance!$B$1:$H$1, 0)+1)</f>
        <v>303</v>
      </c>
      <c r="E54" s="117" t="str">
        <f t="shared" si="0"/>
        <v>1030307</v>
      </c>
      <c r="F54" s="117">
        <f>IFERROR(VLOOKUP($G54, Sched!$A:$AA, 27, FALSE), "")</f>
        <v>15401</v>
      </c>
      <c r="G54" s="118" t="s">
        <v>54</v>
      </c>
      <c r="H54" s="116" t="str">
        <f t="shared" si="1"/>
        <v>ACC.RGC.FCV-2-0-4</v>
      </c>
      <c r="I54" s="117" t="str">
        <f t="shared" si="2"/>
        <v>M-302</v>
      </c>
      <c r="K54" t="s">
        <v>42</v>
      </c>
      <c r="L54" t="s">
        <v>308</v>
      </c>
      <c r="M54">
        <v>0</v>
      </c>
      <c r="O54" s="139"/>
      <c r="P54" s="129" t="s">
        <v>1165</v>
      </c>
      <c r="Q54" s="130"/>
      <c r="R54" s="129">
        <v>1</v>
      </c>
      <c r="S54" s="140">
        <f t="shared" ref="S54:S57" si="10">COUNTIFS(A:A, P$53, M:M, R54)</f>
        <v>0</v>
      </c>
    </row>
    <row r="55" spans="1:19" x14ac:dyDescent="0.2">
      <c r="A55" s="116" t="s">
        <v>1151</v>
      </c>
      <c r="B55" s="116" t="s">
        <v>1168</v>
      </c>
      <c r="C55" s="117">
        <f>COUNTIF($D$3:D55, D55)</f>
        <v>8</v>
      </c>
      <c r="D55" s="117">
        <f>INDEX(PanelInstance!$B$2:$H$11, MATCH(Joined!$A55, PanelInstance!$B$2:$B$11, 0), MATCH(Joined!B55, PanelInstance!$B$1:$H$1, 0)+1)</f>
        <v>303</v>
      </c>
      <c r="E55" s="117" t="str">
        <f t="shared" si="0"/>
        <v>1030308</v>
      </c>
      <c r="F55" s="117">
        <f>IFERROR(VLOOKUP($G55, Sched!$A:$AA, 27, FALSE), "")</f>
        <v>15401</v>
      </c>
      <c r="G55" s="118" t="s">
        <v>55</v>
      </c>
      <c r="H55" s="116" t="str">
        <f t="shared" si="1"/>
        <v>ACC.RGC.FCV-2-0-5</v>
      </c>
      <c r="I55" s="117" t="str">
        <f t="shared" si="2"/>
        <v>M-302</v>
      </c>
      <c r="K55" t="s">
        <v>42</v>
      </c>
      <c r="L55" t="s">
        <v>308</v>
      </c>
      <c r="M55">
        <v>0</v>
      </c>
      <c r="O55" s="139"/>
      <c r="P55" s="129"/>
      <c r="Q55" s="130"/>
      <c r="R55" s="129">
        <v>2</v>
      </c>
      <c r="S55" s="140">
        <f t="shared" si="10"/>
        <v>0</v>
      </c>
    </row>
    <row r="56" spans="1:19" x14ac:dyDescent="0.2">
      <c r="A56" s="116" t="s">
        <v>1151</v>
      </c>
      <c r="B56" s="116" t="s">
        <v>1168</v>
      </c>
      <c r="C56" s="117">
        <f>COUNTIF($D$3:D56, D56)</f>
        <v>9</v>
      </c>
      <c r="D56" s="117">
        <f>INDEX(PanelInstance!$B$2:$H$11, MATCH(Joined!$A56, PanelInstance!$B$2:$B$11, 0), MATCH(Joined!B56, PanelInstance!$B$1:$H$1, 0)+1)</f>
        <v>303</v>
      </c>
      <c r="E56" s="117" t="str">
        <f t="shared" si="0"/>
        <v>1030309</v>
      </c>
      <c r="F56" s="117">
        <f>IFERROR(VLOOKUP($G56, Sched!$A:$AA, 27, FALSE), "")</f>
        <v>15401</v>
      </c>
      <c r="G56" s="118" t="s">
        <v>56</v>
      </c>
      <c r="H56" s="116" t="str">
        <f t="shared" si="1"/>
        <v>ACC.RGC.FCV-2-0-6</v>
      </c>
      <c r="I56" s="117" t="str">
        <f t="shared" si="2"/>
        <v>M-302</v>
      </c>
      <c r="K56" t="s">
        <v>42</v>
      </c>
      <c r="L56" t="s">
        <v>308</v>
      </c>
      <c r="M56">
        <v>0</v>
      </c>
      <c r="O56" s="139"/>
      <c r="P56" s="129"/>
      <c r="Q56" s="130"/>
      <c r="R56" s="129">
        <v>3</v>
      </c>
      <c r="S56" s="140">
        <f t="shared" si="10"/>
        <v>0</v>
      </c>
    </row>
    <row r="57" spans="1:19" x14ac:dyDescent="0.2">
      <c r="A57" s="116" t="s">
        <v>1151</v>
      </c>
      <c r="B57" s="116" t="s">
        <v>1168</v>
      </c>
      <c r="C57" s="117">
        <f>COUNTIF($D$3:D57, D57)</f>
        <v>10</v>
      </c>
      <c r="D57" s="117">
        <f>INDEX(PanelInstance!$B$2:$H$11, MATCH(Joined!$A57, PanelInstance!$B$2:$B$11, 0), MATCH(Joined!B57, PanelInstance!$B$1:$H$1, 0)+1)</f>
        <v>303</v>
      </c>
      <c r="E57" s="117" t="str">
        <f t="shared" si="0"/>
        <v>1030310</v>
      </c>
      <c r="F57" s="117">
        <f>IFERROR(VLOOKUP($G57, Sched!$A:$AA, 27, FALSE), "")</f>
        <v>15401</v>
      </c>
      <c r="G57" s="118" t="s">
        <v>57</v>
      </c>
      <c r="H57" s="116" t="str">
        <f t="shared" si="1"/>
        <v>ACC.RGC.FCV-2-0-7</v>
      </c>
      <c r="I57" s="117" t="str">
        <f t="shared" si="2"/>
        <v>M-302</v>
      </c>
      <c r="K57" t="s">
        <v>42</v>
      </c>
      <c r="L57" t="s">
        <v>308</v>
      </c>
      <c r="M57">
        <v>0</v>
      </c>
      <c r="O57" s="139"/>
      <c r="P57" s="129"/>
      <c r="Q57" s="130"/>
      <c r="R57" s="129" t="s">
        <v>1141</v>
      </c>
      <c r="S57" s="140">
        <f t="shared" si="10"/>
        <v>2</v>
      </c>
    </row>
    <row r="58" spans="1:19" ht="13.5" thickBot="1" x14ac:dyDescent="0.25">
      <c r="A58" s="116" t="s">
        <v>1151</v>
      </c>
      <c r="B58" s="116" t="s">
        <v>1169</v>
      </c>
      <c r="C58" s="117">
        <f>COUNTIF($D$3:D58, D58)</f>
        <v>1</v>
      </c>
      <c r="D58" s="117">
        <f>INDEX(PanelInstance!$B$2:$H$11, MATCH(Joined!$A58, PanelInstance!$B$2:$B$11, 0), MATCH(Joined!B58, PanelInstance!$B$1:$H$1, 0)+1)</f>
        <v>353</v>
      </c>
      <c r="E58" s="117" t="str">
        <f t="shared" si="0"/>
        <v>1035301</v>
      </c>
      <c r="F58" s="117" t="str">
        <f>IFERROR(VLOOKUP($G58, Sched!$A:$AA, 27, FALSE), "")</f>
        <v/>
      </c>
      <c r="G58" s="120" t="s">
        <v>340</v>
      </c>
      <c r="H58" s="116" t="str">
        <f t="shared" si="1"/>
        <v>ACC.RGC.VFD-AHU-VAV-2-SA1</v>
      </c>
      <c r="I58" s="117" t="str">
        <f t="shared" si="2"/>
        <v>M-302</v>
      </c>
      <c r="K58" t="s">
        <v>42</v>
      </c>
      <c r="L58" t="s">
        <v>308</v>
      </c>
      <c r="M58">
        <v>0</v>
      </c>
      <c r="O58" s="141"/>
      <c r="P58" s="142"/>
      <c r="Q58" s="143"/>
      <c r="R58" s="144" t="s">
        <v>309</v>
      </c>
      <c r="S58" s="145">
        <f>SUM(S53:S57)</f>
        <v>2</v>
      </c>
    </row>
    <row r="59" spans="1:19" ht="13.5" thickBot="1" x14ac:dyDescent="0.25">
      <c r="A59" s="116" t="s">
        <v>1151</v>
      </c>
      <c r="B59" s="116" t="s">
        <v>1169</v>
      </c>
      <c r="C59" s="117">
        <f>COUNTIF($D$3:D59, D59)</f>
        <v>2</v>
      </c>
      <c r="D59" s="117">
        <f>INDEX(PanelInstance!$B$2:$H$11, MATCH(Joined!$A59, PanelInstance!$B$2:$B$11, 0), MATCH(Joined!B59, PanelInstance!$B$1:$H$1, 0)+1)</f>
        <v>353</v>
      </c>
      <c r="E59" s="117" t="str">
        <f t="shared" si="0"/>
        <v>1035302</v>
      </c>
      <c r="F59" s="117" t="str">
        <f>IFERROR(VLOOKUP($G59, Sched!$A:$AA, 27, FALSE), "")</f>
        <v/>
      </c>
      <c r="G59" s="120" t="s">
        <v>342</v>
      </c>
      <c r="H59" s="116" t="str">
        <f t="shared" si="1"/>
        <v>ACC.RGC.VFD-AHU-VAV-2-RA1</v>
      </c>
      <c r="I59" s="117" t="str">
        <f t="shared" si="2"/>
        <v>M-302</v>
      </c>
      <c r="K59" t="s">
        <v>42</v>
      </c>
      <c r="L59" t="s">
        <v>308</v>
      </c>
      <c r="M59">
        <v>0</v>
      </c>
      <c r="O59" s="129"/>
      <c r="P59" s="129"/>
      <c r="Q59" s="130"/>
      <c r="R59" s="131"/>
      <c r="S59" s="129"/>
    </row>
    <row r="60" spans="1:19" x14ac:dyDescent="0.2">
      <c r="A60" s="116" t="s">
        <v>1151</v>
      </c>
      <c r="B60" s="116" t="s">
        <v>1169</v>
      </c>
      <c r="C60" s="117">
        <f>COUNTIF($D$3:D60, D60)</f>
        <v>3</v>
      </c>
      <c r="D60" s="117">
        <f>INDEX(PanelInstance!$B$2:$H$11, MATCH(Joined!$A60, PanelInstance!$B$2:$B$11, 0), MATCH(Joined!B60, PanelInstance!$B$1:$H$1, 0)+1)</f>
        <v>353</v>
      </c>
      <c r="E60" s="117" t="str">
        <f t="shared" si="0"/>
        <v>1035303</v>
      </c>
      <c r="F60" s="117" t="str">
        <f>IFERROR(VLOOKUP($G60, Sched!$A:$AA, 27, FALSE), "")</f>
        <v/>
      </c>
      <c r="G60" s="120" t="s">
        <v>344</v>
      </c>
      <c r="H60" s="116" t="str">
        <f t="shared" si="1"/>
        <v>ACC.RGC.VFD-AHU-VAV-2-OA1</v>
      </c>
      <c r="I60" s="117" t="str">
        <f t="shared" si="2"/>
        <v>M-302</v>
      </c>
      <c r="K60" t="s">
        <v>42</v>
      </c>
      <c r="L60" t="s">
        <v>308</v>
      </c>
      <c r="M60">
        <v>0</v>
      </c>
      <c r="O60" s="135" t="s">
        <v>1158</v>
      </c>
      <c r="P60" s="136" t="s">
        <v>1148</v>
      </c>
      <c r="Q60" s="137"/>
      <c r="R60" s="136">
        <v>0</v>
      </c>
      <c r="S60" s="138">
        <f>COUNTIFS(A:A, P$60, M:M, R60)</f>
        <v>0</v>
      </c>
    </row>
    <row r="61" spans="1:19" x14ac:dyDescent="0.2">
      <c r="A61" s="116" t="s">
        <v>1151</v>
      </c>
      <c r="B61" s="116" t="s">
        <v>1169</v>
      </c>
      <c r="C61" s="117">
        <f>COUNTIF($D$3:D61, D61)</f>
        <v>4</v>
      </c>
      <c r="D61" s="117">
        <f>INDEX(PanelInstance!$B$2:$H$11, MATCH(Joined!$A61, PanelInstance!$B$2:$B$11, 0), MATCH(Joined!B61, PanelInstance!$B$1:$H$1, 0)+1)</f>
        <v>353</v>
      </c>
      <c r="E61" s="117" t="str">
        <f t="shared" si="0"/>
        <v>1035304</v>
      </c>
      <c r="F61" s="117" t="str">
        <f>IFERROR(VLOOKUP($G61, Sched!$A:$AA, 27, FALSE), "")</f>
        <v/>
      </c>
      <c r="G61" s="120" t="s">
        <v>346</v>
      </c>
      <c r="H61" s="116" t="str">
        <f t="shared" si="1"/>
        <v>ACC.RGC.VFD-AHU-VAV-2-REA1</v>
      </c>
      <c r="I61" s="117" t="str">
        <f t="shared" si="2"/>
        <v>M-302</v>
      </c>
      <c r="K61" t="s">
        <v>42</v>
      </c>
      <c r="L61" t="s">
        <v>308</v>
      </c>
      <c r="M61">
        <v>0</v>
      </c>
      <c r="O61" s="139"/>
      <c r="P61" s="129" t="s">
        <v>322</v>
      </c>
      <c r="Q61" s="130"/>
      <c r="R61" s="129">
        <v>1</v>
      </c>
      <c r="S61" s="140">
        <f t="shared" ref="S61:S64" si="11">COUNTIFS(A:A, P$60, M:M, R61)</f>
        <v>0</v>
      </c>
    </row>
    <row r="62" spans="1:19" x14ac:dyDescent="0.2">
      <c r="A62" s="116" t="s">
        <v>1151</v>
      </c>
      <c r="B62" s="116" t="s">
        <v>1169</v>
      </c>
      <c r="C62" s="117">
        <f>COUNTIF($D$3:D62, D62)</f>
        <v>5</v>
      </c>
      <c r="D62" s="117">
        <f>INDEX(PanelInstance!$B$2:$H$11, MATCH(Joined!$A62, PanelInstance!$B$2:$B$11, 0), MATCH(Joined!B62, PanelInstance!$B$1:$H$1, 0)+1)</f>
        <v>353</v>
      </c>
      <c r="E62" s="117" t="str">
        <f t="shared" si="0"/>
        <v>1035305</v>
      </c>
      <c r="F62" s="117" t="str">
        <f>IFERROR(VLOOKUP($G62, Sched!$A:$AA, 27, FALSE), "")</f>
        <v/>
      </c>
      <c r="G62" s="121" t="s">
        <v>10</v>
      </c>
      <c r="H62" s="116" t="str">
        <f t="shared" si="1"/>
        <v>ACC.RGC.VFD-AHU-VAV-2-EW</v>
      </c>
      <c r="I62" s="117" t="str">
        <f t="shared" si="2"/>
        <v>M-302</v>
      </c>
      <c r="K62" t="s">
        <v>42</v>
      </c>
      <c r="L62" t="s">
        <v>308</v>
      </c>
      <c r="M62">
        <v>0</v>
      </c>
      <c r="O62" s="139"/>
      <c r="P62" s="129"/>
      <c r="Q62" s="130"/>
      <c r="R62" s="129">
        <v>2</v>
      </c>
      <c r="S62" s="140">
        <f t="shared" si="11"/>
        <v>0</v>
      </c>
    </row>
    <row r="63" spans="1:19" x14ac:dyDescent="0.2">
      <c r="A63" s="116" t="s">
        <v>1151</v>
      </c>
      <c r="B63" s="116" t="s">
        <v>1169</v>
      </c>
      <c r="C63" s="117">
        <f>COUNTIF($D$3:D63, D63)</f>
        <v>6</v>
      </c>
      <c r="D63" s="117">
        <f>INDEX(PanelInstance!$B$2:$H$11, MATCH(Joined!$A63, PanelInstance!$B$2:$B$11, 0), MATCH(Joined!B63, PanelInstance!$B$1:$H$1, 0)+1)</f>
        <v>353</v>
      </c>
      <c r="E63" s="117" t="str">
        <f t="shared" si="0"/>
        <v>1035306</v>
      </c>
      <c r="F63" s="117" t="str">
        <f>IFERROR(VLOOKUP($G63, Sched!$A:$AA, 27, FALSE), "")</f>
        <v/>
      </c>
      <c r="G63" s="120" t="s">
        <v>237</v>
      </c>
      <c r="H63" s="116" t="str">
        <f t="shared" si="1"/>
        <v>ACC.RGC.AFMS-2-0-OA-1</v>
      </c>
      <c r="I63" s="117" t="str">
        <f t="shared" si="2"/>
        <v>M-302</v>
      </c>
      <c r="K63" t="s">
        <v>42</v>
      </c>
      <c r="L63" t="s">
        <v>308</v>
      </c>
      <c r="M63">
        <v>0</v>
      </c>
      <c r="O63" s="139"/>
      <c r="P63" s="129"/>
      <c r="Q63" s="130"/>
      <c r="R63" s="129">
        <v>3</v>
      </c>
      <c r="S63" s="140">
        <f t="shared" si="11"/>
        <v>0</v>
      </c>
    </row>
    <row r="64" spans="1:19" x14ac:dyDescent="0.2">
      <c r="A64" s="116" t="s">
        <v>1151</v>
      </c>
      <c r="B64" s="116" t="s">
        <v>1169</v>
      </c>
      <c r="C64" s="117">
        <f>COUNTIF($D$3:D64, D64)</f>
        <v>7</v>
      </c>
      <c r="D64" s="117">
        <f>INDEX(PanelInstance!$B$2:$H$11, MATCH(Joined!$A64, PanelInstance!$B$2:$B$11, 0), MATCH(Joined!B64, PanelInstance!$B$1:$H$1, 0)+1)</f>
        <v>353</v>
      </c>
      <c r="E64" s="117" t="str">
        <f t="shared" si="0"/>
        <v>1035307</v>
      </c>
      <c r="F64" s="117" t="str">
        <f>IFERROR(VLOOKUP($G64, Sched!$A:$AA, 27, FALSE), "")</f>
        <v/>
      </c>
      <c r="G64" s="120" t="s">
        <v>238</v>
      </c>
      <c r="H64" s="116" t="str">
        <f t="shared" si="1"/>
        <v>ACC.RGC.AFMS-2-0-OA-2</v>
      </c>
      <c r="I64" s="117" t="str">
        <f t="shared" si="2"/>
        <v>M-302</v>
      </c>
      <c r="K64" t="s">
        <v>42</v>
      </c>
      <c r="L64" t="s">
        <v>308</v>
      </c>
      <c r="M64">
        <v>0</v>
      </c>
      <c r="O64" s="139"/>
      <c r="P64" s="129"/>
      <c r="Q64" s="133"/>
      <c r="R64" s="129" t="s">
        <v>1141</v>
      </c>
      <c r="S64" s="140">
        <f t="shared" si="11"/>
        <v>3</v>
      </c>
    </row>
    <row r="65" spans="1:20" ht="13.5" thickBot="1" x14ac:dyDescent="0.25">
      <c r="A65" s="116" t="s">
        <v>1151</v>
      </c>
      <c r="B65" s="116" t="s">
        <v>1169</v>
      </c>
      <c r="C65" s="117">
        <f>COUNTIF($D$3:D65, D65)</f>
        <v>8</v>
      </c>
      <c r="D65" s="117">
        <f>INDEX(PanelInstance!$B$2:$H$11, MATCH(Joined!$A65, PanelInstance!$B$2:$B$11, 0), MATCH(Joined!B65, PanelInstance!$B$1:$H$1, 0)+1)</f>
        <v>353</v>
      </c>
      <c r="E65" s="117" t="str">
        <f t="shared" si="0"/>
        <v>1035308</v>
      </c>
      <c r="F65" s="117" t="str">
        <f>IFERROR(VLOOKUP($G65, Sched!$A:$AA, 27, FALSE), "")</f>
        <v/>
      </c>
      <c r="G65" s="120" t="s">
        <v>239</v>
      </c>
      <c r="H65" s="116" t="str">
        <f t="shared" si="1"/>
        <v>ACC.RGC.AFMS-2-0-RA-1</v>
      </c>
      <c r="I65" s="117" t="str">
        <f t="shared" si="2"/>
        <v>M-302</v>
      </c>
      <c r="K65" t="s">
        <v>42</v>
      </c>
      <c r="L65" t="s">
        <v>308</v>
      </c>
      <c r="M65">
        <v>0</v>
      </c>
      <c r="O65" s="141"/>
      <c r="P65" s="142"/>
      <c r="Q65" s="150"/>
      <c r="R65" s="144" t="s">
        <v>309</v>
      </c>
      <c r="S65" s="145">
        <f>SUM(S60:S64)</f>
        <v>3</v>
      </c>
    </row>
    <row r="66" spans="1:20" ht="13.5" thickBot="1" x14ac:dyDescent="0.25">
      <c r="A66" s="116" t="s">
        <v>1151</v>
      </c>
      <c r="B66" s="116" t="s">
        <v>1169</v>
      </c>
      <c r="C66" s="117">
        <f>COUNTIF($D$3:D66, D66)</f>
        <v>9</v>
      </c>
      <c r="D66" s="117">
        <f>INDEX(PanelInstance!$B$2:$H$11, MATCH(Joined!$A66, PanelInstance!$B$2:$B$11, 0), MATCH(Joined!B66, PanelInstance!$B$1:$H$1, 0)+1)</f>
        <v>353</v>
      </c>
      <c r="E66" s="117" t="str">
        <f t="shared" si="0"/>
        <v>1035309</v>
      </c>
      <c r="F66" s="117" t="str">
        <f>IFERROR(VLOOKUP($G66, Sched!$A:$AA, 27, FALSE), "")</f>
        <v/>
      </c>
      <c r="G66" s="120" t="s">
        <v>240</v>
      </c>
      <c r="H66" s="116" t="str">
        <f t="shared" si="1"/>
        <v>ACC.RGC.AFMS-2-0-REA-1</v>
      </c>
      <c r="I66" s="117" t="str">
        <f t="shared" si="2"/>
        <v>M-302</v>
      </c>
      <c r="K66" t="s">
        <v>42</v>
      </c>
      <c r="L66" t="s">
        <v>308</v>
      </c>
      <c r="M66">
        <v>0</v>
      </c>
      <c r="O66" s="129"/>
      <c r="P66" s="129"/>
      <c r="Q66" s="133"/>
      <c r="R66" s="131"/>
      <c r="S66" s="129"/>
    </row>
    <row r="67" spans="1:20" ht="38.25" x14ac:dyDescent="0.2">
      <c r="A67" s="116" t="s">
        <v>1151</v>
      </c>
      <c r="B67" s="116" t="s">
        <v>1169</v>
      </c>
      <c r="C67" s="117">
        <f>COUNTIF($D$3:D67, D67)</f>
        <v>10</v>
      </c>
      <c r="D67" s="117">
        <f>INDEX(PanelInstance!$B$2:$H$11, MATCH(Joined!$A67, PanelInstance!$B$2:$B$11, 0), MATCH(Joined!B67, PanelInstance!$B$1:$H$1, 0)+1)</f>
        <v>353</v>
      </c>
      <c r="E67" s="117" t="str">
        <f t="shared" si="0"/>
        <v>1035310</v>
      </c>
      <c r="F67" s="117" t="str">
        <f>IFERROR(VLOOKUP($G67, Sched!$A:$AA, 27, FALSE), "")</f>
        <v/>
      </c>
      <c r="G67" s="120" t="s">
        <v>241</v>
      </c>
      <c r="H67" s="116" t="str">
        <f t="shared" si="1"/>
        <v>ACC.RGC.AFMS-2-0-SA-1</v>
      </c>
      <c r="I67" s="117" t="str">
        <f t="shared" si="2"/>
        <v>M-302</v>
      </c>
      <c r="K67" t="s">
        <v>42</v>
      </c>
      <c r="L67" t="s">
        <v>308</v>
      </c>
      <c r="M67">
        <v>0</v>
      </c>
      <c r="O67" s="135" t="s">
        <v>1159</v>
      </c>
      <c r="P67" s="136" t="s">
        <v>1156</v>
      </c>
      <c r="Q67" s="137" t="s">
        <v>1178</v>
      </c>
      <c r="R67" s="136">
        <v>0</v>
      </c>
      <c r="S67" s="138">
        <f>COUNTIFS(A:A, P$67, M:M, R67)</f>
        <v>0</v>
      </c>
    </row>
    <row r="68" spans="1:20" x14ac:dyDescent="0.2">
      <c r="A68" s="116" t="s">
        <v>1151</v>
      </c>
      <c r="B68" s="116" t="s">
        <v>1169</v>
      </c>
      <c r="C68" s="117">
        <f>COUNTIF($D$3:D68, D68)</f>
        <v>11</v>
      </c>
      <c r="D68" s="117">
        <f>INDEX(PanelInstance!$B$2:$H$11, MATCH(Joined!$A68, PanelInstance!$B$2:$B$11, 0), MATCH(Joined!B68, PanelInstance!$B$1:$H$1, 0)+1)</f>
        <v>353</v>
      </c>
      <c r="E68" s="117" t="str">
        <f t="shared" ref="E68:E131" si="12">10 &amp; D68 &amp; IF(LEN(C68) = 1, "0" &amp; C68, C68)</f>
        <v>1035311</v>
      </c>
      <c r="F68" s="117" t="str">
        <f>IFERROR(VLOOKUP($G68, Sched!$A:$AA, 27, FALSE), "")</f>
        <v/>
      </c>
      <c r="G68" s="116" t="s">
        <v>327</v>
      </c>
      <c r="H68" s="116" t="str">
        <f t="shared" ref="H68:H91" si="13" xml:space="preserve"> "ACC.RGC." &amp; G68</f>
        <v>ACC.RGC.AFMS-2-0-RA-2</v>
      </c>
      <c r="I68" s="117" t="str">
        <f t="shared" ref="I68:I131" si="14">K68</f>
        <v>M-702</v>
      </c>
      <c r="K68" t="s">
        <v>325</v>
      </c>
      <c r="L68" t="s">
        <v>328</v>
      </c>
      <c r="M68">
        <v>0</v>
      </c>
      <c r="O68" s="139"/>
      <c r="P68" s="129" t="s">
        <v>1166</v>
      </c>
      <c r="Q68" s="130"/>
      <c r="R68" s="129">
        <v>1</v>
      </c>
      <c r="S68" s="140">
        <f t="shared" ref="S68:S71" si="15">COUNTIFS(A:A, P$67, M:M, R68)</f>
        <v>0</v>
      </c>
    </row>
    <row r="69" spans="1:20" x14ac:dyDescent="0.2">
      <c r="A69" s="116" t="s">
        <v>1151</v>
      </c>
      <c r="B69" s="116" t="s">
        <v>1169</v>
      </c>
      <c r="C69" s="117">
        <f>COUNTIF($D$3:D69, D69)</f>
        <v>12</v>
      </c>
      <c r="D69" s="117">
        <f>INDEX(PanelInstance!$B$2:$H$11, MATCH(Joined!$A69, PanelInstance!$B$2:$B$11, 0), MATCH(Joined!B69, PanelInstance!$B$1:$H$1, 0)+1)</f>
        <v>353</v>
      </c>
      <c r="E69" s="117" t="str">
        <f t="shared" si="12"/>
        <v>1035312</v>
      </c>
      <c r="F69" s="117" t="str">
        <f>IFERROR(VLOOKUP($G69, Sched!$A:$AA, 27, FALSE), "")</f>
        <v/>
      </c>
      <c r="G69" s="120" t="s">
        <v>339</v>
      </c>
      <c r="H69" s="116" t="str">
        <f t="shared" si="13"/>
        <v>ACC.RGC.VFD-AHU-VAV-2-SA2</v>
      </c>
      <c r="I69" s="117" t="str">
        <f t="shared" si="14"/>
        <v>M-302</v>
      </c>
      <c r="K69" t="s">
        <v>42</v>
      </c>
      <c r="M69">
        <v>0</v>
      </c>
      <c r="O69" s="139"/>
      <c r="P69" s="129"/>
      <c r="Q69" s="130"/>
      <c r="R69" s="129">
        <v>2</v>
      </c>
      <c r="S69" s="140">
        <f t="shared" si="15"/>
        <v>0</v>
      </c>
    </row>
    <row r="70" spans="1:20" x14ac:dyDescent="0.2">
      <c r="A70" s="116" t="s">
        <v>1151</v>
      </c>
      <c r="B70" s="116" t="s">
        <v>1169</v>
      </c>
      <c r="C70" s="117">
        <f>COUNTIF($D$3:D70, D70)</f>
        <v>13</v>
      </c>
      <c r="D70" s="117">
        <f>INDEX(PanelInstance!$B$2:$H$11, MATCH(Joined!$A70, PanelInstance!$B$2:$B$11, 0), MATCH(Joined!B70, PanelInstance!$B$1:$H$1, 0)+1)</f>
        <v>353</v>
      </c>
      <c r="E70" s="117" t="str">
        <f t="shared" si="12"/>
        <v>1035313</v>
      </c>
      <c r="F70" s="117" t="str">
        <f>IFERROR(VLOOKUP($G70, Sched!$A:$AA, 27, FALSE), "")</f>
        <v/>
      </c>
      <c r="G70" s="120" t="s">
        <v>341</v>
      </c>
      <c r="H70" s="116" t="str">
        <f t="shared" si="13"/>
        <v>ACC.RGC.VFD-AHU-VAV-2-RA2</v>
      </c>
      <c r="I70" s="117" t="str">
        <f t="shared" si="14"/>
        <v>M-302</v>
      </c>
      <c r="K70" t="s">
        <v>42</v>
      </c>
      <c r="M70">
        <v>0</v>
      </c>
      <c r="O70" s="139"/>
      <c r="P70" s="129"/>
      <c r="Q70" s="130"/>
      <c r="R70" s="129">
        <v>3</v>
      </c>
      <c r="S70" s="140">
        <f t="shared" si="15"/>
        <v>90</v>
      </c>
      <c r="T70" t="s">
        <v>1175</v>
      </c>
    </row>
    <row r="71" spans="1:20" x14ac:dyDescent="0.2">
      <c r="A71" s="116" t="s">
        <v>1151</v>
      </c>
      <c r="B71" s="116" t="s">
        <v>1169</v>
      </c>
      <c r="C71" s="117">
        <f>COUNTIF($D$3:D71, D71)</f>
        <v>14</v>
      </c>
      <c r="D71" s="117">
        <f>INDEX(PanelInstance!$B$2:$H$11, MATCH(Joined!$A71, PanelInstance!$B$2:$B$11, 0), MATCH(Joined!B71, PanelInstance!$B$1:$H$1, 0)+1)</f>
        <v>353</v>
      </c>
      <c r="E71" s="117" t="str">
        <f t="shared" si="12"/>
        <v>1035314</v>
      </c>
      <c r="F71" s="117" t="str">
        <f>IFERROR(VLOOKUP($G71, Sched!$A:$AA, 27, FALSE), "")</f>
        <v/>
      </c>
      <c r="G71" s="120" t="s">
        <v>343</v>
      </c>
      <c r="H71" s="116" t="str">
        <f t="shared" si="13"/>
        <v>ACC.RGC.VFD-AHU-VAV-2-OA2</v>
      </c>
      <c r="I71" s="117" t="str">
        <f t="shared" si="14"/>
        <v>M-302</v>
      </c>
      <c r="K71" t="s">
        <v>42</v>
      </c>
      <c r="M71">
        <v>0</v>
      </c>
      <c r="O71" s="139"/>
      <c r="P71" s="129"/>
      <c r="Q71" s="130"/>
      <c r="R71" s="129" t="s">
        <v>1141</v>
      </c>
      <c r="S71" s="140">
        <f t="shared" si="15"/>
        <v>0</v>
      </c>
    </row>
    <row r="72" spans="1:20" ht="13.5" thickBot="1" x14ac:dyDescent="0.25">
      <c r="A72" s="116" t="s">
        <v>1151</v>
      </c>
      <c r="B72" s="116" t="s">
        <v>1169</v>
      </c>
      <c r="C72" s="117">
        <f>COUNTIF($D$3:D72, D72)</f>
        <v>15</v>
      </c>
      <c r="D72" s="117">
        <f>INDEX(PanelInstance!$B$2:$H$11, MATCH(Joined!$A72, PanelInstance!$B$2:$B$11, 0), MATCH(Joined!B72, PanelInstance!$B$1:$H$1, 0)+1)</f>
        <v>353</v>
      </c>
      <c r="E72" s="117" t="str">
        <f t="shared" si="12"/>
        <v>1035315</v>
      </c>
      <c r="F72" s="117" t="str">
        <f>IFERROR(VLOOKUP($G72, Sched!$A:$AA, 27, FALSE), "")</f>
        <v/>
      </c>
      <c r="G72" s="120" t="s">
        <v>345</v>
      </c>
      <c r="H72" s="116" t="str">
        <f t="shared" si="13"/>
        <v>ACC.RGC.VFD-AHU-VAV-2-REA2</v>
      </c>
      <c r="I72" s="117" t="str">
        <f t="shared" si="14"/>
        <v>M-302</v>
      </c>
      <c r="K72" t="s">
        <v>42</v>
      </c>
      <c r="M72">
        <v>0</v>
      </c>
      <c r="O72" s="141"/>
      <c r="P72" s="142"/>
      <c r="Q72" s="151"/>
      <c r="R72" s="144" t="s">
        <v>309</v>
      </c>
      <c r="S72" s="145">
        <f>SUM(S67:S71)</f>
        <v>90</v>
      </c>
    </row>
    <row r="73" spans="1:20" x14ac:dyDescent="0.2">
      <c r="A73" s="116" t="s">
        <v>1151</v>
      </c>
      <c r="B73" s="116" t="s">
        <v>1168</v>
      </c>
      <c r="C73" s="117">
        <f>COUNTIF($D$3:D73, D73)</f>
        <v>11</v>
      </c>
      <c r="D73" s="117">
        <f>INDEX(PanelInstance!$B$2:$H$11, MATCH(Joined!$A73, PanelInstance!$B$2:$B$11, 0), MATCH(Joined!B73, PanelInstance!$B$1:$H$1, 0)+1)</f>
        <v>303</v>
      </c>
      <c r="E73" s="117" t="str">
        <f t="shared" si="12"/>
        <v>1030311</v>
      </c>
      <c r="F73" s="117">
        <f>IFERROR(VLOOKUP($G73, Sched!$A:$AA, 27, FALSE), "")</f>
        <v>15201</v>
      </c>
      <c r="G73" s="118" t="s">
        <v>71</v>
      </c>
      <c r="H73" s="116" t="str">
        <f t="shared" si="13"/>
        <v>ACC.RGC.VV-4-0-01</v>
      </c>
      <c r="I73" s="117" t="str">
        <f t="shared" si="14"/>
        <v>M-100A2</v>
      </c>
      <c r="K73" t="s">
        <v>292</v>
      </c>
      <c r="L73" t="s">
        <v>278</v>
      </c>
      <c r="M73">
        <v>0</v>
      </c>
      <c r="O73" s="129"/>
      <c r="P73" s="129"/>
      <c r="Q73" s="134"/>
      <c r="R73" s="129"/>
      <c r="S73" s="129"/>
    </row>
    <row r="74" spans="1:20" x14ac:dyDescent="0.2">
      <c r="A74" s="116" t="s">
        <v>1151</v>
      </c>
      <c r="B74" s="116" t="s">
        <v>1168</v>
      </c>
      <c r="C74" s="117">
        <f>COUNTIF($D$3:D74, D74)</f>
        <v>12</v>
      </c>
      <c r="D74" s="117">
        <f>INDEX(PanelInstance!$B$2:$H$11, MATCH(Joined!$A74, PanelInstance!$B$2:$B$11, 0), MATCH(Joined!B74, PanelInstance!$B$1:$H$1, 0)+1)</f>
        <v>303</v>
      </c>
      <c r="E74" s="117" t="str">
        <f t="shared" si="12"/>
        <v>1030312</v>
      </c>
      <c r="F74" s="117">
        <f>IFERROR(VLOOKUP($G74, Sched!$A:$AA, 27, FALSE), "")</f>
        <v>15201</v>
      </c>
      <c r="G74" s="118" t="s">
        <v>72</v>
      </c>
      <c r="H74" s="116" t="str">
        <f t="shared" si="13"/>
        <v>ACC.RGC.VV-4-0-02</v>
      </c>
      <c r="I74" s="117" t="str">
        <f t="shared" si="14"/>
        <v>M-100A2</v>
      </c>
      <c r="K74" t="s">
        <v>292</v>
      </c>
      <c r="L74" t="s">
        <v>278</v>
      </c>
      <c r="M74">
        <v>0</v>
      </c>
      <c r="O74" s="129"/>
      <c r="P74" s="129"/>
      <c r="Q74" s="134"/>
      <c r="R74" s="129"/>
      <c r="S74" s="129"/>
    </row>
    <row r="75" spans="1:20" x14ac:dyDescent="0.2">
      <c r="A75" s="116" t="s">
        <v>1151</v>
      </c>
      <c r="B75" s="116" t="s">
        <v>1168</v>
      </c>
      <c r="C75" s="117">
        <f>COUNTIF($D$3:D75, D75)</f>
        <v>13</v>
      </c>
      <c r="D75" s="117">
        <f>INDEX(PanelInstance!$B$2:$H$11, MATCH(Joined!$A75, PanelInstance!$B$2:$B$11, 0), MATCH(Joined!B75, PanelInstance!$B$1:$H$1, 0)+1)</f>
        <v>303</v>
      </c>
      <c r="E75" s="117" t="str">
        <f t="shared" si="12"/>
        <v>1030313</v>
      </c>
      <c r="F75" s="117">
        <f>IFERROR(VLOOKUP($G75, Sched!$A:$AA, 27, FALSE), "")</f>
        <v>15201</v>
      </c>
      <c r="G75" s="118" t="s">
        <v>73</v>
      </c>
      <c r="H75" s="116" t="str">
        <f t="shared" si="13"/>
        <v>ACC.RGC.VV-4-0-03</v>
      </c>
      <c r="I75" s="117" t="str">
        <f t="shared" si="14"/>
        <v>M-100A2</v>
      </c>
      <c r="K75" t="s">
        <v>292</v>
      </c>
      <c r="L75" t="s">
        <v>278</v>
      </c>
      <c r="M75">
        <v>0</v>
      </c>
    </row>
    <row r="76" spans="1:20" x14ac:dyDescent="0.2">
      <c r="A76" s="116" t="s">
        <v>1151</v>
      </c>
      <c r="B76" s="116" t="s">
        <v>1168</v>
      </c>
      <c r="C76" s="117">
        <f>COUNTIF($D$3:D76, D76)</f>
        <v>14</v>
      </c>
      <c r="D76" s="117">
        <f>INDEX(PanelInstance!$B$2:$H$11, MATCH(Joined!$A76, PanelInstance!$B$2:$B$11, 0), MATCH(Joined!B76, PanelInstance!$B$1:$H$1, 0)+1)</f>
        <v>303</v>
      </c>
      <c r="E76" s="117" t="str">
        <f t="shared" si="12"/>
        <v>1030314</v>
      </c>
      <c r="F76" s="117">
        <f>IFERROR(VLOOKUP($G76, Sched!$A:$AA, 27, FALSE), "")</f>
        <v>15201</v>
      </c>
      <c r="G76" s="118" t="s">
        <v>74</v>
      </c>
      <c r="H76" s="116" t="str">
        <f t="shared" si="13"/>
        <v>ACC.RGC.VV-4-0-04</v>
      </c>
      <c r="I76" s="117" t="str">
        <f t="shared" si="14"/>
        <v>M-100A2</v>
      </c>
      <c r="K76" t="s">
        <v>292</v>
      </c>
      <c r="L76" t="s">
        <v>278</v>
      </c>
      <c r="M76">
        <v>0</v>
      </c>
    </row>
    <row r="77" spans="1:20" x14ac:dyDescent="0.2">
      <c r="A77" s="116" t="s">
        <v>1151</v>
      </c>
      <c r="B77" s="116" t="s">
        <v>1168</v>
      </c>
      <c r="C77" s="117">
        <f>COUNTIF($D$3:D77, D77)</f>
        <v>15</v>
      </c>
      <c r="D77" s="117">
        <f>INDEX(PanelInstance!$B$2:$H$11, MATCH(Joined!$A77, PanelInstance!$B$2:$B$11, 0), MATCH(Joined!B77, PanelInstance!$B$1:$H$1, 0)+1)</f>
        <v>303</v>
      </c>
      <c r="E77" s="117" t="str">
        <f t="shared" si="12"/>
        <v>1030315</v>
      </c>
      <c r="F77" s="117">
        <f>IFERROR(VLOOKUP($G77, Sched!$A:$AA, 27, FALSE), "")</f>
        <v>15201</v>
      </c>
      <c r="G77" s="118" t="s">
        <v>75</v>
      </c>
      <c r="H77" s="116" t="str">
        <f t="shared" si="13"/>
        <v>ACC.RGC.VV-4-0-05</v>
      </c>
      <c r="I77" s="117" t="str">
        <f t="shared" si="14"/>
        <v>M-100A2</v>
      </c>
      <c r="K77" t="s">
        <v>292</v>
      </c>
      <c r="L77" t="s">
        <v>278</v>
      </c>
      <c r="M77">
        <v>0</v>
      </c>
    </row>
    <row r="78" spans="1:20" x14ac:dyDescent="0.2">
      <c r="A78" s="116" t="s">
        <v>1151</v>
      </c>
      <c r="B78" s="116" t="s">
        <v>1168</v>
      </c>
      <c r="C78" s="117">
        <f>COUNTIF($D$3:D78, D78)</f>
        <v>16</v>
      </c>
      <c r="D78" s="117">
        <f>INDEX(PanelInstance!$B$2:$H$11, MATCH(Joined!$A78, PanelInstance!$B$2:$B$11, 0), MATCH(Joined!B78, PanelInstance!$B$1:$H$1, 0)+1)</f>
        <v>303</v>
      </c>
      <c r="E78" s="117" t="str">
        <f t="shared" si="12"/>
        <v>1030316</v>
      </c>
      <c r="F78" s="117">
        <f>IFERROR(VLOOKUP($G78, Sched!$A:$AA, 27, FALSE), "")</f>
        <v>15201</v>
      </c>
      <c r="G78" s="118" t="s">
        <v>76</v>
      </c>
      <c r="H78" s="116" t="str">
        <f t="shared" si="13"/>
        <v>ACC.RGC.VV-4-0-06</v>
      </c>
      <c r="I78" s="117" t="str">
        <f t="shared" si="14"/>
        <v>M-100A2</v>
      </c>
      <c r="K78" t="s">
        <v>292</v>
      </c>
      <c r="L78" t="s">
        <v>278</v>
      </c>
      <c r="M78">
        <v>0</v>
      </c>
    </row>
    <row r="79" spans="1:20" x14ac:dyDescent="0.2">
      <c r="A79" s="116" t="s">
        <v>1151</v>
      </c>
      <c r="B79" s="116" t="s">
        <v>1168</v>
      </c>
      <c r="C79" s="117">
        <f>COUNTIF($D$3:D79, D79)</f>
        <v>17</v>
      </c>
      <c r="D79" s="117">
        <f>INDEX(PanelInstance!$B$2:$H$11, MATCH(Joined!$A79, PanelInstance!$B$2:$B$11, 0), MATCH(Joined!B79, PanelInstance!$B$1:$H$1, 0)+1)</f>
        <v>303</v>
      </c>
      <c r="E79" s="117" t="str">
        <f t="shared" si="12"/>
        <v>1030317</v>
      </c>
      <c r="F79" s="117">
        <f>IFERROR(VLOOKUP($G79, Sched!$A:$AA, 27, FALSE), "")</f>
        <v>15201</v>
      </c>
      <c r="G79" s="118" t="s">
        <v>77</v>
      </c>
      <c r="H79" s="116" t="str">
        <f t="shared" si="13"/>
        <v>ACC.RGC.VV-4-0-07</v>
      </c>
      <c r="I79" s="117" t="str">
        <f t="shared" si="14"/>
        <v>M-100A2</v>
      </c>
      <c r="K79" t="s">
        <v>292</v>
      </c>
      <c r="L79" t="s">
        <v>278</v>
      </c>
      <c r="M79">
        <v>0</v>
      </c>
    </row>
    <row r="80" spans="1:20" x14ac:dyDescent="0.2">
      <c r="A80" s="116" t="s">
        <v>1151</v>
      </c>
      <c r="B80" s="116" t="s">
        <v>1168</v>
      </c>
      <c r="C80" s="117">
        <f>COUNTIF($D$3:D80, D80)</f>
        <v>18</v>
      </c>
      <c r="D80" s="117">
        <f>INDEX(PanelInstance!$B$2:$H$11, MATCH(Joined!$A80, PanelInstance!$B$2:$B$11, 0), MATCH(Joined!B80, PanelInstance!$B$1:$H$1, 0)+1)</f>
        <v>303</v>
      </c>
      <c r="E80" s="117" t="str">
        <f t="shared" si="12"/>
        <v>1030318</v>
      </c>
      <c r="F80" s="117">
        <f>IFERROR(VLOOKUP($G80, Sched!$A:$AA, 27, FALSE), "")</f>
        <v>15201</v>
      </c>
      <c r="G80" s="118" t="s">
        <v>78</v>
      </c>
      <c r="H80" s="116" t="str">
        <f t="shared" si="13"/>
        <v>ACC.RGC.VV-4-0-08</v>
      </c>
      <c r="I80" s="117" t="str">
        <f t="shared" si="14"/>
        <v>M-100A2</v>
      </c>
      <c r="K80" t="s">
        <v>292</v>
      </c>
      <c r="L80" t="s">
        <v>278</v>
      </c>
      <c r="M80">
        <v>0</v>
      </c>
    </row>
    <row r="81" spans="1:13" x14ac:dyDescent="0.2">
      <c r="A81" s="116" t="s">
        <v>1151</v>
      </c>
      <c r="B81" s="116" t="s">
        <v>1168</v>
      </c>
      <c r="C81" s="117">
        <f>COUNTIF($D$3:D81, D81)</f>
        <v>19</v>
      </c>
      <c r="D81" s="117">
        <f>INDEX(PanelInstance!$B$2:$H$11, MATCH(Joined!$A81, PanelInstance!$B$2:$B$11, 0), MATCH(Joined!B81, PanelInstance!$B$1:$H$1, 0)+1)</f>
        <v>303</v>
      </c>
      <c r="E81" s="117" t="str">
        <f t="shared" si="12"/>
        <v>1030319</v>
      </c>
      <c r="F81" s="117">
        <f>IFERROR(VLOOKUP($G81, Sched!$A:$AA, 27, FALSE), "")</f>
        <v>15201</v>
      </c>
      <c r="G81" s="118" t="s">
        <v>79</v>
      </c>
      <c r="H81" s="116" t="str">
        <f t="shared" si="13"/>
        <v>ACC.RGC.VV-4-0-09</v>
      </c>
      <c r="I81" s="117" t="str">
        <f t="shared" si="14"/>
        <v>M-100A2</v>
      </c>
      <c r="K81" t="s">
        <v>292</v>
      </c>
      <c r="L81" t="s">
        <v>278</v>
      </c>
      <c r="M81">
        <v>0</v>
      </c>
    </row>
    <row r="82" spans="1:13" x14ac:dyDescent="0.2">
      <c r="A82" s="116" t="s">
        <v>1151</v>
      </c>
      <c r="B82" s="116" t="s">
        <v>1168</v>
      </c>
      <c r="C82" s="117">
        <f>COUNTIF($D$3:D82, D82)</f>
        <v>20</v>
      </c>
      <c r="D82" s="117">
        <f>INDEX(PanelInstance!$B$2:$H$11, MATCH(Joined!$A82, PanelInstance!$B$2:$B$11, 0), MATCH(Joined!B82, PanelInstance!$B$1:$H$1, 0)+1)</f>
        <v>303</v>
      </c>
      <c r="E82" s="117" t="str">
        <f t="shared" si="12"/>
        <v>1030320</v>
      </c>
      <c r="F82" s="117">
        <f>IFERROR(VLOOKUP($G82, Sched!$A:$AA, 27, FALSE), "")</f>
        <v>15001</v>
      </c>
      <c r="G82" s="119" t="s">
        <v>87</v>
      </c>
      <c r="H82" s="116" t="str">
        <f t="shared" si="13"/>
        <v>ACC.RGC.VV-2-0-01</v>
      </c>
      <c r="I82" s="117" t="str">
        <f t="shared" si="14"/>
        <v>M-100A2</v>
      </c>
      <c r="K82" t="s">
        <v>292</v>
      </c>
      <c r="L82" t="s">
        <v>278</v>
      </c>
      <c r="M82">
        <v>0</v>
      </c>
    </row>
    <row r="83" spans="1:13" x14ac:dyDescent="0.2">
      <c r="A83" s="116" t="s">
        <v>1151</v>
      </c>
      <c r="B83" s="116" t="s">
        <v>1168</v>
      </c>
      <c r="C83" s="117">
        <f>COUNTIF($D$3:D83, D83)</f>
        <v>21</v>
      </c>
      <c r="D83" s="117">
        <f>INDEX(PanelInstance!$B$2:$H$11, MATCH(Joined!$A83, PanelInstance!$B$2:$B$11, 0), MATCH(Joined!B83, PanelInstance!$B$1:$H$1, 0)+1)</f>
        <v>303</v>
      </c>
      <c r="E83" s="117" t="str">
        <f t="shared" si="12"/>
        <v>1030321</v>
      </c>
      <c r="F83" s="117">
        <f>IFERROR(VLOOKUP($G83, Sched!$A:$AA, 27, FALSE), "")</f>
        <v>15003</v>
      </c>
      <c r="G83" s="119" t="s">
        <v>88</v>
      </c>
      <c r="H83" s="116" t="str">
        <f t="shared" si="13"/>
        <v>ACC.RGC.VV-2-0-02</v>
      </c>
      <c r="I83" s="117" t="str">
        <f t="shared" si="14"/>
        <v>M-100A2</v>
      </c>
      <c r="K83" t="s">
        <v>292</v>
      </c>
      <c r="L83" t="s">
        <v>278</v>
      </c>
      <c r="M83">
        <v>0</v>
      </c>
    </row>
    <row r="84" spans="1:13" x14ac:dyDescent="0.2">
      <c r="A84" s="116" t="s">
        <v>1151</v>
      </c>
      <c r="B84" s="116" t="s">
        <v>1168</v>
      </c>
      <c r="C84" s="117">
        <f>COUNTIF($D$3:D84, D84)</f>
        <v>22</v>
      </c>
      <c r="D84" s="117">
        <f>INDEX(PanelInstance!$B$2:$H$11, MATCH(Joined!$A84, PanelInstance!$B$2:$B$11, 0), MATCH(Joined!B84, PanelInstance!$B$1:$H$1, 0)+1)</f>
        <v>303</v>
      </c>
      <c r="E84" s="117" t="str">
        <f t="shared" si="12"/>
        <v>1030322</v>
      </c>
      <c r="F84" s="117">
        <f>IFERROR(VLOOKUP($G84, Sched!$A:$AA, 27, FALSE), "")</f>
        <v>15001</v>
      </c>
      <c r="G84" s="119" t="s">
        <v>89</v>
      </c>
      <c r="H84" s="116" t="str">
        <f t="shared" si="13"/>
        <v>ACC.RGC.VV-2-0-03</v>
      </c>
      <c r="I84" s="117" t="str">
        <f t="shared" si="14"/>
        <v>M-100A2</v>
      </c>
      <c r="K84" t="s">
        <v>292</v>
      </c>
      <c r="L84" t="s">
        <v>278</v>
      </c>
      <c r="M84">
        <v>0</v>
      </c>
    </row>
    <row r="85" spans="1:13" x14ac:dyDescent="0.2">
      <c r="A85" s="116" t="s">
        <v>1151</v>
      </c>
      <c r="B85" s="116" t="s">
        <v>1168</v>
      </c>
      <c r="C85" s="117">
        <f>COUNTIF($D$3:D85, D85)</f>
        <v>23</v>
      </c>
      <c r="D85" s="117">
        <f>INDEX(PanelInstance!$B$2:$H$11, MATCH(Joined!$A85, PanelInstance!$B$2:$B$11, 0), MATCH(Joined!B85, PanelInstance!$B$1:$H$1, 0)+1)</f>
        <v>303</v>
      </c>
      <c r="E85" s="117" t="str">
        <f t="shared" si="12"/>
        <v>1030323</v>
      </c>
      <c r="F85" s="117">
        <f>IFERROR(VLOOKUP($G85, Sched!$A:$AA, 27, FALSE), "")</f>
        <v>15001</v>
      </c>
      <c r="G85" s="119" t="s">
        <v>90</v>
      </c>
      <c r="H85" s="116" t="str">
        <f t="shared" si="13"/>
        <v>ACC.RGC.VV-2-0-04</v>
      </c>
      <c r="I85" s="117" t="str">
        <f t="shared" si="14"/>
        <v>M-100A2</v>
      </c>
      <c r="K85" t="s">
        <v>292</v>
      </c>
      <c r="L85" t="s">
        <v>278</v>
      </c>
      <c r="M85">
        <v>0</v>
      </c>
    </row>
    <row r="86" spans="1:13" x14ac:dyDescent="0.2">
      <c r="A86" s="116" t="s">
        <v>1151</v>
      </c>
      <c r="B86" s="116" t="s">
        <v>1168</v>
      </c>
      <c r="C86" s="117">
        <f>COUNTIF($D$3:D86, D86)</f>
        <v>24</v>
      </c>
      <c r="D86" s="117">
        <f>INDEX(PanelInstance!$B$2:$H$11, MATCH(Joined!$A86, PanelInstance!$B$2:$B$11, 0), MATCH(Joined!B86, PanelInstance!$B$1:$H$1, 0)+1)</f>
        <v>303</v>
      </c>
      <c r="E86" s="117" t="str">
        <f t="shared" si="12"/>
        <v>1030324</v>
      </c>
      <c r="F86" s="117">
        <f>IFERROR(VLOOKUP($G86, Sched!$A:$AA, 27, FALSE), "")</f>
        <v>15002</v>
      </c>
      <c r="G86" s="119" t="s">
        <v>91</v>
      </c>
      <c r="H86" s="116" t="str">
        <f t="shared" si="13"/>
        <v>ACC.RGC.VV-2-0-05</v>
      </c>
      <c r="I86" s="117" t="str">
        <f t="shared" si="14"/>
        <v>M-100A2</v>
      </c>
      <c r="K86" t="s">
        <v>292</v>
      </c>
      <c r="L86" t="s">
        <v>278</v>
      </c>
      <c r="M86">
        <v>0</v>
      </c>
    </row>
    <row r="87" spans="1:13" x14ac:dyDescent="0.2">
      <c r="A87" s="116" t="s">
        <v>1151</v>
      </c>
      <c r="B87" s="116" t="s">
        <v>1168</v>
      </c>
      <c r="C87" s="117">
        <f>COUNTIF($D$3:D87, D87)</f>
        <v>25</v>
      </c>
      <c r="D87" s="117">
        <f>INDEX(PanelInstance!$B$2:$H$11, MATCH(Joined!$A87, PanelInstance!$B$2:$B$11, 0), MATCH(Joined!B87, PanelInstance!$B$1:$H$1, 0)+1)</f>
        <v>303</v>
      </c>
      <c r="E87" s="117" t="str">
        <f t="shared" si="12"/>
        <v>1030325</v>
      </c>
      <c r="F87" s="117">
        <f>IFERROR(VLOOKUP($G87, Sched!$A:$AA, 27, FALSE), "")</f>
        <v>15502</v>
      </c>
      <c r="G87" s="120" t="s">
        <v>264</v>
      </c>
      <c r="H87" s="116" t="str">
        <f t="shared" si="13"/>
        <v>ACC.RGC.FCU-0-3</v>
      </c>
      <c r="I87" s="117" t="str">
        <f t="shared" si="14"/>
        <v>M-303</v>
      </c>
      <c r="K87" t="s">
        <v>265</v>
      </c>
      <c r="L87" t="s">
        <v>307</v>
      </c>
      <c r="M87">
        <v>0</v>
      </c>
    </row>
    <row r="88" spans="1:13" x14ac:dyDescent="0.2">
      <c r="A88" s="116" t="s">
        <v>1151</v>
      </c>
      <c r="B88" s="116" t="s">
        <v>1168</v>
      </c>
      <c r="C88" s="117">
        <f>COUNTIF($D$3:D88, D88)</f>
        <v>26</v>
      </c>
      <c r="D88" s="117">
        <f>INDEX(PanelInstance!$B$2:$H$11, MATCH(Joined!$A88, PanelInstance!$B$2:$B$11, 0), MATCH(Joined!B88, PanelInstance!$B$1:$H$1, 0)+1)</f>
        <v>303</v>
      </c>
      <c r="E88" s="117" t="str">
        <f t="shared" si="12"/>
        <v>1030326</v>
      </c>
      <c r="F88" s="117" t="str">
        <f>IFERROR(VLOOKUP($G88, Sched!$A:$AA, 27, FALSE), "")</f>
        <v/>
      </c>
      <c r="G88" s="120" t="s">
        <v>266</v>
      </c>
      <c r="H88" s="116" t="str">
        <f t="shared" si="13"/>
        <v>ACC.RGC.FCU-0-4</v>
      </c>
      <c r="I88" s="117" t="str">
        <f t="shared" si="14"/>
        <v>M-303</v>
      </c>
      <c r="K88" t="s">
        <v>265</v>
      </c>
      <c r="L88" t="s">
        <v>307</v>
      </c>
      <c r="M88">
        <v>0</v>
      </c>
    </row>
    <row r="89" spans="1:13" x14ac:dyDescent="0.2">
      <c r="A89" s="116" t="s">
        <v>1151</v>
      </c>
      <c r="B89" s="116" t="s">
        <v>1169</v>
      </c>
      <c r="C89" s="117">
        <f>COUNTIF($D$3:D89, D89)</f>
        <v>16</v>
      </c>
      <c r="D89" s="117">
        <f>INDEX(PanelInstance!$B$2:$H$11, MATCH(Joined!$A89, PanelInstance!$B$2:$B$11, 0), MATCH(Joined!B89, PanelInstance!$B$1:$H$1, 0)+1)</f>
        <v>353</v>
      </c>
      <c r="E89" s="117" t="str">
        <f t="shared" si="12"/>
        <v>1035316</v>
      </c>
      <c r="F89" s="117" t="str">
        <f>IFERROR(VLOOKUP($G89, Sched!$A:$AA, 27, FALSE), "")</f>
        <v/>
      </c>
      <c r="G89" s="120" t="s">
        <v>251</v>
      </c>
      <c r="H89" s="116" t="str">
        <f t="shared" si="13"/>
        <v>ACC.RGC.AFMS-4-0-EA-1</v>
      </c>
      <c r="I89" s="117" t="str">
        <f t="shared" si="14"/>
        <v>M-303</v>
      </c>
      <c r="K89" t="s">
        <v>265</v>
      </c>
      <c r="L89" t="s">
        <v>307</v>
      </c>
      <c r="M89">
        <v>0</v>
      </c>
    </row>
    <row r="90" spans="1:13" x14ac:dyDescent="0.2">
      <c r="A90" s="122" t="s">
        <v>1151</v>
      </c>
      <c r="B90" s="116" t="s">
        <v>1169</v>
      </c>
      <c r="C90" s="117">
        <f>COUNTIF($D$3:D90, D90)</f>
        <v>17</v>
      </c>
      <c r="D90" s="117">
        <f>INDEX(PanelInstance!$B$2:$H$11, MATCH(Joined!$A90, PanelInstance!$B$2:$B$11, 0), MATCH(Joined!B90, PanelInstance!$B$1:$H$1, 0)+1)</f>
        <v>353</v>
      </c>
      <c r="E90" s="117" t="str">
        <f t="shared" si="12"/>
        <v>1035317</v>
      </c>
      <c r="F90" s="117" t="str">
        <f>IFERROR(VLOOKUP($G90, Sched!$A:$AA, 27, FALSE), "")</f>
        <v/>
      </c>
      <c r="G90" s="123" t="s">
        <v>795</v>
      </c>
      <c r="H90" s="122" t="str">
        <f t="shared" si="13"/>
        <v>ACC.RGC.AFMS-2-0-SAF-1</v>
      </c>
      <c r="I90" s="117" t="str">
        <f t="shared" si="14"/>
        <v>M-302</v>
      </c>
      <c r="K90" t="s">
        <v>42</v>
      </c>
      <c r="L90" t="s">
        <v>308</v>
      </c>
      <c r="M90">
        <v>0</v>
      </c>
    </row>
    <row r="91" spans="1:13" x14ac:dyDescent="0.2">
      <c r="A91" s="122" t="s">
        <v>1151</v>
      </c>
      <c r="B91" s="116" t="s">
        <v>1169</v>
      </c>
      <c r="C91" s="117">
        <f>COUNTIF($D$3:D91, D91)</f>
        <v>18</v>
      </c>
      <c r="D91" s="117">
        <f>INDEX(PanelInstance!$B$2:$H$11, MATCH(Joined!$A91, PanelInstance!$B$2:$B$11, 0), MATCH(Joined!B91, PanelInstance!$B$1:$H$1, 0)+1)</f>
        <v>353</v>
      </c>
      <c r="E91" s="117" t="str">
        <f t="shared" si="12"/>
        <v>1035318</v>
      </c>
      <c r="F91" s="117" t="str">
        <f>IFERROR(VLOOKUP($G91, Sched!$A:$AA, 27, FALSE), "")</f>
        <v/>
      </c>
      <c r="G91" s="123" t="s">
        <v>796</v>
      </c>
      <c r="H91" s="122" t="str">
        <f t="shared" si="13"/>
        <v>ACC.RGC.AFMS-2-0-RAF-1</v>
      </c>
      <c r="I91" s="117" t="str">
        <f t="shared" si="14"/>
        <v>M-302</v>
      </c>
      <c r="K91" t="s">
        <v>42</v>
      </c>
      <c r="L91" t="s">
        <v>308</v>
      </c>
      <c r="M91">
        <v>0</v>
      </c>
    </row>
    <row r="92" spans="1:13" x14ac:dyDescent="0.2">
      <c r="A92" s="116" t="s">
        <v>1150</v>
      </c>
      <c r="B92" s="116" t="s">
        <v>1168</v>
      </c>
      <c r="C92" s="117">
        <f>COUNTIF($D$3:D92, D92)</f>
        <v>1</v>
      </c>
      <c r="D92" s="117">
        <f>INDEX(PanelInstance!$B$2:$H$11, MATCH(Joined!$A92, PanelInstance!$B$2:$B$11, 0), MATCH(Joined!B92, PanelInstance!$B$1:$H$1, 0)+1)</f>
        <v>302</v>
      </c>
      <c r="E92" s="117" t="str">
        <f t="shared" si="12"/>
        <v>1030201</v>
      </c>
      <c r="F92" s="117">
        <f>IFERROR(VLOOKUP($G92, Sched!$A:$AA, 27, FALSE), "")</f>
        <v>15201</v>
      </c>
      <c r="G92" s="118" t="s">
        <v>99</v>
      </c>
      <c r="H92" s="116" t="str">
        <f xml:space="preserve"> "ACC.RGC." &amp; G92</f>
        <v>ACC.RGC.VV-3-1-06</v>
      </c>
      <c r="I92" s="117" t="str">
        <f t="shared" si="14"/>
        <v>M-101B1</v>
      </c>
      <c r="K92" t="s">
        <v>275</v>
      </c>
      <c r="L92" t="s">
        <v>276</v>
      </c>
      <c r="M92">
        <v>1</v>
      </c>
    </row>
    <row r="93" spans="1:13" x14ac:dyDescent="0.2">
      <c r="A93" s="116" t="s">
        <v>1150</v>
      </c>
      <c r="B93" s="116" t="s">
        <v>1168</v>
      </c>
      <c r="C93" s="117">
        <f>COUNTIF($D$3:D93, D93)</f>
        <v>2</v>
      </c>
      <c r="D93" s="117">
        <f>INDEX(PanelInstance!$B$2:$H$11, MATCH(Joined!$A93, PanelInstance!$B$2:$B$11, 0), MATCH(Joined!B93, PanelInstance!$B$1:$H$1, 0)+1)</f>
        <v>302</v>
      </c>
      <c r="E93" s="117" t="str">
        <f t="shared" si="12"/>
        <v>1030202</v>
      </c>
      <c r="F93" s="117">
        <f>IFERROR(VLOOKUP($G93, Sched!$A:$AA, 27, FALSE), "")</f>
        <v>15201</v>
      </c>
      <c r="G93" s="118" t="s">
        <v>100</v>
      </c>
      <c r="H93" s="116" t="str">
        <f t="shared" ref="H93:H137" si="16" xml:space="preserve"> "ACC.RGC." &amp; G93</f>
        <v>ACC.RGC.VV-3-1-07</v>
      </c>
      <c r="I93" s="117" t="str">
        <f t="shared" si="14"/>
        <v>M-101B1</v>
      </c>
      <c r="K93" t="s">
        <v>275</v>
      </c>
      <c r="L93" t="s">
        <v>276</v>
      </c>
      <c r="M93">
        <v>1</v>
      </c>
    </row>
    <row r="94" spans="1:13" x14ac:dyDescent="0.2">
      <c r="A94" s="116" t="s">
        <v>1150</v>
      </c>
      <c r="B94" s="116" t="s">
        <v>1168</v>
      </c>
      <c r="C94" s="117">
        <f>COUNTIF($D$3:D94, D94)</f>
        <v>3</v>
      </c>
      <c r="D94" s="117">
        <f>INDEX(PanelInstance!$B$2:$H$11, MATCH(Joined!$A94, PanelInstance!$B$2:$B$11, 0), MATCH(Joined!B94, PanelInstance!$B$1:$H$1, 0)+1)</f>
        <v>302</v>
      </c>
      <c r="E94" s="117" t="str">
        <f t="shared" si="12"/>
        <v>1030203</v>
      </c>
      <c r="F94" s="117">
        <f>IFERROR(VLOOKUP($G94, Sched!$A:$AA, 27, FALSE), "")</f>
        <v>15201</v>
      </c>
      <c r="G94" s="118" t="s">
        <v>101</v>
      </c>
      <c r="H94" s="116" t="str">
        <f t="shared" si="16"/>
        <v>ACC.RGC.VV-3-1-08</v>
      </c>
      <c r="I94" s="117" t="str">
        <f t="shared" si="14"/>
        <v>M-101B1</v>
      </c>
      <c r="K94" t="s">
        <v>275</v>
      </c>
      <c r="L94" t="s">
        <v>276</v>
      </c>
      <c r="M94">
        <v>1</v>
      </c>
    </row>
    <row r="95" spans="1:13" x14ac:dyDescent="0.2">
      <c r="A95" s="116" t="s">
        <v>1150</v>
      </c>
      <c r="B95" s="116" t="s">
        <v>1168</v>
      </c>
      <c r="C95" s="117">
        <f>COUNTIF($D$3:D95, D95)</f>
        <v>4</v>
      </c>
      <c r="D95" s="117">
        <f>INDEX(PanelInstance!$B$2:$H$11, MATCH(Joined!$A95, PanelInstance!$B$2:$B$11, 0), MATCH(Joined!B95, PanelInstance!$B$1:$H$1, 0)+1)</f>
        <v>302</v>
      </c>
      <c r="E95" s="117" t="str">
        <f t="shared" si="12"/>
        <v>1030204</v>
      </c>
      <c r="F95" s="117">
        <f>IFERROR(VLOOKUP($G95, Sched!$A:$AA, 27, FALSE), "")</f>
        <v>15201</v>
      </c>
      <c r="G95" s="118" t="s">
        <v>102</v>
      </c>
      <c r="H95" s="116" t="str">
        <f t="shared" si="16"/>
        <v>ACC.RGC.VV-3-1-09</v>
      </c>
      <c r="I95" s="117" t="str">
        <f t="shared" si="14"/>
        <v>M-101B1</v>
      </c>
      <c r="K95" t="s">
        <v>275</v>
      </c>
      <c r="L95" t="s">
        <v>276</v>
      </c>
      <c r="M95">
        <v>1</v>
      </c>
    </row>
    <row r="96" spans="1:13" x14ac:dyDescent="0.2">
      <c r="A96" s="116" t="s">
        <v>1150</v>
      </c>
      <c r="B96" s="116" t="s">
        <v>1168</v>
      </c>
      <c r="C96" s="117">
        <f>COUNTIF($D$3:D96, D96)</f>
        <v>5</v>
      </c>
      <c r="D96" s="117">
        <f>INDEX(PanelInstance!$B$2:$H$11, MATCH(Joined!$A96, PanelInstance!$B$2:$B$11, 0), MATCH(Joined!B96, PanelInstance!$B$1:$H$1, 0)+1)</f>
        <v>302</v>
      </c>
      <c r="E96" s="117" t="str">
        <f t="shared" si="12"/>
        <v>1030205</v>
      </c>
      <c r="F96" s="117">
        <f>IFERROR(VLOOKUP($G96, Sched!$A:$AA, 27, FALSE), "")</f>
        <v>15201</v>
      </c>
      <c r="G96" s="118" t="s">
        <v>103</v>
      </c>
      <c r="H96" s="116" t="str">
        <f t="shared" si="16"/>
        <v>ACC.RGC.VV-3-1-10</v>
      </c>
      <c r="I96" s="117" t="str">
        <f t="shared" si="14"/>
        <v>M-101B1</v>
      </c>
      <c r="K96" t="s">
        <v>275</v>
      </c>
      <c r="L96" t="s">
        <v>276</v>
      </c>
      <c r="M96">
        <v>1</v>
      </c>
    </row>
    <row r="97" spans="1:13" x14ac:dyDescent="0.2">
      <c r="A97" s="116" t="s">
        <v>1150</v>
      </c>
      <c r="B97" s="116" t="s">
        <v>1168</v>
      </c>
      <c r="C97" s="117">
        <f>COUNTIF($D$3:D97, D97)</f>
        <v>6</v>
      </c>
      <c r="D97" s="117">
        <f>INDEX(PanelInstance!$B$2:$H$11, MATCH(Joined!$A97, PanelInstance!$B$2:$B$11, 0), MATCH(Joined!B97, PanelInstance!$B$1:$H$1, 0)+1)</f>
        <v>302</v>
      </c>
      <c r="E97" s="117" t="str">
        <f t="shared" si="12"/>
        <v>1030206</v>
      </c>
      <c r="F97" s="117">
        <f>IFERROR(VLOOKUP($G97, Sched!$A:$AA, 27, FALSE), "")</f>
        <v>15201</v>
      </c>
      <c r="G97" s="118" t="s">
        <v>104</v>
      </c>
      <c r="H97" s="116" t="str">
        <f t="shared" si="16"/>
        <v>ACC.RGC.VV-3-1-11</v>
      </c>
      <c r="I97" s="117" t="str">
        <f t="shared" si="14"/>
        <v>M-101B1</v>
      </c>
      <c r="K97" t="s">
        <v>275</v>
      </c>
      <c r="L97" t="s">
        <v>276</v>
      </c>
      <c r="M97">
        <v>1</v>
      </c>
    </row>
    <row r="98" spans="1:13" x14ac:dyDescent="0.2">
      <c r="A98" s="116" t="s">
        <v>1150</v>
      </c>
      <c r="B98" s="116" t="s">
        <v>1168</v>
      </c>
      <c r="C98" s="117">
        <f>COUNTIF($D$3:D98, D98)</f>
        <v>7</v>
      </c>
      <c r="D98" s="117">
        <f>INDEX(PanelInstance!$B$2:$H$11, MATCH(Joined!$A98, PanelInstance!$B$2:$B$11, 0), MATCH(Joined!B98, PanelInstance!$B$1:$H$1, 0)+1)</f>
        <v>302</v>
      </c>
      <c r="E98" s="117" t="str">
        <f t="shared" si="12"/>
        <v>1030207</v>
      </c>
      <c r="F98" s="117">
        <f>IFERROR(VLOOKUP($G98, Sched!$A:$AA, 27, FALSE), "")</f>
        <v>15002</v>
      </c>
      <c r="G98" s="119" t="s">
        <v>123</v>
      </c>
      <c r="H98" s="116" t="str">
        <f t="shared" si="16"/>
        <v>ACC.RGC.VV-1-1-02</v>
      </c>
      <c r="I98" s="117" t="str">
        <f t="shared" si="14"/>
        <v>M-101B1</v>
      </c>
      <c r="K98" t="s">
        <v>275</v>
      </c>
      <c r="L98" t="s">
        <v>276</v>
      </c>
      <c r="M98">
        <v>1</v>
      </c>
    </row>
    <row r="99" spans="1:13" x14ac:dyDescent="0.2">
      <c r="A99" s="116" t="s">
        <v>1150</v>
      </c>
      <c r="B99" s="116" t="s">
        <v>1168</v>
      </c>
      <c r="C99" s="117">
        <f>COUNTIF($D$3:D99, D99)</f>
        <v>8</v>
      </c>
      <c r="D99" s="117">
        <f>INDEX(PanelInstance!$B$2:$H$11, MATCH(Joined!$A99, PanelInstance!$B$2:$B$11, 0), MATCH(Joined!B99, PanelInstance!$B$1:$H$1, 0)+1)</f>
        <v>302</v>
      </c>
      <c r="E99" s="117" t="str">
        <f t="shared" si="12"/>
        <v>1030208</v>
      </c>
      <c r="F99" s="117">
        <f>IFERROR(VLOOKUP($G99, Sched!$A:$AA, 27, FALSE), "")</f>
        <v>15002</v>
      </c>
      <c r="G99" s="119" t="s">
        <v>125</v>
      </c>
      <c r="H99" s="116" t="str">
        <f t="shared" si="16"/>
        <v>ACC.RGC.VV-1-1-04</v>
      </c>
      <c r="I99" s="117" t="str">
        <f t="shared" si="14"/>
        <v>M-101B1</v>
      </c>
      <c r="K99" t="s">
        <v>275</v>
      </c>
      <c r="L99" t="s">
        <v>276</v>
      </c>
      <c r="M99">
        <v>1</v>
      </c>
    </row>
    <row r="100" spans="1:13" x14ac:dyDescent="0.2">
      <c r="A100" s="116" t="s">
        <v>1150</v>
      </c>
      <c r="B100" s="116" t="s">
        <v>1168</v>
      </c>
      <c r="C100" s="117">
        <f>COUNTIF($D$3:D100, D100)</f>
        <v>9</v>
      </c>
      <c r="D100" s="117">
        <f>INDEX(PanelInstance!$B$2:$H$11, MATCH(Joined!$A100, PanelInstance!$B$2:$B$11, 0), MATCH(Joined!B100, PanelInstance!$B$1:$H$1, 0)+1)</f>
        <v>302</v>
      </c>
      <c r="E100" s="117" t="str">
        <f t="shared" si="12"/>
        <v>1030209</v>
      </c>
      <c r="F100" s="117">
        <f>IFERROR(VLOOKUP($G100, Sched!$A:$AA, 27, FALSE), "")</f>
        <v>15001</v>
      </c>
      <c r="G100" s="119" t="s">
        <v>129</v>
      </c>
      <c r="H100" s="116" t="str">
        <f t="shared" si="16"/>
        <v>ACC.RGC.VV-1-1-08</v>
      </c>
      <c r="I100" s="117" t="str">
        <f t="shared" si="14"/>
        <v>M-101B1</v>
      </c>
      <c r="K100" t="s">
        <v>275</v>
      </c>
      <c r="L100" t="s">
        <v>276</v>
      </c>
      <c r="M100">
        <v>1</v>
      </c>
    </row>
    <row r="101" spans="1:13" x14ac:dyDescent="0.2">
      <c r="A101" s="116" t="s">
        <v>1150</v>
      </c>
      <c r="B101" s="116" t="s">
        <v>1168</v>
      </c>
      <c r="C101" s="117">
        <f>COUNTIF($D$3:D101, D101)</f>
        <v>10</v>
      </c>
      <c r="D101" s="117">
        <f>INDEX(PanelInstance!$B$2:$H$11, MATCH(Joined!$A101, PanelInstance!$B$2:$B$11, 0), MATCH(Joined!B101, PanelInstance!$B$1:$H$1, 0)+1)</f>
        <v>302</v>
      </c>
      <c r="E101" s="117" t="str">
        <f t="shared" si="12"/>
        <v>1030210</v>
      </c>
      <c r="F101" s="117">
        <f>IFERROR(VLOOKUP($G101, Sched!$A:$AA, 27, FALSE), "")</f>
        <v>15001</v>
      </c>
      <c r="G101" s="119" t="s">
        <v>130</v>
      </c>
      <c r="H101" s="116" t="str">
        <f t="shared" si="16"/>
        <v>ACC.RGC.VV-1-1-09</v>
      </c>
      <c r="I101" s="117" t="str">
        <f t="shared" si="14"/>
        <v>M-101B1</v>
      </c>
      <c r="K101" t="s">
        <v>275</v>
      </c>
      <c r="L101" t="s">
        <v>276</v>
      </c>
      <c r="M101">
        <v>1</v>
      </c>
    </row>
    <row r="102" spans="1:13" x14ac:dyDescent="0.2">
      <c r="A102" s="116" t="s">
        <v>1150</v>
      </c>
      <c r="B102" s="116" t="s">
        <v>1168</v>
      </c>
      <c r="C102" s="117">
        <f>COUNTIF($D$3:D102, D102)</f>
        <v>11</v>
      </c>
      <c r="D102" s="117">
        <f>INDEX(PanelInstance!$B$2:$H$11, MATCH(Joined!$A102, PanelInstance!$B$2:$B$11, 0), MATCH(Joined!B102, PanelInstance!$B$1:$H$1, 0)+1)</f>
        <v>302</v>
      </c>
      <c r="E102" s="117" t="str">
        <f t="shared" si="12"/>
        <v>1030211</v>
      </c>
      <c r="F102" s="117">
        <f>IFERROR(VLOOKUP($G102, Sched!$A:$AA, 27, FALSE), "")</f>
        <v>15003</v>
      </c>
      <c r="G102" s="119" t="s">
        <v>131</v>
      </c>
      <c r="H102" s="116" t="str">
        <f t="shared" si="16"/>
        <v>ACC.RGC.VV-1-1-10</v>
      </c>
      <c r="I102" s="117" t="str">
        <f t="shared" si="14"/>
        <v>M-101B1</v>
      </c>
      <c r="K102" t="s">
        <v>275</v>
      </c>
      <c r="L102" t="s">
        <v>276</v>
      </c>
      <c r="M102">
        <v>1</v>
      </c>
    </row>
    <row r="103" spans="1:13" x14ac:dyDescent="0.2">
      <c r="A103" s="116" t="s">
        <v>1150</v>
      </c>
      <c r="B103" s="116" t="s">
        <v>1168</v>
      </c>
      <c r="C103" s="117">
        <f>COUNTIF($D$3:D103, D103)</f>
        <v>12</v>
      </c>
      <c r="D103" s="117">
        <f>INDEX(PanelInstance!$B$2:$H$11, MATCH(Joined!$A103, PanelInstance!$B$2:$B$11, 0), MATCH(Joined!B103, PanelInstance!$B$1:$H$1, 0)+1)</f>
        <v>302</v>
      </c>
      <c r="E103" s="117" t="str">
        <f t="shared" si="12"/>
        <v>1030212</v>
      </c>
      <c r="F103" s="117">
        <f>IFERROR(VLOOKUP($G103, Sched!$A:$AA, 27, FALSE), "")</f>
        <v>15002</v>
      </c>
      <c r="G103" s="119" t="s">
        <v>133</v>
      </c>
      <c r="H103" s="116" t="str">
        <f t="shared" si="16"/>
        <v>ACC.RGC.VV-1-1-12</v>
      </c>
      <c r="I103" s="117" t="str">
        <f t="shared" si="14"/>
        <v>M-101B1</v>
      </c>
      <c r="K103" t="s">
        <v>275</v>
      </c>
      <c r="L103" t="s">
        <v>276</v>
      </c>
      <c r="M103">
        <v>1</v>
      </c>
    </row>
    <row r="104" spans="1:13" x14ac:dyDescent="0.2">
      <c r="A104" s="116" t="s">
        <v>1150</v>
      </c>
      <c r="B104" s="116" t="s">
        <v>1169</v>
      </c>
      <c r="C104" s="117">
        <f>COUNTIF($D$3:D104, D104)</f>
        <v>1</v>
      </c>
      <c r="D104" s="117">
        <f>INDEX(PanelInstance!$B$2:$H$11, MATCH(Joined!$A104, PanelInstance!$B$2:$B$11, 0), MATCH(Joined!B104, PanelInstance!$B$1:$H$1, 0)+1)</f>
        <v>352</v>
      </c>
      <c r="E104" s="117" t="str">
        <f t="shared" si="12"/>
        <v>1035201</v>
      </c>
      <c r="F104" s="117" t="str">
        <f>IFERROR(VLOOKUP($G104, Sched!$A:$AA, 27, FALSE), "")</f>
        <v/>
      </c>
      <c r="G104" s="120" t="s">
        <v>236</v>
      </c>
      <c r="H104" s="116" t="str">
        <f t="shared" si="16"/>
        <v>ACC.RGC.AFMS-1-1-SA-1</v>
      </c>
      <c r="I104" s="117" t="str">
        <f t="shared" si="14"/>
        <v>M-101B1</v>
      </c>
      <c r="K104" t="s">
        <v>275</v>
      </c>
      <c r="L104" t="s">
        <v>276</v>
      </c>
      <c r="M104">
        <v>1</v>
      </c>
    </row>
    <row r="105" spans="1:13" x14ac:dyDescent="0.2">
      <c r="A105" s="116" t="s">
        <v>1150</v>
      </c>
      <c r="B105" s="116" t="s">
        <v>1169</v>
      </c>
      <c r="C105" s="117">
        <f>COUNTIF($D$3:D105, D105)</f>
        <v>2</v>
      </c>
      <c r="D105" s="117">
        <f>INDEX(PanelInstance!$B$2:$H$11, MATCH(Joined!$A105, PanelInstance!$B$2:$B$11, 0), MATCH(Joined!B105, PanelInstance!$B$1:$H$1, 0)+1)</f>
        <v>352</v>
      </c>
      <c r="E105" s="117" t="str">
        <f t="shared" si="12"/>
        <v>1035202</v>
      </c>
      <c r="F105" s="117" t="str">
        <f>IFERROR(VLOOKUP($G105, Sched!$A:$AA, 27, FALSE), "")</f>
        <v/>
      </c>
      <c r="G105" s="119" t="s">
        <v>267</v>
      </c>
      <c r="H105" s="116" t="str">
        <f t="shared" si="16"/>
        <v>ACC.RGC.FCU-1-1</v>
      </c>
      <c r="I105" s="117" t="str">
        <f t="shared" si="14"/>
        <v>M-101B1</v>
      </c>
      <c r="K105" t="s">
        <v>275</v>
      </c>
      <c r="L105" t="s">
        <v>276</v>
      </c>
      <c r="M105">
        <v>1</v>
      </c>
    </row>
    <row r="106" spans="1:13" x14ac:dyDescent="0.2">
      <c r="A106" s="116" t="s">
        <v>1150</v>
      </c>
      <c r="B106" s="116" t="s">
        <v>1168</v>
      </c>
      <c r="C106" s="117">
        <f>COUNTIF($D$3:D106, D106)</f>
        <v>13</v>
      </c>
      <c r="D106" s="117">
        <f>INDEX(PanelInstance!$B$2:$H$11, MATCH(Joined!$A106, PanelInstance!$B$2:$B$11, 0), MATCH(Joined!B106, PanelInstance!$B$1:$H$1, 0)+1)</f>
        <v>302</v>
      </c>
      <c r="E106" s="117" t="str">
        <f t="shared" si="12"/>
        <v>1030213</v>
      </c>
      <c r="F106" s="117">
        <f>IFERROR(VLOOKUP($G106, Sched!$A:$AA, 27, FALSE), "")</f>
        <v>15201</v>
      </c>
      <c r="G106" s="118" t="s">
        <v>94</v>
      </c>
      <c r="H106" s="116" t="str">
        <f t="shared" si="16"/>
        <v>ACC.RGC.VV-3-1-01</v>
      </c>
      <c r="I106" s="117" t="str">
        <f t="shared" si="14"/>
        <v>M-101A1</v>
      </c>
      <c r="K106" t="s">
        <v>279</v>
      </c>
      <c r="L106" t="s">
        <v>16</v>
      </c>
      <c r="M106">
        <v>1</v>
      </c>
    </row>
    <row r="107" spans="1:13" x14ac:dyDescent="0.2">
      <c r="A107" s="116" t="s">
        <v>1150</v>
      </c>
      <c r="B107" s="116" t="s">
        <v>1168</v>
      </c>
      <c r="C107" s="117">
        <f>COUNTIF($D$3:D107, D107)</f>
        <v>14</v>
      </c>
      <c r="D107" s="117">
        <f>INDEX(PanelInstance!$B$2:$H$11, MATCH(Joined!$A107, PanelInstance!$B$2:$B$11, 0), MATCH(Joined!B107, PanelInstance!$B$1:$H$1, 0)+1)</f>
        <v>302</v>
      </c>
      <c r="E107" s="117" t="str">
        <f t="shared" si="12"/>
        <v>1030214</v>
      </c>
      <c r="F107" s="117">
        <f>IFERROR(VLOOKUP($G107, Sched!$A:$AA, 27, FALSE), "")</f>
        <v>15202</v>
      </c>
      <c r="G107" s="118" t="s">
        <v>95</v>
      </c>
      <c r="H107" s="116" t="str">
        <f t="shared" si="16"/>
        <v>ACC.RGC.VV-3-1-02</v>
      </c>
      <c r="I107" s="117" t="str">
        <f t="shared" si="14"/>
        <v>M-101A1</v>
      </c>
      <c r="K107" t="s">
        <v>279</v>
      </c>
      <c r="L107" t="s">
        <v>16</v>
      </c>
      <c r="M107">
        <v>1</v>
      </c>
    </row>
    <row r="108" spans="1:13" x14ac:dyDescent="0.2">
      <c r="A108" s="116" t="s">
        <v>1150</v>
      </c>
      <c r="B108" s="116" t="s">
        <v>1168</v>
      </c>
      <c r="C108" s="117">
        <f>COUNTIF($D$3:D108, D108)</f>
        <v>15</v>
      </c>
      <c r="D108" s="117">
        <f>INDEX(PanelInstance!$B$2:$H$11, MATCH(Joined!$A108, PanelInstance!$B$2:$B$11, 0), MATCH(Joined!B108, PanelInstance!$B$1:$H$1, 0)+1)</f>
        <v>302</v>
      </c>
      <c r="E108" s="117" t="str">
        <f t="shared" si="12"/>
        <v>1030215</v>
      </c>
      <c r="F108" s="117">
        <f>IFERROR(VLOOKUP($G108, Sched!$A:$AA, 27, FALSE), "")</f>
        <v>15201</v>
      </c>
      <c r="G108" s="118" t="s">
        <v>96</v>
      </c>
      <c r="H108" s="116" t="str">
        <f t="shared" si="16"/>
        <v>ACC.RGC.VV-3-1-03</v>
      </c>
      <c r="I108" s="117" t="str">
        <f t="shared" si="14"/>
        <v>M-101A1</v>
      </c>
      <c r="K108" t="s">
        <v>279</v>
      </c>
      <c r="L108" t="s">
        <v>16</v>
      </c>
      <c r="M108">
        <v>1</v>
      </c>
    </row>
    <row r="109" spans="1:13" x14ac:dyDescent="0.2">
      <c r="A109" s="116" t="s">
        <v>1150</v>
      </c>
      <c r="B109" s="116" t="s">
        <v>1168</v>
      </c>
      <c r="C109" s="117">
        <f>COUNTIF($D$3:D109, D109)</f>
        <v>16</v>
      </c>
      <c r="D109" s="117">
        <f>INDEX(PanelInstance!$B$2:$H$11, MATCH(Joined!$A109, PanelInstance!$B$2:$B$11, 0), MATCH(Joined!B109, PanelInstance!$B$1:$H$1, 0)+1)</f>
        <v>302</v>
      </c>
      <c r="E109" s="117" t="str">
        <f t="shared" si="12"/>
        <v>1030216</v>
      </c>
      <c r="F109" s="117">
        <f>IFERROR(VLOOKUP($G109, Sched!$A:$AA, 27, FALSE), "")</f>
        <v>15201</v>
      </c>
      <c r="G109" s="118" t="s">
        <v>97</v>
      </c>
      <c r="H109" s="116" t="str">
        <f t="shared" si="16"/>
        <v>ACC.RGC.VV-3-1-04</v>
      </c>
      <c r="I109" s="117" t="str">
        <f t="shared" si="14"/>
        <v>M-101A1</v>
      </c>
      <c r="K109" t="s">
        <v>279</v>
      </c>
      <c r="L109" t="s">
        <v>16</v>
      </c>
      <c r="M109">
        <v>1</v>
      </c>
    </row>
    <row r="110" spans="1:13" x14ac:dyDescent="0.2">
      <c r="A110" s="116" t="s">
        <v>1150</v>
      </c>
      <c r="B110" s="116" t="s">
        <v>1168</v>
      </c>
      <c r="C110" s="117">
        <f>COUNTIF($D$3:D110, D110)</f>
        <v>17</v>
      </c>
      <c r="D110" s="117">
        <f>INDEX(PanelInstance!$B$2:$H$11, MATCH(Joined!$A110, PanelInstance!$B$2:$B$11, 0), MATCH(Joined!B110, PanelInstance!$B$1:$H$1, 0)+1)</f>
        <v>302</v>
      </c>
      <c r="E110" s="117" t="str">
        <f t="shared" si="12"/>
        <v>1030217</v>
      </c>
      <c r="F110" s="117">
        <f>IFERROR(VLOOKUP($G110, Sched!$A:$AA, 27, FALSE), "")</f>
        <v>15201</v>
      </c>
      <c r="G110" s="118" t="s">
        <v>98</v>
      </c>
      <c r="H110" s="116" t="str">
        <f t="shared" si="16"/>
        <v>ACC.RGC.VV-3-1-05</v>
      </c>
      <c r="I110" s="117" t="str">
        <f t="shared" si="14"/>
        <v>M-101A1</v>
      </c>
      <c r="K110" t="s">
        <v>279</v>
      </c>
      <c r="L110" t="s">
        <v>16</v>
      </c>
      <c r="M110">
        <v>1</v>
      </c>
    </row>
    <row r="111" spans="1:13" x14ac:dyDescent="0.2">
      <c r="A111" s="116" t="s">
        <v>1150</v>
      </c>
      <c r="B111" s="116" t="s">
        <v>1168</v>
      </c>
      <c r="C111" s="117">
        <f>COUNTIF($D$3:D111, D111)</f>
        <v>18</v>
      </c>
      <c r="D111" s="117">
        <f>INDEX(PanelInstance!$B$2:$H$11, MATCH(Joined!$A111, PanelInstance!$B$2:$B$11, 0), MATCH(Joined!B111, PanelInstance!$B$1:$H$1, 0)+1)</f>
        <v>302</v>
      </c>
      <c r="E111" s="117" t="str">
        <f t="shared" si="12"/>
        <v>1030218</v>
      </c>
      <c r="F111" s="117">
        <f>IFERROR(VLOOKUP($G111, Sched!$A:$AA, 27, FALSE), "")</f>
        <v>15201</v>
      </c>
      <c r="G111" s="118" t="s">
        <v>105</v>
      </c>
      <c r="H111" s="116" t="str">
        <f t="shared" si="16"/>
        <v>ACC.RGC.VV-3-1-12</v>
      </c>
      <c r="I111" s="117" t="str">
        <f t="shared" si="14"/>
        <v>M-101A1</v>
      </c>
      <c r="K111" t="s">
        <v>279</v>
      </c>
      <c r="L111" t="s">
        <v>16</v>
      </c>
      <c r="M111">
        <v>1</v>
      </c>
    </row>
    <row r="112" spans="1:13" x14ac:dyDescent="0.2">
      <c r="A112" s="116" t="s">
        <v>1150</v>
      </c>
      <c r="B112" s="116" t="s">
        <v>1168</v>
      </c>
      <c r="C112" s="117">
        <f>COUNTIF($D$3:D112, D112)</f>
        <v>19</v>
      </c>
      <c r="D112" s="117">
        <f>INDEX(PanelInstance!$B$2:$H$11, MATCH(Joined!$A112, PanelInstance!$B$2:$B$11, 0), MATCH(Joined!B112, PanelInstance!$B$1:$H$1, 0)+1)</f>
        <v>302</v>
      </c>
      <c r="E112" s="117" t="str">
        <f t="shared" si="12"/>
        <v>1030219</v>
      </c>
      <c r="F112" s="117">
        <f>IFERROR(VLOOKUP($G112, Sched!$A:$AA, 27, FALSE), "")</f>
        <v>15201</v>
      </c>
      <c r="G112" s="118" t="s">
        <v>106</v>
      </c>
      <c r="H112" s="116" t="str">
        <f t="shared" si="16"/>
        <v>ACC.RGC.VV-3-1-13</v>
      </c>
      <c r="I112" s="117" t="str">
        <f t="shared" si="14"/>
        <v>M-101A1</v>
      </c>
      <c r="K112" t="s">
        <v>279</v>
      </c>
      <c r="L112" t="s">
        <v>16</v>
      </c>
      <c r="M112">
        <v>1</v>
      </c>
    </row>
    <row r="113" spans="1:13" x14ac:dyDescent="0.2">
      <c r="A113" s="116" t="s">
        <v>1150</v>
      </c>
      <c r="B113" s="116" t="s">
        <v>1168</v>
      </c>
      <c r="C113" s="117">
        <f>COUNTIF($D$3:D113, D113)</f>
        <v>20</v>
      </c>
      <c r="D113" s="117">
        <f>INDEX(PanelInstance!$B$2:$H$11, MATCH(Joined!$A113, PanelInstance!$B$2:$B$11, 0), MATCH(Joined!B113, PanelInstance!$B$1:$H$1, 0)+1)</f>
        <v>302</v>
      </c>
      <c r="E113" s="117" t="str">
        <f t="shared" si="12"/>
        <v>1030220</v>
      </c>
      <c r="F113" s="117">
        <f>IFERROR(VLOOKUP($G113, Sched!$A:$AA, 27, FALSE), "")</f>
        <v>15801</v>
      </c>
      <c r="G113" s="118" t="s">
        <v>43</v>
      </c>
      <c r="H113" s="116" t="str">
        <f t="shared" si="16"/>
        <v>ACC.RGC.VVE-3-1-01</v>
      </c>
      <c r="I113" s="117" t="str">
        <f t="shared" si="14"/>
        <v>M-101A1</v>
      </c>
      <c r="K113" t="s">
        <v>279</v>
      </c>
      <c r="L113" t="s">
        <v>16</v>
      </c>
      <c r="M113">
        <v>1</v>
      </c>
    </row>
    <row r="114" spans="1:13" x14ac:dyDescent="0.2">
      <c r="A114" s="116" t="s">
        <v>1150</v>
      </c>
      <c r="B114" s="116" t="s">
        <v>1168</v>
      </c>
      <c r="C114" s="117">
        <f>COUNTIF($D$3:D114, D114)</f>
        <v>21</v>
      </c>
      <c r="D114" s="117">
        <f>INDEX(PanelInstance!$B$2:$H$11, MATCH(Joined!$A114, PanelInstance!$B$2:$B$11, 0), MATCH(Joined!B114, PanelInstance!$B$1:$H$1, 0)+1)</f>
        <v>302</v>
      </c>
      <c r="E114" s="117" t="str">
        <f t="shared" si="12"/>
        <v>1030221</v>
      </c>
      <c r="F114" s="117">
        <f>IFERROR(VLOOKUP($G114, Sched!$A:$AA, 27, FALSE), "")</f>
        <v>15801</v>
      </c>
      <c r="G114" s="118" t="s">
        <v>120</v>
      </c>
      <c r="H114" s="116" t="str">
        <f t="shared" si="16"/>
        <v>ACC.RGC.VVE-3-1-02</v>
      </c>
      <c r="I114" s="117" t="str">
        <f t="shared" si="14"/>
        <v>M-101A1</v>
      </c>
      <c r="K114" t="s">
        <v>279</v>
      </c>
      <c r="L114" t="s">
        <v>16</v>
      </c>
      <c r="M114">
        <v>1</v>
      </c>
    </row>
    <row r="115" spans="1:13" x14ac:dyDescent="0.2">
      <c r="A115" s="116" t="s">
        <v>1150</v>
      </c>
      <c r="B115" s="116" t="s">
        <v>1168</v>
      </c>
      <c r="C115" s="117">
        <f>COUNTIF($D$3:D115, D115)</f>
        <v>22</v>
      </c>
      <c r="D115" s="117">
        <f>INDEX(PanelInstance!$B$2:$H$11, MATCH(Joined!$A115, PanelInstance!$B$2:$B$11, 0), MATCH(Joined!B115, PanelInstance!$B$1:$H$1, 0)+1)</f>
        <v>302</v>
      </c>
      <c r="E115" s="117" t="str">
        <f t="shared" si="12"/>
        <v>1030222</v>
      </c>
      <c r="F115" s="117">
        <f>IFERROR(VLOOKUP($G115, Sched!$A:$AA, 27, FALSE), "")</f>
        <v>15003</v>
      </c>
      <c r="G115" s="119" t="s">
        <v>122</v>
      </c>
      <c r="H115" s="116" t="str">
        <f t="shared" si="16"/>
        <v>ACC.RGC.VV-1-1-01</v>
      </c>
      <c r="I115" s="117" t="str">
        <f t="shared" si="14"/>
        <v>M-101A1</v>
      </c>
      <c r="K115" t="s">
        <v>279</v>
      </c>
      <c r="L115" t="s">
        <v>16</v>
      </c>
      <c r="M115">
        <v>1</v>
      </c>
    </row>
    <row r="116" spans="1:13" x14ac:dyDescent="0.2">
      <c r="A116" s="116" t="s">
        <v>1150</v>
      </c>
      <c r="B116" s="116" t="s">
        <v>1169</v>
      </c>
      <c r="C116" s="117">
        <f>COUNTIF($D$3:D116, D116)</f>
        <v>3</v>
      </c>
      <c r="D116" s="117">
        <f>INDEX(PanelInstance!$B$2:$H$11, MATCH(Joined!$A116, PanelInstance!$B$2:$B$11, 0), MATCH(Joined!B116, PanelInstance!$B$1:$H$1, 0)+1)</f>
        <v>352</v>
      </c>
      <c r="E116" s="117" t="str">
        <f t="shared" si="12"/>
        <v>1035203</v>
      </c>
      <c r="F116" s="117" t="str">
        <f>IFERROR(VLOOKUP($G116, Sched!$A:$AA, 27, FALSE), "")</f>
        <v/>
      </c>
      <c r="G116" s="119" t="s">
        <v>246</v>
      </c>
      <c r="H116" s="116" t="str">
        <f t="shared" si="16"/>
        <v>ACC.RGC.AFMS-3-1-EA-1</v>
      </c>
      <c r="I116" s="117" t="str">
        <f t="shared" si="14"/>
        <v>M-101A1</v>
      </c>
      <c r="K116" t="s">
        <v>279</v>
      </c>
      <c r="L116" t="s">
        <v>16</v>
      </c>
      <c r="M116">
        <v>1</v>
      </c>
    </row>
    <row r="117" spans="1:13" x14ac:dyDescent="0.2">
      <c r="A117" s="116" t="s">
        <v>1150</v>
      </c>
      <c r="B117" s="116" t="s">
        <v>1168</v>
      </c>
      <c r="C117" s="117">
        <f>COUNTIF($D$3:D117, D117)</f>
        <v>23</v>
      </c>
      <c r="D117" s="117">
        <f>INDEX(PanelInstance!$B$2:$H$11, MATCH(Joined!$A117, PanelInstance!$B$2:$B$11, 0), MATCH(Joined!B117, PanelInstance!$B$1:$H$1, 0)+1)</f>
        <v>302</v>
      </c>
      <c r="E117" s="117" t="str">
        <f t="shared" si="12"/>
        <v>1030223</v>
      </c>
      <c r="F117" s="117">
        <f>IFERROR(VLOOKUP($G117, Sched!$A:$AA, 27, FALSE), "")</f>
        <v>15201</v>
      </c>
      <c r="G117" s="118" t="s">
        <v>112</v>
      </c>
      <c r="H117" s="116" t="str">
        <f t="shared" si="16"/>
        <v>ACC.RGC.VV-4-1-06</v>
      </c>
      <c r="I117" s="117" t="str">
        <f t="shared" si="14"/>
        <v>M-101B2</v>
      </c>
      <c r="K117" t="s">
        <v>294</v>
      </c>
      <c r="L117" t="s">
        <v>281</v>
      </c>
      <c r="M117">
        <v>1</v>
      </c>
    </row>
    <row r="118" spans="1:13" x14ac:dyDescent="0.2">
      <c r="A118" s="116" t="s">
        <v>1150</v>
      </c>
      <c r="B118" s="116" t="s">
        <v>1168</v>
      </c>
      <c r="C118" s="117">
        <f>COUNTIF($D$3:D118, D118)</f>
        <v>24</v>
      </c>
      <c r="D118" s="117">
        <f>INDEX(PanelInstance!$B$2:$H$11, MATCH(Joined!$A118, PanelInstance!$B$2:$B$11, 0), MATCH(Joined!B118, PanelInstance!$B$1:$H$1, 0)+1)</f>
        <v>302</v>
      </c>
      <c r="E118" s="117" t="str">
        <f t="shared" si="12"/>
        <v>1030224</v>
      </c>
      <c r="F118" s="117">
        <f>IFERROR(VLOOKUP($G118, Sched!$A:$AA, 27, FALSE), "")</f>
        <v>15201</v>
      </c>
      <c r="G118" s="118" t="s">
        <v>113</v>
      </c>
      <c r="H118" s="116" t="str">
        <f t="shared" si="16"/>
        <v>ACC.RGC.VV-4-1-07</v>
      </c>
      <c r="I118" s="117" t="str">
        <f t="shared" si="14"/>
        <v>M-101B2</v>
      </c>
      <c r="K118" t="s">
        <v>294</v>
      </c>
      <c r="L118" t="s">
        <v>281</v>
      </c>
      <c r="M118">
        <v>1</v>
      </c>
    </row>
    <row r="119" spans="1:13" x14ac:dyDescent="0.2">
      <c r="A119" s="116" t="s">
        <v>1150</v>
      </c>
      <c r="B119" s="116" t="s">
        <v>1168</v>
      </c>
      <c r="C119" s="117">
        <f>COUNTIF($D$3:D119, D119)</f>
        <v>25</v>
      </c>
      <c r="D119" s="117">
        <f>INDEX(PanelInstance!$B$2:$H$11, MATCH(Joined!$A119, PanelInstance!$B$2:$B$11, 0), MATCH(Joined!B119, PanelInstance!$B$1:$H$1, 0)+1)</f>
        <v>302</v>
      </c>
      <c r="E119" s="117" t="str">
        <f t="shared" si="12"/>
        <v>1030225</v>
      </c>
      <c r="F119" s="117">
        <f>IFERROR(VLOOKUP($G119, Sched!$A:$AA, 27, FALSE), "")</f>
        <v>15201</v>
      </c>
      <c r="G119" s="118" t="s">
        <v>114</v>
      </c>
      <c r="H119" s="116" t="str">
        <f t="shared" si="16"/>
        <v>ACC.RGC.VV-4-1-08</v>
      </c>
      <c r="I119" s="117" t="str">
        <f t="shared" si="14"/>
        <v>M-101B2</v>
      </c>
      <c r="K119" t="s">
        <v>294</v>
      </c>
      <c r="L119" t="s">
        <v>281</v>
      </c>
      <c r="M119">
        <v>1</v>
      </c>
    </row>
    <row r="120" spans="1:13" x14ac:dyDescent="0.2">
      <c r="A120" s="116" t="s">
        <v>1150</v>
      </c>
      <c r="B120" s="116" t="s">
        <v>1168</v>
      </c>
      <c r="C120" s="117">
        <f>COUNTIF($D$3:D120, D120)</f>
        <v>26</v>
      </c>
      <c r="D120" s="117">
        <f>INDEX(PanelInstance!$B$2:$H$11, MATCH(Joined!$A120, PanelInstance!$B$2:$B$11, 0), MATCH(Joined!B120, PanelInstance!$B$1:$H$1, 0)+1)</f>
        <v>302</v>
      </c>
      <c r="E120" s="117" t="str">
        <f t="shared" si="12"/>
        <v>1030226</v>
      </c>
      <c r="F120" s="117">
        <f>IFERROR(VLOOKUP($G120, Sched!$A:$AA, 27, FALSE), "")</f>
        <v>15201</v>
      </c>
      <c r="G120" s="118" t="s">
        <v>115</v>
      </c>
      <c r="H120" s="116" t="str">
        <f t="shared" si="16"/>
        <v>ACC.RGC.VV-4-1-09</v>
      </c>
      <c r="I120" s="117" t="str">
        <f t="shared" si="14"/>
        <v>M-101B2</v>
      </c>
      <c r="K120" t="s">
        <v>294</v>
      </c>
      <c r="L120" t="s">
        <v>281</v>
      </c>
      <c r="M120">
        <v>1</v>
      </c>
    </row>
    <row r="121" spans="1:13" x14ac:dyDescent="0.2">
      <c r="A121" s="116" t="s">
        <v>1150</v>
      </c>
      <c r="B121" s="116" t="s">
        <v>1168</v>
      </c>
      <c r="C121" s="117">
        <f>COUNTIF($D$3:D121, D121)</f>
        <v>27</v>
      </c>
      <c r="D121" s="117">
        <f>INDEX(PanelInstance!$B$2:$H$11, MATCH(Joined!$A121, PanelInstance!$B$2:$B$11, 0), MATCH(Joined!B121, PanelInstance!$B$1:$H$1, 0)+1)</f>
        <v>302</v>
      </c>
      <c r="E121" s="117" t="str">
        <f t="shared" si="12"/>
        <v>1030227</v>
      </c>
      <c r="F121" s="117">
        <f>IFERROR(VLOOKUP($G121, Sched!$A:$AA, 27, FALSE), "")</f>
        <v>15201</v>
      </c>
      <c r="G121" s="118" t="s">
        <v>116</v>
      </c>
      <c r="H121" s="116" t="str">
        <f t="shared" si="16"/>
        <v>ACC.RGC.VV-4-1-10</v>
      </c>
      <c r="I121" s="117" t="str">
        <f t="shared" si="14"/>
        <v>M-101B2</v>
      </c>
      <c r="K121" t="s">
        <v>294</v>
      </c>
      <c r="L121" t="s">
        <v>281</v>
      </c>
      <c r="M121">
        <v>1</v>
      </c>
    </row>
    <row r="122" spans="1:13" x14ac:dyDescent="0.2">
      <c r="A122" s="116" t="s">
        <v>1150</v>
      </c>
      <c r="B122" s="116" t="s">
        <v>1168</v>
      </c>
      <c r="C122" s="117">
        <f>COUNTIF($D$3:D122, D122)</f>
        <v>28</v>
      </c>
      <c r="D122" s="117">
        <f>INDEX(PanelInstance!$B$2:$H$11, MATCH(Joined!$A122, PanelInstance!$B$2:$B$11, 0), MATCH(Joined!B122, PanelInstance!$B$1:$H$1, 0)+1)</f>
        <v>302</v>
      </c>
      <c r="E122" s="117" t="str">
        <f t="shared" si="12"/>
        <v>1030228</v>
      </c>
      <c r="F122" s="117">
        <f>IFERROR(VLOOKUP($G122, Sched!$A:$AA, 27, FALSE), "")</f>
        <v>15201</v>
      </c>
      <c r="G122" s="118" t="s">
        <v>117</v>
      </c>
      <c r="H122" s="116" t="str">
        <f t="shared" si="16"/>
        <v>ACC.RGC.VV-4-1-11</v>
      </c>
      <c r="I122" s="117" t="str">
        <f t="shared" si="14"/>
        <v>M-101B2</v>
      </c>
      <c r="K122" t="s">
        <v>294</v>
      </c>
      <c r="L122" t="s">
        <v>281</v>
      </c>
      <c r="M122">
        <v>1</v>
      </c>
    </row>
    <row r="123" spans="1:13" x14ac:dyDescent="0.2">
      <c r="A123" s="116" t="s">
        <v>1150</v>
      </c>
      <c r="B123" s="116" t="s">
        <v>1168</v>
      </c>
      <c r="C123" s="117">
        <f>COUNTIF($D$3:D123, D123)</f>
        <v>29</v>
      </c>
      <c r="D123" s="117">
        <f>INDEX(PanelInstance!$B$2:$H$11, MATCH(Joined!$A123, PanelInstance!$B$2:$B$11, 0), MATCH(Joined!B123, PanelInstance!$B$1:$H$1, 0)+1)</f>
        <v>302</v>
      </c>
      <c r="E123" s="117" t="str">
        <f t="shared" si="12"/>
        <v>1030229</v>
      </c>
      <c r="F123" s="117">
        <f>IFERROR(VLOOKUP($G123, Sched!$A:$AA, 27, FALSE), "")</f>
        <v>15201</v>
      </c>
      <c r="G123" s="118" t="s">
        <v>118</v>
      </c>
      <c r="H123" s="116" t="str">
        <f t="shared" si="16"/>
        <v>ACC.RGC.VV-4-1-12</v>
      </c>
      <c r="I123" s="117" t="str">
        <f t="shared" si="14"/>
        <v>M-101B2</v>
      </c>
      <c r="K123" t="s">
        <v>294</v>
      </c>
      <c r="L123" t="s">
        <v>281</v>
      </c>
      <c r="M123">
        <v>1</v>
      </c>
    </row>
    <row r="124" spans="1:13" x14ac:dyDescent="0.2">
      <c r="A124" s="116" t="s">
        <v>1150</v>
      </c>
      <c r="B124" s="116" t="s">
        <v>1168</v>
      </c>
      <c r="C124" s="117">
        <f>COUNTIF($D$3:D124, D124)</f>
        <v>30</v>
      </c>
      <c r="D124" s="117">
        <f>INDEX(PanelInstance!$B$2:$H$11, MATCH(Joined!$A124, PanelInstance!$B$2:$B$11, 0), MATCH(Joined!B124, PanelInstance!$B$1:$H$1, 0)+1)</f>
        <v>302</v>
      </c>
      <c r="E124" s="117" t="str">
        <f t="shared" si="12"/>
        <v>1030230</v>
      </c>
      <c r="F124" s="117">
        <f>IFERROR(VLOOKUP($G124, Sched!$A:$AA, 27, FALSE), "")</f>
        <v>15002</v>
      </c>
      <c r="G124" s="119" t="s">
        <v>124</v>
      </c>
      <c r="H124" s="116" t="str">
        <f t="shared" si="16"/>
        <v>ACC.RGC.VV-1-1-03</v>
      </c>
      <c r="I124" s="117" t="str">
        <f t="shared" si="14"/>
        <v>M-101B2</v>
      </c>
      <c r="K124" t="s">
        <v>294</v>
      </c>
      <c r="L124" t="s">
        <v>281</v>
      </c>
      <c r="M124">
        <v>1</v>
      </c>
    </row>
    <row r="125" spans="1:13" x14ac:dyDescent="0.2">
      <c r="A125" s="116" t="s">
        <v>1150</v>
      </c>
      <c r="B125" s="116" t="s">
        <v>1168</v>
      </c>
      <c r="C125" s="117">
        <f>COUNTIF($D$3:D125, D125)</f>
        <v>31</v>
      </c>
      <c r="D125" s="117">
        <f>INDEX(PanelInstance!$B$2:$H$11, MATCH(Joined!$A125, PanelInstance!$B$2:$B$11, 0), MATCH(Joined!B125, PanelInstance!$B$1:$H$1, 0)+1)</f>
        <v>302</v>
      </c>
      <c r="E125" s="117" t="str">
        <f t="shared" si="12"/>
        <v>1030231</v>
      </c>
      <c r="F125" s="117">
        <f>IFERROR(VLOOKUP($G125, Sched!$A:$AA, 27, FALSE), "")</f>
        <v>15002</v>
      </c>
      <c r="G125" s="119" t="s">
        <v>126</v>
      </c>
      <c r="H125" s="116" t="str">
        <f t="shared" si="16"/>
        <v>ACC.RGC.VV-1-1-05</v>
      </c>
      <c r="I125" s="117" t="str">
        <f t="shared" si="14"/>
        <v>M-101B2</v>
      </c>
      <c r="K125" t="s">
        <v>294</v>
      </c>
      <c r="L125" t="s">
        <v>281</v>
      </c>
      <c r="M125">
        <v>1</v>
      </c>
    </row>
    <row r="126" spans="1:13" x14ac:dyDescent="0.2">
      <c r="A126" s="116" t="s">
        <v>1150</v>
      </c>
      <c r="B126" s="116" t="s">
        <v>1168</v>
      </c>
      <c r="C126" s="117">
        <f>COUNTIF($D$3:D126, D126)</f>
        <v>32</v>
      </c>
      <c r="D126" s="117">
        <f>INDEX(PanelInstance!$B$2:$H$11, MATCH(Joined!$A126, PanelInstance!$B$2:$B$11, 0), MATCH(Joined!B126, PanelInstance!$B$1:$H$1, 0)+1)</f>
        <v>302</v>
      </c>
      <c r="E126" s="117" t="str">
        <f t="shared" si="12"/>
        <v>1030232</v>
      </c>
      <c r="F126" s="117">
        <f>IFERROR(VLOOKUP($G126, Sched!$A:$AA, 27, FALSE), "")</f>
        <v>15001</v>
      </c>
      <c r="G126" s="119" t="s">
        <v>127</v>
      </c>
      <c r="H126" s="116" t="str">
        <f t="shared" si="16"/>
        <v>ACC.RGC.VV-1-1-06</v>
      </c>
      <c r="I126" s="117" t="str">
        <f t="shared" si="14"/>
        <v>M-101B2</v>
      </c>
      <c r="K126" t="s">
        <v>294</v>
      </c>
      <c r="L126" t="s">
        <v>281</v>
      </c>
      <c r="M126">
        <v>1</v>
      </c>
    </row>
    <row r="127" spans="1:13" x14ac:dyDescent="0.2">
      <c r="A127" s="116" t="s">
        <v>1150</v>
      </c>
      <c r="B127" s="116" t="s">
        <v>1168</v>
      </c>
      <c r="C127" s="117">
        <f>COUNTIF($D$3:D127, D127)</f>
        <v>33</v>
      </c>
      <c r="D127" s="117">
        <f>INDEX(PanelInstance!$B$2:$H$11, MATCH(Joined!$A127, PanelInstance!$B$2:$B$11, 0), MATCH(Joined!B127, PanelInstance!$B$1:$H$1, 0)+1)</f>
        <v>302</v>
      </c>
      <c r="E127" s="117" t="str">
        <f t="shared" si="12"/>
        <v>1030233</v>
      </c>
      <c r="F127" s="117">
        <f>IFERROR(VLOOKUP($G127, Sched!$A:$AA, 27, FALSE), "")</f>
        <v>15003</v>
      </c>
      <c r="G127" s="119" t="s">
        <v>132</v>
      </c>
      <c r="H127" s="116" t="str">
        <f t="shared" si="16"/>
        <v>ACC.RGC.VV-1-1-11</v>
      </c>
      <c r="I127" s="117" t="str">
        <f t="shared" si="14"/>
        <v>M-101B2</v>
      </c>
      <c r="K127" t="s">
        <v>294</v>
      </c>
      <c r="L127" t="s">
        <v>281</v>
      </c>
      <c r="M127">
        <v>1</v>
      </c>
    </row>
    <row r="128" spans="1:13" x14ac:dyDescent="0.2">
      <c r="A128" s="116" t="s">
        <v>1150</v>
      </c>
      <c r="B128" s="116" t="s">
        <v>1168</v>
      </c>
      <c r="C128" s="117">
        <f>COUNTIF($D$3:D128, D128)</f>
        <v>34</v>
      </c>
      <c r="D128" s="117">
        <f>INDEX(PanelInstance!$B$2:$H$11, MATCH(Joined!$A128, PanelInstance!$B$2:$B$11, 0), MATCH(Joined!B128, PanelInstance!$B$1:$H$1, 0)+1)</f>
        <v>302</v>
      </c>
      <c r="E128" s="117" t="str">
        <f t="shared" si="12"/>
        <v>1030234</v>
      </c>
      <c r="F128" s="117">
        <f>IFERROR(VLOOKUP($G128, Sched!$A:$AA, 27, FALSE), "")</f>
        <v>15201</v>
      </c>
      <c r="G128" s="118" t="s">
        <v>107</v>
      </c>
      <c r="H128" s="116" t="str">
        <f t="shared" si="16"/>
        <v>ACC.RGC.VV-4-1-01</v>
      </c>
      <c r="I128" s="117" t="str">
        <f t="shared" si="14"/>
        <v>M-101A2</v>
      </c>
      <c r="K128" t="s">
        <v>277</v>
      </c>
      <c r="L128" t="s">
        <v>278</v>
      </c>
      <c r="M128">
        <v>1</v>
      </c>
    </row>
    <row r="129" spans="1:13" x14ac:dyDescent="0.2">
      <c r="A129" s="116" t="s">
        <v>1150</v>
      </c>
      <c r="B129" s="116" t="s">
        <v>1168</v>
      </c>
      <c r="C129" s="117">
        <f>COUNTIF($D$3:D129, D129)</f>
        <v>35</v>
      </c>
      <c r="D129" s="117">
        <f>INDEX(PanelInstance!$B$2:$H$11, MATCH(Joined!$A129, PanelInstance!$B$2:$B$11, 0), MATCH(Joined!B129, PanelInstance!$B$1:$H$1, 0)+1)</f>
        <v>302</v>
      </c>
      <c r="E129" s="117" t="str">
        <f t="shared" si="12"/>
        <v>1030235</v>
      </c>
      <c r="F129" s="117">
        <f>IFERROR(VLOOKUP($G129, Sched!$A:$AA, 27, FALSE), "")</f>
        <v>15202</v>
      </c>
      <c r="G129" s="118" t="s">
        <v>108</v>
      </c>
      <c r="H129" s="116" t="str">
        <f t="shared" si="16"/>
        <v>ACC.RGC.VV-4-1-02</v>
      </c>
      <c r="I129" s="117" t="str">
        <f t="shared" si="14"/>
        <v>M-101A2</v>
      </c>
      <c r="K129" t="s">
        <v>277</v>
      </c>
      <c r="L129" t="s">
        <v>278</v>
      </c>
      <c r="M129">
        <v>1</v>
      </c>
    </row>
    <row r="130" spans="1:13" x14ac:dyDescent="0.2">
      <c r="A130" s="116" t="s">
        <v>1150</v>
      </c>
      <c r="B130" s="116" t="s">
        <v>1168</v>
      </c>
      <c r="C130" s="117">
        <f>COUNTIF($D$3:D130, D130)</f>
        <v>36</v>
      </c>
      <c r="D130" s="117">
        <f>INDEX(PanelInstance!$B$2:$H$11, MATCH(Joined!$A130, PanelInstance!$B$2:$B$11, 0), MATCH(Joined!B130, PanelInstance!$B$1:$H$1, 0)+1)</f>
        <v>302</v>
      </c>
      <c r="E130" s="117" t="str">
        <f t="shared" si="12"/>
        <v>1030236</v>
      </c>
      <c r="F130" s="117">
        <f>IFERROR(VLOOKUP($G130, Sched!$A:$AA, 27, FALSE), "")</f>
        <v>15201</v>
      </c>
      <c r="G130" s="118" t="s">
        <v>109</v>
      </c>
      <c r="H130" s="116" t="str">
        <f t="shared" si="16"/>
        <v>ACC.RGC.VV-4-1-03</v>
      </c>
      <c r="I130" s="117" t="str">
        <f t="shared" si="14"/>
        <v>M-101A2</v>
      </c>
      <c r="K130" t="s">
        <v>277</v>
      </c>
      <c r="L130" t="s">
        <v>278</v>
      </c>
      <c r="M130">
        <v>1</v>
      </c>
    </row>
    <row r="131" spans="1:13" x14ac:dyDescent="0.2">
      <c r="A131" s="116" t="s">
        <v>1150</v>
      </c>
      <c r="B131" s="116" t="s">
        <v>1168</v>
      </c>
      <c r="C131" s="117">
        <f>COUNTIF($D$3:D131, D131)</f>
        <v>37</v>
      </c>
      <c r="D131" s="117">
        <f>INDEX(PanelInstance!$B$2:$H$11, MATCH(Joined!$A131, PanelInstance!$B$2:$B$11, 0), MATCH(Joined!B131, PanelInstance!$B$1:$H$1, 0)+1)</f>
        <v>302</v>
      </c>
      <c r="E131" s="117" t="str">
        <f t="shared" si="12"/>
        <v>1030237</v>
      </c>
      <c r="F131" s="117">
        <f>IFERROR(VLOOKUP($G131, Sched!$A:$AA, 27, FALSE), "")</f>
        <v>15201</v>
      </c>
      <c r="G131" s="118" t="s">
        <v>110</v>
      </c>
      <c r="H131" s="116" t="str">
        <f t="shared" si="16"/>
        <v>ACC.RGC.VV-4-1-04</v>
      </c>
      <c r="I131" s="117" t="str">
        <f t="shared" si="14"/>
        <v>M-101A2</v>
      </c>
      <c r="K131" t="s">
        <v>277</v>
      </c>
      <c r="L131" t="s">
        <v>278</v>
      </c>
      <c r="M131">
        <v>1</v>
      </c>
    </row>
    <row r="132" spans="1:13" x14ac:dyDescent="0.2">
      <c r="A132" s="116" t="s">
        <v>1150</v>
      </c>
      <c r="B132" s="116" t="s">
        <v>1168</v>
      </c>
      <c r="C132" s="117">
        <f>COUNTIF($D$3:D132, D132)</f>
        <v>38</v>
      </c>
      <c r="D132" s="117">
        <f>INDEX(PanelInstance!$B$2:$H$11, MATCH(Joined!$A132, PanelInstance!$B$2:$B$11, 0), MATCH(Joined!B132, PanelInstance!$B$1:$H$1, 0)+1)</f>
        <v>302</v>
      </c>
      <c r="E132" s="117" t="str">
        <f t="shared" ref="E132:E195" si="17">10 &amp; D132 &amp; IF(LEN(C132) = 1, "0" &amp; C132, C132)</f>
        <v>1030238</v>
      </c>
      <c r="F132" s="117">
        <f>IFERROR(VLOOKUP($G132, Sched!$A:$AA, 27, FALSE), "")</f>
        <v>15201</v>
      </c>
      <c r="G132" s="118" t="s">
        <v>111</v>
      </c>
      <c r="H132" s="116" t="str">
        <f t="shared" si="16"/>
        <v>ACC.RGC.VV-4-1-05</v>
      </c>
      <c r="I132" s="117" t="str">
        <f t="shared" ref="I132:I195" si="18">K132</f>
        <v>M-101A2</v>
      </c>
      <c r="K132" t="s">
        <v>277</v>
      </c>
      <c r="L132" t="s">
        <v>278</v>
      </c>
      <c r="M132">
        <v>1</v>
      </c>
    </row>
    <row r="133" spans="1:13" x14ac:dyDescent="0.2">
      <c r="A133" s="116" t="s">
        <v>1150</v>
      </c>
      <c r="B133" s="116" t="s">
        <v>1168</v>
      </c>
      <c r="C133" s="117">
        <f>COUNTIF($D$3:D133, D133)</f>
        <v>39</v>
      </c>
      <c r="D133" s="117">
        <f>INDEX(PanelInstance!$B$2:$H$11, MATCH(Joined!$A133, PanelInstance!$B$2:$B$11, 0), MATCH(Joined!B133, PanelInstance!$B$1:$H$1, 0)+1)</f>
        <v>302</v>
      </c>
      <c r="E133" s="117" t="str">
        <f t="shared" si="17"/>
        <v>1030239</v>
      </c>
      <c r="F133" s="117">
        <f>IFERROR(VLOOKUP($G133, Sched!$A:$AA, 27, FALSE), "")</f>
        <v>15201</v>
      </c>
      <c r="G133" s="118" t="s">
        <v>119</v>
      </c>
      <c r="H133" s="116" t="str">
        <f t="shared" si="16"/>
        <v>ACC.RGC.VV-4-1-13</v>
      </c>
      <c r="I133" s="117" t="str">
        <f t="shared" si="18"/>
        <v>M-101A2</v>
      </c>
      <c r="K133" t="s">
        <v>277</v>
      </c>
      <c r="L133" t="s">
        <v>278</v>
      </c>
      <c r="M133">
        <v>1</v>
      </c>
    </row>
    <row r="134" spans="1:13" x14ac:dyDescent="0.2">
      <c r="A134" s="116" t="s">
        <v>1150</v>
      </c>
      <c r="B134" s="116" t="s">
        <v>1168</v>
      </c>
      <c r="C134" s="117">
        <f>COUNTIF($D$3:D134, D134)</f>
        <v>40</v>
      </c>
      <c r="D134" s="117">
        <f>INDEX(PanelInstance!$B$2:$H$11, MATCH(Joined!$A134, PanelInstance!$B$2:$B$11, 0), MATCH(Joined!B134, PanelInstance!$B$1:$H$1, 0)+1)</f>
        <v>302</v>
      </c>
      <c r="E134" s="117" t="str">
        <f t="shared" si="17"/>
        <v>1030240</v>
      </c>
      <c r="F134" s="117">
        <f>IFERROR(VLOOKUP($G134, Sched!$A:$AA, 27, FALSE), "")</f>
        <v>15801</v>
      </c>
      <c r="G134" s="118" t="s">
        <v>121</v>
      </c>
      <c r="H134" s="116" t="str">
        <f t="shared" si="16"/>
        <v>ACC.RGC.VVE-4-1-01</v>
      </c>
      <c r="I134" s="117" t="str">
        <f t="shared" si="18"/>
        <v>M-101A2</v>
      </c>
      <c r="K134" t="s">
        <v>277</v>
      </c>
      <c r="L134" t="s">
        <v>278</v>
      </c>
      <c r="M134">
        <v>1</v>
      </c>
    </row>
    <row r="135" spans="1:13" x14ac:dyDescent="0.2">
      <c r="A135" s="116" t="s">
        <v>1150</v>
      </c>
      <c r="B135" s="116" t="s">
        <v>1168</v>
      </c>
      <c r="C135" s="117">
        <f>COUNTIF($D$3:D135, D135)</f>
        <v>41</v>
      </c>
      <c r="D135" s="117">
        <f>INDEX(PanelInstance!$B$2:$H$11, MATCH(Joined!$A135, PanelInstance!$B$2:$B$11, 0), MATCH(Joined!B135, PanelInstance!$B$1:$H$1, 0)+1)</f>
        <v>302</v>
      </c>
      <c r="E135" s="117" t="str">
        <f t="shared" si="17"/>
        <v>1030241</v>
      </c>
      <c r="F135" s="117">
        <f>IFERROR(VLOOKUP($G135, Sched!$A:$AA, 27, FALSE), "")</f>
        <v>15003</v>
      </c>
      <c r="G135" s="119" t="s">
        <v>128</v>
      </c>
      <c r="H135" s="116" t="str">
        <f t="shared" si="16"/>
        <v>ACC.RGC.VV-1-1-07</v>
      </c>
      <c r="I135" s="117" t="str">
        <f t="shared" si="18"/>
        <v>M-101A2</v>
      </c>
      <c r="K135" t="s">
        <v>277</v>
      </c>
      <c r="L135" t="s">
        <v>278</v>
      </c>
      <c r="M135">
        <v>1</v>
      </c>
    </row>
    <row r="136" spans="1:13" x14ac:dyDescent="0.2">
      <c r="A136" s="116" t="s">
        <v>1150</v>
      </c>
      <c r="B136" s="116" t="s">
        <v>1169</v>
      </c>
      <c r="C136" s="117">
        <f>COUNTIF($D$3:D136, D136)</f>
        <v>4</v>
      </c>
      <c r="D136" s="117">
        <f>INDEX(PanelInstance!$B$2:$H$11, MATCH(Joined!$A136, PanelInstance!$B$2:$B$11, 0), MATCH(Joined!B136, PanelInstance!$B$1:$H$1, 0)+1)</f>
        <v>352</v>
      </c>
      <c r="E136" s="117" t="str">
        <f t="shared" si="17"/>
        <v>1035204</v>
      </c>
      <c r="F136" s="117" t="str">
        <f>IFERROR(VLOOKUP($G136, Sched!$A:$AA, 27, FALSE), "")</f>
        <v/>
      </c>
      <c r="G136" s="119" t="s">
        <v>252</v>
      </c>
      <c r="H136" s="116" t="str">
        <f t="shared" si="16"/>
        <v>ACC.RGC.AFMS-4-1-EA-1</v>
      </c>
      <c r="I136" s="117" t="str">
        <f t="shared" si="18"/>
        <v>M-101A2</v>
      </c>
      <c r="K136" t="s">
        <v>277</v>
      </c>
      <c r="L136" t="s">
        <v>278</v>
      </c>
      <c r="M136">
        <v>1</v>
      </c>
    </row>
    <row r="137" spans="1:13" x14ac:dyDescent="0.2">
      <c r="A137" s="116" t="s">
        <v>1150</v>
      </c>
      <c r="B137" s="116" t="s">
        <v>1169</v>
      </c>
      <c r="C137" s="117">
        <f>COUNTIF($D$3:D137, D137)</f>
        <v>5</v>
      </c>
      <c r="D137" s="117">
        <f>INDEX(PanelInstance!$B$2:$H$11, MATCH(Joined!$A137, PanelInstance!$B$2:$B$11, 0), MATCH(Joined!B137, PanelInstance!$B$1:$H$1, 0)+1)</f>
        <v>352</v>
      </c>
      <c r="E137" s="117" t="str">
        <f t="shared" si="17"/>
        <v>1035205</v>
      </c>
      <c r="F137" s="117" t="str">
        <f>IFERROR(VLOOKUP($G137, Sched!$A:$AA, 27, FALSE), "")</f>
        <v/>
      </c>
      <c r="G137" s="119" t="s">
        <v>268</v>
      </c>
      <c r="H137" s="116" t="str">
        <f t="shared" si="16"/>
        <v>ACC.RGC.FCU-1-2</v>
      </c>
      <c r="I137" s="117" t="str">
        <f t="shared" si="18"/>
        <v>M-101A2</v>
      </c>
      <c r="K137" t="s">
        <v>277</v>
      </c>
      <c r="L137" t="s">
        <v>278</v>
      </c>
      <c r="M137">
        <v>1</v>
      </c>
    </row>
    <row r="138" spans="1:13" x14ac:dyDescent="0.2">
      <c r="A138" s="116" t="s">
        <v>1152</v>
      </c>
      <c r="B138" s="116" t="s">
        <v>1168</v>
      </c>
      <c r="C138" s="117">
        <f>COUNTIF($D$3:D138, D138)</f>
        <v>1</v>
      </c>
      <c r="D138" s="117">
        <f>INDEX(PanelInstance!$B$2:$H$11, MATCH(Joined!$A138, PanelInstance!$B$2:$B$11, 0), MATCH(Joined!B138, PanelInstance!$B$1:$H$1, 0)+1)</f>
        <v>304</v>
      </c>
      <c r="E138" s="117" t="str">
        <f t="shared" si="17"/>
        <v>1030401</v>
      </c>
      <c r="F138" s="117">
        <f>IFERROR(VLOOKUP($G138, Sched!$A:$AA, 27, FALSE), "")</f>
        <v>15201</v>
      </c>
      <c r="G138" s="118" t="s">
        <v>138</v>
      </c>
      <c r="H138" s="116" t="str">
        <f xml:space="preserve"> "ACC.RGC." &amp; G138</f>
        <v>ACC.RGC.VV-3-2-05</v>
      </c>
      <c r="I138" s="117" t="str">
        <f t="shared" si="18"/>
        <v>M-102B1</v>
      </c>
      <c r="K138" t="s">
        <v>284</v>
      </c>
      <c r="L138" t="s">
        <v>276</v>
      </c>
      <c r="M138">
        <v>2</v>
      </c>
    </row>
    <row r="139" spans="1:13" x14ac:dyDescent="0.2">
      <c r="A139" s="116" t="s">
        <v>1152</v>
      </c>
      <c r="B139" s="116" t="s">
        <v>1168</v>
      </c>
      <c r="C139" s="117">
        <f>COUNTIF($D$3:D139, D139)</f>
        <v>2</v>
      </c>
      <c r="D139" s="117">
        <f>INDEX(PanelInstance!$B$2:$H$11, MATCH(Joined!$A139, PanelInstance!$B$2:$B$11, 0), MATCH(Joined!B139, PanelInstance!$B$1:$H$1, 0)+1)</f>
        <v>304</v>
      </c>
      <c r="E139" s="117" t="str">
        <f t="shared" si="17"/>
        <v>1030402</v>
      </c>
      <c r="F139" s="117">
        <f>IFERROR(VLOOKUP($G139, Sched!$A:$AA, 27, FALSE), "")</f>
        <v>15201</v>
      </c>
      <c r="G139" s="118" t="s">
        <v>139</v>
      </c>
      <c r="H139" s="116" t="str">
        <f t="shared" ref="H139:H202" si="19" xml:space="preserve"> "ACC.RGC." &amp; G139</f>
        <v>ACC.RGC.VV-3-2-06</v>
      </c>
      <c r="I139" s="117" t="str">
        <f t="shared" si="18"/>
        <v>M-102B1</v>
      </c>
      <c r="K139" t="s">
        <v>284</v>
      </c>
      <c r="L139" t="s">
        <v>276</v>
      </c>
      <c r="M139">
        <v>2</v>
      </c>
    </row>
    <row r="140" spans="1:13" x14ac:dyDescent="0.2">
      <c r="A140" s="116" t="s">
        <v>1152</v>
      </c>
      <c r="B140" s="116" t="s">
        <v>1168</v>
      </c>
      <c r="C140" s="117">
        <f>COUNTIF($D$3:D140, D140)</f>
        <v>3</v>
      </c>
      <c r="D140" s="117">
        <f>INDEX(PanelInstance!$B$2:$H$11, MATCH(Joined!$A140, PanelInstance!$B$2:$B$11, 0), MATCH(Joined!B140, PanelInstance!$B$1:$H$1, 0)+1)</f>
        <v>304</v>
      </c>
      <c r="E140" s="117" t="str">
        <f t="shared" si="17"/>
        <v>1030403</v>
      </c>
      <c r="F140" s="117">
        <f>IFERROR(VLOOKUP($G140, Sched!$A:$AA, 27, FALSE), "")</f>
        <v>15201</v>
      </c>
      <c r="G140" s="118" t="s">
        <v>140</v>
      </c>
      <c r="H140" s="116" t="str">
        <f t="shared" si="19"/>
        <v>ACC.RGC.VV-3-2-07</v>
      </c>
      <c r="I140" s="117" t="str">
        <f t="shared" si="18"/>
        <v>M-102B1</v>
      </c>
      <c r="K140" t="s">
        <v>284</v>
      </c>
      <c r="L140" t="s">
        <v>276</v>
      </c>
      <c r="M140">
        <v>2</v>
      </c>
    </row>
    <row r="141" spans="1:13" x14ac:dyDescent="0.2">
      <c r="A141" s="116" t="s">
        <v>1152</v>
      </c>
      <c r="B141" s="116" t="s">
        <v>1168</v>
      </c>
      <c r="C141" s="117">
        <f>COUNTIF($D$3:D141, D141)</f>
        <v>4</v>
      </c>
      <c r="D141" s="117">
        <f>INDEX(PanelInstance!$B$2:$H$11, MATCH(Joined!$A141, PanelInstance!$B$2:$B$11, 0), MATCH(Joined!B141, PanelInstance!$B$1:$H$1, 0)+1)</f>
        <v>304</v>
      </c>
      <c r="E141" s="117" t="str">
        <f t="shared" si="17"/>
        <v>1030404</v>
      </c>
      <c r="F141" s="117">
        <f>IFERROR(VLOOKUP($G141, Sched!$A:$AA, 27, FALSE), "")</f>
        <v>15201</v>
      </c>
      <c r="G141" s="118" t="s">
        <v>141</v>
      </c>
      <c r="H141" s="116" t="str">
        <f t="shared" si="19"/>
        <v>ACC.RGC.VV-3-2-08</v>
      </c>
      <c r="I141" s="117" t="str">
        <f t="shared" si="18"/>
        <v>M-102B1</v>
      </c>
      <c r="K141" t="s">
        <v>284</v>
      </c>
      <c r="L141" t="s">
        <v>276</v>
      </c>
      <c r="M141">
        <v>2</v>
      </c>
    </row>
    <row r="142" spans="1:13" x14ac:dyDescent="0.2">
      <c r="A142" s="116" t="s">
        <v>1152</v>
      </c>
      <c r="B142" s="116" t="s">
        <v>1168</v>
      </c>
      <c r="C142" s="117">
        <f>COUNTIF($D$3:D142, D142)</f>
        <v>5</v>
      </c>
      <c r="D142" s="117">
        <f>INDEX(PanelInstance!$B$2:$H$11, MATCH(Joined!$A142, PanelInstance!$B$2:$B$11, 0), MATCH(Joined!B142, PanelInstance!$B$1:$H$1, 0)+1)</f>
        <v>304</v>
      </c>
      <c r="E142" s="117" t="str">
        <f t="shared" si="17"/>
        <v>1030405</v>
      </c>
      <c r="F142" s="117">
        <f>IFERROR(VLOOKUP($G142, Sched!$A:$AA, 27, FALSE), "")</f>
        <v>15201</v>
      </c>
      <c r="G142" s="118" t="s">
        <v>142</v>
      </c>
      <c r="H142" s="116" t="str">
        <f t="shared" si="19"/>
        <v>ACC.RGC.VV-3-2-09</v>
      </c>
      <c r="I142" s="117" t="str">
        <f t="shared" si="18"/>
        <v>M-102B1</v>
      </c>
      <c r="K142" t="s">
        <v>284</v>
      </c>
      <c r="L142" t="s">
        <v>276</v>
      </c>
      <c r="M142">
        <v>2</v>
      </c>
    </row>
    <row r="143" spans="1:13" x14ac:dyDescent="0.2">
      <c r="A143" s="116" t="s">
        <v>1152</v>
      </c>
      <c r="B143" s="116" t="s">
        <v>1168</v>
      </c>
      <c r="C143" s="117">
        <f>COUNTIF($D$3:D143, D143)</f>
        <v>6</v>
      </c>
      <c r="D143" s="117">
        <f>INDEX(PanelInstance!$B$2:$H$11, MATCH(Joined!$A143, PanelInstance!$B$2:$B$11, 0), MATCH(Joined!B143, PanelInstance!$B$1:$H$1, 0)+1)</f>
        <v>304</v>
      </c>
      <c r="E143" s="117" t="str">
        <f t="shared" si="17"/>
        <v>1030406</v>
      </c>
      <c r="F143" s="117">
        <f>IFERROR(VLOOKUP($G143, Sched!$A:$AA, 27, FALSE), "")</f>
        <v>15201</v>
      </c>
      <c r="G143" s="118" t="s">
        <v>143</v>
      </c>
      <c r="H143" s="116" t="str">
        <f t="shared" si="19"/>
        <v>ACC.RGC.VV-3-2-10</v>
      </c>
      <c r="I143" s="117" t="str">
        <f t="shared" si="18"/>
        <v>M-102B1</v>
      </c>
      <c r="K143" t="s">
        <v>284</v>
      </c>
      <c r="L143" t="s">
        <v>276</v>
      </c>
      <c r="M143">
        <v>2</v>
      </c>
    </row>
    <row r="144" spans="1:13" x14ac:dyDescent="0.2">
      <c r="A144" s="116" t="s">
        <v>1152</v>
      </c>
      <c r="B144" s="116" t="s">
        <v>1168</v>
      </c>
      <c r="C144" s="117">
        <f>COUNTIF($D$3:D144, D144)</f>
        <v>7</v>
      </c>
      <c r="D144" s="117">
        <f>INDEX(PanelInstance!$B$2:$H$11, MATCH(Joined!$A144, PanelInstance!$B$2:$B$11, 0), MATCH(Joined!B144, PanelInstance!$B$1:$H$1, 0)+1)</f>
        <v>304</v>
      </c>
      <c r="E144" s="117" t="str">
        <f t="shared" si="17"/>
        <v>1030407</v>
      </c>
      <c r="F144" s="117">
        <f>IFERROR(VLOOKUP($G144, Sched!$A:$AA, 27, FALSE), "")</f>
        <v>15201</v>
      </c>
      <c r="G144" s="118" t="s">
        <v>144</v>
      </c>
      <c r="H144" s="116" t="str">
        <f t="shared" si="19"/>
        <v>ACC.RGC.VV-3-2-11</v>
      </c>
      <c r="I144" s="117" t="str">
        <f t="shared" si="18"/>
        <v>M-102B1</v>
      </c>
      <c r="K144" t="s">
        <v>284</v>
      </c>
      <c r="L144" t="s">
        <v>276</v>
      </c>
      <c r="M144">
        <v>2</v>
      </c>
    </row>
    <row r="145" spans="1:13" x14ac:dyDescent="0.2">
      <c r="A145" s="116" t="s">
        <v>1152</v>
      </c>
      <c r="B145" s="116" t="s">
        <v>1168</v>
      </c>
      <c r="C145" s="117">
        <f>COUNTIF($D$3:D145, D145)</f>
        <v>8</v>
      </c>
      <c r="D145" s="117">
        <f>INDEX(PanelInstance!$B$2:$H$11, MATCH(Joined!$A145, PanelInstance!$B$2:$B$11, 0), MATCH(Joined!B145, PanelInstance!$B$1:$H$1, 0)+1)</f>
        <v>304</v>
      </c>
      <c r="E145" s="117" t="str">
        <f t="shared" si="17"/>
        <v>1030408</v>
      </c>
      <c r="F145" s="117">
        <f>IFERROR(VLOOKUP($G145, Sched!$A:$AA, 27, FALSE), "")</f>
        <v>15201</v>
      </c>
      <c r="G145" s="118" t="s">
        <v>145</v>
      </c>
      <c r="H145" s="116" t="str">
        <f t="shared" si="19"/>
        <v>ACC.RGC.VV-3-2-12</v>
      </c>
      <c r="I145" s="117" t="str">
        <f t="shared" si="18"/>
        <v>M-102B1</v>
      </c>
      <c r="K145" t="s">
        <v>284</v>
      </c>
      <c r="L145" t="s">
        <v>276</v>
      </c>
      <c r="M145">
        <v>2</v>
      </c>
    </row>
    <row r="146" spans="1:13" x14ac:dyDescent="0.2">
      <c r="A146" s="116" t="s">
        <v>1152</v>
      </c>
      <c r="B146" s="116" t="s">
        <v>1168</v>
      </c>
      <c r="C146" s="117">
        <f>COUNTIF($D$3:D146, D146)</f>
        <v>9</v>
      </c>
      <c r="D146" s="117">
        <f>INDEX(PanelInstance!$B$2:$H$11, MATCH(Joined!$A146, PanelInstance!$B$2:$B$11, 0), MATCH(Joined!B146, PanelInstance!$B$1:$H$1, 0)+1)</f>
        <v>304</v>
      </c>
      <c r="E146" s="117" t="str">
        <f t="shared" si="17"/>
        <v>1030409</v>
      </c>
      <c r="F146" s="117">
        <f>IFERROR(VLOOKUP($G146, Sched!$A:$AA, 27, FALSE), "")</f>
        <v>15201</v>
      </c>
      <c r="G146" s="118" t="s">
        <v>146</v>
      </c>
      <c r="H146" s="116" t="str">
        <f t="shared" si="19"/>
        <v>ACC.RGC.VV-3-2-13</v>
      </c>
      <c r="I146" s="117" t="str">
        <f t="shared" si="18"/>
        <v>M-102B1</v>
      </c>
      <c r="K146" t="s">
        <v>284</v>
      </c>
      <c r="L146" t="s">
        <v>276</v>
      </c>
      <c r="M146">
        <v>2</v>
      </c>
    </row>
    <row r="147" spans="1:13" x14ac:dyDescent="0.2">
      <c r="A147" s="116" t="s">
        <v>1152</v>
      </c>
      <c r="B147" s="116" t="s">
        <v>1168</v>
      </c>
      <c r="C147" s="117">
        <f>COUNTIF($D$3:D147, D147)</f>
        <v>10</v>
      </c>
      <c r="D147" s="117">
        <f>INDEX(PanelInstance!$B$2:$H$11, MATCH(Joined!$A147, PanelInstance!$B$2:$B$11, 0), MATCH(Joined!B147, PanelInstance!$B$1:$H$1, 0)+1)</f>
        <v>304</v>
      </c>
      <c r="E147" s="117" t="str">
        <f t="shared" si="17"/>
        <v>1030410</v>
      </c>
      <c r="F147" s="117">
        <f>IFERROR(VLOOKUP($G147, Sched!$A:$AA, 27, FALSE), "")</f>
        <v>15201</v>
      </c>
      <c r="G147" s="118" t="s">
        <v>148</v>
      </c>
      <c r="H147" s="116" t="str">
        <f t="shared" si="19"/>
        <v>ACC.RGC.VV-3-2-15</v>
      </c>
      <c r="I147" s="117" t="str">
        <f t="shared" si="18"/>
        <v>M-102B1</v>
      </c>
      <c r="K147" t="s">
        <v>284</v>
      </c>
      <c r="L147" t="s">
        <v>276</v>
      </c>
      <c r="M147">
        <v>2</v>
      </c>
    </row>
    <row r="148" spans="1:13" x14ac:dyDescent="0.2">
      <c r="A148" s="116" t="s">
        <v>1152</v>
      </c>
      <c r="B148" s="116" t="s">
        <v>1168</v>
      </c>
      <c r="C148" s="117">
        <f>COUNTIF($D$3:D148, D148)</f>
        <v>11</v>
      </c>
      <c r="D148" s="117">
        <f>INDEX(PanelInstance!$B$2:$H$11, MATCH(Joined!$A148, PanelInstance!$B$2:$B$11, 0), MATCH(Joined!B148, PanelInstance!$B$1:$H$1, 0)+1)</f>
        <v>304</v>
      </c>
      <c r="E148" s="117" t="str">
        <f t="shared" si="17"/>
        <v>1030411</v>
      </c>
      <c r="F148" s="117">
        <f>IFERROR(VLOOKUP($G148, Sched!$A:$AA, 27, FALSE), "")</f>
        <v>15201</v>
      </c>
      <c r="G148" s="118" t="s">
        <v>149</v>
      </c>
      <c r="H148" s="116" t="str">
        <f t="shared" si="19"/>
        <v>ACC.RGC.VV-3-2-16</v>
      </c>
      <c r="I148" s="117" t="str">
        <f t="shared" si="18"/>
        <v>M-102B1</v>
      </c>
      <c r="K148" t="s">
        <v>284</v>
      </c>
      <c r="L148" t="s">
        <v>276</v>
      </c>
      <c r="M148">
        <v>2</v>
      </c>
    </row>
    <row r="149" spans="1:13" x14ac:dyDescent="0.2">
      <c r="A149" s="116" t="s">
        <v>1152</v>
      </c>
      <c r="B149" s="116" t="s">
        <v>1168</v>
      </c>
      <c r="C149" s="117">
        <f>COUNTIF($D$3:D149, D149)</f>
        <v>12</v>
      </c>
      <c r="D149" s="117">
        <f>INDEX(PanelInstance!$B$2:$H$11, MATCH(Joined!$A149, PanelInstance!$B$2:$B$11, 0), MATCH(Joined!B149, PanelInstance!$B$1:$H$1, 0)+1)</f>
        <v>304</v>
      </c>
      <c r="E149" s="117" t="str">
        <f t="shared" si="17"/>
        <v>1030412</v>
      </c>
      <c r="F149" s="117">
        <f>IFERROR(VLOOKUP($G149, Sched!$A:$AA, 27, FALSE), "")</f>
        <v>15201</v>
      </c>
      <c r="G149" s="118" t="s">
        <v>150</v>
      </c>
      <c r="H149" s="116" t="str">
        <f t="shared" si="19"/>
        <v>ACC.RGC.VV-3-2-17</v>
      </c>
      <c r="I149" s="117" t="str">
        <f t="shared" si="18"/>
        <v>M-102B1</v>
      </c>
      <c r="K149" t="s">
        <v>284</v>
      </c>
      <c r="L149" t="s">
        <v>276</v>
      </c>
      <c r="M149">
        <v>2</v>
      </c>
    </row>
    <row r="150" spans="1:13" x14ac:dyDescent="0.2">
      <c r="A150" s="116" t="s">
        <v>1152</v>
      </c>
      <c r="B150" s="116" t="s">
        <v>1168</v>
      </c>
      <c r="C150" s="117">
        <f>COUNTIF($D$3:D150, D150)</f>
        <v>13</v>
      </c>
      <c r="D150" s="117">
        <f>INDEX(PanelInstance!$B$2:$H$11, MATCH(Joined!$A150, PanelInstance!$B$2:$B$11, 0), MATCH(Joined!B150, PanelInstance!$B$1:$H$1, 0)+1)</f>
        <v>304</v>
      </c>
      <c r="E150" s="117" t="str">
        <f t="shared" si="17"/>
        <v>1030413</v>
      </c>
      <c r="F150" s="117">
        <f>IFERROR(VLOOKUP($G150, Sched!$A:$AA, 27, FALSE), "")</f>
        <v>15201</v>
      </c>
      <c r="G150" s="118" t="s">
        <v>151</v>
      </c>
      <c r="H150" s="116" t="str">
        <f t="shared" si="19"/>
        <v>ACC.RGC.VV-3-2-18</v>
      </c>
      <c r="I150" s="117" t="str">
        <f t="shared" si="18"/>
        <v>M-102B1</v>
      </c>
      <c r="K150" t="s">
        <v>284</v>
      </c>
      <c r="L150" t="s">
        <v>276</v>
      </c>
      <c r="M150">
        <v>2</v>
      </c>
    </row>
    <row r="151" spans="1:13" x14ac:dyDescent="0.2">
      <c r="A151" s="116" t="s">
        <v>1152</v>
      </c>
      <c r="B151" s="116" t="s">
        <v>1168</v>
      </c>
      <c r="C151" s="117">
        <f>COUNTIF($D$3:D151, D151)</f>
        <v>14</v>
      </c>
      <c r="D151" s="117">
        <f>INDEX(PanelInstance!$B$2:$H$11, MATCH(Joined!$A151, PanelInstance!$B$2:$B$11, 0), MATCH(Joined!B151, PanelInstance!$B$1:$H$1, 0)+1)</f>
        <v>304</v>
      </c>
      <c r="E151" s="117" t="str">
        <f t="shared" si="17"/>
        <v>1030414</v>
      </c>
      <c r="F151" s="117">
        <f>IFERROR(VLOOKUP($G151, Sched!$A:$AA, 27, FALSE), "")</f>
        <v>15201</v>
      </c>
      <c r="G151" s="118" t="s">
        <v>152</v>
      </c>
      <c r="H151" s="116" t="str">
        <f t="shared" si="19"/>
        <v>ACC.RGC.VV-3-2-19</v>
      </c>
      <c r="I151" s="117" t="str">
        <f t="shared" si="18"/>
        <v>M-102B1</v>
      </c>
      <c r="K151" t="s">
        <v>284</v>
      </c>
      <c r="L151" t="s">
        <v>276</v>
      </c>
      <c r="M151">
        <v>2</v>
      </c>
    </row>
    <row r="152" spans="1:13" x14ac:dyDescent="0.2">
      <c r="A152" s="116" t="s">
        <v>1152</v>
      </c>
      <c r="B152" s="116" t="s">
        <v>1168</v>
      </c>
      <c r="C152" s="117">
        <f>COUNTIF($D$3:D152, D152)</f>
        <v>15</v>
      </c>
      <c r="D152" s="117">
        <f>INDEX(PanelInstance!$B$2:$H$11, MATCH(Joined!$A152, PanelInstance!$B$2:$B$11, 0), MATCH(Joined!B152, PanelInstance!$B$1:$H$1, 0)+1)</f>
        <v>304</v>
      </c>
      <c r="E152" s="117" t="str">
        <f t="shared" si="17"/>
        <v>1030415</v>
      </c>
      <c r="F152" s="117">
        <f>IFERROR(VLOOKUP($G152, Sched!$A:$AA, 27, FALSE), "")</f>
        <v>15003</v>
      </c>
      <c r="G152" s="119" t="s">
        <v>180</v>
      </c>
      <c r="H152" s="116" t="str">
        <f t="shared" si="19"/>
        <v>ACC.RGC.VV-2-2-10</v>
      </c>
      <c r="I152" s="117" t="str">
        <f t="shared" si="18"/>
        <v>M-102B1</v>
      </c>
      <c r="K152" t="s">
        <v>284</v>
      </c>
      <c r="L152" t="s">
        <v>276</v>
      </c>
      <c r="M152">
        <v>2</v>
      </c>
    </row>
    <row r="153" spans="1:13" x14ac:dyDescent="0.2">
      <c r="A153" s="116" t="s">
        <v>1152</v>
      </c>
      <c r="B153" s="116" t="s">
        <v>1169</v>
      </c>
      <c r="C153" s="117">
        <f>COUNTIF($D$3:D153, D153)</f>
        <v>1</v>
      </c>
      <c r="D153" s="117">
        <f>INDEX(PanelInstance!$B$2:$H$11, MATCH(Joined!$A153, PanelInstance!$B$2:$B$11, 0), MATCH(Joined!B153, PanelInstance!$B$1:$H$1, 0)+1)</f>
        <v>354</v>
      </c>
      <c r="E153" s="117" t="str">
        <f t="shared" si="17"/>
        <v>1035401</v>
      </c>
      <c r="F153" s="117" t="str">
        <f>IFERROR(VLOOKUP($G153, Sched!$A:$AA, 27, FALSE), "")</f>
        <v/>
      </c>
      <c r="G153" s="119" t="s">
        <v>269</v>
      </c>
      <c r="H153" s="116" t="str">
        <f t="shared" si="19"/>
        <v>ACC.RGC.FCU-2-1</v>
      </c>
      <c r="I153" s="117" t="str">
        <f t="shared" si="18"/>
        <v>M-102B1</v>
      </c>
      <c r="K153" t="s">
        <v>284</v>
      </c>
      <c r="L153" t="s">
        <v>276</v>
      </c>
      <c r="M153">
        <v>2</v>
      </c>
    </row>
    <row r="154" spans="1:13" x14ac:dyDescent="0.2">
      <c r="A154" s="116" t="s">
        <v>1152</v>
      </c>
      <c r="B154" s="116" t="s">
        <v>1168</v>
      </c>
      <c r="C154" s="117">
        <f>COUNTIF($D$3:D154, D154)</f>
        <v>16</v>
      </c>
      <c r="D154" s="117">
        <f>INDEX(PanelInstance!$B$2:$H$11, MATCH(Joined!$A154, PanelInstance!$B$2:$B$11, 0), MATCH(Joined!B154, PanelInstance!$B$1:$H$1, 0)+1)</f>
        <v>304</v>
      </c>
      <c r="E154" s="117" t="str">
        <f t="shared" si="17"/>
        <v>1030416</v>
      </c>
      <c r="F154" s="117">
        <f>IFERROR(VLOOKUP($G154, Sched!$A:$AA, 27, FALSE), "")</f>
        <v>15201</v>
      </c>
      <c r="G154" s="118" t="s">
        <v>134</v>
      </c>
      <c r="H154" s="116" t="str">
        <f t="shared" si="19"/>
        <v>ACC.RGC.VV-3-2-01</v>
      </c>
      <c r="I154" s="117" t="str">
        <f t="shared" si="18"/>
        <v>M-102A1</v>
      </c>
      <c r="K154" t="s">
        <v>282</v>
      </c>
      <c r="L154" t="s">
        <v>16</v>
      </c>
      <c r="M154">
        <v>2</v>
      </c>
    </row>
    <row r="155" spans="1:13" x14ac:dyDescent="0.2">
      <c r="A155" s="116" t="s">
        <v>1152</v>
      </c>
      <c r="B155" s="116" t="s">
        <v>1168</v>
      </c>
      <c r="C155" s="117">
        <f>COUNTIF($D$3:D155, D155)</f>
        <v>17</v>
      </c>
      <c r="D155" s="117">
        <f>INDEX(PanelInstance!$B$2:$H$11, MATCH(Joined!$A155, PanelInstance!$B$2:$B$11, 0), MATCH(Joined!B155, PanelInstance!$B$1:$H$1, 0)+1)</f>
        <v>304</v>
      </c>
      <c r="E155" s="117" t="str">
        <f t="shared" si="17"/>
        <v>1030417</v>
      </c>
      <c r="F155" s="117">
        <f>IFERROR(VLOOKUP($G155, Sched!$A:$AA, 27, FALSE), "")</f>
        <v>15201</v>
      </c>
      <c r="G155" s="118" t="s">
        <v>135</v>
      </c>
      <c r="H155" s="116" t="str">
        <f t="shared" si="19"/>
        <v>ACC.RGC.VV-3-2-02</v>
      </c>
      <c r="I155" s="117" t="str">
        <f t="shared" si="18"/>
        <v>M-102A1</v>
      </c>
      <c r="K155" t="s">
        <v>282</v>
      </c>
      <c r="L155" t="s">
        <v>16</v>
      </c>
      <c r="M155">
        <v>2</v>
      </c>
    </row>
    <row r="156" spans="1:13" x14ac:dyDescent="0.2">
      <c r="A156" s="116" t="s">
        <v>1152</v>
      </c>
      <c r="B156" s="116" t="s">
        <v>1168</v>
      </c>
      <c r="C156" s="117">
        <f>COUNTIF($D$3:D156, D156)</f>
        <v>18</v>
      </c>
      <c r="D156" s="117">
        <f>INDEX(PanelInstance!$B$2:$H$11, MATCH(Joined!$A156, PanelInstance!$B$2:$B$11, 0), MATCH(Joined!B156, PanelInstance!$B$1:$H$1, 0)+1)</f>
        <v>304</v>
      </c>
      <c r="E156" s="117" t="str">
        <f t="shared" si="17"/>
        <v>1030418</v>
      </c>
      <c r="F156" s="117">
        <f>IFERROR(VLOOKUP($G156, Sched!$A:$AA, 27, FALSE), "")</f>
        <v>15201</v>
      </c>
      <c r="G156" s="118" t="s">
        <v>136</v>
      </c>
      <c r="H156" s="116" t="str">
        <f t="shared" si="19"/>
        <v>ACC.RGC.VV-3-2-03</v>
      </c>
      <c r="I156" s="117" t="str">
        <f t="shared" si="18"/>
        <v>M-102A1</v>
      </c>
      <c r="K156" t="s">
        <v>282</v>
      </c>
      <c r="L156" t="s">
        <v>16</v>
      </c>
      <c r="M156">
        <v>2</v>
      </c>
    </row>
    <row r="157" spans="1:13" x14ac:dyDescent="0.2">
      <c r="A157" s="116" t="s">
        <v>1152</v>
      </c>
      <c r="B157" s="116" t="s">
        <v>1168</v>
      </c>
      <c r="C157" s="117">
        <f>COUNTIF($D$3:D157, D157)</f>
        <v>19</v>
      </c>
      <c r="D157" s="117">
        <f>INDEX(PanelInstance!$B$2:$H$11, MATCH(Joined!$A157, PanelInstance!$B$2:$B$11, 0), MATCH(Joined!B157, PanelInstance!$B$1:$H$1, 0)+1)</f>
        <v>304</v>
      </c>
      <c r="E157" s="117" t="str">
        <f t="shared" si="17"/>
        <v>1030419</v>
      </c>
      <c r="F157" s="117">
        <f>IFERROR(VLOOKUP($G157, Sched!$A:$AA, 27, FALSE), "")</f>
        <v>15201</v>
      </c>
      <c r="G157" s="118" t="s">
        <v>137</v>
      </c>
      <c r="H157" s="116" t="str">
        <f t="shared" si="19"/>
        <v>ACC.RGC.VV-3-2-04</v>
      </c>
      <c r="I157" s="117" t="str">
        <f t="shared" si="18"/>
        <v>M-102A1</v>
      </c>
      <c r="K157" t="s">
        <v>282</v>
      </c>
      <c r="L157" t="s">
        <v>16</v>
      </c>
      <c r="M157">
        <v>2</v>
      </c>
    </row>
    <row r="158" spans="1:13" x14ac:dyDescent="0.2">
      <c r="A158" s="116" t="s">
        <v>1152</v>
      </c>
      <c r="B158" s="116" t="s">
        <v>1168</v>
      </c>
      <c r="C158" s="117">
        <f>COUNTIF($D$3:D158, D158)</f>
        <v>20</v>
      </c>
      <c r="D158" s="117">
        <f>INDEX(PanelInstance!$B$2:$H$11, MATCH(Joined!$A158, PanelInstance!$B$2:$B$11, 0), MATCH(Joined!B158, PanelInstance!$B$1:$H$1, 0)+1)</f>
        <v>304</v>
      </c>
      <c r="E158" s="117" t="str">
        <f t="shared" si="17"/>
        <v>1030420</v>
      </c>
      <c r="F158" s="117">
        <f>IFERROR(VLOOKUP($G158, Sched!$A:$AA, 27, FALSE), "")</f>
        <v>15201</v>
      </c>
      <c r="G158" s="118" t="s">
        <v>147</v>
      </c>
      <c r="H158" s="116" t="str">
        <f t="shared" si="19"/>
        <v>ACC.RGC.VV-3-2-14</v>
      </c>
      <c r="I158" s="117" t="str">
        <f t="shared" si="18"/>
        <v>M-102A1</v>
      </c>
      <c r="K158" t="s">
        <v>282</v>
      </c>
      <c r="L158" t="s">
        <v>16</v>
      </c>
      <c r="M158">
        <v>2</v>
      </c>
    </row>
    <row r="159" spans="1:13" x14ac:dyDescent="0.2">
      <c r="A159" s="116" t="s">
        <v>1152</v>
      </c>
      <c r="B159" s="116" t="s">
        <v>1168</v>
      </c>
      <c r="C159" s="117">
        <f>COUNTIF($D$3:D159, D159)</f>
        <v>21</v>
      </c>
      <c r="D159" s="117">
        <f>INDEX(PanelInstance!$B$2:$H$11, MATCH(Joined!$A159, PanelInstance!$B$2:$B$11, 0), MATCH(Joined!B159, PanelInstance!$B$1:$H$1, 0)+1)</f>
        <v>304</v>
      </c>
      <c r="E159" s="117" t="str">
        <f t="shared" si="17"/>
        <v>1030421</v>
      </c>
      <c r="F159" s="117">
        <f>IFERROR(VLOOKUP($G159, Sched!$A:$AA, 27, FALSE), "")</f>
        <v>15801</v>
      </c>
      <c r="G159" s="118" t="s">
        <v>169</v>
      </c>
      <c r="H159" s="116" t="str">
        <f t="shared" si="19"/>
        <v>ACC.RGC.VVE-3-2-01</v>
      </c>
      <c r="I159" s="117" t="str">
        <f t="shared" si="18"/>
        <v>M-102A1</v>
      </c>
      <c r="K159" t="s">
        <v>282</v>
      </c>
      <c r="L159" t="s">
        <v>16</v>
      </c>
      <c r="M159">
        <v>2</v>
      </c>
    </row>
    <row r="160" spans="1:13" x14ac:dyDescent="0.2">
      <c r="A160" s="116" t="s">
        <v>1152</v>
      </c>
      <c r="B160" s="116" t="s">
        <v>1168</v>
      </c>
      <c r="C160" s="117">
        <f>COUNTIF($D$3:D160, D160)</f>
        <v>22</v>
      </c>
      <c r="D160" s="117">
        <f>INDEX(PanelInstance!$B$2:$H$11, MATCH(Joined!$A160, PanelInstance!$B$2:$B$11, 0), MATCH(Joined!B160, PanelInstance!$B$1:$H$1, 0)+1)</f>
        <v>304</v>
      </c>
      <c r="E160" s="117" t="str">
        <f t="shared" si="17"/>
        <v>1030422</v>
      </c>
      <c r="F160" s="117">
        <f>IFERROR(VLOOKUP($G160, Sched!$A:$AA, 27, FALSE), "")</f>
        <v>15003</v>
      </c>
      <c r="G160" s="119" t="s">
        <v>176</v>
      </c>
      <c r="H160" s="116" t="str">
        <f t="shared" si="19"/>
        <v>ACC.RGC.VV-2-2-06</v>
      </c>
      <c r="I160" s="117" t="str">
        <f t="shared" si="18"/>
        <v>M-102A1</v>
      </c>
      <c r="K160" t="s">
        <v>282</v>
      </c>
      <c r="L160" t="s">
        <v>16</v>
      </c>
      <c r="M160">
        <v>2</v>
      </c>
    </row>
    <row r="161" spans="1:13" x14ac:dyDescent="0.2">
      <c r="A161" s="116" t="s">
        <v>1152</v>
      </c>
      <c r="B161" s="116" t="s">
        <v>1168</v>
      </c>
      <c r="C161" s="117">
        <f>COUNTIF($D$3:D161, D161)</f>
        <v>23</v>
      </c>
      <c r="D161" s="117">
        <f>INDEX(PanelInstance!$B$2:$H$11, MATCH(Joined!$A161, PanelInstance!$B$2:$B$11, 0), MATCH(Joined!B161, PanelInstance!$B$1:$H$1, 0)+1)</f>
        <v>304</v>
      </c>
      <c r="E161" s="117" t="str">
        <f t="shared" si="17"/>
        <v>1030423</v>
      </c>
      <c r="F161" s="117">
        <f>IFERROR(VLOOKUP($G161, Sched!$A:$AA, 27, FALSE), "")</f>
        <v>15001</v>
      </c>
      <c r="G161" s="119" t="s">
        <v>177</v>
      </c>
      <c r="H161" s="116" t="str">
        <f t="shared" si="19"/>
        <v>ACC.RGC.VV-2-2-07</v>
      </c>
      <c r="I161" s="117" t="str">
        <f t="shared" si="18"/>
        <v>M-102A1</v>
      </c>
      <c r="K161" t="s">
        <v>282</v>
      </c>
      <c r="L161" t="s">
        <v>16</v>
      </c>
      <c r="M161">
        <v>2</v>
      </c>
    </row>
    <row r="162" spans="1:13" x14ac:dyDescent="0.2">
      <c r="A162" s="116" t="s">
        <v>1152</v>
      </c>
      <c r="B162" s="116" t="s">
        <v>1168</v>
      </c>
      <c r="C162" s="117">
        <f>COUNTIF($D$3:D162, D162)</f>
        <v>24</v>
      </c>
      <c r="D162" s="117">
        <f>INDEX(PanelInstance!$B$2:$H$11, MATCH(Joined!$A162, PanelInstance!$B$2:$B$11, 0), MATCH(Joined!B162, PanelInstance!$B$1:$H$1, 0)+1)</f>
        <v>304</v>
      </c>
      <c r="E162" s="117" t="str">
        <f t="shared" si="17"/>
        <v>1030424</v>
      </c>
      <c r="F162" s="117">
        <f>IFERROR(VLOOKUP($G162, Sched!$A:$AA, 27, FALSE), "")</f>
        <v>15201</v>
      </c>
      <c r="G162" s="118" t="s">
        <v>153</v>
      </c>
      <c r="H162" s="116" t="str">
        <f t="shared" si="19"/>
        <v>ACC.RGC.VV-3-2-20</v>
      </c>
      <c r="I162" s="117" t="str">
        <f t="shared" si="18"/>
        <v>M-202A</v>
      </c>
      <c r="K162" t="s">
        <v>296</v>
      </c>
      <c r="L162" t="s">
        <v>16</v>
      </c>
      <c r="M162">
        <v>2</v>
      </c>
    </row>
    <row r="163" spans="1:13" x14ac:dyDescent="0.2">
      <c r="A163" s="116" t="s">
        <v>1152</v>
      </c>
      <c r="B163" s="116" t="s">
        <v>1169</v>
      </c>
      <c r="C163" s="117">
        <f>COUNTIF($D$3:D163, D163)</f>
        <v>2</v>
      </c>
      <c r="D163" s="117">
        <f>INDEX(PanelInstance!$B$2:$H$11, MATCH(Joined!$A163, PanelInstance!$B$2:$B$11, 0), MATCH(Joined!B163, PanelInstance!$B$1:$H$1, 0)+1)</f>
        <v>354</v>
      </c>
      <c r="E163" s="117" t="str">
        <f t="shared" si="17"/>
        <v>1035402</v>
      </c>
      <c r="F163" s="117" t="str">
        <f>IFERROR(VLOOKUP($G163, Sched!$A:$AA, 27, FALSE), "")</f>
        <v/>
      </c>
      <c r="G163" s="119" t="s">
        <v>247</v>
      </c>
      <c r="H163" s="116" t="str">
        <f t="shared" si="19"/>
        <v>ACC.RGC.AFMS-3-2-EA-1</v>
      </c>
      <c r="I163" s="117" t="str">
        <f t="shared" si="18"/>
        <v>M-102A1</v>
      </c>
      <c r="K163" t="s">
        <v>282</v>
      </c>
      <c r="L163" t="s">
        <v>16</v>
      </c>
      <c r="M163">
        <v>2</v>
      </c>
    </row>
    <row r="164" spans="1:13" x14ac:dyDescent="0.2">
      <c r="A164" s="116" t="s">
        <v>1152</v>
      </c>
      <c r="B164" s="116" t="s">
        <v>1168</v>
      </c>
      <c r="C164" s="117">
        <f>COUNTIF($D$3:D164, D164)</f>
        <v>25</v>
      </c>
      <c r="D164" s="117">
        <f>INDEX(PanelInstance!$B$2:$H$11, MATCH(Joined!$A164, PanelInstance!$B$2:$B$11, 0), MATCH(Joined!B164, PanelInstance!$B$1:$H$1, 0)+1)</f>
        <v>304</v>
      </c>
      <c r="E164" s="117" t="str">
        <f t="shared" si="17"/>
        <v>1030425</v>
      </c>
      <c r="F164" s="117">
        <f>IFERROR(VLOOKUP($G164, Sched!$A:$AA, 27, FALSE), "")</f>
        <v>15201</v>
      </c>
      <c r="G164" s="118" t="s">
        <v>157</v>
      </c>
      <c r="H164" s="116" t="str">
        <f t="shared" si="19"/>
        <v>ACC.RGC.VV-4-2-04</v>
      </c>
      <c r="I164" s="117" t="str">
        <f t="shared" si="18"/>
        <v>M-102B2</v>
      </c>
      <c r="K164" t="s">
        <v>280</v>
      </c>
      <c r="L164" t="s">
        <v>281</v>
      </c>
      <c r="M164">
        <v>2</v>
      </c>
    </row>
    <row r="165" spans="1:13" x14ac:dyDescent="0.2">
      <c r="A165" s="116" t="s">
        <v>1152</v>
      </c>
      <c r="B165" s="116" t="s">
        <v>1168</v>
      </c>
      <c r="C165" s="117">
        <f>COUNTIF($D$3:D165, D165)</f>
        <v>26</v>
      </c>
      <c r="D165" s="117">
        <f>INDEX(PanelInstance!$B$2:$H$11, MATCH(Joined!$A165, PanelInstance!$B$2:$B$11, 0), MATCH(Joined!B165, PanelInstance!$B$1:$H$1, 0)+1)</f>
        <v>304</v>
      </c>
      <c r="E165" s="117" t="str">
        <f t="shared" si="17"/>
        <v>1030426</v>
      </c>
      <c r="F165" s="117">
        <f>IFERROR(VLOOKUP($G165, Sched!$A:$AA, 27, FALSE), "")</f>
        <v>15201</v>
      </c>
      <c r="G165" s="118" t="s">
        <v>159</v>
      </c>
      <c r="H165" s="116" t="str">
        <f t="shared" si="19"/>
        <v>ACC.RGC.VV-4-2-06</v>
      </c>
      <c r="I165" s="117" t="str">
        <f t="shared" si="18"/>
        <v>M-102B2</v>
      </c>
      <c r="K165" t="s">
        <v>280</v>
      </c>
      <c r="L165" t="s">
        <v>281</v>
      </c>
      <c r="M165">
        <v>2</v>
      </c>
    </row>
    <row r="166" spans="1:13" x14ac:dyDescent="0.2">
      <c r="A166" s="116" t="s">
        <v>1152</v>
      </c>
      <c r="B166" s="116" t="s">
        <v>1168</v>
      </c>
      <c r="C166" s="117">
        <f>COUNTIF($D$3:D166, D166)</f>
        <v>27</v>
      </c>
      <c r="D166" s="117">
        <f>INDEX(PanelInstance!$B$2:$H$11, MATCH(Joined!$A166, PanelInstance!$B$2:$B$11, 0), MATCH(Joined!B166, PanelInstance!$B$1:$H$1, 0)+1)</f>
        <v>304</v>
      </c>
      <c r="E166" s="117" t="str">
        <f t="shared" si="17"/>
        <v>1030427</v>
      </c>
      <c r="F166" s="117">
        <f>IFERROR(VLOOKUP($G166, Sched!$A:$AA, 27, FALSE), "")</f>
        <v>15201</v>
      </c>
      <c r="G166" s="118" t="s">
        <v>160</v>
      </c>
      <c r="H166" s="116" t="str">
        <f t="shared" si="19"/>
        <v>ACC.RGC.VV-4-2-07</v>
      </c>
      <c r="I166" s="117" t="str">
        <f t="shared" si="18"/>
        <v>M-102B2</v>
      </c>
      <c r="K166" t="s">
        <v>280</v>
      </c>
      <c r="L166" t="s">
        <v>281</v>
      </c>
      <c r="M166">
        <v>2</v>
      </c>
    </row>
    <row r="167" spans="1:13" x14ac:dyDescent="0.2">
      <c r="A167" s="116" t="s">
        <v>1152</v>
      </c>
      <c r="B167" s="116" t="s">
        <v>1168</v>
      </c>
      <c r="C167" s="117">
        <f>COUNTIF($D$3:D167, D167)</f>
        <v>28</v>
      </c>
      <c r="D167" s="117">
        <f>INDEX(PanelInstance!$B$2:$H$11, MATCH(Joined!$A167, PanelInstance!$B$2:$B$11, 0), MATCH(Joined!B167, PanelInstance!$B$1:$H$1, 0)+1)</f>
        <v>304</v>
      </c>
      <c r="E167" s="117" t="str">
        <f t="shared" si="17"/>
        <v>1030428</v>
      </c>
      <c r="F167" s="117">
        <f>IFERROR(VLOOKUP($G167, Sched!$A:$AA, 27, FALSE), "")</f>
        <v>15201</v>
      </c>
      <c r="G167" s="118" t="s">
        <v>161</v>
      </c>
      <c r="H167" s="116" t="str">
        <f t="shared" si="19"/>
        <v>ACC.RGC.VV-4-2-08</v>
      </c>
      <c r="I167" s="117" t="str">
        <f t="shared" si="18"/>
        <v>M-102B2</v>
      </c>
      <c r="K167" t="s">
        <v>280</v>
      </c>
      <c r="L167" t="s">
        <v>281</v>
      </c>
      <c r="M167">
        <v>2</v>
      </c>
    </row>
    <row r="168" spans="1:13" x14ac:dyDescent="0.2">
      <c r="A168" s="116" t="s">
        <v>1152</v>
      </c>
      <c r="B168" s="116" t="s">
        <v>1168</v>
      </c>
      <c r="C168" s="117">
        <f>COUNTIF($D$3:D168, D168)</f>
        <v>29</v>
      </c>
      <c r="D168" s="117">
        <f>INDEX(PanelInstance!$B$2:$H$11, MATCH(Joined!$A168, PanelInstance!$B$2:$B$11, 0), MATCH(Joined!B168, PanelInstance!$B$1:$H$1, 0)+1)</f>
        <v>304</v>
      </c>
      <c r="E168" s="117" t="str">
        <f t="shared" si="17"/>
        <v>1030429</v>
      </c>
      <c r="F168" s="117">
        <f>IFERROR(VLOOKUP($G168, Sched!$A:$AA, 27, FALSE), "")</f>
        <v>15201</v>
      </c>
      <c r="G168" s="118" t="s">
        <v>162</v>
      </c>
      <c r="H168" s="116" t="str">
        <f t="shared" si="19"/>
        <v>ACC.RGC.VV-4-2-09</v>
      </c>
      <c r="I168" s="117" t="str">
        <f t="shared" si="18"/>
        <v>M-102B2</v>
      </c>
      <c r="K168" t="s">
        <v>280</v>
      </c>
      <c r="L168" t="s">
        <v>281</v>
      </c>
      <c r="M168">
        <v>2</v>
      </c>
    </row>
    <row r="169" spans="1:13" x14ac:dyDescent="0.2">
      <c r="A169" s="116" t="s">
        <v>1152</v>
      </c>
      <c r="B169" s="116" t="s">
        <v>1168</v>
      </c>
      <c r="C169" s="117">
        <f>COUNTIF($D$3:D169, D169)</f>
        <v>30</v>
      </c>
      <c r="D169" s="117">
        <f>INDEX(PanelInstance!$B$2:$H$11, MATCH(Joined!$A169, PanelInstance!$B$2:$B$11, 0), MATCH(Joined!B169, PanelInstance!$B$1:$H$1, 0)+1)</f>
        <v>304</v>
      </c>
      <c r="E169" s="117" t="str">
        <f t="shared" si="17"/>
        <v>1030430</v>
      </c>
      <c r="F169" s="117">
        <f>IFERROR(VLOOKUP($G169, Sched!$A:$AA, 27, FALSE), "")</f>
        <v>15201</v>
      </c>
      <c r="G169" s="118" t="s">
        <v>168</v>
      </c>
      <c r="H169" s="116" t="str">
        <f t="shared" si="19"/>
        <v>ACC.RGC.VV-4-2-15</v>
      </c>
      <c r="I169" s="117" t="str">
        <f t="shared" si="18"/>
        <v>M-102B2</v>
      </c>
      <c r="K169" t="s">
        <v>280</v>
      </c>
      <c r="L169" t="s">
        <v>281</v>
      </c>
      <c r="M169">
        <v>2</v>
      </c>
    </row>
    <row r="170" spans="1:13" x14ac:dyDescent="0.2">
      <c r="A170" s="116" t="s">
        <v>1152</v>
      </c>
      <c r="B170" s="116" t="s">
        <v>1168</v>
      </c>
      <c r="C170" s="117">
        <f>COUNTIF($D$3:D170, D170)</f>
        <v>31</v>
      </c>
      <c r="D170" s="117">
        <f>INDEX(PanelInstance!$B$2:$H$11, MATCH(Joined!$A170, PanelInstance!$B$2:$B$11, 0), MATCH(Joined!B170, PanelInstance!$B$1:$H$1, 0)+1)</f>
        <v>304</v>
      </c>
      <c r="E170" s="117" t="str">
        <f t="shared" si="17"/>
        <v>1030431</v>
      </c>
      <c r="F170" s="117">
        <f>IFERROR(VLOOKUP($G170, Sched!$A:$AA, 27, FALSE), "")</f>
        <v>15001</v>
      </c>
      <c r="G170" s="119" t="s">
        <v>172</v>
      </c>
      <c r="H170" s="116" t="str">
        <f t="shared" si="19"/>
        <v>ACC.RGC.VV-2-2-02</v>
      </c>
      <c r="I170" s="117" t="str">
        <f t="shared" si="18"/>
        <v>M-102B2</v>
      </c>
      <c r="K170" t="s">
        <v>280</v>
      </c>
      <c r="L170" t="s">
        <v>281</v>
      </c>
      <c r="M170">
        <v>2</v>
      </c>
    </row>
    <row r="171" spans="1:13" x14ac:dyDescent="0.2">
      <c r="A171" s="116" t="s">
        <v>1152</v>
      </c>
      <c r="B171" s="116" t="s">
        <v>1168</v>
      </c>
      <c r="C171" s="117">
        <f>COUNTIF($D$3:D171, D171)</f>
        <v>32</v>
      </c>
      <c r="D171" s="117">
        <f>INDEX(PanelInstance!$B$2:$H$11, MATCH(Joined!$A171, PanelInstance!$B$2:$B$11, 0), MATCH(Joined!B171, PanelInstance!$B$1:$H$1, 0)+1)</f>
        <v>304</v>
      </c>
      <c r="E171" s="117" t="str">
        <f t="shared" si="17"/>
        <v>1030432</v>
      </c>
      <c r="F171" s="117">
        <f>IFERROR(VLOOKUP($G171, Sched!$A:$AA, 27, FALSE), "")</f>
        <v>15003</v>
      </c>
      <c r="G171" s="119" t="s">
        <v>173</v>
      </c>
      <c r="H171" s="116" t="str">
        <f t="shared" si="19"/>
        <v>ACC.RGC.VV-2-2-03</v>
      </c>
      <c r="I171" s="117" t="str">
        <f t="shared" si="18"/>
        <v>M-102B2</v>
      </c>
      <c r="K171" t="s">
        <v>280</v>
      </c>
      <c r="L171" t="s">
        <v>281</v>
      </c>
      <c r="M171">
        <v>2</v>
      </c>
    </row>
    <row r="172" spans="1:13" x14ac:dyDescent="0.2">
      <c r="A172" s="116" t="s">
        <v>1152</v>
      </c>
      <c r="B172" s="116" t="s">
        <v>1168</v>
      </c>
      <c r="C172" s="117">
        <f>COUNTIF($D$3:D172, D172)</f>
        <v>33</v>
      </c>
      <c r="D172" s="117">
        <f>INDEX(PanelInstance!$B$2:$H$11, MATCH(Joined!$A172, PanelInstance!$B$2:$B$11, 0), MATCH(Joined!B172, PanelInstance!$B$1:$H$1, 0)+1)</f>
        <v>304</v>
      </c>
      <c r="E172" s="117" t="str">
        <f t="shared" si="17"/>
        <v>1030433</v>
      </c>
      <c r="F172" s="117">
        <f>IFERROR(VLOOKUP($G172, Sched!$A:$AA, 27, FALSE), "")</f>
        <v>15003</v>
      </c>
      <c r="G172" s="119" t="s">
        <v>174</v>
      </c>
      <c r="H172" s="116" t="str">
        <f t="shared" si="19"/>
        <v>ACC.RGC.VV-2-2-04</v>
      </c>
      <c r="I172" s="117" t="str">
        <f t="shared" si="18"/>
        <v>M-102B2</v>
      </c>
      <c r="K172" t="s">
        <v>280</v>
      </c>
      <c r="L172" t="s">
        <v>281</v>
      </c>
      <c r="M172">
        <v>2</v>
      </c>
    </row>
    <row r="173" spans="1:13" x14ac:dyDescent="0.2">
      <c r="A173" s="116" t="s">
        <v>1152</v>
      </c>
      <c r="B173" s="116" t="s">
        <v>1168</v>
      </c>
      <c r="C173" s="117">
        <f>COUNTIF($D$3:D173, D173)</f>
        <v>34</v>
      </c>
      <c r="D173" s="117">
        <f>INDEX(PanelInstance!$B$2:$H$11, MATCH(Joined!$A173, PanelInstance!$B$2:$B$11, 0), MATCH(Joined!B173, PanelInstance!$B$1:$H$1, 0)+1)</f>
        <v>304</v>
      </c>
      <c r="E173" s="117" t="str">
        <f t="shared" si="17"/>
        <v>1030434</v>
      </c>
      <c r="F173" s="117">
        <f>IFERROR(VLOOKUP($G173, Sched!$A:$AA, 27, FALSE), "")</f>
        <v>15001</v>
      </c>
      <c r="G173" s="119" t="s">
        <v>171</v>
      </c>
      <c r="H173" s="116" t="str">
        <f t="shared" si="19"/>
        <v>ACC.RGC.VV-2-2-01</v>
      </c>
      <c r="I173" s="117" t="str">
        <f t="shared" si="18"/>
        <v>M-202B</v>
      </c>
      <c r="K173" t="s">
        <v>297</v>
      </c>
      <c r="L173" t="s">
        <v>281</v>
      </c>
      <c r="M173">
        <v>2</v>
      </c>
    </row>
    <row r="174" spans="1:13" x14ac:dyDescent="0.2">
      <c r="A174" s="116" t="s">
        <v>1152</v>
      </c>
      <c r="B174" s="116" t="s">
        <v>1169</v>
      </c>
      <c r="C174" s="117">
        <f>COUNTIF($D$3:D174, D174)</f>
        <v>3</v>
      </c>
      <c r="D174" s="117">
        <f>INDEX(PanelInstance!$B$2:$H$11, MATCH(Joined!$A174, PanelInstance!$B$2:$B$11, 0), MATCH(Joined!B174, PanelInstance!$B$1:$H$1, 0)+1)</f>
        <v>354</v>
      </c>
      <c r="E174" s="117" t="str">
        <f t="shared" si="17"/>
        <v>1035403</v>
      </c>
      <c r="F174" s="117" t="str">
        <f>IFERROR(VLOOKUP($G174, Sched!$A:$AA, 27, FALSE), "")</f>
        <v/>
      </c>
      <c r="G174" s="119" t="s">
        <v>242</v>
      </c>
      <c r="H174" s="116" t="str">
        <f t="shared" si="19"/>
        <v>ACC.RGC.AFMS-2-2-SA-1</v>
      </c>
      <c r="I174" s="117" t="str">
        <f t="shared" si="18"/>
        <v>M-102B2</v>
      </c>
      <c r="K174" t="s">
        <v>280</v>
      </c>
      <c r="L174" t="s">
        <v>281</v>
      </c>
      <c r="M174">
        <v>2</v>
      </c>
    </row>
    <row r="175" spans="1:13" x14ac:dyDescent="0.2">
      <c r="A175" s="116" t="s">
        <v>1152</v>
      </c>
      <c r="B175" s="116" t="s">
        <v>1169</v>
      </c>
      <c r="C175" s="117">
        <f>COUNTIF($D$3:D175, D175)</f>
        <v>4</v>
      </c>
      <c r="D175" s="117">
        <f>INDEX(PanelInstance!$B$2:$H$11, MATCH(Joined!$A175, PanelInstance!$B$2:$B$11, 0), MATCH(Joined!B175, PanelInstance!$B$1:$H$1, 0)+1)</f>
        <v>354</v>
      </c>
      <c r="E175" s="117" t="str">
        <f t="shared" si="17"/>
        <v>1035404</v>
      </c>
      <c r="F175" s="117" t="str">
        <f>IFERROR(VLOOKUP($G175, Sched!$A:$AA, 27, FALSE), "")</f>
        <v/>
      </c>
      <c r="G175" s="119" t="s">
        <v>271</v>
      </c>
      <c r="H175" s="116" t="str">
        <f t="shared" si="19"/>
        <v>ACC.RGC.FCU-2-3</v>
      </c>
      <c r="I175" s="117" t="str">
        <f t="shared" si="18"/>
        <v>M-102B2</v>
      </c>
      <c r="K175" t="s">
        <v>280</v>
      </c>
      <c r="L175" t="s">
        <v>281</v>
      </c>
      <c r="M175">
        <v>2</v>
      </c>
    </row>
    <row r="176" spans="1:13" x14ac:dyDescent="0.2">
      <c r="A176" s="116" t="s">
        <v>1152</v>
      </c>
      <c r="B176" s="116" t="s">
        <v>1168</v>
      </c>
      <c r="C176" s="117">
        <f>COUNTIF($D$3:D176, D176)</f>
        <v>35</v>
      </c>
      <c r="D176" s="117">
        <f>INDEX(PanelInstance!$B$2:$H$11, MATCH(Joined!$A176, PanelInstance!$B$2:$B$11, 0), MATCH(Joined!B176, PanelInstance!$B$1:$H$1, 0)+1)</f>
        <v>304</v>
      </c>
      <c r="E176" s="117" t="str">
        <f t="shared" si="17"/>
        <v>1030435</v>
      </c>
      <c r="F176" s="117">
        <f>IFERROR(VLOOKUP($G176, Sched!$A:$AA, 27, FALSE), "")</f>
        <v>15201</v>
      </c>
      <c r="G176" s="118" t="s">
        <v>154</v>
      </c>
      <c r="H176" s="116" t="str">
        <f t="shared" si="19"/>
        <v>ACC.RGC.VV-4-2-01</v>
      </c>
      <c r="I176" s="117" t="str">
        <f t="shared" si="18"/>
        <v>M-102A2</v>
      </c>
      <c r="K176" t="s">
        <v>283</v>
      </c>
      <c r="L176" t="s">
        <v>278</v>
      </c>
      <c r="M176">
        <v>2</v>
      </c>
    </row>
    <row r="177" spans="1:13" x14ac:dyDescent="0.2">
      <c r="A177" s="116" t="s">
        <v>1152</v>
      </c>
      <c r="B177" s="116" t="s">
        <v>1168</v>
      </c>
      <c r="C177" s="117">
        <f>COUNTIF($D$3:D177, D177)</f>
        <v>36</v>
      </c>
      <c r="D177" s="117">
        <f>INDEX(PanelInstance!$B$2:$H$11, MATCH(Joined!$A177, PanelInstance!$B$2:$B$11, 0), MATCH(Joined!B177, PanelInstance!$B$1:$H$1, 0)+1)</f>
        <v>304</v>
      </c>
      <c r="E177" s="117" t="str">
        <f t="shared" si="17"/>
        <v>1030436</v>
      </c>
      <c r="F177" s="117">
        <f>IFERROR(VLOOKUP($G177, Sched!$A:$AA, 27, FALSE), "")</f>
        <v>15201</v>
      </c>
      <c r="G177" s="118" t="s">
        <v>155</v>
      </c>
      <c r="H177" s="116" t="str">
        <f t="shared" si="19"/>
        <v>ACC.RGC.VV-4-2-02</v>
      </c>
      <c r="I177" s="117" t="str">
        <f t="shared" si="18"/>
        <v>M-102A2</v>
      </c>
      <c r="K177" t="s">
        <v>283</v>
      </c>
      <c r="L177" t="s">
        <v>278</v>
      </c>
      <c r="M177">
        <v>2</v>
      </c>
    </row>
    <row r="178" spans="1:13" x14ac:dyDescent="0.2">
      <c r="A178" s="116" t="s">
        <v>1152</v>
      </c>
      <c r="B178" s="116" t="s">
        <v>1168</v>
      </c>
      <c r="C178" s="117">
        <f>COUNTIF($D$3:D178, D178)</f>
        <v>37</v>
      </c>
      <c r="D178" s="117">
        <f>INDEX(PanelInstance!$B$2:$H$11, MATCH(Joined!$A178, PanelInstance!$B$2:$B$11, 0), MATCH(Joined!B178, PanelInstance!$B$1:$H$1, 0)+1)</f>
        <v>304</v>
      </c>
      <c r="E178" s="117" t="str">
        <f t="shared" si="17"/>
        <v>1030437</v>
      </c>
      <c r="F178" s="117">
        <f>IFERROR(VLOOKUP($G178, Sched!$A:$AA, 27, FALSE), "")</f>
        <v>15201</v>
      </c>
      <c r="G178" s="118" t="s">
        <v>156</v>
      </c>
      <c r="H178" s="116" t="str">
        <f t="shared" si="19"/>
        <v>ACC.RGC.VV-4-2-03</v>
      </c>
      <c r="I178" s="117" t="str">
        <f t="shared" si="18"/>
        <v>M-102A2</v>
      </c>
      <c r="K178" t="s">
        <v>283</v>
      </c>
      <c r="L178" t="s">
        <v>278</v>
      </c>
      <c r="M178">
        <v>2</v>
      </c>
    </row>
    <row r="179" spans="1:13" x14ac:dyDescent="0.2">
      <c r="A179" s="116" t="s">
        <v>1152</v>
      </c>
      <c r="B179" s="116" t="s">
        <v>1168</v>
      </c>
      <c r="C179" s="117">
        <f>COUNTIF($D$3:D179, D179)</f>
        <v>38</v>
      </c>
      <c r="D179" s="117">
        <f>INDEX(PanelInstance!$B$2:$H$11, MATCH(Joined!$A179, PanelInstance!$B$2:$B$11, 0), MATCH(Joined!B179, PanelInstance!$B$1:$H$1, 0)+1)</f>
        <v>304</v>
      </c>
      <c r="E179" s="117" t="str">
        <f t="shared" si="17"/>
        <v>1030438</v>
      </c>
      <c r="F179" s="117">
        <f>IFERROR(VLOOKUP($G179, Sched!$A:$AA, 27, FALSE), "")</f>
        <v>15201</v>
      </c>
      <c r="G179" s="118" t="s">
        <v>158</v>
      </c>
      <c r="H179" s="116" t="str">
        <f t="shared" si="19"/>
        <v>ACC.RGC.VV-4-2-05</v>
      </c>
      <c r="I179" s="117" t="str">
        <f t="shared" si="18"/>
        <v>M-102A2</v>
      </c>
      <c r="K179" t="s">
        <v>283</v>
      </c>
      <c r="L179" t="s">
        <v>278</v>
      </c>
      <c r="M179">
        <v>2</v>
      </c>
    </row>
    <row r="180" spans="1:13" x14ac:dyDescent="0.2">
      <c r="A180" s="116" t="s">
        <v>1152</v>
      </c>
      <c r="B180" s="116" t="s">
        <v>1168</v>
      </c>
      <c r="C180" s="117">
        <f>COUNTIF($D$3:D180, D180)</f>
        <v>39</v>
      </c>
      <c r="D180" s="117">
        <f>INDEX(PanelInstance!$B$2:$H$11, MATCH(Joined!$A180, PanelInstance!$B$2:$B$11, 0), MATCH(Joined!B180, PanelInstance!$B$1:$H$1, 0)+1)</f>
        <v>304</v>
      </c>
      <c r="E180" s="117" t="str">
        <f t="shared" si="17"/>
        <v>1030439</v>
      </c>
      <c r="F180" s="117">
        <f>IFERROR(VLOOKUP($G180, Sched!$A:$AA, 27, FALSE), "")</f>
        <v>15201</v>
      </c>
      <c r="G180" s="118" t="s">
        <v>163</v>
      </c>
      <c r="H180" s="116" t="str">
        <f t="shared" si="19"/>
        <v>ACC.RGC.VV-4-2-10</v>
      </c>
      <c r="I180" s="117" t="str">
        <f t="shared" si="18"/>
        <v>M-102A2</v>
      </c>
      <c r="K180" t="s">
        <v>283</v>
      </c>
      <c r="L180" t="s">
        <v>278</v>
      </c>
      <c r="M180">
        <v>2</v>
      </c>
    </row>
    <row r="181" spans="1:13" x14ac:dyDescent="0.2">
      <c r="A181" s="116" t="s">
        <v>1152</v>
      </c>
      <c r="B181" s="116" t="s">
        <v>1168</v>
      </c>
      <c r="C181" s="117">
        <f>COUNTIF($D$3:D181, D181)</f>
        <v>40</v>
      </c>
      <c r="D181" s="117">
        <f>INDEX(PanelInstance!$B$2:$H$11, MATCH(Joined!$A181, PanelInstance!$B$2:$B$11, 0), MATCH(Joined!B181, PanelInstance!$B$1:$H$1, 0)+1)</f>
        <v>304</v>
      </c>
      <c r="E181" s="117" t="str">
        <f t="shared" si="17"/>
        <v>1030440</v>
      </c>
      <c r="F181" s="117">
        <f>IFERROR(VLOOKUP($G181, Sched!$A:$AA, 27, FALSE), "")</f>
        <v>15201</v>
      </c>
      <c r="G181" s="118" t="s">
        <v>164</v>
      </c>
      <c r="H181" s="116" t="str">
        <f t="shared" si="19"/>
        <v>ACC.RGC.VV-4-2-11</v>
      </c>
      <c r="I181" s="117" t="str">
        <f t="shared" si="18"/>
        <v>M-102A2</v>
      </c>
      <c r="K181" t="s">
        <v>283</v>
      </c>
      <c r="L181" t="s">
        <v>278</v>
      </c>
      <c r="M181">
        <v>2</v>
      </c>
    </row>
    <row r="182" spans="1:13" x14ac:dyDescent="0.2">
      <c r="A182" s="116" t="s">
        <v>1152</v>
      </c>
      <c r="B182" s="116" t="s">
        <v>1168</v>
      </c>
      <c r="C182" s="117">
        <f>COUNTIF($D$3:D182, D182)</f>
        <v>41</v>
      </c>
      <c r="D182" s="117">
        <f>INDEX(PanelInstance!$B$2:$H$11, MATCH(Joined!$A182, PanelInstance!$B$2:$B$11, 0), MATCH(Joined!B182, PanelInstance!$B$1:$H$1, 0)+1)</f>
        <v>304</v>
      </c>
      <c r="E182" s="117" t="str">
        <f t="shared" si="17"/>
        <v>1030441</v>
      </c>
      <c r="F182" s="117">
        <f>IFERROR(VLOOKUP($G182, Sched!$A:$AA, 27, FALSE), "")</f>
        <v>15201</v>
      </c>
      <c r="G182" s="118" t="s">
        <v>165</v>
      </c>
      <c r="H182" s="116" t="str">
        <f t="shared" si="19"/>
        <v>ACC.RGC.VV-4-2-12</v>
      </c>
      <c r="I182" s="117" t="str">
        <f t="shared" si="18"/>
        <v>M-102A2</v>
      </c>
      <c r="K182" t="s">
        <v>283</v>
      </c>
      <c r="L182" t="s">
        <v>278</v>
      </c>
      <c r="M182">
        <v>2</v>
      </c>
    </row>
    <row r="183" spans="1:13" x14ac:dyDescent="0.2">
      <c r="A183" s="116" t="s">
        <v>1152</v>
      </c>
      <c r="B183" s="116" t="s">
        <v>1168</v>
      </c>
      <c r="C183" s="117">
        <f>COUNTIF($D$3:D183, D183)</f>
        <v>42</v>
      </c>
      <c r="D183" s="117">
        <f>INDEX(PanelInstance!$B$2:$H$11, MATCH(Joined!$A183, PanelInstance!$B$2:$B$11, 0), MATCH(Joined!B183, PanelInstance!$B$1:$H$1, 0)+1)</f>
        <v>304</v>
      </c>
      <c r="E183" s="117" t="str">
        <f t="shared" si="17"/>
        <v>1030442</v>
      </c>
      <c r="F183" s="117">
        <f>IFERROR(VLOOKUP($G183, Sched!$A:$AA, 27, FALSE), "")</f>
        <v>15201</v>
      </c>
      <c r="G183" s="118" t="s">
        <v>167</v>
      </c>
      <c r="H183" s="116" t="str">
        <f t="shared" si="19"/>
        <v>ACC.RGC.VV-4-2-14</v>
      </c>
      <c r="I183" s="117" t="str">
        <f t="shared" si="18"/>
        <v>M-102A2</v>
      </c>
      <c r="K183" t="s">
        <v>283</v>
      </c>
      <c r="L183" t="s">
        <v>278</v>
      </c>
      <c r="M183">
        <v>2</v>
      </c>
    </row>
    <row r="184" spans="1:13" x14ac:dyDescent="0.2">
      <c r="A184" s="116" t="s">
        <v>1152</v>
      </c>
      <c r="B184" s="116" t="s">
        <v>1168</v>
      </c>
      <c r="C184" s="117">
        <f>COUNTIF($D$3:D184, D184)</f>
        <v>43</v>
      </c>
      <c r="D184" s="117">
        <f>INDEX(PanelInstance!$B$2:$H$11, MATCH(Joined!$A184, PanelInstance!$B$2:$B$11, 0), MATCH(Joined!B184, PanelInstance!$B$1:$H$1, 0)+1)</f>
        <v>304</v>
      </c>
      <c r="E184" s="117" t="str">
        <f t="shared" si="17"/>
        <v>1030443</v>
      </c>
      <c r="F184" s="117">
        <f>IFERROR(VLOOKUP($G184, Sched!$A:$AA, 27, FALSE), "")</f>
        <v>15801</v>
      </c>
      <c r="G184" s="118" t="s">
        <v>170</v>
      </c>
      <c r="H184" s="116" t="str">
        <f t="shared" si="19"/>
        <v>ACC.RGC.VVE-4-2-01</v>
      </c>
      <c r="I184" s="117" t="str">
        <f t="shared" si="18"/>
        <v>M-102A2</v>
      </c>
      <c r="K184" t="s">
        <v>283</v>
      </c>
      <c r="L184" t="s">
        <v>278</v>
      </c>
      <c r="M184">
        <v>2</v>
      </c>
    </row>
    <row r="185" spans="1:13" x14ac:dyDescent="0.2">
      <c r="A185" s="116" t="s">
        <v>1152</v>
      </c>
      <c r="B185" s="116" t="s">
        <v>1168</v>
      </c>
      <c r="C185" s="117">
        <f>COUNTIF($D$3:D185, D185)</f>
        <v>44</v>
      </c>
      <c r="D185" s="117">
        <f>INDEX(PanelInstance!$B$2:$H$11, MATCH(Joined!$A185, PanelInstance!$B$2:$B$11, 0), MATCH(Joined!B185, PanelInstance!$B$1:$H$1, 0)+1)</f>
        <v>304</v>
      </c>
      <c r="E185" s="117" t="str">
        <f t="shared" si="17"/>
        <v>1030444</v>
      </c>
      <c r="F185" s="117">
        <f>IFERROR(VLOOKUP($G185, Sched!$A:$AA, 27, FALSE), "")</f>
        <v>15003</v>
      </c>
      <c r="G185" s="119" t="s">
        <v>175</v>
      </c>
      <c r="H185" s="116" t="str">
        <f t="shared" si="19"/>
        <v>ACC.RGC.VV-2-2-05</v>
      </c>
      <c r="I185" s="117" t="str">
        <f t="shared" si="18"/>
        <v>M-102A2</v>
      </c>
      <c r="K185" t="s">
        <v>283</v>
      </c>
      <c r="L185" t="s">
        <v>278</v>
      </c>
      <c r="M185">
        <v>2</v>
      </c>
    </row>
    <row r="186" spans="1:13" x14ac:dyDescent="0.2">
      <c r="A186" s="116" t="s">
        <v>1152</v>
      </c>
      <c r="B186" s="116" t="s">
        <v>1168</v>
      </c>
      <c r="C186" s="117">
        <f>COUNTIF($D$3:D186, D186)</f>
        <v>45</v>
      </c>
      <c r="D186" s="117">
        <f>INDEX(PanelInstance!$B$2:$H$11, MATCH(Joined!$A186, PanelInstance!$B$2:$B$11, 0), MATCH(Joined!B186, PanelInstance!$B$1:$H$1, 0)+1)</f>
        <v>304</v>
      </c>
      <c r="E186" s="117" t="str">
        <f t="shared" si="17"/>
        <v>1030445</v>
      </c>
      <c r="F186" s="117">
        <f>IFERROR(VLOOKUP($G186, Sched!$A:$AA, 27, FALSE), "")</f>
        <v>15001</v>
      </c>
      <c r="G186" s="119" t="s">
        <v>178</v>
      </c>
      <c r="H186" s="116" t="str">
        <f t="shared" si="19"/>
        <v>ACC.RGC.VV-2-2-08</v>
      </c>
      <c r="I186" s="117" t="str">
        <f t="shared" si="18"/>
        <v>M-102A2</v>
      </c>
      <c r="K186" t="s">
        <v>283</v>
      </c>
      <c r="L186" t="s">
        <v>278</v>
      </c>
      <c r="M186">
        <v>2</v>
      </c>
    </row>
    <row r="187" spans="1:13" x14ac:dyDescent="0.2">
      <c r="A187" s="116" t="s">
        <v>1152</v>
      </c>
      <c r="B187" s="116" t="s">
        <v>1168</v>
      </c>
      <c r="C187" s="117">
        <f>COUNTIF($D$3:D187, D187)</f>
        <v>46</v>
      </c>
      <c r="D187" s="117">
        <f>INDEX(PanelInstance!$B$2:$H$11, MATCH(Joined!$A187, PanelInstance!$B$2:$B$11, 0), MATCH(Joined!B187, PanelInstance!$B$1:$H$1, 0)+1)</f>
        <v>304</v>
      </c>
      <c r="E187" s="117" t="str">
        <f t="shared" si="17"/>
        <v>1030446</v>
      </c>
      <c r="F187" s="117">
        <f>IFERROR(VLOOKUP($G187, Sched!$A:$AA, 27, FALSE), "")</f>
        <v>15003</v>
      </c>
      <c r="G187" s="119" t="s">
        <v>179</v>
      </c>
      <c r="H187" s="116" t="str">
        <f t="shared" si="19"/>
        <v>ACC.RGC.VV-2-2-09</v>
      </c>
      <c r="I187" s="117" t="str">
        <f t="shared" si="18"/>
        <v>M-102A2</v>
      </c>
      <c r="K187" t="s">
        <v>283</v>
      </c>
      <c r="L187" t="s">
        <v>278</v>
      </c>
      <c r="M187">
        <v>2</v>
      </c>
    </row>
    <row r="188" spans="1:13" x14ac:dyDescent="0.2">
      <c r="A188" s="116" t="s">
        <v>1152</v>
      </c>
      <c r="B188" s="116" t="s">
        <v>1168</v>
      </c>
      <c r="C188" s="117">
        <f>COUNTIF($D$3:D188, D188)</f>
        <v>47</v>
      </c>
      <c r="D188" s="117">
        <f>INDEX(PanelInstance!$B$2:$H$11, MATCH(Joined!$A188, PanelInstance!$B$2:$B$11, 0), MATCH(Joined!B188, PanelInstance!$B$1:$H$1, 0)+1)</f>
        <v>304</v>
      </c>
      <c r="E188" s="117" t="str">
        <f t="shared" si="17"/>
        <v>1030447</v>
      </c>
      <c r="F188" s="117">
        <f>IFERROR(VLOOKUP($G188, Sched!$A:$AA, 27, FALSE), "")</f>
        <v>15201</v>
      </c>
      <c r="G188" s="118" t="s">
        <v>166</v>
      </c>
      <c r="H188" s="116" t="str">
        <f t="shared" si="19"/>
        <v>ACC.RGC.VV-4-2-13</v>
      </c>
      <c r="I188" s="117" t="str">
        <f t="shared" si="18"/>
        <v>M-202A</v>
      </c>
      <c r="K188" t="s">
        <v>296</v>
      </c>
      <c r="L188" t="s">
        <v>278</v>
      </c>
      <c r="M188">
        <v>2</v>
      </c>
    </row>
    <row r="189" spans="1:13" x14ac:dyDescent="0.2">
      <c r="A189" s="116" t="s">
        <v>1152</v>
      </c>
      <c r="B189" s="116" t="s">
        <v>1169</v>
      </c>
      <c r="C189" s="117">
        <f>COUNTIF($D$3:D189, D189)</f>
        <v>5</v>
      </c>
      <c r="D189" s="117">
        <f>INDEX(PanelInstance!$B$2:$H$11, MATCH(Joined!$A189, PanelInstance!$B$2:$B$11, 0), MATCH(Joined!B189, PanelInstance!$B$1:$H$1, 0)+1)</f>
        <v>354</v>
      </c>
      <c r="E189" s="117" t="str">
        <f t="shared" si="17"/>
        <v>1035405</v>
      </c>
      <c r="F189" s="117" t="str">
        <f>IFERROR(VLOOKUP($G189, Sched!$A:$AA, 27, FALSE), "")</f>
        <v/>
      </c>
      <c r="G189" s="119" t="s">
        <v>253</v>
      </c>
      <c r="H189" s="116" t="str">
        <f t="shared" si="19"/>
        <v>ACC.RGC.AFMS-4-2-EA-1</v>
      </c>
      <c r="I189" s="117" t="str">
        <f t="shared" si="18"/>
        <v>M-102A2</v>
      </c>
      <c r="K189" t="s">
        <v>283</v>
      </c>
      <c r="L189" t="s">
        <v>278</v>
      </c>
      <c r="M189">
        <v>2</v>
      </c>
    </row>
    <row r="190" spans="1:13" x14ac:dyDescent="0.2">
      <c r="A190" s="116" t="s">
        <v>1152</v>
      </c>
      <c r="B190" s="116" t="s">
        <v>1169</v>
      </c>
      <c r="C190" s="117">
        <f>COUNTIF($D$3:D190, D190)</f>
        <v>6</v>
      </c>
      <c r="D190" s="117">
        <f>INDEX(PanelInstance!$B$2:$H$11, MATCH(Joined!$A190, PanelInstance!$B$2:$B$11, 0), MATCH(Joined!B190, PanelInstance!$B$1:$H$1, 0)+1)</f>
        <v>354</v>
      </c>
      <c r="E190" s="117" t="str">
        <f t="shared" si="17"/>
        <v>1035406</v>
      </c>
      <c r="F190" s="117" t="str">
        <f>IFERROR(VLOOKUP($G190, Sched!$A:$AA, 27, FALSE), "")</f>
        <v/>
      </c>
      <c r="G190" s="119" t="s">
        <v>270</v>
      </c>
      <c r="H190" s="116" t="str">
        <f t="shared" si="19"/>
        <v>ACC.RGC.FCU-2-2</v>
      </c>
      <c r="I190" s="117" t="str">
        <f t="shared" si="18"/>
        <v>M-102A2</v>
      </c>
      <c r="K190" t="s">
        <v>283</v>
      </c>
      <c r="L190" t="s">
        <v>278</v>
      </c>
      <c r="M190">
        <v>2</v>
      </c>
    </row>
    <row r="191" spans="1:13" x14ac:dyDescent="0.2">
      <c r="A191" s="116" t="s">
        <v>1152</v>
      </c>
      <c r="B191" s="116" t="s">
        <v>1169</v>
      </c>
      <c r="C191" s="117">
        <f>COUNTIF($D$3:D191, D191)</f>
        <v>7</v>
      </c>
      <c r="D191" s="117">
        <f>INDEX(PanelInstance!$B$2:$H$11, MATCH(Joined!$A191, PanelInstance!$B$2:$B$11, 0), MATCH(Joined!B191, PanelInstance!$B$1:$H$1, 0)+1)</f>
        <v>354</v>
      </c>
      <c r="E191" s="117" t="str">
        <f t="shared" si="17"/>
        <v>1035407</v>
      </c>
      <c r="F191" s="117" t="str">
        <f>IFERROR(VLOOKUP($G191, Sched!$A:$AA, 27, FALSE), "")</f>
        <v/>
      </c>
      <c r="G191" s="119" t="s">
        <v>272</v>
      </c>
      <c r="H191" s="116" t="str">
        <f t="shared" si="19"/>
        <v>ACC.RGC.FCU-2-4</v>
      </c>
      <c r="I191" s="117" t="str">
        <f t="shared" si="18"/>
        <v>M-102A2</v>
      </c>
      <c r="K191" t="s">
        <v>283</v>
      </c>
      <c r="L191" t="s">
        <v>278</v>
      </c>
      <c r="M191">
        <v>2</v>
      </c>
    </row>
    <row r="192" spans="1:13" x14ac:dyDescent="0.2">
      <c r="A192" s="116" t="s">
        <v>1152</v>
      </c>
      <c r="B192" s="116" t="s">
        <v>393</v>
      </c>
      <c r="C192" s="117">
        <f>COUNTIF($D$3:D192, D192)</f>
        <v>1</v>
      </c>
      <c r="D192" s="117">
        <v>389</v>
      </c>
      <c r="E192" s="117" t="str">
        <f t="shared" si="17"/>
        <v>1038901</v>
      </c>
      <c r="F192" s="117">
        <f>IFERROR(VLOOKUP($G192, Sched!$A:$AA, 27, FALSE), "")</f>
        <v>0</v>
      </c>
      <c r="G192" s="124" t="s">
        <v>382</v>
      </c>
      <c r="H192" s="116" t="str">
        <f t="shared" si="19"/>
        <v>ACC.RGC.LS-5-2-07</v>
      </c>
      <c r="I192" s="117" t="str">
        <f t="shared" si="18"/>
        <v>M-305</v>
      </c>
      <c r="K192" t="s">
        <v>698</v>
      </c>
      <c r="L192" t="s">
        <v>278</v>
      </c>
      <c r="M192">
        <v>2</v>
      </c>
    </row>
    <row r="193" spans="1:13" x14ac:dyDescent="0.2">
      <c r="A193" s="116" t="s">
        <v>1152</v>
      </c>
      <c r="B193" s="116" t="s">
        <v>393</v>
      </c>
      <c r="C193" s="117">
        <f>COUNTIF($D$3:D193, D193)</f>
        <v>2</v>
      </c>
      <c r="D193" s="117">
        <v>389</v>
      </c>
      <c r="E193" s="117" t="str">
        <f t="shared" si="17"/>
        <v>1038902</v>
      </c>
      <c r="F193" s="117">
        <f>IFERROR(VLOOKUP($G193, Sched!$A:$AA, 27, FALSE), "")</f>
        <v>0</v>
      </c>
      <c r="G193" s="124" t="s">
        <v>383</v>
      </c>
      <c r="H193" s="116" t="str">
        <f t="shared" si="19"/>
        <v>ACC.RGC.LS-5-2-06</v>
      </c>
      <c r="I193" s="117" t="str">
        <f t="shared" si="18"/>
        <v>M-305</v>
      </c>
      <c r="K193" t="s">
        <v>698</v>
      </c>
      <c r="L193" t="s">
        <v>278</v>
      </c>
      <c r="M193">
        <v>2</v>
      </c>
    </row>
    <row r="194" spans="1:13" x14ac:dyDescent="0.2">
      <c r="A194" s="116" t="s">
        <v>1152</v>
      </c>
      <c r="B194" s="116" t="s">
        <v>393</v>
      </c>
      <c r="C194" s="117">
        <f>COUNTIF($D$3:D194, D194)</f>
        <v>3</v>
      </c>
      <c r="D194" s="117">
        <v>389</v>
      </c>
      <c r="E194" s="117" t="str">
        <f t="shared" si="17"/>
        <v>1038903</v>
      </c>
      <c r="F194" s="117">
        <f>IFERROR(VLOOKUP($G194, Sched!$A:$AA, 27, FALSE), "")</f>
        <v>0</v>
      </c>
      <c r="G194" s="124" t="s">
        <v>384</v>
      </c>
      <c r="H194" s="116" t="str">
        <f t="shared" si="19"/>
        <v>ACC.RGC.LE-6-2-06</v>
      </c>
      <c r="I194" s="117" t="str">
        <f t="shared" si="18"/>
        <v>M-305</v>
      </c>
      <c r="K194" t="s">
        <v>698</v>
      </c>
      <c r="L194" t="s">
        <v>278</v>
      </c>
      <c r="M194">
        <v>2</v>
      </c>
    </row>
    <row r="195" spans="1:13" x14ac:dyDescent="0.2">
      <c r="A195" s="116" t="s">
        <v>1152</v>
      </c>
      <c r="B195" s="116" t="s">
        <v>393</v>
      </c>
      <c r="C195" s="117">
        <f>COUNTIF($D$3:D195, D195)</f>
        <v>4</v>
      </c>
      <c r="D195" s="117">
        <v>389</v>
      </c>
      <c r="E195" s="117" t="str">
        <f t="shared" si="17"/>
        <v>1038904</v>
      </c>
      <c r="F195" s="117">
        <f>IFERROR(VLOOKUP($G195, Sched!$A:$AA, 27, FALSE), "")</f>
        <v>0</v>
      </c>
      <c r="G195" s="125" t="s">
        <v>385</v>
      </c>
      <c r="H195" s="116" t="str">
        <f t="shared" si="19"/>
        <v>ACC.RGC.LE-7-2-08</v>
      </c>
      <c r="I195" s="117" t="str">
        <f t="shared" si="18"/>
        <v>M-305</v>
      </c>
      <c r="K195" t="s">
        <v>698</v>
      </c>
      <c r="L195" t="s">
        <v>16</v>
      </c>
      <c r="M195">
        <v>2</v>
      </c>
    </row>
    <row r="196" spans="1:13" x14ac:dyDescent="0.2">
      <c r="A196" s="116" t="s">
        <v>1152</v>
      </c>
      <c r="B196" s="116" t="s">
        <v>393</v>
      </c>
      <c r="C196" s="117">
        <f>COUNTIF($D$3:D196, D196)</f>
        <v>5</v>
      </c>
      <c r="D196" s="117">
        <v>389</v>
      </c>
      <c r="E196" s="117" t="str">
        <f t="shared" ref="E196:E259" si="20">10 &amp; D196 &amp; IF(LEN(C196) = 1, "0" &amp; C196, C196)</f>
        <v>1038905</v>
      </c>
      <c r="F196" s="117">
        <f>IFERROR(VLOOKUP($G196, Sched!$A:$AA, 27, FALSE), "")</f>
        <v>0</v>
      </c>
      <c r="G196" s="125" t="s">
        <v>386</v>
      </c>
      <c r="H196" s="116" t="str">
        <f t="shared" si="19"/>
        <v>ACC.RGC.LS-5-2-05</v>
      </c>
      <c r="I196" s="117" t="str">
        <f t="shared" ref="I196:I259" si="21">K196</f>
        <v>M-305</v>
      </c>
      <c r="K196" t="s">
        <v>698</v>
      </c>
      <c r="L196" t="s">
        <v>278</v>
      </c>
      <c r="M196">
        <v>2</v>
      </c>
    </row>
    <row r="197" spans="1:13" x14ac:dyDescent="0.2">
      <c r="A197" s="116" t="s">
        <v>1152</v>
      </c>
      <c r="B197" s="116" t="s">
        <v>393</v>
      </c>
      <c r="C197" s="117">
        <f>COUNTIF($D$3:D197, D197)</f>
        <v>6</v>
      </c>
      <c r="D197" s="117">
        <v>389</v>
      </c>
      <c r="E197" s="117" t="str">
        <f t="shared" si="20"/>
        <v>1038906</v>
      </c>
      <c r="F197" s="117">
        <f>IFERROR(VLOOKUP($G197, Sched!$A:$AA, 27, FALSE), "")</f>
        <v>0</v>
      </c>
      <c r="G197" s="125" t="s">
        <v>387</v>
      </c>
      <c r="H197" s="116" t="str">
        <f t="shared" si="19"/>
        <v>ACC.RGC.LS-5-2-04</v>
      </c>
      <c r="I197" s="117" t="str">
        <f t="shared" si="21"/>
        <v>M-305</v>
      </c>
      <c r="K197" t="s">
        <v>698</v>
      </c>
      <c r="L197" t="s">
        <v>278</v>
      </c>
      <c r="M197">
        <v>2</v>
      </c>
    </row>
    <row r="198" spans="1:13" x14ac:dyDescent="0.2">
      <c r="A198" s="116" t="s">
        <v>1152</v>
      </c>
      <c r="B198" s="116" t="s">
        <v>393</v>
      </c>
      <c r="C198" s="117">
        <f>COUNTIF($D$3:D198, D198)</f>
        <v>7</v>
      </c>
      <c r="D198" s="117">
        <v>389</v>
      </c>
      <c r="E198" s="117" t="str">
        <f t="shared" si="20"/>
        <v>1038907</v>
      </c>
      <c r="F198" s="117">
        <f>IFERROR(VLOOKUP($G198, Sched!$A:$AA, 27, FALSE), "")</f>
        <v>0</v>
      </c>
      <c r="G198" s="125" t="s">
        <v>388</v>
      </c>
      <c r="H198" s="116" t="str">
        <f t="shared" si="19"/>
        <v>ACC.RGC.LS-5-2-01</v>
      </c>
      <c r="I198" s="117" t="str">
        <f t="shared" si="21"/>
        <v>M-305</v>
      </c>
      <c r="K198" t="s">
        <v>698</v>
      </c>
      <c r="L198" t="s">
        <v>16</v>
      </c>
      <c r="M198">
        <v>2</v>
      </c>
    </row>
    <row r="199" spans="1:13" x14ac:dyDescent="0.2">
      <c r="A199" s="116" t="s">
        <v>1152</v>
      </c>
      <c r="B199" s="116" t="s">
        <v>393</v>
      </c>
      <c r="C199" s="117">
        <f>COUNTIF($D$3:D199, D199)</f>
        <v>8</v>
      </c>
      <c r="D199" s="117">
        <v>389</v>
      </c>
      <c r="E199" s="117" t="str">
        <f t="shared" si="20"/>
        <v>1038908</v>
      </c>
      <c r="F199" s="117">
        <f>IFERROR(VLOOKUP($G199, Sched!$A:$AA, 27, FALSE), "")</f>
        <v>0</v>
      </c>
      <c r="G199" s="125" t="s">
        <v>389</v>
      </c>
      <c r="H199" s="116" t="str">
        <f t="shared" si="19"/>
        <v>ACC.RGC.LE-6-2-01</v>
      </c>
      <c r="I199" s="117" t="str">
        <f t="shared" si="21"/>
        <v>M-305</v>
      </c>
      <c r="K199" t="s">
        <v>698</v>
      </c>
      <c r="L199" t="s">
        <v>16</v>
      </c>
      <c r="M199">
        <v>2</v>
      </c>
    </row>
    <row r="200" spans="1:13" x14ac:dyDescent="0.2">
      <c r="A200" s="116" t="s">
        <v>1152</v>
      </c>
      <c r="B200" s="116" t="s">
        <v>393</v>
      </c>
      <c r="C200" s="117">
        <f>COUNTIF($D$3:D200, D200)</f>
        <v>9</v>
      </c>
      <c r="D200" s="117">
        <v>389</v>
      </c>
      <c r="E200" s="117" t="str">
        <f t="shared" si="20"/>
        <v>1038909</v>
      </c>
      <c r="F200" s="117">
        <f>IFERROR(VLOOKUP($G200, Sched!$A:$AA, 27, FALSE), "")</f>
        <v>0</v>
      </c>
      <c r="G200" s="125" t="s">
        <v>390</v>
      </c>
      <c r="H200" s="116" t="str">
        <f t="shared" si="19"/>
        <v>ACC.RGC.LS-5-2-02</v>
      </c>
      <c r="I200" s="117" t="str">
        <f t="shared" si="21"/>
        <v>M-305</v>
      </c>
      <c r="K200" t="s">
        <v>698</v>
      </c>
      <c r="L200" t="s">
        <v>16</v>
      </c>
      <c r="M200">
        <v>2</v>
      </c>
    </row>
    <row r="201" spans="1:13" x14ac:dyDescent="0.2">
      <c r="A201" s="116" t="s">
        <v>1152</v>
      </c>
      <c r="B201" s="116" t="s">
        <v>393</v>
      </c>
      <c r="C201" s="117">
        <f>COUNTIF($D$3:D201, D201)</f>
        <v>10</v>
      </c>
      <c r="D201" s="117">
        <v>389</v>
      </c>
      <c r="E201" s="117" t="str">
        <f t="shared" si="20"/>
        <v>1038910</v>
      </c>
      <c r="F201" s="117">
        <f>IFERROR(VLOOKUP($G201, Sched!$A:$AA, 27, FALSE), "")</f>
        <v>0</v>
      </c>
      <c r="G201" s="125" t="s">
        <v>391</v>
      </c>
      <c r="H201" s="116" t="str">
        <f t="shared" si="19"/>
        <v>ACC.RGC.LE-6-2-02</v>
      </c>
      <c r="I201" s="117" t="str">
        <f t="shared" si="21"/>
        <v>M-305</v>
      </c>
      <c r="K201" t="s">
        <v>698</v>
      </c>
      <c r="L201" t="s">
        <v>16</v>
      </c>
      <c r="M201">
        <v>2</v>
      </c>
    </row>
    <row r="202" spans="1:13" x14ac:dyDescent="0.2">
      <c r="A202" s="116" t="s">
        <v>1152</v>
      </c>
      <c r="B202" s="116" t="s">
        <v>393</v>
      </c>
      <c r="C202" s="117">
        <f>COUNTIF($D$3:D202, D202)</f>
        <v>11</v>
      </c>
      <c r="D202" s="117">
        <v>389</v>
      </c>
      <c r="E202" s="117" t="str">
        <f t="shared" si="20"/>
        <v>1038911</v>
      </c>
      <c r="F202" s="117">
        <f>IFERROR(VLOOKUP($G202, Sched!$A:$AA, 27, FALSE), "")</f>
        <v>0</v>
      </c>
      <c r="G202" s="125" t="s">
        <v>392</v>
      </c>
      <c r="H202" s="116" t="str">
        <f t="shared" si="19"/>
        <v>ACC.RGC.LS-5-2-03</v>
      </c>
      <c r="I202" s="117" t="str">
        <f t="shared" si="21"/>
        <v>M-305</v>
      </c>
      <c r="K202" t="s">
        <v>698</v>
      </c>
      <c r="L202" t="s">
        <v>16</v>
      </c>
      <c r="M202">
        <v>2</v>
      </c>
    </row>
    <row r="203" spans="1:13" x14ac:dyDescent="0.2">
      <c r="A203" s="116" t="s">
        <v>1156</v>
      </c>
      <c r="B203" s="116" t="s">
        <v>1168</v>
      </c>
      <c r="C203" s="117">
        <f>COUNTIF($D$3:D203, D203)</f>
        <v>1</v>
      </c>
      <c r="D203" s="117">
        <f>INDEX(PanelInstance!$B$2:$H$11, MATCH(Joined!$A203, PanelInstance!$B$2:$B$11, 0), MATCH(Joined!B203, PanelInstance!$B$1:$H$1, 0)+1)</f>
        <v>310</v>
      </c>
      <c r="E203" s="117" t="str">
        <f t="shared" si="20"/>
        <v>1031001</v>
      </c>
      <c r="F203" s="117">
        <f>IFERROR(VLOOKUP($G203, Sched!$A:$AA, 27, FALSE), "")</f>
        <v>15201</v>
      </c>
      <c r="G203" s="118" t="s">
        <v>203</v>
      </c>
      <c r="H203" s="116" t="str">
        <f xml:space="preserve"> "ACC.RGC." &amp; G203</f>
        <v>ACC.RGC.VV-3-3-18</v>
      </c>
      <c r="I203" s="117" t="str">
        <f t="shared" si="21"/>
        <v>M-103B1</v>
      </c>
      <c r="K203" t="s">
        <v>285</v>
      </c>
      <c r="L203" t="s">
        <v>276</v>
      </c>
      <c r="M203">
        <v>3</v>
      </c>
    </row>
    <row r="204" spans="1:13" x14ac:dyDescent="0.2">
      <c r="A204" s="116" t="s">
        <v>1156</v>
      </c>
      <c r="B204" s="116" t="s">
        <v>1168</v>
      </c>
      <c r="C204" s="117">
        <f>COUNTIF($D$3:D204, D204)</f>
        <v>2</v>
      </c>
      <c r="D204" s="117">
        <f>INDEX(PanelInstance!$B$2:$H$11, MATCH(Joined!$A204, PanelInstance!$B$2:$B$11, 0), MATCH(Joined!B204, PanelInstance!$B$1:$H$1, 0)+1)</f>
        <v>310</v>
      </c>
      <c r="E204" s="117" t="str">
        <f t="shared" si="20"/>
        <v>1031002</v>
      </c>
      <c r="F204" s="117">
        <f>IFERROR(VLOOKUP($G204, Sched!$A:$AA, 27, FALSE), "")</f>
        <v>15201</v>
      </c>
      <c r="G204" s="118" t="s">
        <v>202</v>
      </c>
      <c r="H204" s="116" t="str">
        <f t="shared" ref="H204:H267" si="22" xml:space="preserve"> "ACC.RGC." &amp; G204</f>
        <v>ACC.RGC.VV-3-3-17</v>
      </c>
      <c r="I204" s="117" t="str">
        <f t="shared" si="21"/>
        <v>M-103B1</v>
      </c>
      <c r="K204" t="s">
        <v>285</v>
      </c>
      <c r="L204" t="s">
        <v>276</v>
      </c>
      <c r="M204">
        <v>3</v>
      </c>
    </row>
    <row r="205" spans="1:13" x14ac:dyDescent="0.2">
      <c r="A205" s="116" t="s">
        <v>1156</v>
      </c>
      <c r="B205" s="116" t="s">
        <v>1168</v>
      </c>
      <c r="C205" s="117">
        <f>COUNTIF($D$3:D205, D205)</f>
        <v>3</v>
      </c>
      <c r="D205" s="117">
        <f>INDEX(PanelInstance!$B$2:$H$11, MATCH(Joined!$A205, PanelInstance!$B$2:$B$11, 0), MATCH(Joined!B205, PanelInstance!$B$1:$H$1, 0)+1)</f>
        <v>310</v>
      </c>
      <c r="E205" s="117" t="str">
        <f t="shared" si="20"/>
        <v>1031003</v>
      </c>
      <c r="F205" s="117">
        <f>IFERROR(VLOOKUP($G205, Sched!$A:$AA, 27, FALSE), "")</f>
        <v>15201</v>
      </c>
      <c r="G205" s="118" t="s">
        <v>201</v>
      </c>
      <c r="H205" s="116" t="str">
        <f t="shared" si="22"/>
        <v>ACC.RGC.VV-3-3-16</v>
      </c>
      <c r="I205" s="117" t="str">
        <f t="shared" si="21"/>
        <v>M-103B1</v>
      </c>
      <c r="K205" t="s">
        <v>285</v>
      </c>
      <c r="L205" t="s">
        <v>276</v>
      </c>
      <c r="M205">
        <v>3</v>
      </c>
    </row>
    <row r="206" spans="1:13" x14ac:dyDescent="0.2">
      <c r="A206" s="116" t="s">
        <v>1156</v>
      </c>
      <c r="B206" s="116" t="s">
        <v>1168</v>
      </c>
      <c r="C206" s="117">
        <f>COUNTIF($D$3:D206, D206)</f>
        <v>4</v>
      </c>
      <c r="D206" s="117">
        <f>INDEX(PanelInstance!$B$2:$H$11, MATCH(Joined!$A206, PanelInstance!$B$2:$B$11, 0), MATCH(Joined!B206, PanelInstance!$B$1:$H$1, 0)+1)</f>
        <v>310</v>
      </c>
      <c r="E206" s="117" t="str">
        <f t="shared" si="20"/>
        <v>1031004</v>
      </c>
      <c r="F206" s="117">
        <f>IFERROR(VLOOKUP($G206, Sched!$A:$AA, 27, FALSE), "")</f>
        <v>15201</v>
      </c>
      <c r="G206" s="118" t="s">
        <v>200</v>
      </c>
      <c r="H206" s="116" t="str">
        <f t="shared" si="22"/>
        <v>ACC.RGC.VV-3-3-15</v>
      </c>
      <c r="I206" s="117" t="str">
        <f t="shared" si="21"/>
        <v>M-103B1</v>
      </c>
      <c r="K206" t="s">
        <v>285</v>
      </c>
      <c r="L206" t="s">
        <v>276</v>
      </c>
      <c r="M206">
        <v>3</v>
      </c>
    </row>
    <row r="207" spans="1:13" x14ac:dyDescent="0.2">
      <c r="A207" s="116" t="s">
        <v>1156</v>
      </c>
      <c r="B207" s="116" t="s">
        <v>1168</v>
      </c>
      <c r="C207" s="117">
        <f>COUNTIF($D$3:D207, D207)</f>
        <v>5</v>
      </c>
      <c r="D207" s="117">
        <f>INDEX(PanelInstance!$B$2:$H$11, MATCH(Joined!$A207, PanelInstance!$B$2:$B$11, 0), MATCH(Joined!B207, PanelInstance!$B$1:$H$1, 0)+1)</f>
        <v>310</v>
      </c>
      <c r="E207" s="117" t="str">
        <f t="shared" si="20"/>
        <v>1031005</v>
      </c>
      <c r="F207" s="117">
        <f>IFERROR(VLOOKUP($G207, Sched!$A:$AA, 27, FALSE), "")</f>
        <v>15201</v>
      </c>
      <c r="G207" s="118" t="s">
        <v>199</v>
      </c>
      <c r="H207" s="116" t="str">
        <f t="shared" si="22"/>
        <v>ACC.RGC.VV-3-3-14</v>
      </c>
      <c r="I207" s="117" t="str">
        <f t="shared" si="21"/>
        <v>M-103B1</v>
      </c>
      <c r="K207" t="s">
        <v>285</v>
      </c>
      <c r="L207" t="s">
        <v>276</v>
      </c>
      <c r="M207">
        <v>3</v>
      </c>
    </row>
    <row r="208" spans="1:13" x14ac:dyDescent="0.2">
      <c r="A208" s="116" t="s">
        <v>1156</v>
      </c>
      <c r="B208" s="116" t="s">
        <v>1168</v>
      </c>
      <c r="C208" s="117">
        <f>COUNTIF($D$3:D208, D208)</f>
        <v>6</v>
      </c>
      <c r="D208" s="117">
        <f>INDEX(PanelInstance!$B$2:$H$11, MATCH(Joined!$A208, PanelInstance!$B$2:$B$11, 0), MATCH(Joined!B208, PanelInstance!$B$1:$H$1, 0)+1)</f>
        <v>310</v>
      </c>
      <c r="E208" s="117" t="str">
        <f t="shared" si="20"/>
        <v>1031006</v>
      </c>
      <c r="F208" s="117">
        <f>IFERROR(VLOOKUP($G208, Sched!$A:$AA, 27, FALSE), "")</f>
        <v>15201</v>
      </c>
      <c r="G208" s="118" t="s">
        <v>198</v>
      </c>
      <c r="H208" s="116" t="str">
        <f t="shared" si="22"/>
        <v>ACC.RGC.VV-3-3-13</v>
      </c>
      <c r="I208" s="117" t="str">
        <f t="shared" si="21"/>
        <v>M-103B1</v>
      </c>
      <c r="K208" t="s">
        <v>285</v>
      </c>
      <c r="L208" t="s">
        <v>276</v>
      </c>
      <c r="M208">
        <v>3</v>
      </c>
    </row>
    <row r="209" spans="1:13" x14ac:dyDescent="0.2">
      <c r="A209" s="116" t="s">
        <v>1156</v>
      </c>
      <c r="B209" s="116" t="s">
        <v>1168</v>
      </c>
      <c r="C209" s="117">
        <f>COUNTIF($D$3:D209, D209)</f>
        <v>7</v>
      </c>
      <c r="D209" s="117">
        <f>INDEX(PanelInstance!$B$2:$H$11, MATCH(Joined!$A209, PanelInstance!$B$2:$B$11, 0), MATCH(Joined!B209, PanelInstance!$B$1:$H$1, 0)+1)</f>
        <v>310</v>
      </c>
      <c r="E209" s="117" t="str">
        <f t="shared" si="20"/>
        <v>1031007</v>
      </c>
      <c r="F209" s="117">
        <f>IFERROR(VLOOKUP($G209, Sched!$A:$AA, 27, FALSE), "")</f>
        <v>15201</v>
      </c>
      <c r="G209" s="118" t="s">
        <v>197</v>
      </c>
      <c r="H209" s="116" t="str">
        <f t="shared" si="22"/>
        <v>ACC.RGC.VV-3-3-12</v>
      </c>
      <c r="I209" s="117" t="str">
        <f t="shared" si="21"/>
        <v>M-103B1</v>
      </c>
      <c r="K209" t="s">
        <v>285</v>
      </c>
      <c r="L209" t="s">
        <v>276</v>
      </c>
      <c r="M209">
        <v>3</v>
      </c>
    </row>
    <row r="210" spans="1:13" x14ac:dyDescent="0.2">
      <c r="A210" s="116" t="s">
        <v>1156</v>
      </c>
      <c r="B210" s="116" t="s">
        <v>1168</v>
      </c>
      <c r="C210" s="117">
        <f>COUNTIF($D$3:D210, D210)</f>
        <v>8</v>
      </c>
      <c r="D210" s="117">
        <f>INDEX(PanelInstance!$B$2:$H$11, MATCH(Joined!$A210, PanelInstance!$B$2:$B$11, 0), MATCH(Joined!B210, PanelInstance!$B$1:$H$1, 0)+1)</f>
        <v>310</v>
      </c>
      <c r="E210" s="117" t="str">
        <f t="shared" si="20"/>
        <v>1031008</v>
      </c>
      <c r="F210" s="117">
        <f>IFERROR(VLOOKUP($G210, Sched!$A:$AA, 27, FALSE), "")</f>
        <v>15201</v>
      </c>
      <c r="G210" s="118" t="s">
        <v>196</v>
      </c>
      <c r="H210" s="116" t="str">
        <f t="shared" si="22"/>
        <v>ACC.RGC.VV-3-3-11</v>
      </c>
      <c r="I210" s="117" t="str">
        <f t="shared" si="21"/>
        <v>M-103B1</v>
      </c>
      <c r="K210" t="s">
        <v>285</v>
      </c>
      <c r="L210" t="s">
        <v>276</v>
      </c>
      <c r="M210">
        <v>3</v>
      </c>
    </row>
    <row r="211" spans="1:13" x14ac:dyDescent="0.2">
      <c r="A211" s="116" t="s">
        <v>1156</v>
      </c>
      <c r="B211" s="116" t="s">
        <v>1168</v>
      </c>
      <c r="C211" s="117">
        <f>COUNTIF($D$3:D211, D211)</f>
        <v>9</v>
      </c>
      <c r="D211" s="117">
        <f>INDEX(PanelInstance!$B$2:$H$11, MATCH(Joined!$A211, PanelInstance!$B$2:$B$11, 0), MATCH(Joined!B211, PanelInstance!$B$1:$H$1, 0)+1)</f>
        <v>310</v>
      </c>
      <c r="E211" s="117" t="str">
        <f t="shared" si="20"/>
        <v>1031009</v>
      </c>
      <c r="F211" s="117">
        <f>IFERROR(VLOOKUP($G211, Sched!$A:$AA, 27, FALSE), "")</f>
        <v>15201</v>
      </c>
      <c r="G211" s="118" t="s">
        <v>194</v>
      </c>
      <c r="H211" s="116" t="str">
        <f t="shared" si="22"/>
        <v>ACC.RGC.VV-3-3-09</v>
      </c>
      <c r="I211" s="117" t="str">
        <f t="shared" si="21"/>
        <v>M-103B1</v>
      </c>
      <c r="K211" t="s">
        <v>285</v>
      </c>
      <c r="L211" t="s">
        <v>276</v>
      </c>
      <c r="M211">
        <v>3</v>
      </c>
    </row>
    <row r="212" spans="1:13" x14ac:dyDescent="0.2">
      <c r="A212" s="116" t="s">
        <v>1156</v>
      </c>
      <c r="B212" s="116" t="s">
        <v>1168</v>
      </c>
      <c r="C212" s="117">
        <f>COUNTIF($D$3:D212, D212)</f>
        <v>10</v>
      </c>
      <c r="D212" s="117">
        <f>INDEX(PanelInstance!$B$2:$H$11, MATCH(Joined!$A212, PanelInstance!$B$2:$B$11, 0), MATCH(Joined!B212, PanelInstance!$B$1:$H$1, 0)+1)</f>
        <v>310</v>
      </c>
      <c r="E212" s="117" t="str">
        <f t="shared" si="20"/>
        <v>1031010</v>
      </c>
      <c r="F212" s="117">
        <f>IFERROR(VLOOKUP($G212, Sched!$A:$AA, 27, FALSE), "")</f>
        <v>15201</v>
      </c>
      <c r="G212" s="118" t="s">
        <v>193</v>
      </c>
      <c r="H212" s="116" t="str">
        <f t="shared" si="22"/>
        <v>ACC.RGC.VV-3-3-08</v>
      </c>
      <c r="I212" s="117" t="str">
        <f t="shared" si="21"/>
        <v>M-103B1</v>
      </c>
      <c r="K212" t="s">
        <v>285</v>
      </c>
      <c r="L212" t="s">
        <v>276</v>
      </c>
      <c r="M212">
        <v>3</v>
      </c>
    </row>
    <row r="213" spans="1:13" x14ac:dyDescent="0.2">
      <c r="A213" s="116" t="s">
        <v>1156</v>
      </c>
      <c r="B213" s="116" t="s">
        <v>1168</v>
      </c>
      <c r="C213" s="117">
        <f>COUNTIF($D$3:D213, D213)</f>
        <v>11</v>
      </c>
      <c r="D213" s="117">
        <f>INDEX(PanelInstance!$B$2:$H$11, MATCH(Joined!$A213, PanelInstance!$B$2:$B$11, 0), MATCH(Joined!B213, PanelInstance!$B$1:$H$1, 0)+1)</f>
        <v>310</v>
      </c>
      <c r="E213" s="117" t="str">
        <f t="shared" si="20"/>
        <v>1031011</v>
      </c>
      <c r="F213" s="117">
        <f>IFERROR(VLOOKUP($G213, Sched!$A:$AA, 27, FALSE), "")</f>
        <v>15201</v>
      </c>
      <c r="G213" s="118" t="s">
        <v>192</v>
      </c>
      <c r="H213" s="116" t="str">
        <f t="shared" si="22"/>
        <v>ACC.RGC.VV-3-3-07</v>
      </c>
      <c r="I213" s="117" t="str">
        <f t="shared" si="21"/>
        <v>M-103B1</v>
      </c>
      <c r="K213" t="s">
        <v>285</v>
      </c>
      <c r="L213" t="s">
        <v>276</v>
      </c>
      <c r="M213">
        <v>3</v>
      </c>
    </row>
    <row r="214" spans="1:13" x14ac:dyDescent="0.2">
      <c r="A214" s="116" t="s">
        <v>1156</v>
      </c>
      <c r="B214" s="116" t="s">
        <v>1168</v>
      </c>
      <c r="C214" s="117">
        <f>COUNTIF($D$3:D214, D214)</f>
        <v>12</v>
      </c>
      <c r="D214" s="117">
        <f>INDEX(PanelInstance!$B$2:$H$11, MATCH(Joined!$A214, PanelInstance!$B$2:$B$11, 0), MATCH(Joined!B214, PanelInstance!$B$1:$H$1, 0)+1)</f>
        <v>310</v>
      </c>
      <c r="E214" s="117" t="str">
        <f t="shared" si="20"/>
        <v>1031012</v>
      </c>
      <c r="F214" s="117">
        <f>IFERROR(VLOOKUP($G214, Sched!$A:$AA, 27, FALSE), "")</f>
        <v>15201</v>
      </c>
      <c r="G214" s="118" t="s">
        <v>191</v>
      </c>
      <c r="H214" s="116" t="str">
        <f t="shared" si="22"/>
        <v>ACC.RGC.VV-3-3-06</v>
      </c>
      <c r="I214" s="117" t="str">
        <f t="shared" si="21"/>
        <v>M-103B1</v>
      </c>
      <c r="K214" t="s">
        <v>285</v>
      </c>
      <c r="L214" t="s">
        <v>276</v>
      </c>
      <c r="M214">
        <v>3</v>
      </c>
    </row>
    <row r="215" spans="1:13" x14ac:dyDescent="0.2">
      <c r="A215" s="116" t="s">
        <v>1156</v>
      </c>
      <c r="B215" s="116" t="s">
        <v>1168</v>
      </c>
      <c r="C215" s="117">
        <f>COUNTIF($D$3:D215, D215)</f>
        <v>13</v>
      </c>
      <c r="D215" s="117">
        <f>INDEX(PanelInstance!$B$2:$H$11, MATCH(Joined!$A215, PanelInstance!$B$2:$B$11, 0), MATCH(Joined!B215, PanelInstance!$B$1:$H$1, 0)+1)</f>
        <v>310</v>
      </c>
      <c r="E215" s="117" t="str">
        <f t="shared" si="20"/>
        <v>1031013</v>
      </c>
      <c r="F215" s="117">
        <f>IFERROR(VLOOKUP($G215, Sched!$A:$AA, 27, FALSE), "")</f>
        <v>15201</v>
      </c>
      <c r="G215" s="118" t="s">
        <v>190</v>
      </c>
      <c r="H215" s="116" t="str">
        <f t="shared" si="22"/>
        <v>ACC.RGC.VV-3-3-05</v>
      </c>
      <c r="I215" s="117" t="str">
        <f t="shared" si="21"/>
        <v>M-103B1</v>
      </c>
      <c r="K215" t="s">
        <v>285</v>
      </c>
      <c r="L215" t="s">
        <v>276</v>
      </c>
      <c r="M215">
        <v>3</v>
      </c>
    </row>
    <row r="216" spans="1:13" x14ac:dyDescent="0.2">
      <c r="A216" s="116" t="s">
        <v>1156</v>
      </c>
      <c r="B216" s="116" t="s">
        <v>1168</v>
      </c>
      <c r="C216" s="117">
        <f>COUNTIF($D$3:D216, D216)</f>
        <v>14</v>
      </c>
      <c r="D216" s="117">
        <f>INDEX(PanelInstance!$B$2:$H$11, MATCH(Joined!$A216, PanelInstance!$B$2:$B$11, 0), MATCH(Joined!B216, PanelInstance!$B$1:$H$1, 0)+1)</f>
        <v>310</v>
      </c>
      <c r="E216" s="117" t="str">
        <f t="shared" si="20"/>
        <v>1031014</v>
      </c>
      <c r="F216" s="117">
        <f>IFERROR(VLOOKUP($G216, Sched!$A:$AA, 27, FALSE), "")</f>
        <v>15401</v>
      </c>
      <c r="G216" s="118" t="s">
        <v>229</v>
      </c>
      <c r="H216" s="116" t="str">
        <f t="shared" si="22"/>
        <v>ACC.RGC.FCV-2-3-1</v>
      </c>
      <c r="I216" s="117" t="str">
        <f t="shared" si="21"/>
        <v>M-103B1</v>
      </c>
      <c r="K216" t="s">
        <v>285</v>
      </c>
      <c r="L216" t="s">
        <v>276</v>
      </c>
      <c r="M216">
        <v>3</v>
      </c>
    </row>
    <row r="217" spans="1:13" x14ac:dyDescent="0.2">
      <c r="A217" s="116" t="s">
        <v>1156</v>
      </c>
      <c r="B217" s="116" t="s">
        <v>1168</v>
      </c>
      <c r="C217" s="117">
        <f>COUNTIF($D$3:D217, D217)</f>
        <v>15</v>
      </c>
      <c r="D217" s="117">
        <f>INDEX(PanelInstance!$B$2:$H$11, MATCH(Joined!$A217, PanelInstance!$B$2:$B$11, 0), MATCH(Joined!B217, PanelInstance!$B$1:$H$1, 0)+1)</f>
        <v>310</v>
      </c>
      <c r="E217" s="117" t="str">
        <f t="shared" si="20"/>
        <v>1031015</v>
      </c>
      <c r="F217" s="117">
        <f>IFERROR(VLOOKUP($G217, Sched!$A:$AA, 27, FALSE), "")</f>
        <v>15003</v>
      </c>
      <c r="G217" s="118" t="s">
        <v>185</v>
      </c>
      <c r="H217" s="116" t="str">
        <f t="shared" si="22"/>
        <v>ACC.RGC.VV-2-3-05</v>
      </c>
      <c r="I217" s="117" t="str">
        <f t="shared" si="21"/>
        <v>M-103B1</v>
      </c>
      <c r="K217" t="s">
        <v>285</v>
      </c>
      <c r="L217" t="s">
        <v>276</v>
      </c>
      <c r="M217">
        <v>3</v>
      </c>
    </row>
    <row r="218" spans="1:13" x14ac:dyDescent="0.2">
      <c r="A218" s="116" t="s">
        <v>1156</v>
      </c>
      <c r="B218" s="116" t="s">
        <v>1168</v>
      </c>
      <c r="C218" s="117">
        <f>COUNTIF($D$3:D218, D218)</f>
        <v>16</v>
      </c>
      <c r="D218" s="117">
        <f>INDEX(PanelInstance!$B$2:$H$11, MATCH(Joined!$A218, PanelInstance!$B$2:$B$11, 0), MATCH(Joined!B218, PanelInstance!$B$1:$H$1, 0)+1)</f>
        <v>310</v>
      </c>
      <c r="E218" s="117" t="str">
        <f t="shared" si="20"/>
        <v>1031016</v>
      </c>
      <c r="F218" s="117">
        <f>IFERROR(VLOOKUP($G218, Sched!$A:$AA, 27, FALSE), "")</f>
        <v>15001</v>
      </c>
      <c r="G218" s="118" t="s">
        <v>183</v>
      </c>
      <c r="H218" s="116" t="str">
        <f t="shared" si="22"/>
        <v>ACC.RGC.VV-2-3-03</v>
      </c>
      <c r="I218" s="117" t="str">
        <f t="shared" si="21"/>
        <v>M-103B1</v>
      </c>
      <c r="K218" t="s">
        <v>285</v>
      </c>
      <c r="L218" t="s">
        <v>276</v>
      </c>
      <c r="M218">
        <v>3</v>
      </c>
    </row>
    <row r="219" spans="1:13" x14ac:dyDescent="0.2">
      <c r="A219" s="116" t="s">
        <v>1156</v>
      </c>
      <c r="B219" s="116" t="s">
        <v>1169</v>
      </c>
      <c r="C219" s="117">
        <f>COUNTIF($D$3:D219, D219)</f>
        <v>1</v>
      </c>
      <c r="D219" s="117">
        <f>INDEX(PanelInstance!$B$2:$H$11, MATCH(Joined!$A219, PanelInstance!$B$2:$B$11, 0), MATCH(Joined!B219, PanelInstance!$B$1:$H$1, 0)+1)</f>
        <v>360</v>
      </c>
      <c r="E219" s="117" t="str">
        <f t="shared" si="20"/>
        <v>1036001</v>
      </c>
      <c r="F219" s="117" t="str">
        <f>IFERROR(VLOOKUP($G219, Sched!$A:$AA, 27, FALSE), "")</f>
        <v/>
      </c>
      <c r="G219" s="118" t="s">
        <v>250</v>
      </c>
      <c r="H219" s="116" t="str">
        <f t="shared" si="22"/>
        <v>ACC.RGC.AFMS-3-3-SA-1</v>
      </c>
      <c r="I219" s="117" t="str">
        <f t="shared" si="21"/>
        <v>M-103A1</v>
      </c>
      <c r="K219" t="s">
        <v>288</v>
      </c>
      <c r="L219" t="s">
        <v>16</v>
      </c>
      <c r="M219">
        <v>3</v>
      </c>
    </row>
    <row r="220" spans="1:13" x14ac:dyDescent="0.2">
      <c r="A220" s="116" t="s">
        <v>1156</v>
      </c>
      <c r="B220" s="116" t="s">
        <v>1169</v>
      </c>
      <c r="C220" s="117">
        <f>COUNTIF($D$3:D220, D220)</f>
        <v>2</v>
      </c>
      <c r="D220" s="117">
        <f>INDEX(PanelInstance!$B$2:$H$11, MATCH(Joined!$A220, PanelInstance!$B$2:$B$11, 0), MATCH(Joined!B220, PanelInstance!$B$1:$H$1, 0)+1)</f>
        <v>360</v>
      </c>
      <c r="E220" s="117" t="str">
        <f t="shared" si="20"/>
        <v>1036002</v>
      </c>
      <c r="F220" s="117" t="str">
        <f>IFERROR(VLOOKUP($G220, Sched!$A:$AA, 27, FALSE), "")</f>
        <v/>
      </c>
      <c r="G220" s="118" t="s">
        <v>249</v>
      </c>
      <c r="H220" s="116" t="str">
        <f t="shared" si="22"/>
        <v>ACC.RGC.AFMS-3-3-EA-2</v>
      </c>
      <c r="I220" s="117" t="str">
        <f t="shared" si="21"/>
        <v>M-103A1</v>
      </c>
      <c r="K220" t="s">
        <v>288</v>
      </c>
      <c r="L220" t="s">
        <v>16</v>
      </c>
      <c r="M220">
        <v>3</v>
      </c>
    </row>
    <row r="221" spans="1:13" x14ac:dyDescent="0.2">
      <c r="A221" s="116" t="s">
        <v>1156</v>
      </c>
      <c r="B221" s="116" t="s">
        <v>1169</v>
      </c>
      <c r="C221" s="117">
        <f>COUNTIF($D$3:D221, D221)</f>
        <v>3</v>
      </c>
      <c r="D221" s="117">
        <f>INDEX(PanelInstance!$B$2:$H$11, MATCH(Joined!$A221, PanelInstance!$B$2:$B$11, 0), MATCH(Joined!B221, PanelInstance!$B$1:$H$1, 0)+1)</f>
        <v>360</v>
      </c>
      <c r="E221" s="117" t="str">
        <f t="shared" si="20"/>
        <v>1036003</v>
      </c>
      <c r="F221" s="117" t="str">
        <f>IFERROR(VLOOKUP($G221, Sched!$A:$AA, 27, FALSE), "")</f>
        <v/>
      </c>
      <c r="G221" s="118" t="s">
        <v>248</v>
      </c>
      <c r="H221" s="116" t="str">
        <f t="shared" si="22"/>
        <v>ACC.RGC.AFMS-3-3-EA-1</v>
      </c>
      <c r="I221" s="117" t="str">
        <f t="shared" si="21"/>
        <v>M-103A1</v>
      </c>
      <c r="K221" t="s">
        <v>288</v>
      </c>
      <c r="L221" t="s">
        <v>16</v>
      </c>
      <c r="M221">
        <v>3</v>
      </c>
    </row>
    <row r="222" spans="1:13" x14ac:dyDescent="0.2">
      <c r="A222" s="116" t="s">
        <v>1156</v>
      </c>
      <c r="B222" s="116" t="s">
        <v>1169</v>
      </c>
      <c r="C222" s="117">
        <f>COUNTIF($D$3:D222, D222)</f>
        <v>4</v>
      </c>
      <c r="D222" s="117">
        <f>INDEX(PanelInstance!$B$2:$H$11, MATCH(Joined!$A222, PanelInstance!$B$2:$B$11, 0), MATCH(Joined!B222, PanelInstance!$B$1:$H$1, 0)+1)</f>
        <v>360</v>
      </c>
      <c r="E222" s="117" t="str">
        <f t="shared" si="20"/>
        <v>1036004</v>
      </c>
      <c r="F222" s="117" t="str">
        <f>IFERROR(VLOOKUP($G222, Sched!$A:$AA, 27, FALSE), "")</f>
        <v/>
      </c>
      <c r="G222" s="118" t="s">
        <v>273</v>
      </c>
      <c r="H222" s="116" t="str">
        <f t="shared" si="22"/>
        <v>ACC.RGC.FCU-3-1</v>
      </c>
      <c r="I222" s="117" t="str">
        <f t="shared" si="21"/>
        <v>M-103B1</v>
      </c>
      <c r="K222" t="s">
        <v>285</v>
      </c>
      <c r="L222" t="s">
        <v>276</v>
      </c>
      <c r="M222">
        <v>3</v>
      </c>
    </row>
    <row r="223" spans="1:13" x14ac:dyDescent="0.2">
      <c r="A223" s="116" t="s">
        <v>1156</v>
      </c>
      <c r="B223" s="116" t="s">
        <v>1168</v>
      </c>
      <c r="C223" s="117">
        <f>COUNTIF($D$3:D223, D223)</f>
        <v>17</v>
      </c>
      <c r="D223" s="117">
        <f>INDEX(PanelInstance!$B$2:$H$11, MATCH(Joined!$A223, PanelInstance!$B$2:$B$11, 0), MATCH(Joined!B223, PanelInstance!$B$1:$H$1, 0)+1)</f>
        <v>310</v>
      </c>
      <c r="E223" s="117" t="str">
        <f t="shared" si="20"/>
        <v>1031017</v>
      </c>
      <c r="F223" s="117">
        <f>IFERROR(VLOOKUP($G223, Sched!$A:$AA, 27, FALSE), "")</f>
        <v>15201</v>
      </c>
      <c r="G223" s="118" t="s">
        <v>224</v>
      </c>
      <c r="H223" s="116" t="str">
        <f t="shared" si="22"/>
        <v>ACC.RGC.VV-4-3-20</v>
      </c>
      <c r="I223" s="117" t="str">
        <f t="shared" si="21"/>
        <v>M-103A2</v>
      </c>
      <c r="K223" t="s">
        <v>287</v>
      </c>
      <c r="L223" t="s">
        <v>278</v>
      </c>
      <c r="M223">
        <v>3</v>
      </c>
    </row>
    <row r="224" spans="1:13" x14ac:dyDescent="0.2">
      <c r="A224" s="116" t="s">
        <v>1156</v>
      </c>
      <c r="B224" s="116" t="s">
        <v>1168</v>
      </c>
      <c r="C224" s="117">
        <f>COUNTIF($D$3:D224, D224)</f>
        <v>18</v>
      </c>
      <c r="D224" s="117">
        <f>INDEX(PanelInstance!$B$2:$H$11, MATCH(Joined!$A224, PanelInstance!$B$2:$B$11, 0), MATCH(Joined!B224, PanelInstance!$B$1:$H$1, 0)+1)</f>
        <v>310</v>
      </c>
      <c r="E224" s="117" t="str">
        <f t="shared" si="20"/>
        <v>1031018</v>
      </c>
      <c r="F224" s="117">
        <f>IFERROR(VLOOKUP($G224, Sched!$A:$AA, 27, FALSE), "")</f>
        <v>15201</v>
      </c>
      <c r="G224" s="118" t="s">
        <v>223</v>
      </c>
      <c r="H224" s="116" t="str">
        <f t="shared" si="22"/>
        <v>ACC.RGC.VV-4-3-19</v>
      </c>
      <c r="I224" s="117" t="str">
        <f t="shared" si="21"/>
        <v>M-103A2</v>
      </c>
      <c r="K224" t="s">
        <v>287</v>
      </c>
      <c r="L224" t="s">
        <v>278</v>
      </c>
      <c r="M224">
        <v>3</v>
      </c>
    </row>
    <row r="225" spans="1:13" x14ac:dyDescent="0.2">
      <c r="A225" s="116" t="s">
        <v>1156</v>
      </c>
      <c r="B225" s="116" t="s">
        <v>1168</v>
      </c>
      <c r="C225" s="117">
        <f>COUNTIF($D$3:D225, D225)</f>
        <v>19</v>
      </c>
      <c r="D225" s="117">
        <f>INDEX(PanelInstance!$B$2:$H$11, MATCH(Joined!$A225, PanelInstance!$B$2:$B$11, 0), MATCH(Joined!B225, PanelInstance!$B$1:$H$1, 0)+1)</f>
        <v>310</v>
      </c>
      <c r="E225" s="117" t="str">
        <f t="shared" si="20"/>
        <v>1031019</v>
      </c>
      <c r="F225" s="117">
        <f>IFERROR(VLOOKUP($G225, Sched!$A:$AA, 27, FALSE), "")</f>
        <v>0</v>
      </c>
      <c r="G225" s="126" t="s">
        <v>222</v>
      </c>
      <c r="H225" s="116" t="str">
        <f t="shared" si="22"/>
        <v>ACC.RGC.VV-4-3-18</v>
      </c>
      <c r="I225" s="117" t="str">
        <f t="shared" si="21"/>
        <v>M-103A2</v>
      </c>
      <c r="K225" t="s">
        <v>287</v>
      </c>
      <c r="L225" t="s">
        <v>278</v>
      </c>
      <c r="M225">
        <v>3</v>
      </c>
    </row>
    <row r="226" spans="1:13" x14ac:dyDescent="0.2">
      <c r="A226" s="116" t="s">
        <v>1156</v>
      </c>
      <c r="B226" s="116" t="s">
        <v>1168</v>
      </c>
      <c r="C226" s="117">
        <f>COUNTIF($D$3:D226, D226)</f>
        <v>20</v>
      </c>
      <c r="D226" s="117">
        <f>INDEX(PanelInstance!$B$2:$H$11, MATCH(Joined!$A226, PanelInstance!$B$2:$B$11, 0), MATCH(Joined!B226, PanelInstance!$B$1:$H$1, 0)+1)</f>
        <v>310</v>
      </c>
      <c r="E226" s="117" t="str">
        <f t="shared" si="20"/>
        <v>1031020</v>
      </c>
      <c r="F226" s="117">
        <f>IFERROR(VLOOKUP($G226, Sched!$A:$AA, 27, FALSE), "")</f>
        <v>15201</v>
      </c>
      <c r="G226" s="118" t="s">
        <v>221</v>
      </c>
      <c r="H226" s="116" t="str">
        <f t="shared" si="22"/>
        <v>ACC.RGC.VV-4-3-17</v>
      </c>
      <c r="I226" s="117" t="str">
        <f t="shared" si="21"/>
        <v>M-103A2</v>
      </c>
      <c r="K226" t="s">
        <v>287</v>
      </c>
      <c r="L226" t="s">
        <v>278</v>
      </c>
      <c r="M226">
        <v>3</v>
      </c>
    </row>
    <row r="227" spans="1:13" x14ac:dyDescent="0.2">
      <c r="A227" s="116" t="s">
        <v>1156</v>
      </c>
      <c r="B227" s="116" t="s">
        <v>1168</v>
      </c>
      <c r="C227" s="117">
        <f>COUNTIF($D$3:D227, D227)</f>
        <v>21</v>
      </c>
      <c r="D227" s="117">
        <f>INDEX(PanelInstance!$B$2:$H$11, MATCH(Joined!$A227, PanelInstance!$B$2:$B$11, 0), MATCH(Joined!B227, PanelInstance!$B$1:$H$1, 0)+1)</f>
        <v>310</v>
      </c>
      <c r="E227" s="117" t="str">
        <f t="shared" si="20"/>
        <v>1031021</v>
      </c>
      <c r="F227" s="117">
        <f>IFERROR(VLOOKUP($G227, Sched!$A:$AA, 27, FALSE), "")</f>
        <v>15201</v>
      </c>
      <c r="G227" s="118" t="s">
        <v>220</v>
      </c>
      <c r="H227" s="116" t="str">
        <f t="shared" si="22"/>
        <v>ACC.RGC.VV-4-3-16</v>
      </c>
      <c r="I227" s="117" t="str">
        <f t="shared" si="21"/>
        <v>M-103A2</v>
      </c>
      <c r="K227" t="s">
        <v>287</v>
      </c>
      <c r="L227" t="s">
        <v>278</v>
      </c>
      <c r="M227">
        <v>3</v>
      </c>
    </row>
    <row r="228" spans="1:13" x14ac:dyDescent="0.2">
      <c r="A228" s="116" t="s">
        <v>1156</v>
      </c>
      <c r="B228" s="116" t="s">
        <v>1168</v>
      </c>
      <c r="C228" s="117">
        <f>COUNTIF($D$3:D228, D228)</f>
        <v>22</v>
      </c>
      <c r="D228" s="117">
        <f>INDEX(PanelInstance!$B$2:$H$11, MATCH(Joined!$A228, PanelInstance!$B$2:$B$11, 0), MATCH(Joined!B228, PanelInstance!$B$1:$H$1, 0)+1)</f>
        <v>310</v>
      </c>
      <c r="E228" s="117" t="str">
        <f t="shared" si="20"/>
        <v>1031022</v>
      </c>
      <c r="F228" s="117">
        <f>IFERROR(VLOOKUP($G228, Sched!$A:$AA, 27, FALSE), "")</f>
        <v>15201</v>
      </c>
      <c r="G228" s="118" t="s">
        <v>219</v>
      </c>
      <c r="H228" s="116" t="str">
        <f t="shared" si="22"/>
        <v>ACC.RGC.VV-4-3-15</v>
      </c>
      <c r="I228" s="117" t="str">
        <f t="shared" si="21"/>
        <v>M-103A2</v>
      </c>
      <c r="K228" t="s">
        <v>287</v>
      </c>
      <c r="L228" t="s">
        <v>278</v>
      </c>
      <c r="M228">
        <v>3</v>
      </c>
    </row>
    <row r="229" spans="1:13" x14ac:dyDescent="0.2">
      <c r="A229" s="116" t="s">
        <v>1156</v>
      </c>
      <c r="B229" s="116" t="s">
        <v>1168</v>
      </c>
      <c r="C229" s="117">
        <f>COUNTIF($D$3:D229, D229)</f>
        <v>23</v>
      </c>
      <c r="D229" s="117">
        <f>INDEX(PanelInstance!$B$2:$H$11, MATCH(Joined!$A229, PanelInstance!$B$2:$B$11, 0), MATCH(Joined!B229, PanelInstance!$B$1:$H$1, 0)+1)</f>
        <v>310</v>
      </c>
      <c r="E229" s="117" t="str">
        <f t="shared" si="20"/>
        <v>1031023</v>
      </c>
      <c r="F229" s="117">
        <f>IFERROR(VLOOKUP($G229, Sched!$A:$AA, 27, FALSE), "")</f>
        <v>15201</v>
      </c>
      <c r="G229" s="118" t="s">
        <v>210</v>
      </c>
      <c r="H229" s="116" t="str">
        <f t="shared" si="22"/>
        <v>ACC.RGC.VV-4-3-06</v>
      </c>
      <c r="I229" s="117" t="str">
        <f t="shared" si="21"/>
        <v>M-103B2</v>
      </c>
      <c r="K229" t="s">
        <v>286</v>
      </c>
      <c r="L229" t="s">
        <v>281</v>
      </c>
      <c r="M229">
        <v>3</v>
      </c>
    </row>
    <row r="230" spans="1:13" x14ac:dyDescent="0.2">
      <c r="A230" s="116" t="s">
        <v>1156</v>
      </c>
      <c r="B230" s="116" t="s">
        <v>1168</v>
      </c>
      <c r="C230" s="117">
        <f>COUNTIF($D$3:D230, D230)</f>
        <v>24</v>
      </c>
      <c r="D230" s="117">
        <f>INDEX(PanelInstance!$B$2:$H$11, MATCH(Joined!$A230, PanelInstance!$B$2:$B$11, 0), MATCH(Joined!B230, PanelInstance!$B$1:$H$1, 0)+1)</f>
        <v>310</v>
      </c>
      <c r="E230" s="117" t="str">
        <f t="shared" si="20"/>
        <v>1031024</v>
      </c>
      <c r="F230" s="117">
        <f>IFERROR(VLOOKUP($G230, Sched!$A:$AA, 27, FALSE), "")</f>
        <v>15201</v>
      </c>
      <c r="G230" s="118" t="s">
        <v>209</v>
      </c>
      <c r="H230" s="116" t="str">
        <f t="shared" si="22"/>
        <v>ACC.RGC.VV-4-3-05</v>
      </c>
      <c r="I230" s="117" t="str">
        <f t="shared" si="21"/>
        <v>M-103A2</v>
      </c>
      <c r="K230" t="s">
        <v>287</v>
      </c>
      <c r="L230" t="s">
        <v>278</v>
      </c>
      <c r="M230">
        <v>3</v>
      </c>
    </row>
    <row r="231" spans="1:13" x14ac:dyDescent="0.2">
      <c r="A231" s="116" t="s">
        <v>1156</v>
      </c>
      <c r="B231" s="116" t="s">
        <v>1168</v>
      </c>
      <c r="C231" s="117">
        <f>COUNTIF($D$3:D231, D231)</f>
        <v>25</v>
      </c>
      <c r="D231" s="117">
        <f>INDEX(PanelInstance!$B$2:$H$11, MATCH(Joined!$A231, PanelInstance!$B$2:$B$11, 0), MATCH(Joined!B231, PanelInstance!$B$1:$H$1, 0)+1)</f>
        <v>310</v>
      </c>
      <c r="E231" s="117" t="str">
        <f t="shared" si="20"/>
        <v>1031025</v>
      </c>
      <c r="F231" s="117">
        <f>IFERROR(VLOOKUP($G231, Sched!$A:$AA, 27, FALSE), "")</f>
        <v>15201</v>
      </c>
      <c r="G231" s="118" t="s">
        <v>206</v>
      </c>
      <c r="H231" s="116" t="str">
        <f t="shared" si="22"/>
        <v>ACC.RGC.VV-4-3-02</v>
      </c>
      <c r="I231" s="117" t="str">
        <f t="shared" si="21"/>
        <v>M-103A2</v>
      </c>
      <c r="K231" t="s">
        <v>287</v>
      </c>
      <c r="L231" t="s">
        <v>278</v>
      </c>
      <c r="M231">
        <v>3</v>
      </c>
    </row>
    <row r="232" spans="1:13" x14ac:dyDescent="0.2">
      <c r="A232" s="116" t="s">
        <v>1156</v>
      </c>
      <c r="B232" s="116" t="s">
        <v>1168</v>
      </c>
      <c r="C232" s="117">
        <f>COUNTIF($D$3:D232, D232)</f>
        <v>26</v>
      </c>
      <c r="D232" s="117">
        <f>INDEX(PanelInstance!$B$2:$H$11, MATCH(Joined!$A232, PanelInstance!$B$2:$B$11, 0), MATCH(Joined!B232, PanelInstance!$B$1:$H$1, 0)+1)</f>
        <v>310</v>
      </c>
      <c r="E232" s="117" t="str">
        <f t="shared" si="20"/>
        <v>1031026</v>
      </c>
      <c r="F232" s="117">
        <f>IFERROR(VLOOKUP($G232, Sched!$A:$AA, 27, FALSE), "")</f>
        <v>15801</v>
      </c>
      <c r="G232" s="118" t="s">
        <v>228</v>
      </c>
      <c r="H232" s="116" t="str">
        <f t="shared" si="22"/>
        <v>ACC.RGC.VVE-4-3-01</v>
      </c>
      <c r="I232" s="117" t="str">
        <f t="shared" si="21"/>
        <v>M-103A2</v>
      </c>
      <c r="K232" t="s">
        <v>287</v>
      </c>
      <c r="L232" t="s">
        <v>278</v>
      </c>
      <c r="M232">
        <v>3</v>
      </c>
    </row>
    <row r="233" spans="1:13" x14ac:dyDescent="0.2">
      <c r="A233" s="116" t="s">
        <v>1156</v>
      </c>
      <c r="B233" s="116" t="s">
        <v>1168</v>
      </c>
      <c r="C233" s="117">
        <f>COUNTIF($D$3:D233, D233)</f>
        <v>27</v>
      </c>
      <c r="D233" s="117">
        <f>INDEX(PanelInstance!$B$2:$H$11, MATCH(Joined!$A233, PanelInstance!$B$2:$B$11, 0), MATCH(Joined!B233, PanelInstance!$B$1:$H$1, 0)+1)</f>
        <v>310</v>
      </c>
      <c r="E233" s="117" t="str">
        <f t="shared" si="20"/>
        <v>1031027</v>
      </c>
      <c r="F233" s="117">
        <f>IFERROR(VLOOKUP($G233, Sched!$A:$AA, 27, FALSE), "")</f>
        <v>15201</v>
      </c>
      <c r="G233" s="118" t="s">
        <v>225</v>
      </c>
      <c r="H233" s="116" t="str">
        <f t="shared" si="22"/>
        <v>ACC.RGC.VV-4-3-21</v>
      </c>
      <c r="I233" s="117" t="str">
        <f t="shared" si="21"/>
        <v>M-103A2</v>
      </c>
      <c r="K233" t="s">
        <v>287</v>
      </c>
      <c r="L233" t="s">
        <v>278</v>
      </c>
      <c r="M233">
        <v>3</v>
      </c>
    </row>
    <row r="234" spans="1:13" x14ac:dyDescent="0.2">
      <c r="A234" s="116" t="s">
        <v>1156</v>
      </c>
      <c r="B234" s="116" t="s">
        <v>1168</v>
      </c>
      <c r="C234" s="117">
        <f>COUNTIF($D$3:D234, D234)</f>
        <v>28</v>
      </c>
      <c r="D234" s="117">
        <f>INDEX(PanelInstance!$B$2:$H$11, MATCH(Joined!$A234, PanelInstance!$B$2:$B$11, 0), MATCH(Joined!B234, PanelInstance!$B$1:$H$1, 0)+1)</f>
        <v>310</v>
      </c>
      <c r="E234" s="117" t="str">
        <f t="shared" si="20"/>
        <v>1031028</v>
      </c>
      <c r="F234" s="117">
        <f>IFERROR(VLOOKUP($G234, Sched!$A:$AA, 27, FALSE), "")</f>
        <v>15201</v>
      </c>
      <c r="G234" s="118" t="s">
        <v>218</v>
      </c>
      <c r="H234" s="116" t="str">
        <f t="shared" si="22"/>
        <v>ACC.RGC.VV-4-3-14</v>
      </c>
      <c r="I234" s="117" t="str">
        <f t="shared" si="21"/>
        <v>M-103B2</v>
      </c>
      <c r="K234" t="s">
        <v>286</v>
      </c>
      <c r="L234" t="s">
        <v>281</v>
      </c>
      <c r="M234">
        <v>3</v>
      </c>
    </row>
    <row r="235" spans="1:13" x14ac:dyDescent="0.2">
      <c r="A235" s="116" t="s">
        <v>1156</v>
      </c>
      <c r="B235" s="116" t="s">
        <v>1168</v>
      </c>
      <c r="C235" s="117">
        <f>COUNTIF($D$3:D235, D235)</f>
        <v>29</v>
      </c>
      <c r="D235" s="117">
        <f>INDEX(PanelInstance!$B$2:$H$11, MATCH(Joined!$A235, PanelInstance!$B$2:$B$11, 0), MATCH(Joined!B235, PanelInstance!$B$1:$H$1, 0)+1)</f>
        <v>310</v>
      </c>
      <c r="E235" s="117" t="str">
        <f t="shared" si="20"/>
        <v>1031029</v>
      </c>
      <c r="F235" s="117">
        <f>IFERROR(VLOOKUP($G235, Sched!$A:$AA, 27, FALSE), "")</f>
        <v>15201</v>
      </c>
      <c r="G235" s="118" t="s">
        <v>217</v>
      </c>
      <c r="H235" s="116" t="str">
        <f t="shared" si="22"/>
        <v>ACC.RGC.VV-4-3-13</v>
      </c>
      <c r="I235" s="117" t="str">
        <f t="shared" si="21"/>
        <v>M-103B2</v>
      </c>
      <c r="K235" t="s">
        <v>286</v>
      </c>
      <c r="L235" t="s">
        <v>281</v>
      </c>
      <c r="M235">
        <v>3</v>
      </c>
    </row>
    <row r="236" spans="1:13" x14ac:dyDescent="0.2">
      <c r="A236" s="116" t="s">
        <v>1156</v>
      </c>
      <c r="B236" s="116" t="s">
        <v>1168</v>
      </c>
      <c r="C236" s="117">
        <f>COUNTIF($D$3:D236, D236)</f>
        <v>30</v>
      </c>
      <c r="D236" s="117">
        <f>INDEX(PanelInstance!$B$2:$H$11, MATCH(Joined!$A236, PanelInstance!$B$2:$B$11, 0), MATCH(Joined!B236, PanelInstance!$B$1:$H$1, 0)+1)</f>
        <v>310</v>
      </c>
      <c r="E236" s="117" t="str">
        <f t="shared" si="20"/>
        <v>1031030</v>
      </c>
      <c r="F236" s="117">
        <f>IFERROR(VLOOKUP($G236, Sched!$A:$AA, 27, FALSE), "")</f>
        <v>15201</v>
      </c>
      <c r="G236" s="118" t="s">
        <v>216</v>
      </c>
      <c r="H236" s="116" t="str">
        <f t="shared" si="22"/>
        <v>ACC.RGC.VV-4-3-12</v>
      </c>
      <c r="I236" s="117" t="str">
        <f t="shared" si="21"/>
        <v>M-103B2</v>
      </c>
      <c r="K236" t="s">
        <v>286</v>
      </c>
      <c r="L236" t="s">
        <v>281</v>
      </c>
      <c r="M236">
        <v>3</v>
      </c>
    </row>
    <row r="237" spans="1:13" x14ac:dyDescent="0.2">
      <c r="A237" s="116" t="s">
        <v>1156</v>
      </c>
      <c r="B237" s="116" t="s">
        <v>1168</v>
      </c>
      <c r="C237" s="117">
        <f>COUNTIF($D$3:D237, D237)</f>
        <v>31</v>
      </c>
      <c r="D237" s="117">
        <f>INDEX(PanelInstance!$B$2:$H$11, MATCH(Joined!$A237, PanelInstance!$B$2:$B$11, 0), MATCH(Joined!B237, PanelInstance!$B$1:$H$1, 0)+1)</f>
        <v>310</v>
      </c>
      <c r="E237" s="117" t="str">
        <f t="shared" si="20"/>
        <v>1031031</v>
      </c>
      <c r="F237" s="117">
        <f>IFERROR(VLOOKUP($G237, Sched!$A:$AA, 27, FALSE), "")</f>
        <v>15201</v>
      </c>
      <c r="G237" s="118" t="s">
        <v>215</v>
      </c>
      <c r="H237" s="116" t="str">
        <f t="shared" si="22"/>
        <v>ACC.RGC.VV-4-3-11</v>
      </c>
      <c r="I237" s="117" t="str">
        <f t="shared" si="21"/>
        <v>M-103B2</v>
      </c>
      <c r="K237" t="s">
        <v>286</v>
      </c>
      <c r="L237" t="s">
        <v>281</v>
      </c>
      <c r="M237">
        <v>3</v>
      </c>
    </row>
    <row r="238" spans="1:13" x14ac:dyDescent="0.2">
      <c r="A238" s="116" t="s">
        <v>1156</v>
      </c>
      <c r="B238" s="116" t="s">
        <v>1168</v>
      </c>
      <c r="C238" s="117">
        <f>COUNTIF($D$3:D238, D238)</f>
        <v>32</v>
      </c>
      <c r="D238" s="117">
        <f>INDEX(PanelInstance!$B$2:$H$11, MATCH(Joined!$A238, PanelInstance!$B$2:$B$11, 0), MATCH(Joined!B238, PanelInstance!$B$1:$H$1, 0)+1)</f>
        <v>310</v>
      </c>
      <c r="E238" s="117" t="str">
        <f t="shared" si="20"/>
        <v>1031032</v>
      </c>
      <c r="F238" s="117">
        <f>IFERROR(VLOOKUP($G238, Sched!$A:$AA, 27, FALSE), "")</f>
        <v>15201</v>
      </c>
      <c r="G238" s="118" t="s">
        <v>214</v>
      </c>
      <c r="H238" s="116" t="str">
        <f t="shared" si="22"/>
        <v>ACC.RGC.VV-4-3-10</v>
      </c>
      <c r="I238" s="117" t="str">
        <f t="shared" si="21"/>
        <v>M-103B2</v>
      </c>
      <c r="K238" t="s">
        <v>286</v>
      </c>
      <c r="L238" t="s">
        <v>281</v>
      </c>
      <c r="M238">
        <v>3</v>
      </c>
    </row>
    <row r="239" spans="1:13" x14ac:dyDescent="0.2">
      <c r="A239" s="116" t="s">
        <v>1156</v>
      </c>
      <c r="B239" s="116" t="s">
        <v>1168</v>
      </c>
      <c r="C239" s="117">
        <f>COUNTIF($D$3:D239, D239)</f>
        <v>33</v>
      </c>
      <c r="D239" s="117">
        <f>INDEX(PanelInstance!$B$2:$H$11, MATCH(Joined!$A239, PanelInstance!$B$2:$B$11, 0), MATCH(Joined!B239, PanelInstance!$B$1:$H$1, 0)+1)</f>
        <v>310</v>
      </c>
      <c r="E239" s="117" t="str">
        <f t="shared" si="20"/>
        <v>1031033</v>
      </c>
      <c r="F239" s="117">
        <f>IFERROR(VLOOKUP($G239, Sched!$A:$AA, 27, FALSE), "")</f>
        <v>15201</v>
      </c>
      <c r="G239" s="118" t="s">
        <v>213</v>
      </c>
      <c r="H239" s="116" t="str">
        <f t="shared" si="22"/>
        <v>ACC.RGC.VV-4-3-09</v>
      </c>
      <c r="I239" s="117" t="str">
        <f t="shared" si="21"/>
        <v>M-103B2</v>
      </c>
      <c r="K239" t="s">
        <v>286</v>
      </c>
      <c r="L239" t="s">
        <v>281</v>
      </c>
      <c r="M239">
        <v>3</v>
      </c>
    </row>
    <row r="240" spans="1:13" x14ac:dyDescent="0.2">
      <c r="A240" s="116" t="s">
        <v>1156</v>
      </c>
      <c r="B240" s="116" t="s">
        <v>1168</v>
      </c>
      <c r="C240" s="117">
        <f>COUNTIF($D$3:D240, D240)</f>
        <v>34</v>
      </c>
      <c r="D240" s="117">
        <f>INDEX(PanelInstance!$B$2:$H$11, MATCH(Joined!$A240, PanelInstance!$B$2:$B$11, 0), MATCH(Joined!B240, PanelInstance!$B$1:$H$1, 0)+1)</f>
        <v>310</v>
      </c>
      <c r="E240" s="117" t="str">
        <f t="shared" si="20"/>
        <v>1031034</v>
      </c>
      <c r="F240" s="117">
        <f>IFERROR(VLOOKUP($G240, Sched!$A:$AA, 27, FALSE), "")</f>
        <v>15201</v>
      </c>
      <c r="G240" s="118" t="s">
        <v>212</v>
      </c>
      <c r="H240" s="116" t="str">
        <f t="shared" si="22"/>
        <v>ACC.RGC.VV-4-3-08</v>
      </c>
      <c r="I240" s="117" t="str">
        <f t="shared" si="21"/>
        <v>M-103B2</v>
      </c>
      <c r="K240" t="s">
        <v>286</v>
      </c>
      <c r="L240" t="s">
        <v>281</v>
      </c>
      <c r="M240">
        <v>3</v>
      </c>
    </row>
    <row r="241" spans="1:13" x14ac:dyDescent="0.2">
      <c r="A241" s="116" t="s">
        <v>1156</v>
      </c>
      <c r="B241" s="116" t="s">
        <v>1168</v>
      </c>
      <c r="C241" s="117">
        <f>COUNTIF($D$3:D241, D241)</f>
        <v>35</v>
      </c>
      <c r="D241" s="117">
        <f>INDEX(PanelInstance!$B$2:$H$11, MATCH(Joined!$A241, PanelInstance!$B$2:$B$11, 0), MATCH(Joined!B241, PanelInstance!$B$1:$H$1, 0)+1)</f>
        <v>310</v>
      </c>
      <c r="E241" s="117" t="str">
        <f t="shared" si="20"/>
        <v>1031035</v>
      </c>
      <c r="F241" s="117">
        <f>IFERROR(VLOOKUP($G241, Sched!$A:$AA, 27, FALSE), "")</f>
        <v>15201</v>
      </c>
      <c r="G241" s="118" t="s">
        <v>211</v>
      </c>
      <c r="H241" s="116" t="str">
        <f t="shared" si="22"/>
        <v>ACC.RGC.VV-4-3-07</v>
      </c>
      <c r="I241" s="117" t="str">
        <f t="shared" si="21"/>
        <v>M-103B2</v>
      </c>
      <c r="K241" t="s">
        <v>286</v>
      </c>
      <c r="L241" t="s">
        <v>281</v>
      </c>
      <c r="M241">
        <v>3</v>
      </c>
    </row>
    <row r="242" spans="1:13" x14ac:dyDescent="0.2">
      <c r="A242" s="116" t="s">
        <v>1156</v>
      </c>
      <c r="B242" s="116" t="s">
        <v>1168</v>
      </c>
      <c r="C242" s="117">
        <f>COUNTIF($D$3:D242, D242)</f>
        <v>36</v>
      </c>
      <c r="D242" s="117">
        <f>INDEX(PanelInstance!$B$2:$H$11, MATCH(Joined!$A242, PanelInstance!$B$2:$B$11, 0), MATCH(Joined!B242, PanelInstance!$B$1:$H$1, 0)+1)</f>
        <v>310</v>
      </c>
      <c r="E242" s="117" t="str">
        <f t="shared" si="20"/>
        <v>1031036</v>
      </c>
      <c r="F242" s="117">
        <f>IFERROR(VLOOKUP($G242, Sched!$A:$AA, 27, FALSE), "")</f>
        <v>15201</v>
      </c>
      <c r="G242" s="118" t="s">
        <v>208</v>
      </c>
      <c r="H242" s="116" t="str">
        <f t="shared" si="22"/>
        <v>ACC.RGC.VV-4-3-04</v>
      </c>
      <c r="I242" s="117" t="str">
        <f t="shared" si="21"/>
        <v>M-103A2</v>
      </c>
      <c r="K242" t="s">
        <v>287</v>
      </c>
      <c r="L242" t="s">
        <v>278</v>
      </c>
      <c r="M242">
        <v>3</v>
      </c>
    </row>
    <row r="243" spans="1:13" x14ac:dyDescent="0.2">
      <c r="A243" s="116" t="s">
        <v>1156</v>
      </c>
      <c r="B243" s="116" t="s">
        <v>1168</v>
      </c>
      <c r="C243" s="117">
        <f>COUNTIF($D$3:D243, D243)</f>
        <v>37</v>
      </c>
      <c r="D243" s="117">
        <f>INDEX(PanelInstance!$B$2:$H$11, MATCH(Joined!$A243, PanelInstance!$B$2:$B$11, 0), MATCH(Joined!B243, PanelInstance!$B$1:$H$1, 0)+1)</f>
        <v>310</v>
      </c>
      <c r="E243" s="117" t="str">
        <f t="shared" si="20"/>
        <v>1031037</v>
      </c>
      <c r="F243" s="117">
        <f>IFERROR(VLOOKUP($G243, Sched!$A:$AA, 27, FALSE), "")</f>
        <v>15201</v>
      </c>
      <c r="G243" s="118" t="s">
        <v>207</v>
      </c>
      <c r="H243" s="116" t="str">
        <f t="shared" si="22"/>
        <v>ACC.RGC.VV-4-3-03</v>
      </c>
      <c r="I243" s="117" t="str">
        <f t="shared" si="21"/>
        <v>M-103A2</v>
      </c>
      <c r="K243" t="s">
        <v>287</v>
      </c>
      <c r="L243" t="s">
        <v>278</v>
      </c>
      <c r="M243">
        <v>3</v>
      </c>
    </row>
    <row r="244" spans="1:13" x14ac:dyDescent="0.2">
      <c r="A244" s="116" t="s">
        <v>1156</v>
      </c>
      <c r="B244" s="116" t="s">
        <v>1168</v>
      </c>
      <c r="C244" s="117">
        <f>COUNTIF($D$3:D244, D244)</f>
        <v>38</v>
      </c>
      <c r="D244" s="117">
        <f>INDEX(PanelInstance!$B$2:$H$11, MATCH(Joined!$A244, PanelInstance!$B$2:$B$11, 0), MATCH(Joined!B244, PanelInstance!$B$1:$H$1, 0)+1)</f>
        <v>310</v>
      </c>
      <c r="E244" s="117" t="str">
        <f t="shared" si="20"/>
        <v>1031038</v>
      </c>
      <c r="F244" s="117">
        <f>IFERROR(VLOOKUP($G244, Sched!$A:$AA, 27, FALSE), "")</f>
        <v>15201</v>
      </c>
      <c r="G244" s="118" t="s">
        <v>205</v>
      </c>
      <c r="H244" s="116" t="str">
        <f t="shared" si="22"/>
        <v>ACC.RGC.VV-4-3-01</v>
      </c>
      <c r="I244" s="117" t="str">
        <f t="shared" si="21"/>
        <v>M-103A2</v>
      </c>
      <c r="K244" t="s">
        <v>287</v>
      </c>
      <c r="L244" t="s">
        <v>278</v>
      </c>
      <c r="M244">
        <v>3</v>
      </c>
    </row>
    <row r="245" spans="1:13" x14ac:dyDescent="0.2">
      <c r="A245" s="116" t="s">
        <v>1156</v>
      </c>
      <c r="B245" s="116" t="s">
        <v>1168</v>
      </c>
      <c r="C245" s="117">
        <f>COUNTIF($D$3:D245, D245)</f>
        <v>39</v>
      </c>
      <c r="D245" s="117">
        <f>INDEX(PanelInstance!$B$2:$H$11, MATCH(Joined!$A245, PanelInstance!$B$2:$B$11, 0), MATCH(Joined!B245, PanelInstance!$B$1:$H$1, 0)+1)</f>
        <v>310</v>
      </c>
      <c r="E245" s="117" t="str">
        <f t="shared" si="20"/>
        <v>1031039</v>
      </c>
      <c r="F245" s="117">
        <f>IFERROR(VLOOKUP($G245, Sched!$A:$AA, 27, FALSE), "")</f>
        <v>15401</v>
      </c>
      <c r="G245" s="118" t="s">
        <v>230</v>
      </c>
      <c r="H245" s="116" t="str">
        <f t="shared" si="22"/>
        <v>ACC.RGC.FCV-2-3-2</v>
      </c>
      <c r="I245" s="117" t="str">
        <f t="shared" si="21"/>
        <v>M-103B2</v>
      </c>
      <c r="K245" t="s">
        <v>286</v>
      </c>
      <c r="L245" t="s">
        <v>281</v>
      </c>
      <c r="M245">
        <v>3</v>
      </c>
    </row>
    <row r="246" spans="1:13" x14ac:dyDescent="0.2">
      <c r="A246" s="116" t="s">
        <v>1156</v>
      </c>
      <c r="B246" s="116" t="s">
        <v>1168</v>
      </c>
      <c r="C246" s="117">
        <f>COUNTIF($D$3:D246, D246)</f>
        <v>40</v>
      </c>
      <c r="D246" s="117">
        <f>INDEX(PanelInstance!$B$2:$H$11, MATCH(Joined!$A246, PanelInstance!$B$2:$B$11, 0), MATCH(Joined!B246, PanelInstance!$B$1:$H$1, 0)+1)</f>
        <v>310</v>
      </c>
      <c r="E246" s="117" t="str">
        <f t="shared" si="20"/>
        <v>1031040</v>
      </c>
      <c r="F246" s="117">
        <f>IFERROR(VLOOKUP($G246, Sched!$A:$AA, 27, FALSE), "")</f>
        <v>15003</v>
      </c>
      <c r="G246" s="116" t="s">
        <v>184</v>
      </c>
      <c r="H246" s="116" t="str">
        <f t="shared" si="22"/>
        <v>ACC.RGC.VV-2-3-04</v>
      </c>
      <c r="I246" s="117" t="str">
        <f t="shared" si="21"/>
        <v>M-103B2</v>
      </c>
      <c r="K246" t="s">
        <v>286</v>
      </c>
      <c r="L246" t="s">
        <v>281</v>
      </c>
      <c r="M246">
        <v>3</v>
      </c>
    </row>
    <row r="247" spans="1:13" x14ac:dyDescent="0.2">
      <c r="A247" s="116" t="s">
        <v>1156</v>
      </c>
      <c r="B247" s="116" t="s">
        <v>1168</v>
      </c>
      <c r="C247" s="117">
        <f>COUNTIF($D$3:D247, D247)</f>
        <v>41</v>
      </c>
      <c r="D247" s="117">
        <f>INDEX(PanelInstance!$B$2:$H$11, MATCH(Joined!$A247, PanelInstance!$B$2:$B$11, 0), MATCH(Joined!B247, PanelInstance!$B$1:$H$1, 0)+1)</f>
        <v>310</v>
      </c>
      <c r="E247" s="117" t="str">
        <f t="shared" si="20"/>
        <v>1031041</v>
      </c>
      <c r="F247" s="117">
        <f>IFERROR(VLOOKUP($G247, Sched!$A:$AA, 27, FALSE), "")</f>
        <v>15003</v>
      </c>
      <c r="G247" s="118" t="s">
        <v>182</v>
      </c>
      <c r="H247" s="116" t="str">
        <f t="shared" si="22"/>
        <v>ACC.RGC.VV-2-3-02</v>
      </c>
      <c r="I247" s="117" t="str">
        <f t="shared" si="21"/>
        <v>M-103A2</v>
      </c>
      <c r="K247" t="s">
        <v>287</v>
      </c>
      <c r="L247" t="s">
        <v>278</v>
      </c>
      <c r="M247">
        <v>3</v>
      </c>
    </row>
    <row r="248" spans="1:13" x14ac:dyDescent="0.2">
      <c r="A248" s="116" t="s">
        <v>1156</v>
      </c>
      <c r="B248" s="116" t="s">
        <v>1169</v>
      </c>
      <c r="C248" s="117">
        <f>COUNTIF($D$3:D248, D248)</f>
        <v>5</v>
      </c>
      <c r="D248" s="117">
        <f>INDEX(PanelInstance!$B$2:$H$11, MATCH(Joined!$A248, PanelInstance!$B$2:$B$11, 0), MATCH(Joined!B248, PanelInstance!$B$1:$H$1, 0)+1)</f>
        <v>360</v>
      </c>
      <c r="E248" s="117" t="str">
        <f t="shared" si="20"/>
        <v>1036005</v>
      </c>
      <c r="F248" s="117" t="str">
        <f>IFERROR(VLOOKUP($G248, Sched!$A:$AA, 27, FALSE), "")</f>
        <v/>
      </c>
      <c r="G248" s="118" t="s">
        <v>256</v>
      </c>
      <c r="H248" s="116" t="str">
        <f t="shared" si="22"/>
        <v>ACC.RGC.AFMS-4-3-SA-1</v>
      </c>
      <c r="I248" s="117" t="str">
        <f t="shared" si="21"/>
        <v>M-103A2</v>
      </c>
      <c r="K248" t="s">
        <v>287</v>
      </c>
      <c r="L248" t="s">
        <v>278</v>
      </c>
      <c r="M248">
        <v>3</v>
      </c>
    </row>
    <row r="249" spans="1:13" x14ac:dyDescent="0.2">
      <c r="A249" s="116" t="s">
        <v>1156</v>
      </c>
      <c r="B249" s="116" t="s">
        <v>1169</v>
      </c>
      <c r="C249" s="117">
        <f>COUNTIF($D$3:D249, D249)</f>
        <v>6</v>
      </c>
      <c r="D249" s="117">
        <f>INDEX(PanelInstance!$B$2:$H$11, MATCH(Joined!$A249, PanelInstance!$B$2:$B$11, 0), MATCH(Joined!B249, PanelInstance!$B$1:$H$1, 0)+1)</f>
        <v>360</v>
      </c>
      <c r="E249" s="117" t="str">
        <f t="shared" si="20"/>
        <v>1036006</v>
      </c>
      <c r="F249" s="117" t="str">
        <f>IFERROR(VLOOKUP($G249, Sched!$A:$AA, 27, FALSE), "")</f>
        <v/>
      </c>
      <c r="G249" s="118" t="s">
        <v>255</v>
      </c>
      <c r="H249" s="116" t="str">
        <f t="shared" si="22"/>
        <v>ACC.RGC.AFMS-4-3-EA-2</v>
      </c>
      <c r="I249" s="117" t="str">
        <f t="shared" si="21"/>
        <v>M-103A2</v>
      </c>
      <c r="K249" t="s">
        <v>287</v>
      </c>
      <c r="L249" t="s">
        <v>278</v>
      </c>
      <c r="M249">
        <v>3</v>
      </c>
    </row>
    <row r="250" spans="1:13" x14ac:dyDescent="0.2">
      <c r="A250" s="116" t="s">
        <v>1156</v>
      </c>
      <c r="B250" s="116" t="s">
        <v>1169</v>
      </c>
      <c r="C250" s="117">
        <f>COUNTIF($D$3:D250, D250)</f>
        <v>7</v>
      </c>
      <c r="D250" s="117">
        <f>INDEX(PanelInstance!$B$2:$H$11, MATCH(Joined!$A250, PanelInstance!$B$2:$B$11, 0), MATCH(Joined!B250, PanelInstance!$B$1:$H$1, 0)+1)</f>
        <v>360</v>
      </c>
      <c r="E250" s="117" t="str">
        <f t="shared" si="20"/>
        <v>1036007</v>
      </c>
      <c r="F250" s="117" t="str">
        <f>IFERROR(VLOOKUP($G250, Sched!$A:$AA, 27, FALSE), "")</f>
        <v/>
      </c>
      <c r="G250" s="118" t="s">
        <v>254</v>
      </c>
      <c r="H250" s="116" t="str">
        <f t="shared" si="22"/>
        <v>ACC.RGC.AFMS-4-3-EA-1</v>
      </c>
      <c r="I250" s="117" t="str">
        <f t="shared" si="21"/>
        <v>M-103A2</v>
      </c>
      <c r="K250" t="s">
        <v>287</v>
      </c>
      <c r="L250" t="s">
        <v>278</v>
      </c>
      <c r="M250">
        <v>3</v>
      </c>
    </row>
    <row r="251" spans="1:13" x14ac:dyDescent="0.2">
      <c r="A251" s="116" t="s">
        <v>1156</v>
      </c>
      <c r="B251" s="116" t="s">
        <v>1169</v>
      </c>
      <c r="C251" s="117">
        <f>COUNTIF($D$3:D251, D251)</f>
        <v>8</v>
      </c>
      <c r="D251" s="117">
        <f>INDEX(PanelInstance!$B$2:$H$11, MATCH(Joined!$A251, PanelInstance!$B$2:$B$11, 0), MATCH(Joined!B251, PanelInstance!$B$1:$H$1, 0)+1)</f>
        <v>360</v>
      </c>
      <c r="E251" s="117" t="str">
        <f t="shared" si="20"/>
        <v>1036008</v>
      </c>
      <c r="F251" s="117" t="str">
        <f>IFERROR(VLOOKUP($G251, Sched!$A:$AA, 27, FALSE), "")</f>
        <v/>
      </c>
      <c r="G251" s="118" t="s">
        <v>274</v>
      </c>
      <c r="H251" s="116" t="str">
        <f t="shared" si="22"/>
        <v>ACC.RGC.FCU-3-2</v>
      </c>
      <c r="I251" s="117" t="str">
        <f t="shared" si="21"/>
        <v>M-103A2</v>
      </c>
      <c r="K251" t="s">
        <v>287</v>
      </c>
      <c r="L251" t="s">
        <v>278</v>
      </c>
      <c r="M251">
        <v>3</v>
      </c>
    </row>
    <row r="252" spans="1:13" x14ac:dyDescent="0.2">
      <c r="A252" s="116" t="s">
        <v>1156</v>
      </c>
      <c r="B252" s="116" t="s">
        <v>1169</v>
      </c>
      <c r="C252" s="117">
        <f>COUNTIF($D$3:D252, D252)</f>
        <v>9</v>
      </c>
      <c r="D252" s="117">
        <f>INDEX(PanelInstance!$B$2:$H$11, MATCH(Joined!$A252, PanelInstance!$B$2:$B$11, 0), MATCH(Joined!B252, PanelInstance!$B$1:$H$1, 0)+1)</f>
        <v>360</v>
      </c>
      <c r="E252" s="117" t="str">
        <f t="shared" si="20"/>
        <v>1036009</v>
      </c>
      <c r="F252" s="117" t="str">
        <f>IFERROR(VLOOKUP($G252, Sched!$A:$AA, 27, FALSE), "")</f>
        <v/>
      </c>
      <c r="G252" s="120" t="s">
        <v>244</v>
      </c>
      <c r="H252" s="116" t="str">
        <f t="shared" si="22"/>
        <v>ACC.RGC.AFMS-2-3-SA-2</v>
      </c>
      <c r="I252" s="117" t="str">
        <f t="shared" si="21"/>
        <v>M-103A2</v>
      </c>
      <c r="K252" t="s">
        <v>287</v>
      </c>
      <c r="L252" t="s">
        <v>278</v>
      </c>
      <c r="M252">
        <v>3</v>
      </c>
    </row>
    <row r="253" spans="1:13" x14ac:dyDescent="0.2">
      <c r="A253" s="116" t="s">
        <v>1156</v>
      </c>
      <c r="B253" s="116" t="s">
        <v>1169</v>
      </c>
      <c r="C253" s="117">
        <f>COUNTIF($D$3:D253, D253)</f>
        <v>10</v>
      </c>
      <c r="D253" s="117">
        <f>INDEX(PanelInstance!$B$2:$H$11, MATCH(Joined!$A253, PanelInstance!$B$2:$B$11, 0), MATCH(Joined!B253, PanelInstance!$B$1:$H$1, 0)+1)</f>
        <v>360</v>
      </c>
      <c r="E253" s="117" t="str">
        <f t="shared" si="20"/>
        <v>1036010</v>
      </c>
      <c r="F253" s="117" t="str">
        <f>IFERROR(VLOOKUP($G253, Sched!$A:$AA, 27, FALSE), "")</f>
        <v/>
      </c>
      <c r="G253" s="120" t="s">
        <v>243</v>
      </c>
      <c r="H253" s="116" t="str">
        <f t="shared" si="22"/>
        <v>ACC.RGC.AFMS-2-3-SA-1</v>
      </c>
      <c r="I253" s="117" t="str">
        <f t="shared" si="21"/>
        <v>M-103B2</v>
      </c>
      <c r="K253" t="s">
        <v>286</v>
      </c>
      <c r="L253" t="s">
        <v>281</v>
      </c>
      <c r="M253">
        <v>3</v>
      </c>
    </row>
    <row r="254" spans="1:13" x14ac:dyDescent="0.2">
      <c r="A254" s="116" t="s">
        <v>1156</v>
      </c>
      <c r="B254" s="116" t="s">
        <v>1168</v>
      </c>
      <c r="C254" s="117">
        <f>COUNTIF($D$3:D254, D254)</f>
        <v>42</v>
      </c>
      <c r="D254" s="117">
        <f>INDEX(PanelInstance!$B$2:$H$11, MATCH(Joined!$A254, PanelInstance!$B$2:$B$11, 0), MATCH(Joined!B254, PanelInstance!$B$1:$H$1, 0)+1)</f>
        <v>310</v>
      </c>
      <c r="E254" s="117" t="str">
        <f t="shared" si="20"/>
        <v>1031042</v>
      </c>
      <c r="F254" s="117">
        <f>IFERROR(VLOOKUP($G254, Sched!$A:$AA, 27, FALSE), "")</f>
        <v>15801</v>
      </c>
      <c r="G254" s="118" t="s">
        <v>227</v>
      </c>
      <c r="H254" s="116" t="str">
        <f t="shared" si="22"/>
        <v>ACC.RGC.VVE-3-3-01</v>
      </c>
      <c r="I254" s="117" t="str">
        <f t="shared" si="21"/>
        <v>M-103A1</v>
      </c>
      <c r="K254" t="s">
        <v>288</v>
      </c>
      <c r="L254" t="s">
        <v>16</v>
      </c>
      <c r="M254">
        <v>3</v>
      </c>
    </row>
    <row r="255" spans="1:13" x14ac:dyDescent="0.2">
      <c r="A255" s="116" t="s">
        <v>1156</v>
      </c>
      <c r="B255" s="116" t="s">
        <v>1168</v>
      </c>
      <c r="C255" s="117">
        <f>COUNTIF($D$3:D255, D255)</f>
        <v>43</v>
      </c>
      <c r="D255" s="117">
        <f>INDEX(PanelInstance!$B$2:$H$11, MATCH(Joined!$A255, PanelInstance!$B$2:$B$11, 0), MATCH(Joined!B255, PanelInstance!$B$1:$H$1, 0)+1)</f>
        <v>310</v>
      </c>
      <c r="E255" s="117" t="str">
        <f t="shared" si="20"/>
        <v>1031043</v>
      </c>
      <c r="F255" s="117">
        <f>IFERROR(VLOOKUP($G255, Sched!$A:$AA, 27, FALSE), "")</f>
        <v>15201</v>
      </c>
      <c r="G255" s="118" t="s">
        <v>204</v>
      </c>
      <c r="H255" s="116" t="str">
        <f t="shared" si="22"/>
        <v>ACC.RGC.VV-3-3-19</v>
      </c>
      <c r="I255" s="117" t="str">
        <f t="shared" si="21"/>
        <v>M-103A1</v>
      </c>
      <c r="K255" t="s">
        <v>288</v>
      </c>
      <c r="L255" t="s">
        <v>16</v>
      </c>
      <c r="M255">
        <v>3</v>
      </c>
    </row>
    <row r="256" spans="1:13" x14ac:dyDescent="0.2">
      <c r="A256" s="116" t="s">
        <v>1156</v>
      </c>
      <c r="B256" s="116" t="s">
        <v>1168</v>
      </c>
      <c r="C256" s="117">
        <f>COUNTIF($D$3:D256, D256)</f>
        <v>44</v>
      </c>
      <c r="D256" s="117">
        <f>INDEX(PanelInstance!$B$2:$H$11, MATCH(Joined!$A256, PanelInstance!$B$2:$B$11, 0), MATCH(Joined!B256, PanelInstance!$B$1:$H$1, 0)+1)</f>
        <v>310</v>
      </c>
      <c r="E256" s="117" t="str">
        <f t="shared" si="20"/>
        <v>1031044</v>
      </c>
      <c r="F256" s="117">
        <f>IFERROR(VLOOKUP($G256, Sched!$A:$AA, 27, FALSE), "")</f>
        <v>15201</v>
      </c>
      <c r="G256" s="118" t="s">
        <v>226</v>
      </c>
      <c r="H256" s="116" t="str">
        <f t="shared" si="22"/>
        <v>ACC.RGC.VV-4-3-22</v>
      </c>
      <c r="I256" s="117" t="str">
        <f t="shared" si="21"/>
        <v>M-203A</v>
      </c>
      <c r="K256" t="s">
        <v>298</v>
      </c>
      <c r="L256" t="s">
        <v>295</v>
      </c>
      <c r="M256">
        <v>3</v>
      </c>
    </row>
    <row r="257" spans="1:13" x14ac:dyDescent="0.2">
      <c r="A257" s="116" t="s">
        <v>1156</v>
      </c>
      <c r="B257" s="116" t="s">
        <v>1168</v>
      </c>
      <c r="C257" s="117">
        <f>COUNTIF($D$3:D257, D257)</f>
        <v>45</v>
      </c>
      <c r="D257" s="117">
        <f>INDEX(PanelInstance!$B$2:$H$11, MATCH(Joined!$A257, PanelInstance!$B$2:$B$11, 0), MATCH(Joined!B257, PanelInstance!$B$1:$H$1, 0)+1)</f>
        <v>310</v>
      </c>
      <c r="E257" s="117" t="str">
        <f t="shared" si="20"/>
        <v>1031045</v>
      </c>
      <c r="F257" s="117">
        <f>IFERROR(VLOOKUP($G257, Sched!$A:$AA, 27, FALSE), "")</f>
        <v>15201</v>
      </c>
      <c r="G257" s="118" t="s">
        <v>195</v>
      </c>
      <c r="H257" s="116" t="str">
        <f t="shared" si="22"/>
        <v>ACC.RGC.VV-3-3-10</v>
      </c>
      <c r="I257" s="117" t="str">
        <f t="shared" si="21"/>
        <v>M-103A1</v>
      </c>
      <c r="K257" t="s">
        <v>288</v>
      </c>
      <c r="L257" t="s">
        <v>16</v>
      </c>
      <c r="M257">
        <v>3</v>
      </c>
    </row>
    <row r="258" spans="1:13" x14ac:dyDescent="0.2">
      <c r="A258" s="116" t="s">
        <v>1156</v>
      </c>
      <c r="B258" s="116" t="s">
        <v>1168</v>
      </c>
      <c r="C258" s="117">
        <f>COUNTIF($D$3:D258, D258)</f>
        <v>46</v>
      </c>
      <c r="D258" s="117">
        <f>INDEX(PanelInstance!$B$2:$H$11, MATCH(Joined!$A258, PanelInstance!$B$2:$B$11, 0), MATCH(Joined!B258, PanelInstance!$B$1:$H$1, 0)+1)</f>
        <v>310</v>
      </c>
      <c r="E258" s="117" t="str">
        <f t="shared" si="20"/>
        <v>1031046</v>
      </c>
      <c r="F258" s="117">
        <f>IFERROR(VLOOKUP($G258, Sched!$A:$AA, 27, FALSE), "")</f>
        <v>15201</v>
      </c>
      <c r="G258" s="118" t="s">
        <v>189</v>
      </c>
      <c r="H258" s="116" t="str">
        <f t="shared" si="22"/>
        <v>ACC.RGC.VV-3-3-04</v>
      </c>
      <c r="I258" s="117" t="str">
        <f t="shared" si="21"/>
        <v>M-103A1</v>
      </c>
      <c r="K258" t="s">
        <v>288</v>
      </c>
      <c r="L258" t="s">
        <v>16</v>
      </c>
      <c r="M258">
        <v>3</v>
      </c>
    </row>
    <row r="259" spans="1:13" x14ac:dyDescent="0.2">
      <c r="A259" s="116" t="s">
        <v>1156</v>
      </c>
      <c r="B259" s="116" t="s">
        <v>1168</v>
      </c>
      <c r="C259" s="117">
        <f>COUNTIF($D$3:D259, D259)</f>
        <v>47</v>
      </c>
      <c r="D259" s="117">
        <f>INDEX(PanelInstance!$B$2:$H$11, MATCH(Joined!$A259, PanelInstance!$B$2:$B$11, 0), MATCH(Joined!B259, PanelInstance!$B$1:$H$1, 0)+1)</f>
        <v>310</v>
      </c>
      <c r="E259" s="117" t="str">
        <f t="shared" si="20"/>
        <v>1031047</v>
      </c>
      <c r="F259" s="117">
        <f>IFERROR(VLOOKUP($G259, Sched!$A:$AA, 27, FALSE), "")</f>
        <v>15201</v>
      </c>
      <c r="G259" s="118" t="s">
        <v>188</v>
      </c>
      <c r="H259" s="116" t="str">
        <f t="shared" si="22"/>
        <v>ACC.RGC.VV-3-3-03</v>
      </c>
      <c r="I259" s="117" t="str">
        <f t="shared" si="21"/>
        <v>M-103A1</v>
      </c>
      <c r="K259" t="s">
        <v>288</v>
      </c>
      <c r="L259" t="s">
        <v>16</v>
      </c>
      <c r="M259">
        <v>3</v>
      </c>
    </row>
    <row r="260" spans="1:13" x14ac:dyDescent="0.2">
      <c r="A260" s="116" t="s">
        <v>1156</v>
      </c>
      <c r="B260" s="116" t="s">
        <v>1168</v>
      </c>
      <c r="C260" s="117">
        <f>COUNTIF($D$3:D260, D260)</f>
        <v>48</v>
      </c>
      <c r="D260" s="117">
        <f>INDEX(PanelInstance!$B$2:$H$11, MATCH(Joined!$A260, PanelInstance!$B$2:$B$11, 0), MATCH(Joined!B260, PanelInstance!$B$1:$H$1, 0)+1)</f>
        <v>310</v>
      </c>
      <c r="E260" s="117" t="str">
        <f t="shared" ref="E260:E323" si="23">10 &amp; D260 &amp; IF(LEN(C260) = 1, "0" &amp; C260, C260)</f>
        <v>1031048</v>
      </c>
      <c r="F260" s="117">
        <f>IFERROR(VLOOKUP($G260, Sched!$A:$AA, 27, FALSE), "")</f>
        <v>15201</v>
      </c>
      <c r="G260" s="118" t="s">
        <v>187</v>
      </c>
      <c r="H260" s="116" t="str">
        <f t="shared" si="22"/>
        <v>ACC.RGC.VV-3-3-02</v>
      </c>
      <c r="I260" s="117" t="str">
        <f t="shared" ref="I260:I323" si="24">K260</f>
        <v>M-103A1</v>
      </c>
      <c r="K260" t="s">
        <v>288</v>
      </c>
      <c r="L260" t="s">
        <v>16</v>
      </c>
      <c r="M260">
        <v>3</v>
      </c>
    </row>
    <row r="261" spans="1:13" x14ac:dyDescent="0.2">
      <c r="A261" s="116" t="s">
        <v>1156</v>
      </c>
      <c r="B261" s="116" t="s">
        <v>1168</v>
      </c>
      <c r="C261" s="117">
        <f>COUNTIF($D$3:D261, D261)</f>
        <v>49</v>
      </c>
      <c r="D261" s="117">
        <f>INDEX(PanelInstance!$B$2:$H$11, MATCH(Joined!$A261, PanelInstance!$B$2:$B$11, 0), MATCH(Joined!B261, PanelInstance!$B$1:$H$1, 0)+1)</f>
        <v>310</v>
      </c>
      <c r="E261" s="117" t="str">
        <f t="shared" si="23"/>
        <v>1031049</v>
      </c>
      <c r="F261" s="117">
        <f>IFERROR(VLOOKUP($G261, Sched!$A:$AA, 27, FALSE), "")</f>
        <v>15201</v>
      </c>
      <c r="G261" s="118" t="s">
        <v>186</v>
      </c>
      <c r="H261" s="116" t="str">
        <f t="shared" si="22"/>
        <v>ACC.RGC.VV-3-3-01</v>
      </c>
      <c r="I261" s="117" t="str">
        <f t="shared" si="24"/>
        <v>M-103A1</v>
      </c>
      <c r="K261" t="s">
        <v>288</v>
      </c>
      <c r="L261" t="s">
        <v>16</v>
      </c>
      <c r="M261">
        <v>3</v>
      </c>
    </row>
    <row r="262" spans="1:13" x14ac:dyDescent="0.2">
      <c r="A262" s="116" t="s">
        <v>1156</v>
      </c>
      <c r="B262" s="116" t="s">
        <v>1168</v>
      </c>
      <c r="C262" s="117">
        <f>COUNTIF($D$3:D262, D262)</f>
        <v>50</v>
      </c>
      <c r="D262" s="117">
        <f>INDEX(PanelInstance!$B$2:$H$11, MATCH(Joined!$A262, PanelInstance!$B$2:$B$11, 0), MATCH(Joined!B262, PanelInstance!$B$1:$H$1, 0)+1)</f>
        <v>310</v>
      </c>
      <c r="E262" s="117" t="str">
        <f t="shared" si="23"/>
        <v>1031050</v>
      </c>
      <c r="F262" s="117">
        <f>IFERROR(VLOOKUP($G262, Sched!$A:$AA, 27, FALSE), "")</f>
        <v>15003</v>
      </c>
      <c r="G262" s="116" t="s">
        <v>181</v>
      </c>
      <c r="H262" s="116" t="str">
        <f t="shared" si="22"/>
        <v>ACC.RGC.VV-2-3-01</v>
      </c>
      <c r="I262" s="117" t="str">
        <f t="shared" si="24"/>
        <v>M-103A1</v>
      </c>
      <c r="K262" t="s">
        <v>288</v>
      </c>
      <c r="L262" t="s">
        <v>16</v>
      </c>
      <c r="M262">
        <v>3</v>
      </c>
    </row>
    <row r="263" spans="1:13" x14ac:dyDescent="0.2">
      <c r="A263" s="116" t="s">
        <v>1156</v>
      </c>
      <c r="B263" s="116" t="s">
        <v>393</v>
      </c>
      <c r="C263" s="117">
        <f>COUNTIF($D$3:D263, D263)</f>
        <v>1</v>
      </c>
      <c r="D263" s="117">
        <v>390</v>
      </c>
      <c r="E263" s="117" t="str">
        <f t="shared" si="23"/>
        <v>1039001</v>
      </c>
      <c r="F263" s="117">
        <f>IFERROR(VLOOKUP($G263, Sched!$A:$AA, 27, FALSE), "")</f>
        <v>0</v>
      </c>
      <c r="G263" s="127" t="s">
        <v>352</v>
      </c>
      <c r="H263" s="116" t="str">
        <f t="shared" si="22"/>
        <v>ACC.RGC.LS-5-3-03</v>
      </c>
      <c r="I263" s="117" t="str">
        <f t="shared" si="24"/>
        <v>M-306</v>
      </c>
      <c r="K263" t="s">
        <v>697</v>
      </c>
      <c r="L263" t="s">
        <v>16</v>
      </c>
      <c r="M263">
        <v>3</v>
      </c>
    </row>
    <row r="264" spans="1:13" x14ac:dyDescent="0.2">
      <c r="A264" s="116" t="s">
        <v>1156</v>
      </c>
      <c r="B264" s="116" t="s">
        <v>393</v>
      </c>
      <c r="C264" s="117">
        <f>COUNTIF($D$3:D264, D264)</f>
        <v>2</v>
      </c>
      <c r="D264" s="117">
        <v>390</v>
      </c>
      <c r="E264" s="117" t="str">
        <f t="shared" si="23"/>
        <v>1039002</v>
      </c>
      <c r="F264" s="117">
        <f>IFERROR(VLOOKUP($G264, Sched!$A:$AA, 27, FALSE), "")</f>
        <v>0</v>
      </c>
      <c r="G264" s="127" t="s">
        <v>353</v>
      </c>
      <c r="H264" s="116" t="str">
        <f t="shared" si="22"/>
        <v>ACC.RGC.LE-6-3-03A</v>
      </c>
      <c r="I264" s="117" t="str">
        <f t="shared" si="24"/>
        <v>M-306</v>
      </c>
      <c r="K264" t="s">
        <v>697</v>
      </c>
      <c r="L264" t="s">
        <v>16</v>
      </c>
      <c r="M264">
        <v>3</v>
      </c>
    </row>
    <row r="265" spans="1:13" x14ac:dyDescent="0.2">
      <c r="A265" s="116" t="s">
        <v>1156</v>
      </c>
      <c r="B265" s="116" t="s">
        <v>393</v>
      </c>
      <c r="C265" s="117">
        <f>COUNTIF($D$3:D265, D265)</f>
        <v>3</v>
      </c>
      <c r="D265" s="117">
        <v>390</v>
      </c>
      <c r="E265" s="117" t="str">
        <f t="shared" si="23"/>
        <v>1039003</v>
      </c>
      <c r="F265" s="117">
        <f>IFERROR(VLOOKUP($G265, Sched!$A:$AA, 27, FALSE), "")</f>
        <v>0</v>
      </c>
      <c r="G265" s="127" t="s">
        <v>354</v>
      </c>
      <c r="H265" s="116" t="str">
        <f t="shared" si="22"/>
        <v>ACC.RGC.LE-6-3-03B</v>
      </c>
      <c r="I265" s="117" t="str">
        <f t="shared" si="24"/>
        <v>M-306</v>
      </c>
      <c r="K265" t="s">
        <v>697</v>
      </c>
      <c r="L265" t="s">
        <v>16</v>
      </c>
      <c r="M265">
        <v>3</v>
      </c>
    </row>
    <row r="266" spans="1:13" x14ac:dyDescent="0.2">
      <c r="A266" s="116" t="s">
        <v>1156</v>
      </c>
      <c r="B266" s="116" t="s">
        <v>393</v>
      </c>
      <c r="C266" s="117">
        <f>COUNTIF($D$3:D266, D266)</f>
        <v>4</v>
      </c>
      <c r="D266" s="117">
        <v>390</v>
      </c>
      <c r="E266" s="117" t="str">
        <f t="shared" si="23"/>
        <v>1039004</v>
      </c>
      <c r="F266" s="117">
        <f>IFERROR(VLOOKUP($G266, Sched!$A:$AA, 27, FALSE), "")</f>
        <v>0</v>
      </c>
      <c r="G266" s="127" t="s">
        <v>355</v>
      </c>
      <c r="H266" s="116" t="str">
        <f t="shared" si="22"/>
        <v>ACC.RGC.LS-5-3-04</v>
      </c>
      <c r="I266" s="117" t="str">
        <f t="shared" si="24"/>
        <v>M-306</v>
      </c>
      <c r="K266" t="s">
        <v>697</v>
      </c>
      <c r="L266" t="s">
        <v>278</v>
      </c>
      <c r="M266">
        <v>3</v>
      </c>
    </row>
    <row r="267" spans="1:13" x14ac:dyDescent="0.2">
      <c r="A267" s="116" t="s">
        <v>1156</v>
      </c>
      <c r="B267" s="116" t="s">
        <v>393</v>
      </c>
      <c r="C267" s="117">
        <f>COUNTIF($D$3:D267, D267)</f>
        <v>5</v>
      </c>
      <c r="D267" s="117">
        <v>390</v>
      </c>
      <c r="E267" s="117" t="str">
        <f t="shared" si="23"/>
        <v>1039005</v>
      </c>
      <c r="F267" s="117">
        <f>IFERROR(VLOOKUP($G267, Sched!$A:$AA, 27, FALSE), "")</f>
        <v>0</v>
      </c>
      <c r="G267" s="127" t="s">
        <v>356</v>
      </c>
      <c r="H267" s="116" t="str">
        <f t="shared" si="22"/>
        <v>ACC.RGC.LS-5-3-06</v>
      </c>
      <c r="I267" s="117" t="str">
        <f t="shared" si="24"/>
        <v>M-306</v>
      </c>
      <c r="K267" t="s">
        <v>697</v>
      </c>
      <c r="L267" t="s">
        <v>278</v>
      </c>
      <c r="M267">
        <v>3</v>
      </c>
    </row>
    <row r="268" spans="1:13" x14ac:dyDescent="0.2">
      <c r="A268" s="116" t="s">
        <v>1156</v>
      </c>
      <c r="B268" s="116" t="s">
        <v>393</v>
      </c>
      <c r="C268" s="117">
        <f>COUNTIF($D$3:D268, D268)</f>
        <v>6</v>
      </c>
      <c r="D268" s="117">
        <v>390</v>
      </c>
      <c r="E268" s="117" t="str">
        <f t="shared" si="23"/>
        <v>1039006</v>
      </c>
      <c r="F268" s="117">
        <f>IFERROR(VLOOKUP($G268, Sched!$A:$AA, 27, FALSE), "")</f>
        <v>0</v>
      </c>
      <c r="G268" s="127" t="s">
        <v>357</v>
      </c>
      <c r="H268" s="116" t="str">
        <f t="shared" ref="H268:H292" si="25" xml:space="preserve"> "ACC.RGC." &amp; G268</f>
        <v>ACC.RGC.LS-5-3-05B</v>
      </c>
      <c r="I268" s="117" t="str">
        <f t="shared" si="24"/>
        <v>M-306</v>
      </c>
      <c r="K268" t="s">
        <v>697</v>
      </c>
      <c r="L268" t="s">
        <v>278</v>
      </c>
      <c r="M268">
        <v>3</v>
      </c>
    </row>
    <row r="269" spans="1:13" x14ac:dyDescent="0.2">
      <c r="A269" s="116" t="s">
        <v>1156</v>
      </c>
      <c r="B269" s="116" t="s">
        <v>393</v>
      </c>
      <c r="C269" s="117">
        <f>COUNTIF($D$3:D269, D269)</f>
        <v>7</v>
      </c>
      <c r="D269" s="117">
        <v>390</v>
      </c>
      <c r="E269" s="117" t="str">
        <f t="shared" si="23"/>
        <v>1039007</v>
      </c>
      <c r="F269" s="117">
        <f>IFERROR(VLOOKUP($G269, Sched!$A:$AA, 27, FALSE), "")</f>
        <v>0</v>
      </c>
      <c r="G269" s="127" t="s">
        <v>358</v>
      </c>
      <c r="H269" s="116" t="str">
        <f t="shared" si="25"/>
        <v>ACC.RGC.LE-6-3-05A</v>
      </c>
      <c r="I269" s="117" t="str">
        <f t="shared" si="24"/>
        <v>M-306</v>
      </c>
      <c r="K269" t="s">
        <v>697</v>
      </c>
      <c r="L269" t="s">
        <v>278</v>
      </c>
      <c r="M269">
        <v>3</v>
      </c>
    </row>
    <row r="270" spans="1:13" x14ac:dyDescent="0.2">
      <c r="A270" s="116" t="s">
        <v>1156</v>
      </c>
      <c r="B270" s="116" t="s">
        <v>393</v>
      </c>
      <c r="C270" s="117">
        <f>COUNTIF($D$3:D270, D270)</f>
        <v>8</v>
      </c>
      <c r="D270" s="117">
        <v>390</v>
      </c>
      <c r="E270" s="117" t="str">
        <f t="shared" si="23"/>
        <v>1039008</v>
      </c>
      <c r="F270" s="117">
        <f>IFERROR(VLOOKUP($G270, Sched!$A:$AA, 27, FALSE), "")</f>
        <v>0</v>
      </c>
      <c r="G270" s="127" t="s">
        <v>359</v>
      </c>
      <c r="H270" s="116" t="str">
        <f t="shared" si="25"/>
        <v>ACC.RGC.LE-6-3-05D</v>
      </c>
      <c r="I270" s="117" t="str">
        <f t="shared" si="24"/>
        <v>M-306</v>
      </c>
      <c r="K270" t="s">
        <v>697</v>
      </c>
      <c r="L270" t="s">
        <v>278</v>
      </c>
      <c r="M270">
        <v>3</v>
      </c>
    </row>
    <row r="271" spans="1:13" x14ac:dyDescent="0.2">
      <c r="A271" s="116" t="s">
        <v>1156</v>
      </c>
      <c r="B271" s="116" t="s">
        <v>393</v>
      </c>
      <c r="C271" s="117">
        <f>COUNTIF($D$3:D271, D271)</f>
        <v>9</v>
      </c>
      <c r="D271" s="117">
        <v>390</v>
      </c>
      <c r="E271" s="117" t="str">
        <f t="shared" si="23"/>
        <v>1039009</v>
      </c>
      <c r="F271" s="117">
        <f>IFERROR(VLOOKUP($G271, Sched!$A:$AA, 27, FALSE), "")</f>
        <v>0</v>
      </c>
      <c r="G271" s="127" t="s">
        <v>360</v>
      </c>
      <c r="H271" s="116" t="str">
        <f t="shared" si="25"/>
        <v>ACC.RGC.LE-6-3-05E</v>
      </c>
      <c r="I271" s="117" t="str">
        <f t="shared" si="24"/>
        <v>M-306</v>
      </c>
      <c r="K271" t="s">
        <v>697</v>
      </c>
      <c r="L271" t="s">
        <v>278</v>
      </c>
      <c r="M271">
        <v>3</v>
      </c>
    </row>
    <row r="272" spans="1:13" x14ac:dyDescent="0.2">
      <c r="A272" s="116" t="s">
        <v>1156</v>
      </c>
      <c r="B272" s="116" t="s">
        <v>393</v>
      </c>
      <c r="C272" s="117">
        <f>COUNTIF($D$3:D272, D272)</f>
        <v>10</v>
      </c>
      <c r="D272" s="117">
        <v>390</v>
      </c>
      <c r="E272" s="117" t="str">
        <f t="shared" si="23"/>
        <v>1039010</v>
      </c>
      <c r="F272" s="117">
        <f>IFERROR(VLOOKUP($G272, Sched!$A:$AA, 27, FALSE), "")</f>
        <v>0</v>
      </c>
      <c r="G272" s="127" t="s">
        <v>361</v>
      </c>
      <c r="H272" s="116" t="str">
        <f t="shared" si="25"/>
        <v>ACC.RGC.LS-5-3-05A</v>
      </c>
      <c r="I272" s="117" t="str">
        <f t="shared" si="24"/>
        <v>M-306</v>
      </c>
      <c r="K272" t="s">
        <v>697</v>
      </c>
      <c r="L272" t="s">
        <v>278</v>
      </c>
      <c r="M272">
        <v>3</v>
      </c>
    </row>
    <row r="273" spans="1:13" x14ac:dyDescent="0.2">
      <c r="A273" s="116" t="s">
        <v>1156</v>
      </c>
      <c r="B273" s="116" t="s">
        <v>393</v>
      </c>
      <c r="C273" s="117">
        <f>COUNTIF($D$3:D273, D273)</f>
        <v>11</v>
      </c>
      <c r="D273" s="117">
        <v>390</v>
      </c>
      <c r="E273" s="117" t="str">
        <f t="shared" si="23"/>
        <v>1039011</v>
      </c>
      <c r="F273" s="117">
        <f>IFERROR(VLOOKUP($G273, Sched!$A:$AA, 27, FALSE), "")</f>
        <v>0</v>
      </c>
      <c r="G273" s="127" t="s">
        <v>362</v>
      </c>
      <c r="H273" s="116" t="str">
        <f t="shared" si="25"/>
        <v>ACC.RGC.LE-6-3-05B</v>
      </c>
      <c r="I273" s="117" t="str">
        <f t="shared" si="24"/>
        <v>M-306</v>
      </c>
      <c r="K273" t="s">
        <v>697</v>
      </c>
      <c r="L273" t="s">
        <v>278</v>
      </c>
      <c r="M273">
        <v>3</v>
      </c>
    </row>
    <row r="274" spans="1:13" x14ac:dyDescent="0.2">
      <c r="A274" s="116" t="s">
        <v>1156</v>
      </c>
      <c r="B274" s="116" t="s">
        <v>393</v>
      </c>
      <c r="C274" s="117">
        <f>COUNTIF($D$3:D274, D274)</f>
        <v>12</v>
      </c>
      <c r="D274" s="117">
        <v>390</v>
      </c>
      <c r="E274" s="117" t="str">
        <f t="shared" si="23"/>
        <v>1039012</v>
      </c>
      <c r="F274" s="117">
        <f>IFERROR(VLOOKUP($G274, Sched!$A:$AA, 27, FALSE), "")</f>
        <v>0</v>
      </c>
      <c r="G274" s="127" t="s">
        <v>363</v>
      </c>
      <c r="H274" s="116" t="str">
        <f t="shared" si="25"/>
        <v>ACC.RGC.LE-6-3-05C</v>
      </c>
      <c r="I274" s="117" t="str">
        <f t="shared" si="24"/>
        <v>M-306</v>
      </c>
      <c r="K274" t="s">
        <v>697</v>
      </c>
      <c r="L274" t="s">
        <v>278</v>
      </c>
      <c r="M274">
        <v>3</v>
      </c>
    </row>
    <row r="275" spans="1:13" x14ac:dyDescent="0.2">
      <c r="A275" s="116" t="s">
        <v>1156</v>
      </c>
      <c r="B275" s="116" t="s">
        <v>393</v>
      </c>
      <c r="C275" s="117">
        <f>COUNTIF($D$3:D275, D275)</f>
        <v>13</v>
      </c>
      <c r="D275" s="117">
        <v>390</v>
      </c>
      <c r="E275" s="117" t="str">
        <f t="shared" si="23"/>
        <v>1039013</v>
      </c>
      <c r="F275" s="117">
        <f>IFERROR(VLOOKUP($G275, Sched!$A:$AA, 27, FALSE), "")</f>
        <v>0</v>
      </c>
      <c r="G275" s="127" t="s">
        <v>364</v>
      </c>
      <c r="H275" s="116" t="str">
        <f t="shared" si="25"/>
        <v>ACC.RGC.LS-5-3-01</v>
      </c>
      <c r="I275" s="117" t="str">
        <f t="shared" si="24"/>
        <v>M-306</v>
      </c>
      <c r="K275" t="s">
        <v>697</v>
      </c>
      <c r="L275" t="s">
        <v>16</v>
      </c>
      <c r="M275">
        <v>3</v>
      </c>
    </row>
    <row r="276" spans="1:13" x14ac:dyDescent="0.2">
      <c r="A276" s="116" t="s">
        <v>1156</v>
      </c>
      <c r="B276" s="116" t="s">
        <v>393</v>
      </c>
      <c r="C276" s="117">
        <f>COUNTIF($D$3:D276, D276)</f>
        <v>14</v>
      </c>
      <c r="D276" s="117">
        <v>390</v>
      </c>
      <c r="E276" s="117" t="str">
        <f t="shared" si="23"/>
        <v>1039014</v>
      </c>
      <c r="F276" s="117">
        <f>IFERROR(VLOOKUP($G276, Sched!$A:$AA, 27, FALSE), "")</f>
        <v>0</v>
      </c>
      <c r="G276" s="127" t="s">
        <v>365</v>
      </c>
      <c r="H276" s="116" t="str">
        <f t="shared" si="25"/>
        <v>ACC.RGC.LE-6-3-01</v>
      </c>
      <c r="I276" s="117" t="str">
        <f t="shared" si="24"/>
        <v>M-306</v>
      </c>
      <c r="K276" t="s">
        <v>697</v>
      </c>
      <c r="L276" t="s">
        <v>16</v>
      </c>
      <c r="M276">
        <v>3</v>
      </c>
    </row>
    <row r="277" spans="1:13" x14ac:dyDescent="0.2">
      <c r="A277" s="116" t="s">
        <v>1156</v>
      </c>
      <c r="B277" s="116" t="s">
        <v>393</v>
      </c>
      <c r="C277" s="117">
        <f>COUNTIF($D$3:D277, D277)</f>
        <v>15</v>
      </c>
      <c r="D277" s="117">
        <v>390</v>
      </c>
      <c r="E277" s="117" t="str">
        <f t="shared" si="23"/>
        <v>1039015</v>
      </c>
      <c r="F277" s="117">
        <f>IFERROR(VLOOKUP($G277, Sched!$A:$AA, 27, FALSE), "")</f>
        <v>0</v>
      </c>
      <c r="G277" s="127" t="s">
        <v>366</v>
      </c>
      <c r="H277" s="116" t="str">
        <f t="shared" si="25"/>
        <v>ACC.RGC.LS-5-3-02A</v>
      </c>
      <c r="I277" s="117" t="str">
        <f t="shared" si="24"/>
        <v>M-306</v>
      </c>
      <c r="K277" t="s">
        <v>697</v>
      </c>
      <c r="L277" t="s">
        <v>16</v>
      </c>
      <c r="M277">
        <v>3</v>
      </c>
    </row>
    <row r="278" spans="1:13" x14ac:dyDescent="0.2">
      <c r="A278" s="116" t="s">
        <v>1156</v>
      </c>
      <c r="B278" s="116" t="s">
        <v>393</v>
      </c>
      <c r="C278" s="117">
        <f>COUNTIF($D$3:D278, D278)</f>
        <v>16</v>
      </c>
      <c r="D278" s="117">
        <v>390</v>
      </c>
      <c r="E278" s="117" t="str">
        <f t="shared" si="23"/>
        <v>1039016</v>
      </c>
      <c r="F278" s="117">
        <f>IFERROR(VLOOKUP($G278, Sched!$A:$AA, 27, FALSE), "")</f>
        <v>0</v>
      </c>
      <c r="G278" s="127" t="s">
        <v>367</v>
      </c>
      <c r="H278" s="116" t="str">
        <f t="shared" si="25"/>
        <v>ACC.RGC.LS-5-3-02B</v>
      </c>
      <c r="I278" s="117" t="str">
        <f t="shared" si="24"/>
        <v>M-306</v>
      </c>
      <c r="K278" t="s">
        <v>697</v>
      </c>
      <c r="L278" t="s">
        <v>16</v>
      </c>
      <c r="M278">
        <v>3</v>
      </c>
    </row>
    <row r="279" spans="1:13" x14ac:dyDescent="0.2">
      <c r="A279" s="116" t="s">
        <v>1156</v>
      </c>
      <c r="B279" s="116" t="s">
        <v>393</v>
      </c>
      <c r="C279" s="117">
        <f>COUNTIF($D$3:D279, D279)</f>
        <v>17</v>
      </c>
      <c r="D279" s="117">
        <v>390</v>
      </c>
      <c r="E279" s="117" t="str">
        <f t="shared" si="23"/>
        <v>1039017</v>
      </c>
      <c r="F279" s="117">
        <f>IFERROR(VLOOKUP($G279, Sched!$A:$AA, 27, FALSE), "")</f>
        <v>0</v>
      </c>
      <c r="G279" s="127" t="s">
        <v>368</v>
      </c>
      <c r="H279" s="116" t="str">
        <f t="shared" si="25"/>
        <v>ACC.RGC.LS-5-3-02C</v>
      </c>
      <c r="I279" s="117" t="str">
        <f t="shared" si="24"/>
        <v>M-306</v>
      </c>
      <c r="K279" t="s">
        <v>697</v>
      </c>
      <c r="L279" t="s">
        <v>16</v>
      </c>
      <c r="M279">
        <v>3</v>
      </c>
    </row>
    <row r="280" spans="1:13" x14ac:dyDescent="0.2">
      <c r="A280" s="116" t="s">
        <v>1156</v>
      </c>
      <c r="B280" s="116" t="s">
        <v>393</v>
      </c>
      <c r="C280" s="117">
        <f>COUNTIF($D$3:D280, D280)</f>
        <v>18</v>
      </c>
      <c r="D280" s="117">
        <v>390</v>
      </c>
      <c r="E280" s="117" t="str">
        <f t="shared" si="23"/>
        <v>1039018</v>
      </c>
      <c r="F280" s="117">
        <f>IFERROR(VLOOKUP($G280, Sched!$A:$AA, 27, FALSE), "")</f>
        <v>0</v>
      </c>
      <c r="G280" s="127" t="s">
        <v>369</v>
      </c>
      <c r="H280" s="116" t="str">
        <f t="shared" si="25"/>
        <v>ACC.RGC.LS-5-3-02D</v>
      </c>
      <c r="I280" s="117" t="str">
        <f t="shared" si="24"/>
        <v>M-306</v>
      </c>
      <c r="K280" t="s">
        <v>697</v>
      </c>
      <c r="L280" t="s">
        <v>16</v>
      </c>
      <c r="M280">
        <v>3</v>
      </c>
    </row>
    <row r="281" spans="1:13" x14ac:dyDescent="0.2">
      <c r="A281" s="116" t="s">
        <v>1156</v>
      </c>
      <c r="B281" s="116" t="s">
        <v>393</v>
      </c>
      <c r="C281" s="117">
        <f>COUNTIF($D$3:D281, D281)</f>
        <v>19</v>
      </c>
      <c r="D281" s="117">
        <v>390</v>
      </c>
      <c r="E281" s="117" t="str">
        <f t="shared" si="23"/>
        <v>1039019</v>
      </c>
      <c r="F281" s="117">
        <f>IFERROR(VLOOKUP($G281, Sched!$A:$AA, 27, FALSE), "")</f>
        <v>0</v>
      </c>
      <c r="G281" s="127" t="s">
        <v>370</v>
      </c>
      <c r="H281" s="116" t="str">
        <f t="shared" si="25"/>
        <v>ACC.RGC.LS-5-3-02E</v>
      </c>
      <c r="I281" s="117" t="str">
        <f t="shared" si="24"/>
        <v>M-306</v>
      </c>
      <c r="K281" t="s">
        <v>697</v>
      </c>
      <c r="L281" t="s">
        <v>16</v>
      </c>
      <c r="M281">
        <v>3</v>
      </c>
    </row>
    <row r="282" spans="1:13" x14ac:dyDescent="0.2">
      <c r="A282" s="116" t="s">
        <v>1156</v>
      </c>
      <c r="B282" s="116" t="s">
        <v>393</v>
      </c>
      <c r="C282" s="117">
        <f>COUNTIF($D$3:D282, D282)</f>
        <v>20</v>
      </c>
      <c r="D282" s="117">
        <v>390</v>
      </c>
      <c r="E282" s="117" t="str">
        <f t="shared" si="23"/>
        <v>1039020</v>
      </c>
      <c r="F282" s="117">
        <f>IFERROR(VLOOKUP($G282, Sched!$A:$AA, 27, FALSE), "")</f>
        <v>0</v>
      </c>
      <c r="G282" s="127" t="s">
        <v>371</v>
      </c>
      <c r="H282" s="116" t="str">
        <f t="shared" si="25"/>
        <v>ACC.RGC.LE-6-3-02A</v>
      </c>
      <c r="I282" s="117" t="str">
        <f t="shared" si="24"/>
        <v>M-306</v>
      </c>
      <c r="K282" t="s">
        <v>697</v>
      </c>
      <c r="L282" t="s">
        <v>16</v>
      </c>
      <c r="M282">
        <v>3</v>
      </c>
    </row>
    <row r="283" spans="1:13" x14ac:dyDescent="0.2">
      <c r="A283" s="116" t="s">
        <v>1156</v>
      </c>
      <c r="B283" s="116" t="s">
        <v>393</v>
      </c>
      <c r="C283" s="117">
        <f>COUNTIF($D$3:D283, D283)</f>
        <v>21</v>
      </c>
      <c r="D283" s="117">
        <v>390</v>
      </c>
      <c r="E283" s="117" t="str">
        <f t="shared" si="23"/>
        <v>1039021</v>
      </c>
      <c r="F283" s="117">
        <f>IFERROR(VLOOKUP($G283, Sched!$A:$AA, 27, FALSE), "")</f>
        <v>0</v>
      </c>
      <c r="G283" s="127" t="s">
        <v>372</v>
      </c>
      <c r="H283" s="116" t="str">
        <f t="shared" si="25"/>
        <v>ACC.RGC.LE-6-3-02B</v>
      </c>
      <c r="I283" s="117" t="str">
        <f t="shared" si="24"/>
        <v>M-306</v>
      </c>
      <c r="K283" t="s">
        <v>697</v>
      </c>
      <c r="L283" t="s">
        <v>16</v>
      </c>
      <c r="M283">
        <v>3</v>
      </c>
    </row>
    <row r="284" spans="1:13" x14ac:dyDescent="0.2">
      <c r="A284" s="116" t="s">
        <v>1156</v>
      </c>
      <c r="B284" s="116" t="s">
        <v>393</v>
      </c>
      <c r="C284" s="117">
        <f>COUNTIF($D$3:D284, D284)</f>
        <v>22</v>
      </c>
      <c r="D284" s="117">
        <v>390</v>
      </c>
      <c r="E284" s="117" t="str">
        <f t="shared" si="23"/>
        <v>1039022</v>
      </c>
      <c r="F284" s="117">
        <f>IFERROR(VLOOKUP($G284, Sched!$A:$AA, 27, FALSE), "")</f>
        <v>0</v>
      </c>
      <c r="G284" s="127" t="s">
        <v>373</v>
      </c>
      <c r="H284" s="116" t="str">
        <f t="shared" si="25"/>
        <v>ACC.RGC.LE-6-3-02C</v>
      </c>
      <c r="I284" s="117" t="str">
        <f t="shared" si="24"/>
        <v>M-306</v>
      </c>
      <c r="K284" t="s">
        <v>697</v>
      </c>
      <c r="L284" t="s">
        <v>16</v>
      </c>
      <c r="M284">
        <v>3</v>
      </c>
    </row>
    <row r="285" spans="1:13" x14ac:dyDescent="0.2">
      <c r="A285" s="116" t="s">
        <v>1156</v>
      </c>
      <c r="B285" s="116" t="s">
        <v>393</v>
      </c>
      <c r="C285" s="117">
        <f>COUNTIF($D$3:D285, D285)</f>
        <v>23</v>
      </c>
      <c r="D285" s="117">
        <v>390</v>
      </c>
      <c r="E285" s="117" t="str">
        <f t="shared" si="23"/>
        <v>1039023</v>
      </c>
      <c r="F285" s="117">
        <f>IFERROR(VLOOKUP($G285, Sched!$A:$AA, 27, FALSE), "")</f>
        <v>0</v>
      </c>
      <c r="G285" s="127" t="s">
        <v>374</v>
      </c>
      <c r="H285" s="116" t="str">
        <f t="shared" si="25"/>
        <v>ACC.RGC.LE-6-3-02D</v>
      </c>
      <c r="I285" s="117" t="str">
        <f t="shared" si="24"/>
        <v>M-306</v>
      </c>
      <c r="K285" t="s">
        <v>697</v>
      </c>
      <c r="L285" t="s">
        <v>16</v>
      </c>
      <c r="M285">
        <v>3</v>
      </c>
    </row>
    <row r="286" spans="1:13" x14ac:dyDescent="0.2">
      <c r="A286" s="116" t="s">
        <v>1156</v>
      </c>
      <c r="B286" s="116" t="s">
        <v>393</v>
      </c>
      <c r="C286" s="117">
        <f>COUNTIF($D$3:D286, D286)</f>
        <v>24</v>
      </c>
      <c r="D286" s="117">
        <v>390</v>
      </c>
      <c r="E286" s="117" t="str">
        <f t="shared" si="23"/>
        <v>1039024</v>
      </c>
      <c r="F286" s="117">
        <f>IFERROR(VLOOKUP($G286, Sched!$A:$AA, 27, FALSE), "")</f>
        <v>0</v>
      </c>
      <c r="G286" s="127" t="s">
        <v>375</v>
      </c>
      <c r="H286" s="116" t="str">
        <f t="shared" si="25"/>
        <v>ACC.RGC.LE-6-3-02E</v>
      </c>
      <c r="I286" s="117" t="str">
        <f t="shared" si="24"/>
        <v>M-306</v>
      </c>
      <c r="K286" t="s">
        <v>697</v>
      </c>
      <c r="L286" t="s">
        <v>16</v>
      </c>
      <c r="M286">
        <v>3</v>
      </c>
    </row>
    <row r="287" spans="1:13" x14ac:dyDescent="0.2">
      <c r="A287" s="116" t="s">
        <v>1156</v>
      </c>
      <c r="B287" s="116" t="s">
        <v>393</v>
      </c>
      <c r="C287" s="117">
        <f>COUNTIF($D$3:D287, D287)</f>
        <v>25</v>
      </c>
      <c r="D287" s="117">
        <v>390</v>
      </c>
      <c r="E287" s="117" t="str">
        <f t="shared" si="23"/>
        <v>1039025</v>
      </c>
      <c r="F287" s="117">
        <f>IFERROR(VLOOKUP($G287, Sched!$A:$AA, 27, FALSE), "")</f>
        <v>0</v>
      </c>
      <c r="G287" s="127" t="s">
        <v>376</v>
      </c>
      <c r="H287" s="116" t="str">
        <f t="shared" si="25"/>
        <v>ACC.RGC.LE-6-3-02F</v>
      </c>
      <c r="I287" s="117" t="str">
        <f t="shared" si="24"/>
        <v>M-306</v>
      </c>
      <c r="K287" t="s">
        <v>697</v>
      </c>
      <c r="L287" t="s">
        <v>16</v>
      </c>
      <c r="M287">
        <v>3</v>
      </c>
    </row>
    <row r="288" spans="1:13" x14ac:dyDescent="0.2">
      <c r="A288" s="116" t="s">
        <v>1156</v>
      </c>
      <c r="B288" s="116" t="s">
        <v>393</v>
      </c>
      <c r="C288" s="117">
        <f>COUNTIF($D$3:D288, D288)</f>
        <v>26</v>
      </c>
      <c r="D288" s="117">
        <v>390</v>
      </c>
      <c r="E288" s="117" t="str">
        <f t="shared" si="23"/>
        <v>1039026</v>
      </c>
      <c r="F288" s="117">
        <f>IFERROR(VLOOKUP($G288, Sched!$A:$AA, 27, FALSE), "")</f>
        <v>0</v>
      </c>
      <c r="G288" s="127" t="s">
        <v>377</v>
      </c>
      <c r="H288" s="116" t="str">
        <f t="shared" si="25"/>
        <v>ACC.RGC.LE-6-3-02G</v>
      </c>
      <c r="I288" s="117" t="str">
        <f t="shared" si="24"/>
        <v>M-306</v>
      </c>
      <c r="K288" t="s">
        <v>697</v>
      </c>
      <c r="L288" t="s">
        <v>16</v>
      </c>
      <c r="M288">
        <v>3</v>
      </c>
    </row>
    <row r="289" spans="1:13" x14ac:dyDescent="0.2">
      <c r="A289" s="116" t="s">
        <v>1156</v>
      </c>
      <c r="B289" s="116" t="s">
        <v>393</v>
      </c>
      <c r="C289" s="117">
        <f>COUNTIF($D$3:D289, D289)</f>
        <v>27</v>
      </c>
      <c r="D289" s="117">
        <v>390</v>
      </c>
      <c r="E289" s="117" t="str">
        <f t="shared" si="23"/>
        <v>1039027</v>
      </c>
      <c r="F289" s="117">
        <f>IFERROR(VLOOKUP($G289, Sched!$A:$AA, 27, FALSE), "")</f>
        <v>0</v>
      </c>
      <c r="G289" s="127" t="s">
        <v>378</v>
      </c>
      <c r="H289" s="116" t="str">
        <f t="shared" si="25"/>
        <v>ACC.RGC.LE-6-3-02H</v>
      </c>
      <c r="I289" s="117" t="str">
        <f t="shared" si="24"/>
        <v>M-306</v>
      </c>
      <c r="K289" t="s">
        <v>697</v>
      </c>
      <c r="L289" t="s">
        <v>16</v>
      </c>
      <c r="M289">
        <v>3</v>
      </c>
    </row>
    <row r="290" spans="1:13" x14ac:dyDescent="0.2">
      <c r="A290" s="116" t="s">
        <v>1156</v>
      </c>
      <c r="B290" s="116" t="s">
        <v>393</v>
      </c>
      <c r="C290" s="117">
        <f>COUNTIF($D$3:D290, D290)</f>
        <v>28</v>
      </c>
      <c r="D290" s="117">
        <v>390</v>
      </c>
      <c r="E290" s="117" t="str">
        <f t="shared" si="23"/>
        <v>1039028</v>
      </c>
      <c r="F290" s="117">
        <f>IFERROR(VLOOKUP($G290, Sched!$A:$AA, 27, FALSE), "")</f>
        <v>0</v>
      </c>
      <c r="G290" s="127" t="s">
        <v>379</v>
      </c>
      <c r="H290" s="116" t="str">
        <f t="shared" si="25"/>
        <v>ACC.RGC.LE-6-3-02I</v>
      </c>
      <c r="I290" s="117" t="str">
        <f t="shared" si="24"/>
        <v>M-306</v>
      </c>
      <c r="K290" t="s">
        <v>697</v>
      </c>
      <c r="L290" t="s">
        <v>16</v>
      </c>
      <c r="M290">
        <v>3</v>
      </c>
    </row>
    <row r="291" spans="1:13" x14ac:dyDescent="0.2">
      <c r="A291" s="116" t="s">
        <v>1156</v>
      </c>
      <c r="B291" s="116" t="s">
        <v>393</v>
      </c>
      <c r="C291" s="117">
        <f>COUNTIF($D$3:D291, D291)</f>
        <v>29</v>
      </c>
      <c r="D291" s="117">
        <v>390</v>
      </c>
      <c r="E291" s="117" t="str">
        <f t="shared" si="23"/>
        <v>1039029</v>
      </c>
      <c r="F291" s="117">
        <f>IFERROR(VLOOKUP($G291, Sched!$A:$AA, 27, FALSE), "")</f>
        <v>0</v>
      </c>
      <c r="G291" s="127" t="s">
        <v>380</v>
      </c>
      <c r="H291" s="116" t="str">
        <f t="shared" si="25"/>
        <v>ACC.RGC.LE-6-3-02J</v>
      </c>
      <c r="I291" s="117" t="str">
        <f t="shared" si="24"/>
        <v>M-306</v>
      </c>
      <c r="K291" t="s">
        <v>697</v>
      </c>
      <c r="L291" t="s">
        <v>16</v>
      </c>
      <c r="M291">
        <v>3</v>
      </c>
    </row>
    <row r="292" spans="1:13" x14ac:dyDescent="0.2">
      <c r="A292" s="116" t="s">
        <v>1156</v>
      </c>
      <c r="B292" s="116" t="s">
        <v>393</v>
      </c>
      <c r="C292" s="117">
        <f>COUNTIF($D$3:D292, D292)</f>
        <v>30</v>
      </c>
      <c r="D292" s="117">
        <v>390</v>
      </c>
      <c r="E292" s="117" t="str">
        <f t="shared" si="23"/>
        <v>1039030</v>
      </c>
      <c r="F292" s="117">
        <f>IFERROR(VLOOKUP($G292, Sched!$A:$AA, 27, FALSE), "")</f>
        <v>0</v>
      </c>
      <c r="G292" s="127" t="s">
        <v>381</v>
      </c>
      <c r="H292" s="116" t="str">
        <f t="shared" si="25"/>
        <v>ACC.RGC.LE-6-3-02K</v>
      </c>
      <c r="I292" s="117" t="str">
        <f t="shared" si="24"/>
        <v>M-306</v>
      </c>
      <c r="K292" t="s">
        <v>697</v>
      </c>
      <c r="L292" t="s">
        <v>16</v>
      </c>
      <c r="M292">
        <v>3</v>
      </c>
    </row>
    <row r="293" spans="1:13" x14ac:dyDescent="0.2">
      <c r="A293" s="116" t="s">
        <v>1153</v>
      </c>
      <c r="B293" s="116" t="s">
        <v>1169</v>
      </c>
      <c r="C293" s="117">
        <f>COUNTIF($D$3:D293, D293)</f>
        <v>1</v>
      </c>
      <c r="D293" s="117">
        <f>INDEX(PanelInstance!$B$2:$H$11, MATCH(Joined!$A293, PanelInstance!$B$2:$B$11, 0), MATCH(Joined!B293, PanelInstance!$B$1:$H$1, 0)+1)</f>
        <v>355</v>
      </c>
      <c r="E293" s="117" t="str">
        <f t="shared" si="23"/>
        <v>1035501</v>
      </c>
      <c r="F293" s="117" t="str">
        <f>IFERROR(VLOOKUP($G293, Sched!$A:$AA, 27, FALSE), "")</f>
        <v/>
      </c>
      <c r="G293" s="116" t="s">
        <v>30</v>
      </c>
      <c r="H293" s="116" t="str">
        <f xml:space="preserve"> "ACC.RGC." &amp; G293</f>
        <v>ACC.RGC.VFD-LEF-2A</v>
      </c>
      <c r="I293" s="117" t="str">
        <f t="shared" si="24"/>
        <v>M-304</v>
      </c>
      <c r="K293" t="s">
        <v>20</v>
      </c>
      <c r="L293" t="s">
        <v>19</v>
      </c>
      <c r="M293" t="s">
        <v>1141</v>
      </c>
    </row>
    <row r="294" spans="1:13" x14ac:dyDescent="0.2">
      <c r="A294" s="116" t="s">
        <v>1153</v>
      </c>
      <c r="B294" s="116" t="s">
        <v>1169</v>
      </c>
      <c r="C294" s="117">
        <f>COUNTIF($D$3:D294, D294)</f>
        <v>2</v>
      </c>
      <c r="D294" s="117">
        <f>INDEX(PanelInstance!$B$2:$H$11, MATCH(Joined!$A294, PanelInstance!$B$2:$B$11, 0), MATCH(Joined!B294, PanelInstance!$B$1:$H$1, 0)+1)</f>
        <v>355</v>
      </c>
      <c r="E294" s="117" t="str">
        <f t="shared" si="23"/>
        <v>1035502</v>
      </c>
      <c r="F294" s="117" t="str">
        <f>IFERROR(VLOOKUP($G294, Sched!$A:$AA, 27, FALSE), "")</f>
        <v/>
      </c>
      <c r="G294" s="116" t="s">
        <v>31</v>
      </c>
      <c r="H294" s="116" t="str">
        <f t="shared" ref="H294:H330" si="26" xml:space="preserve"> "ACC.RGC." &amp; G294</f>
        <v>ACC.RGC.VFD-LEF-2B</v>
      </c>
      <c r="I294" s="117" t="str">
        <f t="shared" si="24"/>
        <v>M-304</v>
      </c>
      <c r="K294" t="s">
        <v>20</v>
      </c>
      <c r="L294" t="s">
        <v>19</v>
      </c>
      <c r="M294" t="s">
        <v>1141</v>
      </c>
    </row>
    <row r="295" spans="1:13" x14ac:dyDescent="0.2">
      <c r="A295" s="116" t="s">
        <v>1148</v>
      </c>
      <c r="B295" s="116" t="s">
        <v>1169</v>
      </c>
      <c r="C295" s="117">
        <f>COUNTIF($D$3:D295, D295)</f>
        <v>1</v>
      </c>
      <c r="D295" s="117">
        <f>INDEX(PanelInstance!$B$2:$H$11, MATCH(Joined!$A295, PanelInstance!$B$2:$B$11, 0), MATCH(Joined!B295, PanelInstance!$B$1:$H$1, 0)+1)</f>
        <v>359</v>
      </c>
      <c r="E295" s="117" t="str">
        <f t="shared" si="23"/>
        <v>1035901</v>
      </c>
      <c r="F295" s="117" t="str">
        <f>IFERROR(VLOOKUP($G295, Sched!$A:$AA, 27, FALSE), "")</f>
        <v/>
      </c>
      <c r="G295" s="116" t="s">
        <v>32</v>
      </c>
      <c r="H295" s="116" t="str">
        <f t="shared" si="26"/>
        <v>ACC.RGC.VFD-LEF-1A</v>
      </c>
      <c r="I295" s="117" t="str">
        <f t="shared" si="24"/>
        <v>M-304</v>
      </c>
      <c r="K295" t="s">
        <v>20</v>
      </c>
      <c r="L295" t="s">
        <v>19</v>
      </c>
      <c r="M295" t="s">
        <v>1141</v>
      </c>
    </row>
    <row r="296" spans="1:13" x14ac:dyDescent="0.2">
      <c r="A296" s="116" t="s">
        <v>1148</v>
      </c>
      <c r="B296" s="116" t="s">
        <v>1169</v>
      </c>
      <c r="C296" s="117">
        <f>COUNTIF($D$3:D296, D296)</f>
        <v>2</v>
      </c>
      <c r="D296" s="117">
        <f>INDEX(PanelInstance!$B$2:$H$11, MATCH(Joined!$A296, PanelInstance!$B$2:$B$11, 0), MATCH(Joined!B296, PanelInstance!$B$1:$H$1, 0)+1)</f>
        <v>359</v>
      </c>
      <c r="E296" s="117" t="str">
        <f t="shared" si="23"/>
        <v>1035902</v>
      </c>
      <c r="F296" s="117" t="str">
        <f>IFERROR(VLOOKUP($G296, Sched!$A:$AA, 27, FALSE), "")</f>
        <v/>
      </c>
      <c r="G296" s="116" t="s">
        <v>33</v>
      </c>
      <c r="H296" s="116" t="str">
        <f t="shared" si="26"/>
        <v>ACC.RGC.VFD-LEF-1B</v>
      </c>
      <c r="I296" s="117" t="str">
        <f t="shared" si="24"/>
        <v>M-304</v>
      </c>
      <c r="K296" t="s">
        <v>20</v>
      </c>
      <c r="L296" t="s">
        <v>19</v>
      </c>
      <c r="M296" t="s">
        <v>1141</v>
      </c>
    </row>
    <row r="297" spans="1:13" x14ac:dyDescent="0.2">
      <c r="A297" s="116" t="s">
        <v>1148</v>
      </c>
      <c r="B297" s="116" t="s">
        <v>1169</v>
      </c>
      <c r="C297" s="117">
        <f>COUNTIF($D$3:D297, D297)</f>
        <v>3</v>
      </c>
      <c r="D297" s="117">
        <f>INDEX(PanelInstance!$B$2:$H$11, MATCH(Joined!$A297, PanelInstance!$B$2:$B$11, 0), MATCH(Joined!B297, PanelInstance!$B$1:$H$1, 0)+1)</f>
        <v>359</v>
      </c>
      <c r="E297" s="117" t="str">
        <f t="shared" si="23"/>
        <v>1035903</v>
      </c>
      <c r="F297" s="117" t="str">
        <f>IFERROR(VLOOKUP($G297, Sched!$A:$AA, 27, FALSE), "")</f>
        <v/>
      </c>
      <c r="G297" s="116" t="s">
        <v>34</v>
      </c>
      <c r="H297" s="116" t="str">
        <f t="shared" si="26"/>
        <v>ACC.RGC.VFD-LEF-1C</v>
      </c>
      <c r="I297" s="117" t="str">
        <f t="shared" si="24"/>
        <v>M-304</v>
      </c>
      <c r="K297" t="s">
        <v>20</v>
      </c>
      <c r="L297" t="s">
        <v>19</v>
      </c>
      <c r="M297" t="s">
        <v>1141</v>
      </c>
    </row>
    <row r="298" spans="1:13" x14ac:dyDescent="0.2">
      <c r="A298" s="116" t="s">
        <v>1153</v>
      </c>
      <c r="B298" s="116" t="s">
        <v>1169</v>
      </c>
      <c r="C298" s="117">
        <f>COUNTIF($D$3:D298, D298)</f>
        <v>3</v>
      </c>
      <c r="D298" s="117">
        <f>INDEX(PanelInstance!$B$2:$H$11, MATCH(Joined!$A298, PanelInstance!$B$2:$B$11, 0), MATCH(Joined!B298, PanelInstance!$B$1:$H$1, 0)+1)</f>
        <v>355</v>
      </c>
      <c r="E298" s="117" t="str">
        <f t="shared" si="23"/>
        <v>1035503</v>
      </c>
      <c r="F298" s="117" t="str">
        <f>IFERROR(VLOOKUP($G298, Sched!$A:$AA, 27, FALSE), "")</f>
        <v/>
      </c>
      <c r="G298" s="116" t="s">
        <v>35</v>
      </c>
      <c r="H298" s="116" t="str">
        <f t="shared" si="26"/>
        <v>ACC.RGC.VFD-SEF-1A</v>
      </c>
      <c r="I298" s="117" t="str">
        <f t="shared" si="24"/>
        <v>M-304</v>
      </c>
      <c r="K298" t="s">
        <v>20</v>
      </c>
      <c r="L298" t="s">
        <v>19</v>
      </c>
      <c r="M298" t="s">
        <v>1141</v>
      </c>
    </row>
    <row r="299" spans="1:13" x14ac:dyDescent="0.2">
      <c r="A299" s="116" t="s">
        <v>1153</v>
      </c>
      <c r="B299" s="116" t="s">
        <v>1169</v>
      </c>
      <c r="C299" s="117">
        <f>COUNTIF($D$3:D299, D299)</f>
        <v>4</v>
      </c>
      <c r="D299" s="117">
        <f>INDEX(PanelInstance!$B$2:$H$11, MATCH(Joined!$A299, PanelInstance!$B$2:$B$11, 0), MATCH(Joined!B299, PanelInstance!$B$1:$H$1, 0)+1)</f>
        <v>355</v>
      </c>
      <c r="E299" s="117" t="str">
        <f t="shared" si="23"/>
        <v>1035504</v>
      </c>
      <c r="F299" s="117" t="str">
        <f>IFERROR(VLOOKUP($G299, Sched!$A:$AA, 27, FALSE), "")</f>
        <v/>
      </c>
      <c r="G299" s="116" t="s">
        <v>36</v>
      </c>
      <c r="H299" s="116" t="str">
        <f t="shared" si="26"/>
        <v>ACC.RGC.VFD-SEF-1B</v>
      </c>
      <c r="I299" s="117" t="str">
        <f t="shared" si="24"/>
        <v>M-304</v>
      </c>
      <c r="K299" t="s">
        <v>20</v>
      </c>
      <c r="L299" t="s">
        <v>19</v>
      </c>
      <c r="M299" t="s">
        <v>1141</v>
      </c>
    </row>
    <row r="300" spans="1:13" x14ac:dyDescent="0.2">
      <c r="A300" s="116" t="s">
        <v>1153</v>
      </c>
      <c r="B300" s="116" t="s">
        <v>1169</v>
      </c>
      <c r="C300" s="117">
        <f>COUNTIF($D$3:D300, D300)</f>
        <v>5</v>
      </c>
      <c r="D300" s="117">
        <f>INDEX(PanelInstance!$B$2:$H$11, MATCH(Joined!$A300, PanelInstance!$B$2:$B$11, 0), MATCH(Joined!B300, PanelInstance!$B$1:$H$1, 0)+1)</f>
        <v>355</v>
      </c>
      <c r="E300" s="117" t="str">
        <f t="shared" si="23"/>
        <v>1035505</v>
      </c>
      <c r="F300" s="117" t="str">
        <f>IFERROR(VLOOKUP($G300, Sched!$A:$AA, 27, FALSE), "")</f>
        <v/>
      </c>
      <c r="G300" s="116" t="s">
        <v>37</v>
      </c>
      <c r="H300" s="116" t="str">
        <f t="shared" si="26"/>
        <v>ACC.RGC.VFD-SEF-2A</v>
      </c>
      <c r="I300" s="117" t="str">
        <f t="shared" si="24"/>
        <v>M-304</v>
      </c>
      <c r="K300" t="s">
        <v>20</v>
      </c>
      <c r="L300" t="s">
        <v>19</v>
      </c>
      <c r="M300" t="s">
        <v>1141</v>
      </c>
    </row>
    <row r="301" spans="1:13" x14ac:dyDescent="0.2">
      <c r="A301" s="116" t="s">
        <v>1153</v>
      </c>
      <c r="B301" s="116" t="s">
        <v>1169</v>
      </c>
      <c r="C301" s="117">
        <f>COUNTIF($D$3:D301, D301)</f>
        <v>6</v>
      </c>
      <c r="D301" s="117">
        <f>INDEX(PanelInstance!$B$2:$H$11, MATCH(Joined!$A301, PanelInstance!$B$2:$B$11, 0), MATCH(Joined!B301, PanelInstance!$B$1:$H$1, 0)+1)</f>
        <v>355</v>
      </c>
      <c r="E301" s="117" t="str">
        <f t="shared" si="23"/>
        <v>1035506</v>
      </c>
      <c r="F301" s="117" t="str">
        <f>IFERROR(VLOOKUP($G301, Sched!$A:$AA, 27, FALSE), "")</f>
        <v/>
      </c>
      <c r="G301" s="116" t="s">
        <v>38</v>
      </c>
      <c r="H301" s="116" t="str">
        <f t="shared" si="26"/>
        <v>ACC.RGC.VFD-SEF-2B</v>
      </c>
      <c r="I301" s="117" t="str">
        <f t="shared" si="24"/>
        <v>M-304</v>
      </c>
      <c r="K301" t="s">
        <v>20</v>
      </c>
      <c r="L301" t="s">
        <v>19</v>
      </c>
      <c r="M301" t="s">
        <v>1141</v>
      </c>
    </row>
    <row r="302" spans="1:13" x14ac:dyDescent="0.2">
      <c r="A302" s="116" t="s">
        <v>1153</v>
      </c>
      <c r="B302" s="116" t="s">
        <v>1169</v>
      </c>
      <c r="C302" s="117">
        <f>COUNTIF($D$3:D302, D302)</f>
        <v>7</v>
      </c>
      <c r="D302" s="117">
        <f>INDEX(PanelInstance!$B$2:$H$11, MATCH(Joined!$A302, PanelInstance!$B$2:$B$11, 0), MATCH(Joined!B302, PanelInstance!$B$1:$H$1, 0)+1)</f>
        <v>355</v>
      </c>
      <c r="E302" s="117" t="str">
        <f t="shared" si="23"/>
        <v>1035507</v>
      </c>
      <c r="F302" s="117" t="str">
        <f>IFERROR(VLOOKUP($G302, Sched!$A:$AA, 27, FALSE), "")</f>
        <v/>
      </c>
      <c r="G302" s="116" t="s">
        <v>29</v>
      </c>
      <c r="H302" s="116" t="str">
        <f t="shared" si="26"/>
        <v>ACC.RGC.VFD-FCU-PH-1</v>
      </c>
      <c r="I302" s="117" t="str">
        <f t="shared" si="24"/>
        <v>M-304</v>
      </c>
      <c r="K302" t="s">
        <v>20</v>
      </c>
      <c r="L302" t="s">
        <v>19</v>
      </c>
      <c r="M302" t="s">
        <v>1141</v>
      </c>
    </row>
    <row r="303" spans="1:13" x14ac:dyDescent="0.2">
      <c r="A303" s="116" t="s">
        <v>1153</v>
      </c>
      <c r="B303" s="116" t="s">
        <v>1169</v>
      </c>
      <c r="C303" s="117">
        <f>COUNTIF($D$3:D303, D303)</f>
        <v>8</v>
      </c>
      <c r="D303" s="117">
        <f>INDEX(PanelInstance!$B$2:$H$11, MATCH(Joined!$A303, PanelInstance!$B$2:$B$11, 0), MATCH(Joined!B303, PanelInstance!$B$1:$H$1, 0)+1)</f>
        <v>355</v>
      </c>
      <c r="E303" s="117" t="str">
        <f t="shared" si="23"/>
        <v>1035508</v>
      </c>
      <c r="F303" s="117" t="str">
        <f>IFERROR(VLOOKUP($G303, Sched!$A:$AA, 27, FALSE), "")</f>
        <v/>
      </c>
      <c r="G303" s="116" t="s">
        <v>39</v>
      </c>
      <c r="H303" s="116" t="str">
        <f t="shared" si="26"/>
        <v>ACC.RGC.VFD-REA-1A</v>
      </c>
      <c r="I303" s="117" t="str">
        <f t="shared" si="24"/>
        <v>M-304</v>
      </c>
      <c r="K303" t="s">
        <v>20</v>
      </c>
      <c r="L303" t="s">
        <v>19</v>
      </c>
      <c r="M303" t="s">
        <v>1141</v>
      </c>
    </row>
    <row r="304" spans="1:13" x14ac:dyDescent="0.2">
      <c r="A304" s="116" t="s">
        <v>1153</v>
      </c>
      <c r="B304" s="116" t="s">
        <v>1169</v>
      </c>
      <c r="C304" s="117">
        <f>COUNTIF($D$3:D304, D304)</f>
        <v>9</v>
      </c>
      <c r="D304" s="117">
        <f>INDEX(PanelInstance!$B$2:$H$11, MATCH(Joined!$A304, PanelInstance!$B$2:$B$11, 0), MATCH(Joined!B304, PanelInstance!$B$1:$H$1, 0)+1)</f>
        <v>355</v>
      </c>
      <c r="E304" s="117" t="str">
        <f t="shared" si="23"/>
        <v>1035509</v>
      </c>
      <c r="F304" s="117" t="str">
        <f>IFERROR(VLOOKUP($G304, Sched!$A:$AA, 27, FALSE), "")</f>
        <v/>
      </c>
      <c r="G304" s="116" t="s">
        <v>40</v>
      </c>
      <c r="H304" s="116" t="str">
        <f t="shared" si="26"/>
        <v>ACC.RGC.VFD-REA-1B</v>
      </c>
      <c r="I304" s="117" t="str">
        <f t="shared" si="24"/>
        <v>M-304</v>
      </c>
      <c r="K304" t="s">
        <v>20</v>
      </c>
      <c r="L304" t="s">
        <v>19</v>
      </c>
      <c r="M304" t="s">
        <v>1141</v>
      </c>
    </row>
    <row r="305" spans="1:13" x14ac:dyDescent="0.2">
      <c r="A305" s="116" t="s">
        <v>1154</v>
      </c>
      <c r="B305" s="116" t="s">
        <v>1169</v>
      </c>
      <c r="C305" s="117">
        <f>COUNTIF($D$3:D305, D305)</f>
        <v>1</v>
      </c>
      <c r="D305" s="117">
        <f>INDEX(PanelInstance!$B$2:$H$11, MATCH(Joined!$A305, PanelInstance!$B$2:$B$11, 0), MATCH(Joined!B305, PanelInstance!$B$1:$H$1, 0)+1)</f>
        <v>356</v>
      </c>
      <c r="E305" s="117" t="str">
        <f t="shared" si="23"/>
        <v>1035601</v>
      </c>
      <c r="F305" s="117" t="str">
        <f>IFERROR(VLOOKUP($G305, Sched!$A:$AA, 27, FALSE), "")</f>
        <v/>
      </c>
      <c r="G305" s="116" t="s">
        <v>22</v>
      </c>
      <c r="H305" s="116" t="str">
        <f t="shared" si="26"/>
        <v>ACC.RGC.VFD-AHU-CB2-SA</v>
      </c>
      <c r="I305" s="117" t="str">
        <f t="shared" si="24"/>
        <v>M-304</v>
      </c>
      <c r="K305" t="s">
        <v>20</v>
      </c>
      <c r="L305" t="s">
        <v>19</v>
      </c>
      <c r="M305" t="s">
        <v>1141</v>
      </c>
    </row>
    <row r="306" spans="1:13" x14ac:dyDescent="0.2">
      <c r="A306" s="116" t="s">
        <v>1154</v>
      </c>
      <c r="B306" s="116" t="s">
        <v>1169</v>
      </c>
      <c r="C306" s="117">
        <f>COUNTIF($D$3:D306, D306)</f>
        <v>2</v>
      </c>
      <c r="D306" s="117">
        <f>INDEX(PanelInstance!$B$2:$H$11, MATCH(Joined!$A306, PanelInstance!$B$2:$B$11, 0), MATCH(Joined!B306, PanelInstance!$B$1:$H$1, 0)+1)</f>
        <v>356</v>
      </c>
      <c r="E306" s="117" t="str">
        <f t="shared" si="23"/>
        <v>1035602</v>
      </c>
      <c r="F306" s="117" t="str">
        <f>IFERROR(VLOOKUP($G306, Sched!$A:$AA, 27, FALSE), "")</f>
        <v/>
      </c>
      <c r="G306" s="116" t="s">
        <v>329</v>
      </c>
      <c r="H306" s="116" t="str">
        <f t="shared" si="26"/>
        <v>ACC.RGC.VFD-AHU-CB2-SA2</v>
      </c>
      <c r="I306" s="117" t="str">
        <f t="shared" si="24"/>
        <v>M-304</v>
      </c>
      <c r="K306" t="s">
        <v>20</v>
      </c>
      <c r="L306" t="s">
        <v>19</v>
      </c>
      <c r="M306" t="s">
        <v>1141</v>
      </c>
    </row>
    <row r="307" spans="1:13" x14ac:dyDescent="0.2">
      <c r="A307" s="116" t="s">
        <v>1154</v>
      </c>
      <c r="B307" s="116" t="s">
        <v>1169</v>
      </c>
      <c r="C307" s="117">
        <f>COUNTIF($D$3:D307, D307)</f>
        <v>3</v>
      </c>
      <c r="D307" s="117">
        <f>INDEX(PanelInstance!$B$2:$H$11, MATCH(Joined!$A307, PanelInstance!$B$2:$B$11, 0), MATCH(Joined!B307, PanelInstance!$B$1:$H$1, 0)+1)</f>
        <v>356</v>
      </c>
      <c r="E307" s="117" t="str">
        <f t="shared" si="23"/>
        <v>1035603</v>
      </c>
      <c r="F307" s="117" t="str">
        <f>IFERROR(VLOOKUP($G307, Sched!$A:$AA, 27, FALSE), "")</f>
        <v/>
      </c>
      <c r="G307" s="116" t="s">
        <v>23</v>
      </c>
      <c r="H307" s="116" t="str">
        <f t="shared" si="26"/>
        <v>ACC.RGC.VFD-AHU-CB2-RA</v>
      </c>
      <c r="I307" s="117" t="str">
        <f t="shared" si="24"/>
        <v>M-304</v>
      </c>
      <c r="K307" t="s">
        <v>20</v>
      </c>
      <c r="L307" t="s">
        <v>19</v>
      </c>
      <c r="M307" t="s">
        <v>1141</v>
      </c>
    </row>
    <row r="308" spans="1:13" x14ac:dyDescent="0.2">
      <c r="A308" s="116" t="s">
        <v>1154</v>
      </c>
      <c r="B308" s="116" t="s">
        <v>1169</v>
      </c>
      <c r="C308" s="117">
        <f>COUNTIF($D$3:D308, D308)</f>
        <v>4</v>
      </c>
      <c r="D308" s="117">
        <f>INDEX(PanelInstance!$B$2:$H$11, MATCH(Joined!$A308, PanelInstance!$B$2:$B$11, 0), MATCH(Joined!B308, PanelInstance!$B$1:$H$1, 0)+1)</f>
        <v>356</v>
      </c>
      <c r="E308" s="117" t="str">
        <f t="shared" si="23"/>
        <v>1035604</v>
      </c>
      <c r="F308" s="117" t="str">
        <f>IFERROR(VLOOKUP($G308, Sched!$A:$AA, 27, FALSE), "")</f>
        <v/>
      </c>
      <c r="G308" s="116" t="s">
        <v>330</v>
      </c>
      <c r="H308" s="116" t="str">
        <f t="shared" si="26"/>
        <v>ACC.RGC.VFD-AHU-CB2-RA2</v>
      </c>
      <c r="I308" s="117" t="str">
        <f t="shared" si="24"/>
        <v>M-304</v>
      </c>
      <c r="K308" t="s">
        <v>20</v>
      </c>
      <c r="L308" t="s">
        <v>19</v>
      </c>
      <c r="M308" t="s">
        <v>1141</v>
      </c>
    </row>
    <row r="309" spans="1:13" x14ac:dyDescent="0.2">
      <c r="A309" s="116" t="s">
        <v>1154</v>
      </c>
      <c r="B309" s="116" t="s">
        <v>1169</v>
      </c>
      <c r="C309" s="117">
        <f>COUNTIF($D$3:D309, D309)</f>
        <v>5</v>
      </c>
      <c r="D309" s="117">
        <f>INDEX(PanelInstance!$B$2:$H$11, MATCH(Joined!$A309, PanelInstance!$B$2:$B$11, 0), MATCH(Joined!B309, PanelInstance!$B$1:$H$1, 0)+1)</f>
        <v>356</v>
      </c>
      <c r="E309" s="117" t="str">
        <f t="shared" si="23"/>
        <v>1035605</v>
      </c>
      <c r="F309" s="117" t="str">
        <f>IFERROR(VLOOKUP($G309, Sched!$A:$AA, 27, FALSE), "")</f>
        <v/>
      </c>
      <c r="G309" s="116" t="s">
        <v>24</v>
      </c>
      <c r="H309" s="116" t="str">
        <f t="shared" si="26"/>
        <v>ACC.RGC.VFD-AHU-CB2-EW</v>
      </c>
      <c r="I309" s="117" t="str">
        <f t="shared" si="24"/>
        <v>M-304</v>
      </c>
      <c r="K309" t="s">
        <v>20</v>
      </c>
      <c r="L309" t="s">
        <v>19</v>
      </c>
      <c r="M309" t="s">
        <v>1141</v>
      </c>
    </row>
    <row r="310" spans="1:13" x14ac:dyDescent="0.2">
      <c r="A310" s="116" t="s">
        <v>1154</v>
      </c>
      <c r="B310" s="116" t="s">
        <v>1169</v>
      </c>
      <c r="C310" s="117">
        <f>COUNTIF($D$3:D310, D310)</f>
        <v>6</v>
      </c>
      <c r="D310" s="117">
        <f>INDEX(PanelInstance!$B$2:$H$11, MATCH(Joined!$A310, PanelInstance!$B$2:$B$11, 0), MATCH(Joined!B310, PanelInstance!$B$1:$H$1, 0)+1)</f>
        <v>356</v>
      </c>
      <c r="E310" s="117" t="str">
        <f t="shared" si="23"/>
        <v>1035606</v>
      </c>
      <c r="F310" s="117" t="str">
        <f>IFERROR(VLOOKUP($G310, Sched!$A:$AA, 27, FALSE), "")</f>
        <v/>
      </c>
      <c r="G310" s="116" t="s">
        <v>25</v>
      </c>
      <c r="H310" s="116" t="str">
        <f t="shared" si="26"/>
        <v>ACC.RGC.VFD-AHU-CB2-DW</v>
      </c>
      <c r="I310" s="117" t="str">
        <f t="shared" si="24"/>
        <v>M-304</v>
      </c>
      <c r="K310" t="s">
        <v>20</v>
      </c>
      <c r="L310" t="s">
        <v>19</v>
      </c>
      <c r="M310" t="s">
        <v>1141</v>
      </c>
    </row>
    <row r="311" spans="1:13" x14ac:dyDescent="0.2">
      <c r="A311" s="116" t="s">
        <v>1154</v>
      </c>
      <c r="B311" s="116" t="s">
        <v>1169</v>
      </c>
      <c r="C311" s="117">
        <f>COUNTIF($D$3:D311, D311)</f>
        <v>7</v>
      </c>
      <c r="D311" s="117">
        <f>INDEX(PanelInstance!$B$2:$H$11, MATCH(Joined!$A311, PanelInstance!$B$2:$B$11, 0), MATCH(Joined!B311, PanelInstance!$B$1:$H$1, 0)+1)</f>
        <v>356</v>
      </c>
      <c r="E311" s="117" t="str">
        <f t="shared" si="23"/>
        <v>1035607</v>
      </c>
      <c r="F311" s="117" t="str">
        <f>IFERROR(VLOOKUP($G311, Sched!$A:$AA, 27, FALSE), "")</f>
        <v/>
      </c>
      <c r="G311" s="116" t="s">
        <v>26</v>
      </c>
      <c r="H311" s="116" t="str">
        <f t="shared" si="26"/>
        <v>ACC.RGC.VFD-FCU-PH-2</v>
      </c>
      <c r="I311" s="117" t="str">
        <f t="shared" si="24"/>
        <v>M-304</v>
      </c>
      <c r="K311" t="s">
        <v>20</v>
      </c>
      <c r="L311" t="s">
        <v>19</v>
      </c>
      <c r="M311" t="s">
        <v>1141</v>
      </c>
    </row>
    <row r="312" spans="1:13" x14ac:dyDescent="0.2">
      <c r="A312" s="116" t="s">
        <v>1157</v>
      </c>
      <c r="B312" s="116" t="s">
        <v>1169</v>
      </c>
      <c r="C312" s="117">
        <f>COUNTIF($D$3:D312, D312)</f>
        <v>1</v>
      </c>
      <c r="D312" s="117">
        <f>INDEX(PanelInstance!$B$2:$H$11, MATCH(Joined!$A312, PanelInstance!$B$2:$B$11, 0), MATCH(Joined!B312, PanelInstance!$B$1:$H$1, 0)+1)</f>
        <v>358</v>
      </c>
      <c r="E312" s="117" t="str">
        <f t="shared" si="23"/>
        <v>1035801</v>
      </c>
      <c r="F312" s="117" t="str">
        <f>IFERROR(VLOOKUP($G312, Sched!$A:$AA, 27, FALSE), "")</f>
        <v/>
      </c>
      <c r="G312" s="116" t="s">
        <v>27</v>
      </c>
      <c r="H312" s="116" t="str">
        <f t="shared" si="26"/>
        <v>ACC.RGC.VFD-MCHP-1</v>
      </c>
      <c r="I312" s="117" t="str">
        <f t="shared" si="24"/>
        <v>M-304</v>
      </c>
      <c r="K312" t="s">
        <v>20</v>
      </c>
      <c r="L312" t="s">
        <v>19</v>
      </c>
      <c r="M312" t="s">
        <v>1141</v>
      </c>
    </row>
    <row r="313" spans="1:13" x14ac:dyDescent="0.2">
      <c r="A313" s="116" t="s">
        <v>1157</v>
      </c>
      <c r="B313" s="116" t="s">
        <v>1169</v>
      </c>
      <c r="C313" s="117">
        <f>COUNTIF($D$3:D313, D313)</f>
        <v>2</v>
      </c>
      <c r="D313" s="117">
        <f>INDEX(PanelInstance!$B$2:$H$11, MATCH(Joined!$A313, PanelInstance!$B$2:$B$11, 0), MATCH(Joined!B313, PanelInstance!$B$1:$H$1, 0)+1)</f>
        <v>358</v>
      </c>
      <c r="E313" s="117" t="str">
        <f t="shared" si="23"/>
        <v>1035802</v>
      </c>
      <c r="F313" s="117" t="str">
        <f>IFERROR(VLOOKUP($G313, Sched!$A:$AA, 27, FALSE), "")</f>
        <v/>
      </c>
      <c r="G313" s="116" t="s">
        <v>28</v>
      </c>
      <c r="H313" s="116" t="str">
        <f t="shared" si="26"/>
        <v>ACC.RGC.VFD-MCHP-2</v>
      </c>
      <c r="I313" s="117" t="str">
        <f t="shared" si="24"/>
        <v>M-304</v>
      </c>
      <c r="K313" t="s">
        <v>20</v>
      </c>
      <c r="L313" t="s">
        <v>19</v>
      </c>
      <c r="M313" t="s">
        <v>1141</v>
      </c>
    </row>
    <row r="314" spans="1:13" x14ac:dyDescent="0.2">
      <c r="A314" s="116" t="s">
        <v>1154</v>
      </c>
      <c r="B314" s="116" t="s">
        <v>1169</v>
      </c>
      <c r="C314" s="117">
        <f>COUNTIF($D$3:D314, D314)</f>
        <v>8</v>
      </c>
      <c r="D314" s="117">
        <f>INDEX(PanelInstance!$B$2:$H$11, MATCH(Joined!$A314, PanelInstance!$B$2:$B$11, 0), MATCH(Joined!B314, PanelInstance!$B$1:$H$1, 0)+1)</f>
        <v>356</v>
      </c>
      <c r="E314" s="117" t="str">
        <f t="shared" si="23"/>
        <v>1035608</v>
      </c>
      <c r="F314" s="117" t="str">
        <f>IFERROR(VLOOKUP($G314, Sched!$A:$AA, 27, FALSE), "")</f>
        <v/>
      </c>
      <c r="G314" s="116" t="s">
        <v>257</v>
      </c>
      <c r="H314" s="116" t="str">
        <f t="shared" si="26"/>
        <v>ACC.RGC.AFMS-5-P-SA-1</v>
      </c>
      <c r="I314" s="117" t="str">
        <f t="shared" si="24"/>
        <v>M-304</v>
      </c>
      <c r="K314" t="s">
        <v>20</v>
      </c>
      <c r="L314" t="s">
        <v>19</v>
      </c>
      <c r="M314" t="s">
        <v>1141</v>
      </c>
    </row>
    <row r="315" spans="1:13" x14ac:dyDescent="0.2">
      <c r="A315" s="116" t="s">
        <v>1154</v>
      </c>
      <c r="B315" s="116" t="s">
        <v>1169</v>
      </c>
      <c r="C315" s="117">
        <f>COUNTIF($D$3:D315, D315)</f>
        <v>9</v>
      </c>
      <c r="D315" s="117">
        <f>INDEX(PanelInstance!$B$2:$H$11, MATCH(Joined!$A315, PanelInstance!$B$2:$B$11, 0), MATCH(Joined!B315, PanelInstance!$B$1:$H$1, 0)+1)</f>
        <v>356</v>
      </c>
      <c r="E315" s="117" t="str">
        <f t="shared" si="23"/>
        <v>1035609</v>
      </c>
      <c r="F315" s="117" t="str">
        <f>IFERROR(VLOOKUP($G315, Sched!$A:$AA, 27, FALSE), "")</f>
        <v/>
      </c>
      <c r="G315" s="116" t="s">
        <v>258</v>
      </c>
      <c r="H315" s="116" t="str">
        <f t="shared" si="26"/>
        <v>ACC.RGC.AFMS-5-P-SA-2</v>
      </c>
      <c r="I315" s="117" t="str">
        <f t="shared" si="24"/>
        <v>M-304</v>
      </c>
      <c r="K315" t="s">
        <v>20</v>
      </c>
      <c r="L315" t="s">
        <v>19</v>
      </c>
      <c r="M315" t="s">
        <v>1141</v>
      </c>
    </row>
    <row r="316" spans="1:13" x14ac:dyDescent="0.2">
      <c r="A316" s="116" t="s">
        <v>1154</v>
      </c>
      <c r="B316" s="116" t="s">
        <v>1169</v>
      </c>
      <c r="C316" s="117">
        <f>COUNTIF($D$3:D316, D316)</f>
        <v>10</v>
      </c>
      <c r="D316" s="117">
        <f>INDEX(PanelInstance!$B$2:$H$11, MATCH(Joined!$A316, PanelInstance!$B$2:$B$11, 0), MATCH(Joined!B316, PanelInstance!$B$1:$H$1, 0)+1)</f>
        <v>356</v>
      </c>
      <c r="E316" s="117" t="str">
        <f t="shared" si="23"/>
        <v>1035610</v>
      </c>
      <c r="F316" s="117" t="str">
        <f>IFERROR(VLOOKUP($G316, Sched!$A:$AA, 27, FALSE), "")</f>
        <v/>
      </c>
      <c r="G316" s="116" t="s">
        <v>259</v>
      </c>
      <c r="H316" s="116" t="str">
        <f t="shared" si="26"/>
        <v>ACC.RGC.AFMS-5-P-SA-3</v>
      </c>
      <c r="I316" s="117" t="str">
        <f t="shared" si="24"/>
        <v>M-304</v>
      </c>
      <c r="K316" t="s">
        <v>20</v>
      </c>
      <c r="L316" t="s">
        <v>19</v>
      </c>
      <c r="M316" t="s">
        <v>1141</v>
      </c>
    </row>
    <row r="317" spans="1:13" x14ac:dyDescent="0.2">
      <c r="A317" s="116" t="s">
        <v>1154</v>
      </c>
      <c r="B317" s="116" t="s">
        <v>1169</v>
      </c>
      <c r="C317" s="117">
        <f>COUNTIF($D$3:D317, D317)</f>
        <v>11</v>
      </c>
      <c r="D317" s="117">
        <f>INDEX(PanelInstance!$B$2:$H$11, MATCH(Joined!$A317, PanelInstance!$B$2:$B$11, 0), MATCH(Joined!B317, PanelInstance!$B$1:$H$1, 0)+1)</f>
        <v>356</v>
      </c>
      <c r="E317" s="117" t="str">
        <f t="shared" si="23"/>
        <v>1035611</v>
      </c>
      <c r="F317" s="117" t="str">
        <f>IFERROR(VLOOKUP($G317, Sched!$A:$AA, 27, FALSE), "")</f>
        <v/>
      </c>
      <c r="G317" s="116" t="s">
        <v>260</v>
      </c>
      <c r="H317" s="116" t="str">
        <f t="shared" si="26"/>
        <v>ACC.RGC.AFMS-5-R-EA-1</v>
      </c>
      <c r="I317" s="117" t="str">
        <f t="shared" si="24"/>
        <v>M-104A2</v>
      </c>
      <c r="K317" t="s">
        <v>289</v>
      </c>
      <c r="L317" t="s">
        <v>290</v>
      </c>
      <c r="M317" t="s">
        <v>1141</v>
      </c>
    </row>
    <row r="318" spans="1:13" x14ac:dyDescent="0.2">
      <c r="A318" s="116" t="s">
        <v>1154</v>
      </c>
      <c r="B318" s="116" t="s">
        <v>1169</v>
      </c>
      <c r="C318" s="117">
        <f>COUNTIF($D$3:D318, D318)</f>
        <v>12</v>
      </c>
      <c r="D318" s="117">
        <f>INDEX(PanelInstance!$B$2:$H$11, MATCH(Joined!$A318, PanelInstance!$B$2:$B$11, 0), MATCH(Joined!B318, PanelInstance!$B$1:$H$1, 0)+1)</f>
        <v>356</v>
      </c>
      <c r="E318" s="117" t="str">
        <f t="shared" si="23"/>
        <v>1035612</v>
      </c>
      <c r="F318" s="117" t="str">
        <f>IFERROR(VLOOKUP($G318, Sched!$A:$AA, 27, FALSE), "")</f>
        <v/>
      </c>
      <c r="G318" s="116" t="s">
        <v>261</v>
      </c>
      <c r="H318" s="116" t="str">
        <f t="shared" si="26"/>
        <v>ACC.RGC.AFMS-5-R-EA-2</v>
      </c>
      <c r="I318" s="117" t="str">
        <f t="shared" si="24"/>
        <v>M-104A2</v>
      </c>
      <c r="K318" t="s">
        <v>289</v>
      </c>
      <c r="L318" t="s">
        <v>290</v>
      </c>
      <c r="M318" t="s">
        <v>1141</v>
      </c>
    </row>
    <row r="319" spans="1:13" x14ac:dyDescent="0.2">
      <c r="A319" s="116" t="s">
        <v>1155</v>
      </c>
      <c r="B319" s="116" t="s">
        <v>1169</v>
      </c>
      <c r="C319" s="117">
        <f>COUNTIF($D$3:D319, D319)</f>
        <v>1</v>
      </c>
      <c r="D319" s="117">
        <f>INDEX(PanelInstance!$B$2:$H$11, MATCH(Joined!$A319, PanelInstance!$B$2:$B$11, 0), MATCH(Joined!B319, PanelInstance!$B$1:$H$1, 0)+1)</f>
        <v>357</v>
      </c>
      <c r="E319" s="117" t="str">
        <f t="shared" si="23"/>
        <v>1035701</v>
      </c>
      <c r="F319" s="117" t="str">
        <f>IFERROR(VLOOKUP($G319, Sched!$A:$AA, 27, FALSE), "")</f>
        <v/>
      </c>
      <c r="G319" s="116" t="s">
        <v>348</v>
      </c>
      <c r="H319" s="116" t="str">
        <f t="shared" si="26"/>
        <v>ACC.RGC.VFD-AHU-CB1-SA1</v>
      </c>
      <c r="I319" s="117" t="str">
        <f t="shared" si="24"/>
        <v>M-304</v>
      </c>
      <c r="K319" t="s">
        <v>20</v>
      </c>
      <c r="L319" t="s">
        <v>19</v>
      </c>
      <c r="M319" t="s">
        <v>1141</v>
      </c>
    </row>
    <row r="320" spans="1:13" x14ac:dyDescent="0.2">
      <c r="A320" s="116" t="s">
        <v>1155</v>
      </c>
      <c r="B320" s="116" t="s">
        <v>1169</v>
      </c>
      <c r="C320" s="117">
        <f>COUNTIF($D$3:D320, D320)</f>
        <v>2</v>
      </c>
      <c r="D320" s="117">
        <f>INDEX(PanelInstance!$B$2:$H$11, MATCH(Joined!$A320, PanelInstance!$B$2:$B$11, 0), MATCH(Joined!B320, PanelInstance!$B$1:$H$1, 0)+1)</f>
        <v>357</v>
      </c>
      <c r="E320" s="117" t="str">
        <f t="shared" si="23"/>
        <v>1035702</v>
      </c>
      <c r="F320" s="117" t="str">
        <f>IFERROR(VLOOKUP($G320, Sched!$A:$AA, 27, FALSE), "")</f>
        <v/>
      </c>
      <c r="G320" s="116" t="s">
        <v>347</v>
      </c>
      <c r="H320" s="116" t="str">
        <f t="shared" si="26"/>
        <v>ACC.RGC.VFD-AHU-CB1-SA2</v>
      </c>
      <c r="I320" s="117" t="str">
        <f t="shared" si="24"/>
        <v>M-304</v>
      </c>
      <c r="K320" t="s">
        <v>20</v>
      </c>
      <c r="L320" t="s">
        <v>19</v>
      </c>
      <c r="M320" t="s">
        <v>1141</v>
      </c>
    </row>
    <row r="321" spans="1:13" x14ac:dyDescent="0.2">
      <c r="A321" s="116" t="s">
        <v>1155</v>
      </c>
      <c r="B321" s="116" t="s">
        <v>1169</v>
      </c>
      <c r="C321" s="117">
        <f>COUNTIF($D$3:D321, D321)</f>
        <v>3</v>
      </c>
      <c r="D321" s="117">
        <f>INDEX(PanelInstance!$B$2:$H$11, MATCH(Joined!$A321, PanelInstance!$B$2:$B$11, 0), MATCH(Joined!B321, PanelInstance!$B$1:$H$1, 0)+1)</f>
        <v>357</v>
      </c>
      <c r="E321" s="117" t="str">
        <f t="shared" si="23"/>
        <v>1035703</v>
      </c>
      <c r="F321" s="117" t="str">
        <f>IFERROR(VLOOKUP($G321, Sched!$A:$AA, 27, FALSE), "")</f>
        <v/>
      </c>
      <c r="G321" s="116" t="s">
        <v>350</v>
      </c>
      <c r="H321" s="116" t="str">
        <f t="shared" si="26"/>
        <v>ACC.RGC.VFD-AHU-CB1-RA1</v>
      </c>
      <c r="I321" s="117" t="str">
        <f t="shared" si="24"/>
        <v>M-304</v>
      </c>
      <c r="K321" t="s">
        <v>20</v>
      </c>
      <c r="L321" t="s">
        <v>19</v>
      </c>
      <c r="M321" t="s">
        <v>1141</v>
      </c>
    </row>
    <row r="322" spans="1:13" x14ac:dyDescent="0.2">
      <c r="A322" s="116" t="s">
        <v>1155</v>
      </c>
      <c r="B322" s="116" t="s">
        <v>1169</v>
      </c>
      <c r="C322" s="117">
        <f>COUNTIF($D$3:D322, D322)</f>
        <v>4</v>
      </c>
      <c r="D322" s="117">
        <f>INDEX(PanelInstance!$B$2:$H$11, MATCH(Joined!$A322, PanelInstance!$B$2:$B$11, 0), MATCH(Joined!B322, PanelInstance!$B$1:$H$1, 0)+1)</f>
        <v>357</v>
      </c>
      <c r="E322" s="117" t="str">
        <f t="shared" si="23"/>
        <v>1035704</v>
      </c>
      <c r="F322" s="117" t="str">
        <f>IFERROR(VLOOKUP($G322, Sched!$A:$AA, 27, FALSE), "")</f>
        <v/>
      </c>
      <c r="G322" s="116" t="s">
        <v>349</v>
      </c>
      <c r="H322" s="116" t="str">
        <f t="shared" si="26"/>
        <v>ACC.RGC.VFD-AHU-CB1-RA2</v>
      </c>
      <c r="I322" s="117" t="str">
        <f t="shared" si="24"/>
        <v>M-304</v>
      </c>
      <c r="K322" t="s">
        <v>20</v>
      </c>
      <c r="L322" t="s">
        <v>19</v>
      </c>
      <c r="M322" t="s">
        <v>1141</v>
      </c>
    </row>
    <row r="323" spans="1:13" x14ac:dyDescent="0.2">
      <c r="A323" s="116" t="s">
        <v>1155</v>
      </c>
      <c r="B323" s="116" t="s">
        <v>1169</v>
      </c>
      <c r="C323" s="117">
        <f>COUNTIF($D$3:D323, D323)</f>
        <v>5</v>
      </c>
      <c r="D323" s="117">
        <f>INDEX(PanelInstance!$B$2:$H$11, MATCH(Joined!$A323, PanelInstance!$B$2:$B$11, 0), MATCH(Joined!B323, PanelInstance!$B$1:$H$1, 0)+1)</f>
        <v>357</v>
      </c>
      <c r="E323" s="117" t="str">
        <f t="shared" si="23"/>
        <v>1035705</v>
      </c>
      <c r="F323" s="117" t="str">
        <f>IFERROR(VLOOKUP($G323, Sched!$A:$AA, 27, FALSE), "")</f>
        <v/>
      </c>
      <c r="G323" s="116" t="s">
        <v>17</v>
      </c>
      <c r="H323" s="116" t="str">
        <f t="shared" si="26"/>
        <v>ACC.RGC.VFD-AHU-CB1-EW</v>
      </c>
      <c r="I323" s="117" t="str">
        <f t="shared" si="24"/>
        <v>M-304</v>
      </c>
      <c r="K323" t="s">
        <v>20</v>
      </c>
      <c r="L323" t="s">
        <v>19</v>
      </c>
      <c r="M323" t="s">
        <v>1141</v>
      </c>
    </row>
    <row r="324" spans="1:13" x14ac:dyDescent="0.2">
      <c r="A324" s="116" t="s">
        <v>1155</v>
      </c>
      <c r="B324" s="116" t="s">
        <v>1169</v>
      </c>
      <c r="C324" s="117">
        <f>COUNTIF($D$3:D324, D324)</f>
        <v>6</v>
      </c>
      <c r="D324" s="117">
        <f>INDEX(PanelInstance!$B$2:$H$11, MATCH(Joined!$A324, PanelInstance!$B$2:$B$11, 0), MATCH(Joined!B324, PanelInstance!$B$1:$H$1, 0)+1)</f>
        <v>357</v>
      </c>
      <c r="E324" s="117" t="str">
        <f t="shared" ref="E324:E330" si="27">10 &amp; D324 &amp; IF(LEN(C324) = 1, "0" &amp; C324, C324)</f>
        <v>1035706</v>
      </c>
      <c r="F324" s="117" t="str">
        <f>IFERROR(VLOOKUP($G324, Sched!$A:$AA, 27, FALSE), "")</f>
        <v/>
      </c>
      <c r="G324" s="116" t="s">
        <v>18</v>
      </c>
      <c r="H324" s="116" t="str">
        <f t="shared" si="26"/>
        <v>ACC.RGC.VFD-AHU-CB1-DW</v>
      </c>
      <c r="I324" s="117" t="str">
        <f t="shared" ref="I324:I325" si="28">K324</f>
        <v>M-304</v>
      </c>
      <c r="K324" t="s">
        <v>20</v>
      </c>
      <c r="L324" t="s">
        <v>19</v>
      </c>
      <c r="M324" t="s">
        <v>1141</v>
      </c>
    </row>
    <row r="325" spans="1:13" x14ac:dyDescent="0.2">
      <c r="A325" s="116" t="s">
        <v>1153</v>
      </c>
      <c r="B325" s="116" t="s">
        <v>1169</v>
      </c>
      <c r="C325" s="117">
        <f>COUNTIF($D$3:D325, D325)</f>
        <v>10</v>
      </c>
      <c r="D325" s="117">
        <f>INDEX(PanelInstance!$B$2:$H$11, MATCH(Joined!$A325, PanelInstance!$B$2:$B$11, 0), MATCH(Joined!B325, PanelInstance!$B$1:$H$1, 0)+1)</f>
        <v>355</v>
      </c>
      <c r="E325" s="117" t="str">
        <f t="shared" si="27"/>
        <v>1035510</v>
      </c>
      <c r="F325" s="117" t="str">
        <f>IFERROR(VLOOKUP($G325, Sched!$A:$AA, 27, FALSE), "")</f>
        <v/>
      </c>
      <c r="G325" s="116" t="s">
        <v>21</v>
      </c>
      <c r="H325" s="116" t="str">
        <f t="shared" si="26"/>
        <v>ACC.RGC.VFD-AHU-LABS-1</v>
      </c>
      <c r="I325" s="117" t="str">
        <f t="shared" si="28"/>
        <v>M-304</v>
      </c>
      <c r="K325" t="s">
        <v>20</v>
      </c>
      <c r="L325" t="s">
        <v>19</v>
      </c>
      <c r="M325" t="s">
        <v>1141</v>
      </c>
    </row>
    <row r="326" spans="1:13" x14ac:dyDescent="0.2">
      <c r="A326" s="116" t="s">
        <v>1153</v>
      </c>
      <c r="B326" s="116" t="s">
        <v>1169</v>
      </c>
      <c r="C326" s="117">
        <f>COUNTIF($D$3:D326, D326)</f>
        <v>11</v>
      </c>
      <c r="D326" s="117">
        <f>INDEX(PanelInstance!$B$2:$H$11, MATCH(Joined!$A326, PanelInstance!$B$2:$B$11, 0), MATCH(Joined!B326, PanelInstance!$B$1:$H$1, 0)+1)</f>
        <v>355</v>
      </c>
      <c r="E326" s="117" t="str">
        <f t="shared" si="27"/>
        <v>1035511</v>
      </c>
      <c r="F326" s="117" t="str">
        <f>IFERROR(VLOOKUP($G326, Sched!$A:$AA, 27, FALSE), "")</f>
        <v/>
      </c>
      <c r="G326" s="116" t="s">
        <v>394</v>
      </c>
      <c r="H326" s="116" t="str">
        <f t="shared" si="26"/>
        <v>ACC.RGC.AC-1</v>
      </c>
      <c r="I326" s="116" t="s">
        <v>1141</v>
      </c>
      <c r="M326" t="s">
        <v>1141</v>
      </c>
    </row>
    <row r="327" spans="1:13" x14ac:dyDescent="0.2">
      <c r="A327" s="122" t="s">
        <v>1153</v>
      </c>
      <c r="B327" s="116" t="s">
        <v>1169</v>
      </c>
      <c r="C327" s="117">
        <f>COUNTIF($D$3:D327, D327)</f>
        <v>12</v>
      </c>
      <c r="D327" s="117">
        <f>INDEX(PanelInstance!$B$2:$H$11, MATCH(Joined!$A327, PanelInstance!$B$2:$B$11, 0), MATCH(Joined!B327, PanelInstance!$B$1:$H$1, 0)+1)</f>
        <v>355</v>
      </c>
      <c r="E327" s="117" t="str">
        <f t="shared" si="27"/>
        <v>1035512</v>
      </c>
      <c r="F327" s="117" t="str">
        <f>IFERROR(VLOOKUP($G327, Sched!$A:$AA, 27, FALSE), "")</f>
        <v/>
      </c>
      <c r="G327" s="122" t="s">
        <v>797</v>
      </c>
      <c r="H327" s="122" t="str">
        <f t="shared" si="26"/>
        <v>ACC.RGC.GWH-1</v>
      </c>
      <c r="I327" s="122" t="s">
        <v>799</v>
      </c>
      <c r="K327" s="4" t="s">
        <v>799</v>
      </c>
      <c r="L327" s="4" t="s">
        <v>19</v>
      </c>
      <c r="M327" t="s">
        <v>1141</v>
      </c>
    </row>
    <row r="328" spans="1:13" x14ac:dyDescent="0.2">
      <c r="A328" s="122" t="s">
        <v>1153</v>
      </c>
      <c r="B328" s="116" t="s">
        <v>1169</v>
      </c>
      <c r="C328" s="117">
        <f>COUNTIF($D$3:D328, D328)</f>
        <v>13</v>
      </c>
      <c r="D328" s="117">
        <f>INDEX(PanelInstance!$B$2:$H$11, MATCH(Joined!$A328, PanelInstance!$B$2:$B$11, 0), MATCH(Joined!B328, PanelInstance!$B$1:$H$1, 0)+1)</f>
        <v>355</v>
      </c>
      <c r="E328" s="117" t="str">
        <f t="shared" si="27"/>
        <v>1035513</v>
      </c>
      <c r="F328" s="117" t="str">
        <f>IFERROR(VLOOKUP($G328, Sched!$A:$AA, 27, FALSE), "")</f>
        <v/>
      </c>
      <c r="G328" s="122" t="s">
        <v>798</v>
      </c>
      <c r="H328" s="122" t="str">
        <f t="shared" si="26"/>
        <v>ACC.RGC.GWH-2</v>
      </c>
      <c r="I328" s="122" t="s">
        <v>799</v>
      </c>
      <c r="K328" s="4" t="s">
        <v>799</v>
      </c>
      <c r="L328" s="4" t="s">
        <v>19</v>
      </c>
      <c r="M328" t="s">
        <v>1141</v>
      </c>
    </row>
    <row r="329" spans="1:13" x14ac:dyDescent="0.2">
      <c r="A329" s="122" t="s">
        <v>1149</v>
      </c>
      <c r="B329" s="116" t="s">
        <v>1169</v>
      </c>
      <c r="C329" s="117">
        <f>COUNTIF($D$3:D329, D329)</f>
        <v>19</v>
      </c>
      <c r="D329" s="117">
        <f>INDEX(PanelInstance!$B$2:$H$11, MATCH(Joined!$A329, PanelInstance!$B$2:$B$11, 0), MATCH(Joined!B329, PanelInstance!$B$1:$H$1, 0)+1)</f>
        <v>351</v>
      </c>
      <c r="E329" s="117" t="str">
        <f t="shared" si="27"/>
        <v>1035119</v>
      </c>
      <c r="F329" s="117" t="str">
        <f>IFERROR(VLOOKUP($G329, Sched!$A:$AA, 27, FALSE), "")</f>
        <v/>
      </c>
      <c r="G329" s="123" t="s">
        <v>793</v>
      </c>
      <c r="H329" s="122" t="str">
        <f t="shared" si="26"/>
        <v>ACC.RGC.AFMS-1-0-SAF-1</v>
      </c>
      <c r="I329" s="122" t="str">
        <f t="shared" ref="I329:I330" si="29">K329</f>
        <v>M-301</v>
      </c>
      <c r="K329" t="s">
        <v>11</v>
      </c>
      <c r="L329" t="s">
        <v>306</v>
      </c>
      <c r="M329">
        <v>1</v>
      </c>
    </row>
    <row r="330" spans="1:13" x14ac:dyDescent="0.2">
      <c r="A330" s="122" t="s">
        <v>1149</v>
      </c>
      <c r="B330" s="116" t="s">
        <v>1169</v>
      </c>
      <c r="C330" s="117">
        <f>COUNTIF($D$3:D330, D330)</f>
        <v>20</v>
      </c>
      <c r="D330" s="117">
        <f>INDEX(PanelInstance!$B$2:$H$11, MATCH(Joined!$A330, PanelInstance!$B$2:$B$11, 0), MATCH(Joined!B330, PanelInstance!$B$1:$H$1, 0)+1)</f>
        <v>351</v>
      </c>
      <c r="E330" s="117" t="str">
        <f t="shared" si="27"/>
        <v>1035120</v>
      </c>
      <c r="F330" s="117" t="str">
        <f>IFERROR(VLOOKUP($G330, Sched!$A:$AA, 27, FALSE), "")</f>
        <v/>
      </c>
      <c r="G330" s="123" t="s">
        <v>794</v>
      </c>
      <c r="H330" s="122" t="str">
        <f t="shared" si="26"/>
        <v>ACC.RGC.AFMS-1-0-RAF-1</v>
      </c>
      <c r="I330" s="122" t="str">
        <f t="shared" si="29"/>
        <v>M-301</v>
      </c>
      <c r="K330" t="s">
        <v>11</v>
      </c>
      <c r="L330" t="s">
        <v>306</v>
      </c>
      <c r="M330">
        <v>1</v>
      </c>
    </row>
  </sheetData>
  <autoFilter ref="A2:I330" xr:uid="{7B4ED3C3-7737-4734-8629-619DF2FB4B01}"/>
  <sortState xmlns:xlrd2="http://schemas.microsoft.com/office/spreadsheetml/2017/richdata2" ref="A3:L268">
    <sortCondition ref="A3:A268"/>
    <sortCondition ref="B3:B268"/>
  </sortState>
  <mergeCells count="1">
    <mergeCell ref="A1:I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BD568-7019-4001-B24B-301CB562362E}">
  <dimension ref="A1:AL186"/>
  <sheetViews>
    <sheetView workbookViewId="0">
      <selection activeCell="G2" sqref="G2"/>
    </sheetView>
  </sheetViews>
  <sheetFormatPr defaultRowHeight="12.75" x14ac:dyDescent="0.2"/>
  <cols>
    <col min="1" max="1" width="19.85546875" bestFit="1" customWidth="1"/>
    <col min="2" max="2" width="33" bestFit="1" customWidth="1"/>
    <col min="3" max="3" width="10.5703125" bestFit="1" customWidth="1"/>
    <col min="4" max="4" width="8" bestFit="1" customWidth="1"/>
    <col min="5" max="5" width="12.140625" bestFit="1" customWidth="1"/>
    <col min="6" max="6" width="7.140625" bestFit="1" customWidth="1"/>
    <col min="7" max="7" width="25.28515625" bestFit="1" customWidth="1"/>
    <col min="8" max="8" width="10.140625" bestFit="1" customWidth="1"/>
    <col min="9" max="9" width="7.7109375" customWidth="1"/>
    <col min="10" max="10" width="10" customWidth="1"/>
    <col min="11" max="12" width="7.5703125" customWidth="1"/>
    <col min="13" max="13" width="6" customWidth="1"/>
    <col min="14" max="14" width="13.140625" bestFit="1" customWidth="1"/>
    <col min="15" max="15" width="15.7109375" customWidth="1"/>
    <col min="16" max="22" width="13.85546875" bestFit="1" customWidth="1"/>
    <col min="23" max="23" width="15.5703125" bestFit="1" customWidth="1"/>
    <col min="24" max="24" width="14" bestFit="1" customWidth="1"/>
    <col min="25" max="25" width="14.42578125" bestFit="1" customWidth="1"/>
    <col min="26" max="26" width="15.5703125" bestFit="1" customWidth="1"/>
    <col min="27" max="27" width="14" bestFit="1" customWidth="1"/>
    <col min="28" max="28" width="14.5703125" bestFit="1" customWidth="1"/>
    <col min="29" max="29" width="15.7109375" customWidth="1"/>
    <col min="30" max="31" width="13.85546875" bestFit="1" customWidth="1"/>
    <col min="32" max="32" width="13.42578125" bestFit="1" customWidth="1"/>
    <col min="33" max="33" width="9.85546875" bestFit="1" customWidth="1"/>
    <col min="34" max="34" width="13.42578125" bestFit="1" customWidth="1"/>
    <col min="35" max="35" width="10.5703125" bestFit="1" customWidth="1"/>
    <col min="36" max="36" width="36.140625" bestFit="1" customWidth="1"/>
  </cols>
  <sheetData>
    <row r="1" spans="1:38" s="9" customFormat="1" ht="89.25" x14ac:dyDescent="0.2">
      <c r="A1" s="9" t="s">
        <v>541</v>
      </c>
      <c r="B1" s="9" t="s">
        <v>542</v>
      </c>
      <c r="C1" s="9" t="s">
        <v>543</v>
      </c>
      <c r="D1" s="9" t="s">
        <v>544</v>
      </c>
      <c r="E1" s="9" t="s">
        <v>545</v>
      </c>
      <c r="F1" s="9" t="s">
        <v>546</v>
      </c>
      <c r="G1" s="9" t="s">
        <v>547</v>
      </c>
      <c r="H1" s="9" t="s">
        <v>548</v>
      </c>
      <c r="I1" s="9" t="s">
        <v>549</v>
      </c>
      <c r="J1" s="9" t="s">
        <v>550</v>
      </c>
      <c r="K1" s="9" t="s">
        <v>551</v>
      </c>
      <c r="L1" s="9" t="s">
        <v>552</v>
      </c>
      <c r="M1" s="9" t="s">
        <v>553</v>
      </c>
      <c r="N1" s="9" t="s">
        <v>560</v>
      </c>
      <c r="O1" s="9" t="s">
        <v>561</v>
      </c>
      <c r="P1" s="9" t="s">
        <v>562</v>
      </c>
      <c r="Q1" s="9" t="s">
        <v>805</v>
      </c>
      <c r="R1" s="9" t="s">
        <v>563</v>
      </c>
      <c r="S1" s="9" t="s">
        <v>564</v>
      </c>
      <c r="T1" s="9" t="s">
        <v>565</v>
      </c>
      <c r="U1" s="9" t="s">
        <v>566</v>
      </c>
      <c r="V1" s="9" t="s">
        <v>567</v>
      </c>
      <c r="W1" s="9" t="s">
        <v>568</v>
      </c>
      <c r="X1" s="9" t="s">
        <v>569</v>
      </c>
      <c r="Y1" s="9" t="s">
        <v>554</v>
      </c>
      <c r="Z1" s="9" t="s">
        <v>555</v>
      </c>
      <c r="AA1" s="9" t="s">
        <v>556</v>
      </c>
      <c r="AB1" s="9" t="s">
        <v>557</v>
      </c>
      <c r="AC1" s="9" t="s">
        <v>558</v>
      </c>
      <c r="AD1" s="9" t="s">
        <v>559</v>
      </c>
      <c r="AE1" s="9" t="s">
        <v>806</v>
      </c>
      <c r="AF1" s="9" t="s">
        <v>570</v>
      </c>
      <c r="AG1" s="9" t="s">
        <v>571</v>
      </c>
      <c r="AH1" s="9" t="s">
        <v>572</v>
      </c>
      <c r="AI1" s="9" t="s">
        <v>573</v>
      </c>
      <c r="AJ1" s="9" t="s">
        <v>574</v>
      </c>
    </row>
    <row r="2" spans="1:38" x14ac:dyDescent="0.2">
      <c r="A2" s="109" t="s">
        <v>776</v>
      </c>
      <c r="B2" t="str">
        <f>"B_01'" &amp; "Flr_0" &amp; INDEX(Joined, MATCH(A2, SystemName, FALSE), 13) &amp; "'" &amp; INDEX(Joined, MATCH(A2, SystemName, FALSE), 12)</f>
        <v>B_01'Flr_00'B1</v>
      </c>
      <c r="C2" t="str">
        <f t="shared" ref="C2:C7" si="0">INDEX(Joined, MATCH(A2, SystemName, FALSE), 7)</f>
        <v>VV-1-0-04</v>
      </c>
      <c r="D2" t="str">
        <f t="shared" ref="D2:D7" si="1">INDEX(Joined, MATCH(A2, SystemName, FALSE), 5)</f>
        <v>1030102</v>
      </c>
      <c r="E2" t="str">
        <f t="shared" ref="E2:E7" si="2">INDEX(Joined, MATCH(A2, SystemName, FALSE), 7)</f>
        <v>VV-1-0-04</v>
      </c>
      <c r="F2" t="s">
        <v>695</v>
      </c>
      <c r="G2" t="str">
        <f>INDEX(Sched!$J$213:$O$223, MATCH(ABT!$H2, Sched!$J$213:$J$223, 0), 6)</f>
        <v>15001_VAV_DXR2M12P_US</v>
      </c>
      <c r="H2">
        <f t="shared" ref="H2:H65" si="3">INDEX(Joined, MATCH($A2, SystemName, FALSE), 6)</f>
        <v>15001</v>
      </c>
      <c r="I2">
        <f t="shared" ref="I2:I65" si="4">INDEX(Joined, MATCH($A2, SystemName, FALSE), 4)</f>
        <v>301</v>
      </c>
      <c r="J2" t="b">
        <v>0</v>
      </c>
      <c r="K2">
        <f t="shared" ref="K2:K65" si="5">INDEX(Joined, MATCH($A2, SystemName, FALSE), 3)</f>
        <v>2</v>
      </c>
      <c r="L2">
        <v>85</v>
      </c>
      <c r="M2">
        <v>38400</v>
      </c>
      <c r="N2">
        <f t="shared" ref="N2:N17" si="6">INDEX(Schedule, MATCH($E2, SchedMark, 0), 6)</f>
        <v>80</v>
      </c>
      <c r="O2">
        <f t="shared" ref="O2:P17" si="7">INDEX(Schedule, MATCH($E2, SchedMark, 0), 7)</f>
        <v>80</v>
      </c>
      <c r="P2">
        <f t="shared" si="7"/>
        <v>80</v>
      </c>
      <c r="Q2">
        <f>INDEX(Schedule, MATCH($E2, SchedMark, 0), 8)^2*PI()/144</f>
        <v>0.78539816339744828</v>
      </c>
      <c r="R2">
        <f t="shared" ref="R2:R17" si="8">INDEX(Schedule, MATCH($E2, SchedMark, 0), 8)</f>
        <v>6</v>
      </c>
      <c r="S2">
        <f t="shared" ref="S2:S65" si="9">INDEX(Schedule, MATCH($E2, SchedMark, 0), 5)</f>
        <v>210</v>
      </c>
      <c r="T2">
        <f t="shared" ref="T2:T65" si="10">INDEX(Schedule, MATCH($E2, SchedMark, 0), 6)</f>
        <v>80</v>
      </c>
      <c r="U2">
        <f t="shared" ref="U2:U65" si="11">INDEX(Schedule, MATCH($E2, SchedMark, 0), 5)</f>
        <v>210</v>
      </c>
      <c r="V2">
        <f t="shared" ref="V2:V65" si="12">INDEX(Schedule, MATCH($E2, SchedMark, 0), 6)</f>
        <v>80</v>
      </c>
      <c r="W2">
        <f t="shared" ref="W2:W65" si="13">INDEX(Schedule, MATCH($E2, SchedMark, 0), 5)</f>
        <v>210</v>
      </c>
      <c r="X2">
        <f t="shared" ref="X2:X65" si="14">INDEX(Schedule, MATCH($E2, SchedMark, 0), 6)</f>
        <v>80</v>
      </c>
      <c r="Y2">
        <v>75</v>
      </c>
      <c r="Z2">
        <f>IF(OR($H2=15201, $H2=15202), 2, 0)</f>
        <v>0</v>
      </c>
      <c r="AA2">
        <v>80</v>
      </c>
      <c r="AB2">
        <v>70</v>
      </c>
      <c r="AC2">
        <f>IF(OR($H2=15201, $H2=15202), 2, 0)</f>
        <v>0</v>
      </c>
      <c r="AD2">
        <v>60</v>
      </c>
      <c r="AE2">
        <v>0.63</v>
      </c>
      <c r="AF2" t="str">
        <f t="shared" ref="AF2:AH17" si="15">"B_01'" &amp; "Flr_0" &amp; INDEX(Joined, MATCH($A2, SystemName, FALSE), 13) &amp; "'" &amp; INDEX(Joined, MATCH($A2, SystemName, FALSE), 12)</f>
        <v>B_01'Flr_00'B1</v>
      </c>
      <c r="AG2" t="str">
        <f>"R_" &amp; INDEX(Sched!A:AA, MATCH(ABT!$E2, SchedMark, 0), 20)</f>
        <v>R_1004.07</v>
      </c>
      <c r="AH2" t="str">
        <f t="shared" si="15"/>
        <v>B_01'Flr_00'B1</v>
      </c>
      <c r="AI2" t="str">
        <f t="shared" ref="AI2:AI33" si="16">INDEX(Joined, MATCH($A2, SystemName, FALSE), 7)</f>
        <v>VV-1-0-04</v>
      </c>
      <c r="AJ2" s="10" t="s">
        <v>973</v>
      </c>
      <c r="AK2" s="10"/>
    </row>
    <row r="3" spans="1:38" x14ac:dyDescent="0.2">
      <c r="A3" s="110" t="s">
        <v>777</v>
      </c>
      <c r="B3" t="str">
        <f t="shared" ref="B3:B7" si="17">"B_01'" &amp; "Flr_0" &amp; INDEX(Joined, MATCH(A3, SystemName, FALSE), 13) &amp; "'" &amp; INDEX(Joined, MATCH(A3, SystemName, FALSE), 12)</f>
        <v>B_01'Flr_00'B1</v>
      </c>
      <c r="C3" t="str">
        <f t="shared" si="0"/>
        <v>VV-1-0-05</v>
      </c>
      <c r="D3" t="str">
        <f t="shared" si="1"/>
        <v>1030103</v>
      </c>
      <c r="E3" t="str">
        <f t="shared" si="2"/>
        <v>VV-1-0-05</v>
      </c>
      <c r="F3" t="s">
        <v>695</v>
      </c>
      <c r="G3" t="str">
        <f>INDEX(Sched!$J$213:$O$223, MATCH(ABT!$H3, Sched!$J$213:$J$223, 0), 6)</f>
        <v>15001_VAV_DXR2M12P_US</v>
      </c>
      <c r="H3">
        <f t="shared" si="3"/>
        <v>15001</v>
      </c>
      <c r="I3">
        <f t="shared" si="4"/>
        <v>301</v>
      </c>
      <c r="J3" t="b">
        <v>0</v>
      </c>
      <c r="K3">
        <f t="shared" si="5"/>
        <v>3</v>
      </c>
      <c r="L3">
        <v>85</v>
      </c>
      <c r="M3">
        <v>38400</v>
      </c>
      <c r="N3">
        <f t="shared" si="6"/>
        <v>315</v>
      </c>
      <c r="O3">
        <f t="shared" si="7"/>
        <v>140</v>
      </c>
      <c r="P3">
        <f t="shared" si="7"/>
        <v>140</v>
      </c>
      <c r="Q3">
        <f t="shared" ref="Q3:Q17" si="18">INDEX(Schedule, MATCH($E3, SchedMark, 0), 8)^2*PI()/144</f>
        <v>1.3962634015954636</v>
      </c>
      <c r="R3">
        <f t="shared" si="8"/>
        <v>8</v>
      </c>
      <c r="S3">
        <f t="shared" si="9"/>
        <v>690</v>
      </c>
      <c r="T3">
        <f t="shared" si="10"/>
        <v>315</v>
      </c>
      <c r="U3">
        <f t="shared" si="11"/>
        <v>690</v>
      </c>
      <c r="V3">
        <f t="shared" si="12"/>
        <v>315</v>
      </c>
      <c r="W3">
        <f t="shared" si="13"/>
        <v>690</v>
      </c>
      <c r="X3">
        <f t="shared" si="14"/>
        <v>315</v>
      </c>
      <c r="Y3">
        <v>75</v>
      </c>
      <c r="Z3">
        <f t="shared" ref="Z3:Z66" si="19">IF(OR($H3=15201, $H3=15202), 2, 0)</f>
        <v>0</v>
      </c>
      <c r="AA3">
        <v>80</v>
      </c>
      <c r="AB3">
        <v>70</v>
      </c>
      <c r="AC3">
        <f t="shared" ref="AC3:AC66" si="20">IF(OR($H3=15201, $H3=15202), 2, 0)</f>
        <v>0</v>
      </c>
      <c r="AD3">
        <v>60</v>
      </c>
      <c r="AE3">
        <v>0.63</v>
      </c>
      <c r="AF3" t="str">
        <f t="shared" si="15"/>
        <v>B_01'Flr_00'B1</v>
      </c>
      <c r="AG3" t="str">
        <f>"R_" &amp; INDEX(Sched!A:AA, MATCH(ABT!$E3, SchedMark, 0), 20)</f>
        <v>R_M1003.00</v>
      </c>
      <c r="AH3" t="str">
        <f t="shared" si="15"/>
        <v>B_01'Flr_00'B1</v>
      </c>
      <c r="AI3" t="str">
        <f t="shared" si="16"/>
        <v>VV-1-0-05</v>
      </c>
      <c r="AJ3" s="10" t="s">
        <v>974</v>
      </c>
      <c r="AK3" s="10"/>
    </row>
    <row r="4" spans="1:38" x14ac:dyDescent="0.2">
      <c r="A4" s="109" t="s">
        <v>778</v>
      </c>
      <c r="B4" t="str">
        <f t="shared" si="17"/>
        <v>B_01'Flr_00'B1</v>
      </c>
      <c r="C4" t="str">
        <f t="shared" si="0"/>
        <v>VV-1-0-06</v>
      </c>
      <c r="D4" t="str">
        <f t="shared" si="1"/>
        <v>1030104</v>
      </c>
      <c r="E4" t="str">
        <f t="shared" si="2"/>
        <v>VV-1-0-06</v>
      </c>
      <c r="F4" t="s">
        <v>695</v>
      </c>
      <c r="G4" t="str">
        <f>INDEX(Sched!$J$213:$O$223, MATCH(ABT!$H4, Sched!$J$213:$J$223, 0), 6)</f>
        <v>15001_VAV_DXR2M12P_US</v>
      </c>
      <c r="H4">
        <f t="shared" si="3"/>
        <v>15001</v>
      </c>
      <c r="I4">
        <f t="shared" si="4"/>
        <v>301</v>
      </c>
      <c r="J4" t="b">
        <v>0</v>
      </c>
      <c r="K4">
        <f t="shared" si="5"/>
        <v>4</v>
      </c>
      <c r="L4">
        <v>85</v>
      </c>
      <c r="M4">
        <v>38400</v>
      </c>
      <c r="N4">
        <f t="shared" si="6"/>
        <v>620</v>
      </c>
      <c r="O4">
        <f t="shared" si="7"/>
        <v>315</v>
      </c>
      <c r="P4">
        <f t="shared" si="7"/>
        <v>315</v>
      </c>
      <c r="Q4">
        <f t="shared" si="18"/>
        <v>3.1415926535897931</v>
      </c>
      <c r="R4">
        <f t="shared" si="8"/>
        <v>12</v>
      </c>
      <c r="S4">
        <f t="shared" si="9"/>
        <v>1580</v>
      </c>
      <c r="T4">
        <f t="shared" si="10"/>
        <v>620</v>
      </c>
      <c r="U4">
        <f t="shared" si="11"/>
        <v>1580</v>
      </c>
      <c r="V4">
        <f t="shared" si="12"/>
        <v>620</v>
      </c>
      <c r="W4">
        <f t="shared" si="13"/>
        <v>1580</v>
      </c>
      <c r="X4">
        <f t="shared" si="14"/>
        <v>620</v>
      </c>
      <c r="Y4">
        <v>75</v>
      </c>
      <c r="Z4">
        <f t="shared" si="19"/>
        <v>0</v>
      </c>
      <c r="AA4">
        <v>80</v>
      </c>
      <c r="AB4">
        <v>70</v>
      </c>
      <c r="AC4">
        <f t="shared" si="20"/>
        <v>0</v>
      </c>
      <c r="AD4">
        <v>60</v>
      </c>
      <c r="AE4">
        <v>0.63</v>
      </c>
      <c r="AF4" t="str">
        <f t="shared" si="15"/>
        <v>B_01'Flr_00'B1</v>
      </c>
      <c r="AG4" t="str">
        <f>"R_" &amp; INDEX(Sched!A:AA, MATCH(ABT!$E4, SchedMark, 0), 20)</f>
        <v>R_1004.08</v>
      </c>
      <c r="AH4" t="str">
        <f t="shared" si="15"/>
        <v>B_01'Flr_00'B1</v>
      </c>
      <c r="AI4" t="str">
        <f t="shared" si="16"/>
        <v>VV-1-0-06</v>
      </c>
      <c r="AJ4" t="s">
        <v>975</v>
      </c>
    </row>
    <row r="5" spans="1:38" x14ac:dyDescent="0.2">
      <c r="A5" s="109" t="s">
        <v>779</v>
      </c>
      <c r="B5" t="str">
        <f t="shared" si="17"/>
        <v>B_01'Flr_01'B1</v>
      </c>
      <c r="C5" t="str">
        <f t="shared" si="0"/>
        <v>VV-1-1-08</v>
      </c>
      <c r="D5" t="str">
        <f t="shared" si="1"/>
        <v>1030209</v>
      </c>
      <c r="E5" t="str">
        <f t="shared" si="2"/>
        <v>VV-1-1-08</v>
      </c>
      <c r="F5" t="s">
        <v>695</v>
      </c>
      <c r="G5" t="str">
        <f>INDEX(Sched!$J$213:$O$223, MATCH(ABT!$H5, Sched!$J$213:$J$223, 0), 6)</f>
        <v>15001_VAV_DXR2M12P_US</v>
      </c>
      <c r="H5">
        <f t="shared" si="3"/>
        <v>15001</v>
      </c>
      <c r="I5">
        <f t="shared" si="4"/>
        <v>302</v>
      </c>
      <c r="J5" t="b">
        <v>0</v>
      </c>
      <c r="K5">
        <f t="shared" si="5"/>
        <v>9</v>
      </c>
      <c r="L5">
        <v>85</v>
      </c>
      <c r="M5">
        <v>38400</v>
      </c>
      <c r="N5">
        <f t="shared" si="6"/>
        <v>325</v>
      </c>
      <c r="O5">
        <f t="shared" si="7"/>
        <v>80</v>
      </c>
      <c r="P5">
        <f t="shared" si="7"/>
        <v>80</v>
      </c>
      <c r="Q5">
        <f t="shared" si="18"/>
        <v>0.78539816339744828</v>
      </c>
      <c r="R5">
        <f t="shared" si="8"/>
        <v>6</v>
      </c>
      <c r="S5">
        <f t="shared" si="9"/>
        <v>325</v>
      </c>
      <c r="T5">
        <f t="shared" si="10"/>
        <v>325</v>
      </c>
      <c r="U5">
        <f t="shared" si="11"/>
        <v>325</v>
      </c>
      <c r="V5">
        <f t="shared" si="12"/>
        <v>325</v>
      </c>
      <c r="W5">
        <f t="shared" si="13"/>
        <v>325</v>
      </c>
      <c r="X5">
        <f t="shared" si="14"/>
        <v>325</v>
      </c>
      <c r="Y5">
        <v>75</v>
      </c>
      <c r="Z5">
        <f t="shared" si="19"/>
        <v>0</v>
      </c>
      <c r="AA5">
        <v>80</v>
      </c>
      <c r="AB5">
        <v>70</v>
      </c>
      <c r="AC5">
        <f t="shared" si="20"/>
        <v>0</v>
      </c>
      <c r="AD5">
        <v>60</v>
      </c>
      <c r="AE5">
        <v>0.63</v>
      </c>
      <c r="AF5" t="str">
        <f t="shared" si="15"/>
        <v>B_01'Flr_01'B1</v>
      </c>
      <c r="AG5" t="str">
        <f>"R_" &amp; INDEX(Sched!A:AA, MATCH(ABT!$E5, SchedMark, 0), 20)</f>
        <v>R_1102.02</v>
      </c>
      <c r="AH5" t="str">
        <f t="shared" si="15"/>
        <v>B_01'Flr_01'B1</v>
      </c>
      <c r="AI5" t="str">
        <f t="shared" si="16"/>
        <v>VV-1-1-08</v>
      </c>
      <c r="AJ5" t="s">
        <v>976</v>
      </c>
    </row>
    <row r="6" spans="1:38" x14ac:dyDescent="0.2">
      <c r="A6" s="109" t="s">
        <v>780</v>
      </c>
      <c r="B6" t="str">
        <f t="shared" si="17"/>
        <v>B_01'Flr_01'B1</v>
      </c>
      <c r="C6" t="str">
        <f t="shared" si="0"/>
        <v>VV-1-1-09</v>
      </c>
      <c r="D6" t="str">
        <f t="shared" si="1"/>
        <v>1030210</v>
      </c>
      <c r="E6" t="str">
        <f t="shared" si="2"/>
        <v>VV-1-1-09</v>
      </c>
      <c r="F6" t="s">
        <v>695</v>
      </c>
      <c r="G6" t="str">
        <f>INDEX(Sched!$J$213:$O$223, MATCH(ABT!$H6, Sched!$J$213:$J$223, 0), 6)</f>
        <v>15001_VAV_DXR2M12P_US</v>
      </c>
      <c r="H6">
        <f t="shared" si="3"/>
        <v>15001</v>
      </c>
      <c r="I6">
        <f t="shared" si="4"/>
        <v>302</v>
      </c>
      <c r="J6" t="b">
        <v>0</v>
      </c>
      <c r="K6">
        <f t="shared" si="5"/>
        <v>10</v>
      </c>
      <c r="L6">
        <v>85</v>
      </c>
      <c r="M6">
        <v>38400</v>
      </c>
      <c r="N6">
        <f t="shared" si="6"/>
        <v>130</v>
      </c>
      <c r="O6">
        <f t="shared" si="7"/>
        <v>140</v>
      </c>
      <c r="P6">
        <f t="shared" si="7"/>
        <v>140</v>
      </c>
      <c r="Q6">
        <f t="shared" si="18"/>
        <v>1.3962634015954636</v>
      </c>
      <c r="R6">
        <f t="shared" si="8"/>
        <v>8</v>
      </c>
      <c r="S6">
        <f t="shared" si="9"/>
        <v>430</v>
      </c>
      <c r="T6">
        <f t="shared" si="10"/>
        <v>130</v>
      </c>
      <c r="U6">
        <f t="shared" si="11"/>
        <v>430</v>
      </c>
      <c r="V6">
        <f t="shared" si="12"/>
        <v>130</v>
      </c>
      <c r="W6">
        <f t="shared" si="13"/>
        <v>430</v>
      </c>
      <c r="X6">
        <f t="shared" si="14"/>
        <v>130</v>
      </c>
      <c r="Y6">
        <v>75</v>
      </c>
      <c r="Z6">
        <f t="shared" si="19"/>
        <v>0</v>
      </c>
      <c r="AA6">
        <v>80</v>
      </c>
      <c r="AB6">
        <v>70</v>
      </c>
      <c r="AC6">
        <f t="shared" si="20"/>
        <v>0</v>
      </c>
      <c r="AD6">
        <v>60</v>
      </c>
      <c r="AE6">
        <v>0.63</v>
      </c>
      <c r="AF6" t="str">
        <f>"B_01'" &amp; "Flr_0" &amp; INDEX(Joined, MATCH($A6, SystemName, FALSE), 13) &amp; "'" &amp; INDEX(Joined, MATCH($A6, SystemName, FALSE), 12)</f>
        <v>B_01'Flr_01'B1</v>
      </c>
      <c r="AG6" t="str">
        <f>"R_" &amp; INDEX(Sched!A:AA, MATCH(ABT!$E6, SchedMark, 0), 20)</f>
        <v>R_1101.01</v>
      </c>
      <c r="AH6" t="str">
        <f t="shared" si="15"/>
        <v>B_01'Flr_01'B1</v>
      </c>
      <c r="AI6" t="str">
        <f t="shared" si="16"/>
        <v>VV-1-1-09</v>
      </c>
      <c r="AJ6" t="s">
        <v>977</v>
      </c>
    </row>
    <row r="7" spans="1:38" x14ac:dyDescent="0.2">
      <c r="A7" s="109" t="s">
        <v>781</v>
      </c>
      <c r="B7" t="str">
        <f t="shared" si="17"/>
        <v>B_01'Flr_00'A1</v>
      </c>
      <c r="C7" t="str">
        <f t="shared" si="0"/>
        <v>VV-1-0-01</v>
      </c>
      <c r="D7" t="str">
        <f t="shared" si="1"/>
        <v>1030125</v>
      </c>
      <c r="E7" t="str">
        <f t="shared" si="2"/>
        <v>VV-1-0-01</v>
      </c>
      <c r="F7" t="s">
        <v>695</v>
      </c>
      <c r="G7" t="str">
        <f>INDEX(Sched!$J$213:$O$223, MATCH(ABT!$H7, Sched!$J$213:$J$223, 0), 6)</f>
        <v>15001_VAV_DXR2M12P_US</v>
      </c>
      <c r="H7">
        <f t="shared" si="3"/>
        <v>15001</v>
      </c>
      <c r="I7">
        <f t="shared" si="4"/>
        <v>301</v>
      </c>
      <c r="J7" t="b">
        <v>0</v>
      </c>
      <c r="K7">
        <f t="shared" si="5"/>
        <v>25</v>
      </c>
      <c r="L7">
        <v>85</v>
      </c>
      <c r="M7">
        <v>38400</v>
      </c>
      <c r="N7">
        <f t="shared" si="6"/>
        <v>225</v>
      </c>
      <c r="O7">
        <f t="shared" si="7"/>
        <v>220</v>
      </c>
      <c r="P7">
        <f t="shared" si="7"/>
        <v>220</v>
      </c>
      <c r="Q7">
        <f t="shared" si="18"/>
        <v>2.1816615649929121</v>
      </c>
      <c r="R7">
        <f t="shared" si="8"/>
        <v>10</v>
      </c>
      <c r="S7">
        <f t="shared" si="9"/>
        <v>750</v>
      </c>
      <c r="T7">
        <f t="shared" si="10"/>
        <v>225</v>
      </c>
      <c r="U7">
        <f t="shared" si="11"/>
        <v>750</v>
      </c>
      <c r="V7">
        <f t="shared" si="12"/>
        <v>225</v>
      </c>
      <c r="W7">
        <f t="shared" si="13"/>
        <v>750</v>
      </c>
      <c r="X7">
        <f t="shared" si="14"/>
        <v>225</v>
      </c>
      <c r="Y7">
        <v>75</v>
      </c>
      <c r="Z7">
        <f t="shared" si="19"/>
        <v>0</v>
      </c>
      <c r="AA7">
        <v>80</v>
      </c>
      <c r="AB7">
        <v>70</v>
      </c>
      <c r="AC7">
        <f t="shared" si="20"/>
        <v>0</v>
      </c>
      <c r="AD7">
        <v>60</v>
      </c>
      <c r="AE7">
        <v>0.63</v>
      </c>
      <c r="AF7" t="str">
        <f t="shared" si="15"/>
        <v>B_01'Flr_00'A1</v>
      </c>
      <c r="AG7" t="str">
        <f>"R_" &amp; INDEX(Sched!A:AA, MATCH(ABT!$E7, SchedMark, 0), 20)</f>
        <v>R_1003.00</v>
      </c>
      <c r="AH7" t="str">
        <f t="shared" si="15"/>
        <v>B_01'Flr_00'A1</v>
      </c>
      <c r="AI7" t="str">
        <f t="shared" si="16"/>
        <v>VV-1-0-01</v>
      </c>
      <c r="AJ7" t="s">
        <v>978</v>
      </c>
    </row>
    <row r="8" spans="1:38" x14ac:dyDescent="0.2">
      <c r="A8" s="109" t="s">
        <v>782</v>
      </c>
      <c r="B8" t="str">
        <f t="shared" ref="B8:B71" si="21">"B_01'" &amp; "Flr_0" &amp; INDEX(Joined, MATCH(A8, SystemName, FALSE), 13) &amp; "'" &amp; INDEX(Joined, MATCH(A8, SystemName, FALSE), 12)</f>
        <v>B_01'Flr_00'A1</v>
      </c>
      <c r="C8" t="str">
        <f t="shared" ref="C8:C71" si="22">INDEX(Joined, MATCH(A8, SystemName, FALSE), 7)</f>
        <v>VV-1-0-02</v>
      </c>
      <c r="D8" t="str">
        <f t="shared" ref="D8:D71" si="23">INDEX(Joined, MATCH(A8, SystemName, FALSE), 5)</f>
        <v>1030126</v>
      </c>
      <c r="E8" t="str">
        <f t="shared" ref="E8:E71" si="24">INDEX(Joined, MATCH(A8, SystemName, FALSE), 7)</f>
        <v>VV-1-0-02</v>
      </c>
      <c r="F8" t="s">
        <v>695</v>
      </c>
      <c r="G8" t="str">
        <f>INDEX(Sched!$J$213:$O$223, MATCH(ABT!$H8, Sched!$J$213:$J$223, 0), 6)</f>
        <v>15001_VAV_DXR2M12P_US</v>
      </c>
      <c r="H8">
        <f t="shared" si="3"/>
        <v>15001</v>
      </c>
      <c r="I8">
        <f t="shared" si="4"/>
        <v>301</v>
      </c>
      <c r="J8" t="b">
        <v>0</v>
      </c>
      <c r="K8">
        <f t="shared" si="5"/>
        <v>26</v>
      </c>
      <c r="L8">
        <v>85</v>
      </c>
      <c r="M8">
        <v>38400</v>
      </c>
      <c r="N8">
        <f t="shared" si="6"/>
        <v>95</v>
      </c>
      <c r="O8">
        <f t="shared" si="7"/>
        <v>80</v>
      </c>
      <c r="P8">
        <f t="shared" si="7"/>
        <v>80</v>
      </c>
      <c r="Q8">
        <f t="shared" si="18"/>
        <v>0.78539816339744828</v>
      </c>
      <c r="R8">
        <f t="shared" si="8"/>
        <v>6</v>
      </c>
      <c r="S8">
        <f t="shared" si="9"/>
        <v>320</v>
      </c>
      <c r="T8">
        <f t="shared" si="10"/>
        <v>95</v>
      </c>
      <c r="U8">
        <f t="shared" si="11"/>
        <v>320</v>
      </c>
      <c r="V8">
        <f t="shared" si="12"/>
        <v>95</v>
      </c>
      <c r="W8">
        <f t="shared" si="13"/>
        <v>320</v>
      </c>
      <c r="X8">
        <f t="shared" si="14"/>
        <v>95</v>
      </c>
      <c r="Y8">
        <v>75</v>
      </c>
      <c r="Z8">
        <f t="shared" si="19"/>
        <v>0</v>
      </c>
      <c r="AA8">
        <v>80</v>
      </c>
      <c r="AB8">
        <v>70</v>
      </c>
      <c r="AC8">
        <f t="shared" si="20"/>
        <v>0</v>
      </c>
      <c r="AD8">
        <v>60</v>
      </c>
      <c r="AE8">
        <v>0.63</v>
      </c>
      <c r="AF8" t="str">
        <f t="shared" si="15"/>
        <v>B_01'Flr_00'A1</v>
      </c>
      <c r="AG8" t="str">
        <f>"R_" &amp; INDEX(Sched!A:AA, MATCH(ABT!$E8, SchedMark, 0), 20)</f>
        <v>R_1004.05</v>
      </c>
      <c r="AH8" t="str">
        <f t="shared" si="15"/>
        <v>B_01'Flr_00'A1</v>
      </c>
      <c r="AI8" t="str">
        <f t="shared" si="16"/>
        <v>VV-1-0-02</v>
      </c>
      <c r="AJ8" t="s">
        <v>979</v>
      </c>
    </row>
    <row r="9" spans="1:38" x14ac:dyDescent="0.2">
      <c r="A9" s="109" t="s">
        <v>784</v>
      </c>
      <c r="B9" t="str">
        <f t="shared" si="21"/>
        <v>B_01'Flr_02'A1</v>
      </c>
      <c r="C9" t="str">
        <f t="shared" si="22"/>
        <v>VV-2-2-07</v>
      </c>
      <c r="D9" t="str">
        <f t="shared" si="23"/>
        <v>1030423</v>
      </c>
      <c r="E9" t="str">
        <f t="shared" si="24"/>
        <v>VV-2-2-07</v>
      </c>
      <c r="F9" t="s">
        <v>695</v>
      </c>
      <c r="G9" t="str">
        <f>INDEX(Sched!$J$213:$O$223, MATCH(ABT!$H9, Sched!$J$213:$J$223, 0), 6)</f>
        <v>15001_VAV_DXR2M12P_US</v>
      </c>
      <c r="H9">
        <f t="shared" si="3"/>
        <v>15001</v>
      </c>
      <c r="I9">
        <f t="shared" si="4"/>
        <v>304</v>
      </c>
      <c r="J9" t="b">
        <v>0</v>
      </c>
      <c r="K9">
        <f t="shared" si="5"/>
        <v>23</v>
      </c>
      <c r="L9">
        <v>85</v>
      </c>
      <c r="M9">
        <v>38400</v>
      </c>
      <c r="N9">
        <f t="shared" si="6"/>
        <v>140</v>
      </c>
      <c r="O9">
        <f t="shared" si="7"/>
        <v>140</v>
      </c>
      <c r="P9">
        <f t="shared" si="7"/>
        <v>140</v>
      </c>
      <c r="Q9">
        <f t="shared" si="18"/>
        <v>1.3962634015954636</v>
      </c>
      <c r="R9">
        <f t="shared" si="8"/>
        <v>8</v>
      </c>
      <c r="S9">
        <f t="shared" si="9"/>
        <v>465</v>
      </c>
      <c r="T9">
        <f t="shared" si="10"/>
        <v>140</v>
      </c>
      <c r="U9">
        <f t="shared" si="11"/>
        <v>465</v>
      </c>
      <c r="V9">
        <f t="shared" si="12"/>
        <v>140</v>
      </c>
      <c r="W9">
        <f t="shared" si="13"/>
        <v>465</v>
      </c>
      <c r="X9">
        <f t="shared" si="14"/>
        <v>140</v>
      </c>
      <c r="Y9">
        <v>75</v>
      </c>
      <c r="Z9">
        <f t="shared" si="19"/>
        <v>0</v>
      </c>
      <c r="AA9">
        <v>80</v>
      </c>
      <c r="AB9">
        <v>70</v>
      </c>
      <c r="AC9">
        <f t="shared" si="20"/>
        <v>0</v>
      </c>
      <c r="AD9">
        <v>60</v>
      </c>
      <c r="AE9">
        <v>0.63</v>
      </c>
      <c r="AF9" t="str">
        <f t="shared" si="15"/>
        <v>B_01'Flr_02'A1</v>
      </c>
      <c r="AG9" t="str">
        <f>"R_" &amp; INDEX(Sched!A:AA, MATCH(ABT!$E9, SchedMark, 0), 20)</f>
        <v>R_1218.00</v>
      </c>
      <c r="AH9" t="str">
        <f t="shared" si="15"/>
        <v>B_01'Flr_02'A1</v>
      </c>
      <c r="AI9" t="str">
        <f t="shared" si="16"/>
        <v>VV-2-2-07</v>
      </c>
      <c r="AJ9" t="s">
        <v>980</v>
      </c>
      <c r="AK9" s="9"/>
      <c r="AL9" s="9"/>
    </row>
    <row r="10" spans="1:38" x14ac:dyDescent="0.2">
      <c r="A10" s="109" t="s">
        <v>785</v>
      </c>
      <c r="B10" t="str">
        <f t="shared" si="21"/>
        <v>B_01'Flr_01'B2</v>
      </c>
      <c r="C10" t="str">
        <f t="shared" si="22"/>
        <v>VV-1-1-06</v>
      </c>
      <c r="D10" t="str">
        <f t="shared" si="23"/>
        <v>1030232</v>
      </c>
      <c r="E10" t="str">
        <f t="shared" si="24"/>
        <v>VV-1-1-06</v>
      </c>
      <c r="F10" t="s">
        <v>695</v>
      </c>
      <c r="G10" t="str">
        <f>INDEX(Sched!$J$213:$O$223, MATCH(ABT!$H10, Sched!$J$213:$J$223, 0), 6)</f>
        <v>15001_VAV_DXR2M12P_US</v>
      </c>
      <c r="H10">
        <f t="shared" si="3"/>
        <v>15001</v>
      </c>
      <c r="I10">
        <f t="shared" si="4"/>
        <v>302</v>
      </c>
      <c r="J10" t="b">
        <v>0</v>
      </c>
      <c r="K10">
        <f t="shared" si="5"/>
        <v>32</v>
      </c>
      <c r="L10">
        <v>85</v>
      </c>
      <c r="M10">
        <v>38400</v>
      </c>
      <c r="N10">
        <f t="shared" si="6"/>
        <v>925</v>
      </c>
      <c r="O10">
        <f t="shared" si="7"/>
        <v>220</v>
      </c>
      <c r="P10">
        <f t="shared" si="7"/>
        <v>220</v>
      </c>
      <c r="Q10">
        <f t="shared" si="18"/>
        <v>2.1816615649929121</v>
      </c>
      <c r="R10">
        <f t="shared" si="8"/>
        <v>10</v>
      </c>
      <c r="S10">
        <f t="shared" si="9"/>
        <v>925</v>
      </c>
      <c r="T10">
        <f t="shared" si="10"/>
        <v>925</v>
      </c>
      <c r="U10">
        <f t="shared" si="11"/>
        <v>925</v>
      </c>
      <c r="V10">
        <f t="shared" si="12"/>
        <v>925</v>
      </c>
      <c r="W10">
        <f t="shared" si="13"/>
        <v>925</v>
      </c>
      <c r="X10">
        <f t="shared" si="14"/>
        <v>925</v>
      </c>
      <c r="Y10">
        <v>75</v>
      </c>
      <c r="Z10">
        <f t="shared" si="19"/>
        <v>0</v>
      </c>
      <c r="AA10">
        <v>80</v>
      </c>
      <c r="AB10">
        <v>70</v>
      </c>
      <c r="AC10">
        <f t="shared" si="20"/>
        <v>0</v>
      </c>
      <c r="AD10">
        <v>60</v>
      </c>
      <c r="AE10">
        <v>0.63</v>
      </c>
      <c r="AF10" t="str">
        <f t="shared" si="15"/>
        <v>B_01'Flr_01'B2</v>
      </c>
      <c r="AG10" t="str">
        <f>"R_" &amp; INDEX(Sched!A:AA, MATCH(ABT!$E10, SchedMark, 0), 20)</f>
        <v>R_1129.01</v>
      </c>
      <c r="AH10" t="str">
        <f t="shared" si="15"/>
        <v>B_01'Flr_01'B2</v>
      </c>
      <c r="AI10" t="str">
        <f t="shared" si="16"/>
        <v>VV-1-1-06</v>
      </c>
      <c r="AJ10" t="s">
        <v>981</v>
      </c>
    </row>
    <row r="11" spans="1:38" x14ac:dyDescent="0.2">
      <c r="A11" s="109" t="s">
        <v>786</v>
      </c>
      <c r="B11" t="str">
        <f t="shared" si="21"/>
        <v>B_01'Flr_02'B2</v>
      </c>
      <c r="C11" t="str">
        <f t="shared" si="22"/>
        <v>VV-2-2-02</v>
      </c>
      <c r="D11" t="str">
        <f t="shared" si="23"/>
        <v>1030431</v>
      </c>
      <c r="E11" t="str">
        <f t="shared" si="24"/>
        <v>VV-2-2-02</v>
      </c>
      <c r="F11" t="s">
        <v>695</v>
      </c>
      <c r="G11" t="str">
        <f>INDEX(Sched!$J$213:$O$223, MATCH(ABT!$H11, Sched!$J$213:$J$223, 0), 6)</f>
        <v>15001_VAV_DXR2M12P_US</v>
      </c>
      <c r="H11">
        <f t="shared" si="3"/>
        <v>15001</v>
      </c>
      <c r="I11">
        <f t="shared" si="4"/>
        <v>304</v>
      </c>
      <c r="J11" t="b">
        <v>0</v>
      </c>
      <c r="K11">
        <f t="shared" si="5"/>
        <v>31</v>
      </c>
      <c r="L11">
        <v>85</v>
      </c>
      <c r="M11">
        <v>38400</v>
      </c>
      <c r="N11">
        <f t="shared" si="6"/>
        <v>655</v>
      </c>
      <c r="O11">
        <f t="shared" si="7"/>
        <v>140</v>
      </c>
      <c r="P11">
        <f t="shared" si="7"/>
        <v>140</v>
      </c>
      <c r="Q11">
        <f t="shared" si="18"/>
        <v>1.3962634015954636</v>
      </c>
      <c r="R11">
        <f t="shared" si="8"/>
        <v>8</v>
      </c>
      <c r="S11">
        <f t="shared" si="9"/>
        <v>655</v>
      </c>
      <c r="T11">
        <f t="shared" si="10"/>
        <v>655</v>
      </c>
      <c r="U11">
        <f t="shared" si="11"/>
        <v>655</v>
      </c>
      <c r="V11">
        <f t="shared" si="12"/>
        <v>655</v>
      </c>
      <c r="W11">
        <f t="shared" si="13"/>
        <v>655</v>
      </c>
      <c r="X11">
        <f t="shared" si="14"/>
        <v>655</v>
      </c>
      <c r="Y11">
        <v>75</v>
      </c>
      <c r="Z11">
        <f t="shared" si="19"/>
        <v>0</v>
      </c>
      <c r="AA11">
        <v>80</v>
      </c>
      <c r="AB11">
        <v>70</v>
      </c>
      <c r="AC11">
        <f t="shared" si="20"/>
        <v>0</v>
      </c>
      <c r="AD11">
        <v>60</v>
      </c>
      <c r="AE11">
        <v>0.63</v>
      </c>
      <c r="AF11" t="str">
        <f t="shared" si="15"/>
        <v>B_01'Flr_02'B2</v>
      </c>
      <c r="AG11" t="str">
        <f>"R_" &amp; INDEX(Sched!A:AA, MATCH(ABT!$E11, SchedMark, 0), 20)</f>
        <v>R_1218.02</v>
      </c>
      <c r="AH11" t="str">
        <f t="shared" si="15"/>
        <v>B_01'Flr_02'B2</v>
      </c>
      <c r="AI11" t="str">
        <f t="shared" si="16"/>
        <v>VV-2-2-02</v>
      </c>
      <c r="AJ11" t="s">
        <v>982</v>
      </c>
    </row>
    <row r="12" spans="1:38" x14ac:dyDescent="0.2">
      <c r="A12" s="109" t="s">
        <v>787</v>
      </c>
      <c r="B12" t="str">
        <f t="shared" si="21"/>
        <v>B_01'Flr_02'B2</v>
      </c>
      <c r="C12" t="str">
        <f t="shared" si="22"/>
        <v>VV-2-2-01</v>
      </c>
      <c r="D12" t="str">
        <f t="shared" si="23"/>
        <v>1030434</v>
      </c>
      <c r="E12" t="str">
        <f t="shared" si="24"/>
        <v>VV-2-2-01</v>
      </c>
      <c r="F12" t="s">
        <v>695</v>
      </c>
      <c r="G12" t="str">
        <f>INDEX(Sched!$J$213:$O$223, MATCH(ABT!$H12, Sched!$J$213:$J$223, 0), 6)</f>
        <v>15001_VAV_DXR2M12P_US</v>
      </c>
      <c r="H12">
        <f t="shared" si="3"/>
        <v>15001</v>
      </c>
      <c r="I12">
        <f t="shared" si="4"/>
        <v>304</v>
      </c>
      <c r="J12" t="b">
        <v>0</v>
      </c>
      <c r="K12">
        <f t="shared" si="5"/>
        <v>34</v>
      </c>
      <c r="L12">
        <v>85</v>
      </c>
      <c r="M12">
        <v>38400</v>
      </c>
      <c r="N12">
        <f t="shared" si="6"/>
        <v>260</v>
      </c>
      <c r="O12">
        <f t="shared" si="7"/>
        <v>220</v>
      </c>
      <c r="P12">
        <f t="shared" si="7"/>
        <v>220</v>
      </c>
      <c r="Q12">
        <f t="shared" si="18"/>
        <v>2.1816615649929121</v>
      </c>
      <c r="R12">
        <f t="shared" si="8"/>
        <v>10</v>
      </c>
      <c r="S12">
        <f t="shared" si="9"/>
        <v>705</v>
      </c>
      <c r="T12">
        <f t="shared" si="10"/>
        <v>260</v>
      </c>
      <c r="U12">
        <f t="shared" si="11"/>
        <v>705</v>
      </c>
      <c r="V12">
        <f t="shared" si="12"/>
        <v>260</v>
      </c>
      <c r="W12">
        <f t="shared" si="13"/>
        <v>705</v>
      </c>
      <c r="X12">
        <f t="shared" si="14"/>
        <v>260</v>
      </c>
      <c r="Y12">
        <v>75</v>
      </c>
      <c r="Z12">
        <f t="shared" si="19"/>
        <v>0</v>
      </c>
      <c r="AA12">
        <v>80</v>
      </c>
      <c r="AB12">
        <v>70</v>
      </c>
      <c r="AC12">
        <f t="shared" si="20"/>
        <v>0</v>
      </c>
      <c r="AD12">
        <v>60</v>
      </c>
      <c r="AE12">
        <v>0.63</v>
      </c>
      <c r="AF12" t="str">
        <f t="shared" si="15"/>
        <v>B_01'Flr_02'B2</v>
      </c>
      <c r="AG12" t="str">
        <f>"R_" &amp; INDEX(Sched!A:AA, MATCH(ABT!$E12, SchedMark, 0), 20)</f>
        <v>R_1218.02</v>
      </c>
      <c r="AH12" t="str">
        <f t="shared" si="15"/>
        <v>B_01'Flr_02'B2</v>
      </c>
      <c r="AI12" t="str">
        <f t="shared" si="16"/>
        <v>VV-2-2-01</v>
      </c>
      <c r="AJ12" t="s">
        <v>983</v>
      </c>
    </row>
    <row r="13" spans="1:38" x14ac:dyDescent="0.2">
      <c r="A13" s="109" t="s">
        <v>788</v>
      </c>
      <c r="B13" t="str">
        <f t="shared" si="21"/>
        <v>B_01'Flr_00'A2</v>
      </c>
      <c r="C13" t="str">
        <f t="shared" si="22"/>
        <v>VV-2-0-01</v>
      </c>
      <c r="D13" t="str">
        <f t="shared" si="23"/>
        <v>1030320</v>
      </c>
      <c r="E13" t="str">
        <f t="shared" si="24"/>
        <v>VV-2-0-01</v>
      </c>
      <c r="F13" t="s">
        <v>695</v>
      </c>
      <c r="G13" t="str">
        <f>INDEX(Sched!$J$213:$O$223, MATCH(ABT!$H13, Sched!$J$213:$J$223, 0), 6)</f>
        <v>15001_VAV_DXR2M12P_US</v>
      </c>
      <c r="H13">
        <f t="shared" si="3"/>
        <v>15001</v>
      </c>
      <c r="I13">
        <f t="shared" si="4"/>
        <v>303</v>
      </c>
      <c r="J13" t="b">
        <v>0</v>
      </c>
      <c r="K13">
        <f t="shared" si="5"/>
        <v>20</v>
      </c>
      <c r="L13">
        <v>85</v>
      </c>
      <c r="M13">
        <v>38400</v>
      </c>
      <c r="N13">
        <f t="shared" si="6"/>
        <v>120</v>
      </c>
      <c r="O13">
        <f t="shared" si="7"/>
        <v>80</v>
      </c>
      <c r="P13">
        <f t="shared" si="7"/>
        <v>80</v>
      </c>
      <c r="Q13">
        <f t="shared" si="18"/>
        <v>0.78539816339744828</v>
      </c>
      <c r="R13">
        <f t="shared" si="8"/>
        <v>6</v>
      </c>
      <c r="S13">
        <f t="shared" si="9"/>
        <v>315</v>
      </c>
      <c r="T13">
        <f t="shared" si="10"/>
        <v>120</v>
      </c>
      <c r="U13">
        <f t="shared" si="11"/>
        <v>315</v>
      </c>
      <c r="V13">
        <f t="shared" si="12"/>
        <v>120</v>
      </c>
      <c r="W13">
        <f t="shared" si="13"/>
        <v>315</v>
      </c>
      <c r="X13">
        <f t="shared" si="14"/>
        <v>120</v>
      </c>
      <c r="Y13">
        <v>75</v>
      </c>
      <c r="Z13">
        <f t="shared" si="19"/>
        <v>0</v>
      </c>
      <c r="AA13">
        <v>80</v>
      </c>
      <c r="AB13">
        <v>70</v>
      </c>
      <c r="AC13">
        <f t="shared" si="20"/>
        <v>0</v>
      </c>
      <c r="AD13">
        <v>60</v>
      </c>
      <c r="AE13">
        <v>0.63</v>
      </c>
      <c r="AF13" t="str">
        <f t="shared" si="15"/>
        <v>B_01'Flr_00'A2</v>
      </c>
      <c r="AG13" t="str">
        <f>"R_" &amp; INDEX(Sched!A:AA, MATCH(ABT!$E13, SchedMark, 0), 20)</f>
        <v>R_1004.01</v>
      </c>
      <c r="AH13" t="str">
        <f t="shared" si="15"/>
        <v>B_01'Flr_00'A2</v>
      </c>
      <c r="AI13" t="str">
        <f t="shared" si="16"/>
        <v>VV-2-0-01</v>
      </c>
      <c r="AJ13" s="10" t="s">
        <v>874</v>
      </c>
    </row>
    <row r="14" spans="1:38" x14ac:dyDescent="0.2">
      <c r="A14" s="109" t="s">
        <v>789</v>
      </c>
      <c r="B14" t="str">
        <f t="shared" si="21"/>
        <v>B_01'Flr_00'A2</v>
      </c>
      <c r="C14" t="str">
        <f t="shared" si="22"/>
        <v>VV-2-0-03</v>
      </c>
      <c r="D14" t="str">
        <f t="shared" si="23"/>
        <v>1030322</v>
      </c>
      <c r="E14" t="str">
        <f t="shared" si="24"/>
        <v>VV-2-0-03</v>
      </c>
      <c r="F14" t="s">
        <v>695</v>
      </c>
      <c r="G14" t="str">
        <f>INDEX(Sched!$J$213:$O$223, MATCH(ABT!$H14, Sched!$J$213:$J$223, 0), 6)</f>
        <v>15001_VAV_DXR2M12P_US</v>
      </c>
      <c r="H14">
        <f t="shared" si="3"/>
        <v>15001</v>
      </c>
      <c r="I14">
        <f t="shared" si="4"/>
        <v>303</v>
      </c>
      <c r="J14" t="b">
        <v>0</v>
      </c>
      <c r="K14">
        <f t="shared" si="5"/>
        <v>22</v>
      </c>
      <c r="L14">
        <v>85</v>
      </c>
      <c r="M14">
        <v>38400</v>
      </c>
      <c r="N14">
        <f t="shared" si="6"/>
        <v>225</v>
      </c>
      <c r="O14">
        <f t="shared" si="7"/>
        <v>220</v>
      </c>
      <c r="P14">
        <f t="shared" si="7"/>
        <v>220</v>
      </c>
      <c r="Q14">
        <f t="shared" si="18"/>
        <v>2.1816615649929121</v>
      </c>
      <c r="R14">
        <f t="shared" si="8"/>
        <v>10</v>
      </c>
      <c r="S14">
        <f t="shared" si="9"/>
        <v>750</v>
      </c>
      <c r="T14">
        <f t="shared" si="10"/>
        <v>225</v>
      </c>
      <c r="U14">
        <f t="shared" si="11"/>
        <v>750</v>
      </c>
      <c r="V14">
        <f t="shared" si="12"/>
        <v>225</v>
      </c>
      <c r="W14">
        <f t="shared" si="13"/>
        <v>750</v>
      </c>
      <c r="X14">
        <f t="shared" si="14"/>
        <v>225</v>
      </c>
      <c r="Y14">
        <v>75</v>
      </c>
      <c r="Z14">
        <f t="shared" si="19"/>
        <v>0</v>
      </c>
      <c r="AA14">
        <v>80</v>
      </c>
      <c r="AB14">
        <v>70</v>
      </c>
      <c r="AC14">
        <f t="shared" si="20"/>
        <v>0</v>
      </c>
      <c r="AD14">
        <v>60</v>
      </c>
      <c r="AE14">
        <v>0.63</v>
      </c>
      <c r="AF14" t="str">
        <f t="shared" si="15"/>
        <v>B_01'Flr_00'A2</v>
      </c>
      <c r="AG14" t="str">
        <f>"R_" &amp; INDEX(Sched!A:AA, MATCH(ABT!$E14, SchedMark, 0), 20)</f>
        <v>R_1000.02</v>
      </c>
      <c r="AH14" t="str">
        <f t="shared" si="15"/>
        <v>B_01'Flr_00'A2</v>
      </c>
      <c r="AI14" t="str">
        <f t="shared" si="16"/>
        <v>VV-2-0-03</v>
      </c>
      <c r="AJ14" t="s">
        <v>984</v>
      </c>
    </row>
    <row r="15" spans="1:38" x14ac:dyDescent="0.2">
      <c r="A15" s="109" t="s">
        <v>790</v>
      </c>
      <c r="B15" t="str">
        <f t="shared" si="21"/>
        <v>B_01'Flr_00'A2</v>
      </c>
      <c r="C15" t="str">
        <f t="shared" si="22"/>
        <v>VV-2-0-04</v>
      </c>
      <c r="D15" t="str">
        <f t="shared" si="23"/>
        <v>1030323</v>
      </c>
      <c r="E15" t="str">
        <f t="shared" si="24"/>
        <v>VV-2-0-04</v>
      </c>
      <c r="F15" t="s">
        <v>695</v>
      </c>
      <c r="G15" t="str">
        <f>INDEX(Sched!$J$213:$O$223, MATCH(ABT!$H15, Sched!$J$213:$J$223, 0), 6)</f>
        <v>15001_VAV_DXR2M12P_US</v>
      </c>
      <c r="H15">
        <f t="shared" si="3"/>
        <v>15001</v>
      </c>
      <c r="I15">
        <f t="shared" si="4"/>
        <v>303</v>
      </c>
      <c r="J15" t="b">
        <v>0</v>
      </c>
      <c r="K15">
        <f t="shared" si="5"/>
        <v>23</v>
      </c>
      <c r="L15">
        <v>85</v>
      </c>
      <c r="M15">
        <v>38400</v>
      </c>
      <c r="N15">
        <f t="shared" si="6"/>
        <v>110</v>
      </c>
      <c r="O15">
        <f t="shared" si="7"/>
        <v>80</v>
      </c>
      <c r="P15">
        <f t="shared" si="7"/>
        <v>80</v>
      </c>
      <c r="Q15">
        <f t="shared" si="18"/>
        <v>0.78539816339744828</v>
      </c>
      <c r="R15">
        <f t="shared" si="8"/>
        <v>6</v>
      </c>
      <c r="S15">
        <f t="shared" si="9"/>
        <v>365</v>
      </c>
      <c r="T15">
        <f t="shared" si="10"/>
        <v>110</v>
      </c>
      <c r="U15">
        <f t="shared" si="11"/>
        <v>365</v>
      </c>
      <c r="V15">
        <f t="shared" si="12"/>
        <v>110</v>
      </c>
      <c r="W15">
        <f t="shared" si="13"/>
        <v>365</v>
      </c>
      <c r="X15">
        <f t="shared" si="14"/>
        <v>110</v>
      </c>
      <c r="Y15">
        <v>75</v>
      </c>
      <c r="Z15">
        <f t="shared" si="19"/>
        <v>0</v>
      </c>
      <c r="AA15">
        <v>80</v>
      </c>
      <c r="AB15">
        <v>70</v>
      </c>
      <c r="AC15">
        <f t="shared" si="20"/>
        <v>0</v>
      </c>
      <c r="AD15">
        <v>60</v>
      </c>
      <c r="AE15">
        <v>0.63</v>
      </c>
      <c r="AF15" t="str">
        <f t="shared" si="15"/>
        <v>B_01'Flr_00'A2</v>
      </c>
      <c r="AG15" t="str">
        <f>"R_" &amp; INDEX(Sched!A:AA, MATCH(ABT!$E15, SchedMark, 0), 20)</f>
        <v>R_1004.02</v>
      </c>
      <c r="AH15" t="str">
        <f t="shared" si="15"/>
        <v>B_01'Flr_00'A2</v>
      </c>
      <c r="AI15" t="str">
        <f t="shared" si="16"/>
        <v>VV-2-0-04</v>
      </c>
      <c r="AJ15" t="s">
        <v>985</v>
      </c>
    </row>
    <row r="16" spans="1:38" x14ac:dyDescent="0.2">
      <c r="A16" s="109" t="s">
        <v>791</v>
      </c>
      <c r="B16" t="str">
        <f t="shared" si="21"/>
        <v>B_01'Flr_02'A2</v>
      </c>
      <c r="C16" t="str">
        <f t="shared" si="22"/>
        <v>VV-2-2-08</v>
      </c>
      <c r="D16" t="str">
        <f t="shared" si="23"/>
        <v>1030445</v>
      </c>
      <c r="E16" t="str">
        <f t="shared" si="24"/>
        <v>VV-2-2-08</v>
      </c>
      <c r="F16" t="s">
        <v>695</v>
      </c>
      <c r="G16" t="str">
        <f>INDEX(Sched!$J$213:$O$223, MATCH(ABT!$H16, Sched!$J$213:$J$223, 0), 6)</f>
        <v>15001_VAV_DXR2M12P_US</v>
      </c>
      <c r="H16">
        <f t="shared" si="3"/>
        <v>15001</v>
      </c>
      <c r="I16">
        <f t="shared" si="4"/>
        <v>304</v>
      </c>
      <c r="J16" t="b">
        <v>0</v>
      </c>
      <c r="K16">
        <f t="shared" si="5"/>
        <v>45</v>
      </c>
      <c r="L16">
        <v>85</v>
      </c>
      <c r="M16">
        <v>38400</v>
      </c>
      <c r="N16">
        <f t="shared" si="6"/>
        <v>140</v>
      </c>
      <c r="O16">
        <f t="shared" si="7"/>
        <v>140</v>
      </c>
      <c r="P16">
        <f t="shared" si="7"/>
        <v>140</v>
      </c>
      <c r="Q16">
        <f t="shared" si="18"/>
        <v>1.3962634015954636</v>
      </c>
      <c r="R16">
        <f t="shared" si="8"/>
        <v>8</v>
      </c>
      <c r="S16">
        <f t="shared" si="9"/>
        <v>470</v>
      </c>
      <c r="T16">
        <f t="shared" si="10"/>
        <v>140</v>
      </c>
      <c r="U16">
        <f t="shared" si="11"/>
        <v>470</v>
      </c>
      <c r="V16">
        <f t="shared" si="12"/>
        <v>140</v>
      </c>
      <c r="W16">
        <f t="shared" si="13"/>
        <v>470</v>
      </c>
      <c r="X16">
        <f t="shared" si="14"/>
        <v>140</v>
      </c>
      <c r="Y16">
        <v>75</v>
      </c>
      <c r="Z16">
        <f t="shared" si="19"/>
        <v>0</v>
      </c>
      <c r="AA16">
        <v>80</v>
      </c>
      <c r="AB16">
        <v>70</v>
      </c>
      <c r="AC16">
        <f t="shared" si="20"/>
        <v>0</v>
      </c>
      <c r="AD16">
        <v>60</v>
      </c>
      <c r="AE16">
        <v>0.63</v>
      </c>
      <c r="AF16" t="str">
        <f t="shared" si="15"/>
        <v>B_01'Flr_02'A2</v>
      </c>
      <c r="AG16" t="str">
        <f>"R_" &amp; INDEX(Sched!A:AA, MATCH(ABT!$E16, SchedMark, 0), 20)</f>
        <v>R_1218.06</v>
      </c>
      <c r="AH16" t="str">
        <f t="shared" si="15"/>
        <v>B_01'Flr_02'A2</v>
      </c>
      <c r="AI16" t="str">
        <f t="shared" si="16"/>
        <v>VV-2-2-08</v>
      </c>
      <c r="AJ16" t="s">
        <v>986</v>
      </c>
    </row>
    <row r="17" spans="1:36" x14ac:dyDescent="0.2">
      <c r="A17" s="109" t="s">
        <v>792</v>
      </c>
      <c r="B17" t="str">
        <f t="shared" si="21"/>
        <v>B_01'Flr_03'B1</v>
      </c>
      <c r="C17" t="str">
        <f t="shared" si="22"/>
        <v>VV-2-3-03</v>
      </c>
      <c r="D17" t="str">
        <f t="shared" si="23"/>
        <v>1031016</v>
      </c>
      <c r="E17" t="str">
        <f t="shared" si="24"/>
        <v>VV-2-3-03</v>
      </c>
      <c r="F17" t="s">
        <v>695</v>
      </c>
      <c r="G17" t="str">
        <f>INDEX(Sched!$J$213:$O$223, MATCH(ABT!$H17, Sched!$J$213:$J$223, 0), 6)</f>
        <v>15001_VAV_DXR2M12P_US</v>
      </c>
      <c r="H17">
        <f t="shared" si="3"/>
        <v>15001</v>
      </c>
      <c r="I17">
        <f t="shared" si="4"/>
        <v>310</v>
      </c>
      <c r="J17" t="b">
        <v>0</v>
      </c>
      <c r="K17">
        <f t="shared" si="5"/>
        <v>16</v>
      </c>
      <c r="L17">
        <v>85</v>
      </c>
      <c r="M17">
        <v>38400</v>
      </c>
      <c r="N17">
        <f t="shared" si="6"/>
        <v>370</v>
      </c>
      <c r="O17">
        <f t="shared" si="7"/>
        <v>220</v>
      </c>
      <c r="P17">
        <f t="shared" si="7"/>
        <v>220</v>
      </c>
      <c r="Q17">
        <f t="shared" si="18"/>
        <v>2.1816615649929121</v>
      </c>
      <c r="R17">
        <f t="shared" si="8"/>
        <v>10</v>
      </c>
      <c r="S17">
        <f t="shared" si="9"/>
        <v>1100</v>
      </c>
      <c r="T17">
        <f t="shared" si="10"/>
        <v>370</v>
      </c>
      <c r="U17">
        <f t="shared" si="11"/>
        <v>1100</v>
      </c>
      <c r="V17">
        <f t="shared" si="12"/>
        <v>370</v>
      </c>
      <c r="W17">
        <f t="shared" si="13"/>
        <v>1100</v>
      </c>
      <c r="X17">
        <f t="shared" si="14"/>
        <v>370</v>
      </c>
      <c r="Y17">
        <v>75</v>
      </c>
      <c r="Z17">
        <f t="shared" si="19"/>
        <v>0</v>
      </c>
      <c r="AA17">
        <v>80</v>
      </c>
      <c r="AB17">
        <v>70</v>
      </c>
      <c r="AC17">
        <f t="shared" si="20"/>
        <v>0</v>
      </c>
      <c r="AD17">
        <v>60</v>
      </c>
      <c r="AE17">
        <v>0.63</v>
      </c>
      <c r="AF17" t="str">
        <f t="shared" si="15"/>
        <v>B_01'Flr_03'B1</v>
      </c>
      <c r="AG17" t="str">
        <f>"R_" &amp; INDEX(Sched!A:AA, MATCH(ABT!$E17, SchedMark, 0), 20)</f>
        <v>R_1326.00</v>
      </c>
      <c r="AH17" t="str">
        <f t="shared" si="15"/>
        <v>B_01'Flr_03'B1</v>
      </c>
      <c r="AI17" t="str">
        <f t="shared" si="16"/>
        <v>VV-2-3-03</v>
      </c>
      <c r="AJ17" t="s">
        <v>987</v>
      </c>
    </row>
    <row r="18" spans="1:36" x14ac:dyDescent="0.2">
      <c r="A18" s="108" t="s">
        <v>801</v>
      </c>
      <c r="B18" t="str">
        <f t="shared" si="21"/>
        <v>B_01'Flr_01'B1</v>
      </c>
      <c r="C18" t="str">
        <f t="shared" si="22"/>
        <v>VV-1-1-02</v>
      </c>
      <c r="D18" t="str">
        <f t="shared" si="23"/>
        <v>1030207</v>
      </c>
      <c r="E18" t="str">
        <f t="shared" si="24"/>
        <v>VV-1-1-02</v>
      </c>
      <c r="F18" t="s">
        <v>695</v>
      </c>
      <c r="G18" t="str">
        <f>INDEX(Sched!$J$213:$O$223, MATCH(ABT!$H18, Sched!$J$213:$J$223, 0), 6)</f>
        <v>15002_VAV_DXR2M12P_US</v>
      </c>
      <c r="H18">
        <f t="shared" si="3"/>
        <v>15002</v>
      </c>
      <c r="I18">
        <f t="shared" si="4"/>
        <v>302</v>
      </c>
      <c r="J18" t="b">
        <v>0</v>
      </c>
      <c r="K18">
        <f t="shared" si="5"/>
        <v>7</v>
      </c>
      <c r="L18">
        <v>85</v>
      </c>
      <c r="M18">
        <v>38400</v>
      </c>
      <c r="N18">
        <f t="shared" ref="N18:N81" si="25">INDEX(Schedule, MATCH($E18, SchedMark, 0), 6)</f>
        <v>735</v>
      </c>
      <c r="O18">
        <f t="shared" ref="O18:P81" si="26">INDEX(Schedule, MATCH($E18, SchedMark, 0), 7)</f>
        <v>560</v>
      </c>
      <c r="P18">
        <f t="shared" si="26"/>
        <v>560</v>
      </c>
      <c r="Q18">
        <f t="shared" ref="Q18:Q81" si="27">INDEX(Schedule, MATCH($E18, SchedMark, 0), 8)^2*PI()/144</f>
        <v>5.5850536063818543</v>
      </c>
      <c r="R18">
        <f t="shared" ref="R18:R81" si="28">INDEX(Schedule, MATCH($E18, SchedMark, 0), 8)</f>
        <v>16</v>
      </c>
      <c r="S18">
        <f t="shared" si="9"/>
        <v>2205</v>
      </c>
      <c r="T18">
        <f t="shared" si="10"/>
        <v>735</v>
      </c>
      <c r="U18">
        <f t="shared" si="11"/>
        <v>2205</v>
      </c>
      <c r="V18">
        <f t="shared" si="12"/>
        <v>735</v>
      </c>
      <c r="W18">
        <f t="shared" si="13"/>
        <v>2205</v>
      </c>
      <c r="X18">
        <f t="shared" si="14"/>
        <v>735</v>
      </c>
      <c r="Y18">
        <v>75</v>
      </c>
      <c r="Z18">
        <f t="shared" si="19"/>
        <v>0</v>
      </c>
      <c r="AA18">
        <v>80</v>
      </c>
      <c r="AB18">
        <v>70</v>
      </c>
      <c r="AC18">
        <f t="shared" si="20"/>
        <v>0</v>
      </c>
      <c r="AD18">
        <v>60</v>
      </c>
      <c r="AE18">
        <v>0.63</v>
      </c>
      <c r="AF18" t="str">
        <f t="shared" ref="AF18:AH81" si="29">"B_01'" &amp; "Flr_0" &amp; INDEX(Joined, MATCH($A18, SystemName, FALSE), 13) &amp; "'" &amp; INDEX(Joined, MATCH($A18, SystemName, FALSE), 12)</f>
        <v>B_01'Flr_01'B1</v>
      </c>
      <c r="AG18" t="str">
        <f>"R_" &amp; INDEX(Sched!A:AA, MATCH(ABT!$E18, SchedMark, 0), 20)</f>
        <v>R_1115.00</v>
      </c>
      <c r="AH18" t="str">
        <f t="shared" si="29"/>
        <v>B_01'Flr_01'B1</v>
      </c>
      <c r="AI18" t="str">
        <f t="shared" si="16"/>
        <v>VV-1-1-02</v>
      </c>
      <c r="AJ18" t="s">
        <v>988</v>
      </c>
    </row>
    <row r="19" spans="1:36" x14ac:dyDescent="0.2">
      <c r="A19" s="108" t="s">
        <v>946</v>
      </c>
      <c r="B19" t="str">
        <f t="shared" si="21"/>
        <v>B_01'Flr_01'B1</v>
      </c>
      <c r="C19" t="str">
        <f t="shared" si="22"/>
        <v>VV-1-1-04</v>
      </c>
      <c r="D19" t="str">
        <f t="shared" si="23"/>
        <v>1030208</v>
      </c>
      <c r="E19" t="str">
        <f t="shared" si="24"/>
        <v>VV-1-1-04</v>
      </c>
      <c r="F19" t="s">
        <v>695</v>
      </c>
      <c r="G19" t="str">
        <f>INDEX(Sched!$J$213:$O$223, MATCH(ABT!$H19, Sched!$J$213:$J$223, 0), 6)</f>
        <v>15002_VAV_DXR2M12P_US</v>
      </c>
      <c r="H19">
        <f t="shared" si="3"/>
        <v>15002</v>
      </c>
      <c r="I19">
        <f t="shared" si="4"/>
        <v>302</v>
      </c>
      <c r="J19" t="b">
        <v>0</v>
      </c>
      <c r="K19">
        <f t="shared" si="5"/>
        <v>8</v>
      </c>
      <c r="L19">
        <v>85</v>
      </c>
      <c r="M19">
        <v>38400</v>
      </c>
      <c r="N19">
        <f t="shared" si="25"/>
        <v>735</v>
      </c>
      <c r="O19">
        <f t="shared" si="26"/>
        <v>560</v>
      </c>
      <c r="P19">
        <f t="shared" si="26"/>
        <v>560</v>
      </c>
      <c r="Q19">
        <f t="shared" si="27"/>
        <v>5.5850536063818543</v>
      </c>
      <c r="R19">
        <f t="shared" si="28"/>
        <v>16</v>
      </c>
      <c r="S19">
        <f t="shared" si="9"/>
        <v>2205</v>
      </c>
      <c r="T19">
        <f t="shared" si="10"/>
        <v>735</v>
      </c>
      <c r="U19">
        <f t="shared" si="11"/>
        <v>2205</v>
      </c>
      <c r="V19">
        <f t="shared" si="12"/>
        <v>735</v>
      </c>
      <c r="W19">
        <f t="shared" si="13"/>
        <v>2205</v>
      </c>
      <c r="X19">
        <f t="shared" si="14"/>
        <v>735</v>
      </c>
      <c r="Y19">
        <v>75</v>
      </c>
      <c r="Z19">
        <f t="shared" si="19"/>
        <v>0</v>
      </c>
      <c r="AA19">
        <v>80</v>
      </c>
      <c r="AB19">
        <v>70</v>
      </c>
      <c r="AC19">
        <f t="shared" si="20"/>
        <v>0</v>
      </c>
      <c r="AD19">
        <v>60</v>
      </c>
      <c r="AE19">
        <v>0.63</v>
      </c>
      <c r="AF19" t="str">
        <f t="shared" si="29"/>
        <v>B_01'Flr_01'B1</v>
      </c>
      <c r="AG19" t="str">
        <f>"R_" &amp; INDEX(Sched!A:AA, MATCH(ABT!$E19, SchedMark, 0), 20)</f>
        <v>R_1115.00</v>
      </c>
      <c r="AH19" t="str">
        <f t="shared" si="29"/>
        <v>B_01'Flr_01'B1</v>
      </c>
      <c r="AI19" t="str">
        <f t="shared" si="16"/>
        <v>VV-1-1-04</v>
      </c>
      <c r="AJ19" t="s">
        <v>989</v>
      </c>
    </row>
    <row r="20" spans="1:36" x14ac:dyDescent="0.2">
      <c r="A20" s="108" t="s">
        <v>947</v>
      </c>
      <c r="B20" t="str">
        <f t="shared" si="21"/>
        <v>B_01'Flr_01'B1</v>
      </c>
      <c r="C20" t="str">
        <f t="shared" si="22"/>
        <v>VV-1-1-12</v>
      </c>
      <c r="D20" t="str">
        <f t="shared" si="23"/>
        <v>1030212</v>
      </c>
      <c r="E20" t="str">
        <f t="shared" si="24"/>
        <v>VV-1-1-12</v>
      </c>
      <c r="F20" t="s">
        <v>695</v>
      </c>
      <c r="G20" t="str">
        <f>INDEX(Sched!$J$213:$O$223, MATCH(ABT!$H20, Sched!$J$213:$J$223, 0), 6)</f>
        <v>15002_VAV_DXR2M12P_US</v>
      </c>
      <c r="H20">
        <f t="shared" si="3"/>
        <v>15002</v>
      </c>
      <c r="I20">
        <f t="shared" si="4"/>
        <v>302</v>
      </c>
      <c r="J20" t="b">
        <v>0</v>
      </c>
      <c r="K20">
        <f t="shared" si="5"/>
        <v>12</v>
      </c>
      <c r="L20">
        <v>85</v>
      </c>
      <c r="M20">
        <v>38400</v>
      </c>
      <c r="N20">
        <f t="shared" si="25"/>
        <v>260</v>
      </c>
      <c r="O20">
        <f t="shared" si="26"/>
        <v>220</v>
      </c>
      <c r="P20">
        <f t="shared" si="26"/>
        <v>220</v>
      </c>
      <c r="Q20">
        <f t="shared" si="27"/>
        <v>2.1816615649929121</v>
      </c>
      <c r="R20">
        <f t="shared" si="28"/>
        <v>10</v>
      </c>
      <c r="S20">
        <f t="shared" si="9"/>
        <v>875</v>
      </c>
      <c r="T20">
        <f t="shared" si="10"/>
        <v>260</v>
      </c>
      <c r="U20">
        <f t="shared" si="11"/>
        <v>875</v>
      </c>
      <c r="V20">
        <f t="shared" si="12"/>
        <v>260</v>
      </c>
      <c r="W20">
        <f t="shared" si="13"/>
        <v>875</v>
      </c>
      <c r="X20">
        <f t="shared" si="14"/>
        <v>260</v>
      </c>
      <c r="Y20">
        <v>75</v>
      </c>
      <c r="Z20">
        <f t="shared" si="19"/>
        <v>0</v>
      </c>
      <c r="AA20">
        <v>80</v>
      </c>
      <c r="AB20">
        <v>70</v>
      </c>
      <c r="AC20">
        <f t="shared" si="20"/>
        <v>0</v>
      </c>
      <c r="AD20">
        <v>60</v>
      </c>
      <c r="AE20">
        <v>0.63</v>
      </c>
      <c r="AF20" t="str">
        <f t="shared" si="29"/>
        <v>B_01'Flr_01'B1</v>
      </c>
      <c r="AG20" t="str">
        <f>"R_" &amp; INDEX(Sched!A:AA, MATCH(ABT!$E20, SchedMark, 0), 20)</f>
        <v>R_1101.01</v>
      </c>
      <c r="AH20" t="str">
        <f t="shared" si="29"/>
        <v>B_01'Flr_01'B1</v>
      </c>
      <c r="AI20" t="str">
        <f t="shared" si="16"/>
        <v>VV-1-1-12</v>
      </c>
      <c r="AJ20" t="s">
        <v>990</v>
      </c>
    </row>
    <row r="21" spans="1:36" x14ac:dyDescent="0.2">
      <c r="A21" s="108" t="s">
        <v>783</v>
      </c>
      <c r="B21" t="str">
        <f t="shared" si="21"/>
        <v>B_01'Flr_00'A1</v>
      </c>
      <c r="C21" t="str">
        <f t="shared" si="22"/>
        <v>VV-1-0-03</v>
      </c>
      <c r="D21" t="str">
        <f t="shared" si="23"/>
        <v>1030127</v>
      </c>
      <c r="E21" t="str">
        <f t="shared" si="24"/>
        <v>VV-1-0-03</v>
      </c>
      <c r="F21" t="s">
        <v>695</v>
      </c>
      <c r="G21" t="str">
        <f>INDEX(Sched!$J$213:$O$223, MATCH(ABT!$H21, Sched!$J$213:$J$223, 0), 6)</f>
        <v>15002_VAV_DXR2M12P_US</v>
      </c>
      <c r="H21">
        <f t="shared" si="3"/>
        <v>15002</v>
      </c>
      <c r="I21">
        <f t="shared" si="4"/>
        <v>301</v>
      </c>
      <c r="J21" t="b">
        <v>0</v>
      </c>
      <c r="K21">
        <f t="shared" si="5"/>
        <v>27</v>
      </c>
      <c r="L21">
        <v>85</v>
      </c>
      <c r="M21">
        <v>38400</v>
      </c>
      <c r="N21">
        <f t="shared" si="25"/>
        <v>80</v>
      </c>
      <c r="O21">
        <f t="shared" si="26"/>
        <v>80</v>
      </c>
      <c r="P21">
        <f t="shared" si="26"/>
        <v>80</v>
      </c>
      <c r="Q21">
        <f t="shared" si="27"/>
        <v>0.78539816339744828</v>
      </c>
      <c r="R21">
        <f t="shared" si="28"/>
        <v>6</v>
      </c>
      <c r="S21">
        <f t="shared" si="9"/>
        <v>170</v>
      </c>
      <c r="T21">
        <f t="shared" si="10"/>
        <v>80</v>
      </c>
      <c r="U21">
        <f t="shared" si="11"/>
        <v>170</v>
      </c>
      <c r="V21">
        <f t="shared" si="12"/>
        <v>80</v>
      </c>
      <c r="W21">
        <f t="shared" si="13"/>
        <v>170</v>
      </c>
      <c r="X21">
        <f t="shared" si="14"/>
        <v>80</v>
      </c>
      <c r="Y21">
        <v>75</v>
      </c>
      <c r="Z21">
        <f t="shared" si="19"/>
        <v>0</v>
      </c>
      <c r="AA21">
        <v>80</v>
      </c>
      <c r="AB21">
        <v>70</v>
      </c>
      <c r="AC21">
        <f t="shared" si="20"/>
        <v>0</v>
      </c>
      <c r="AD21">
        <v>60</v>
      </c>
      <c r="AE21">
        <v>0.63</v>
      </c>
      <c r="AF21" t="str">
        <f t="shared" si="29"/>
        <v>B_01'Flr_00'A1</v>
      </c>
      <c r="AG21" t="str">
        <f>"R_" &amp; INDEX(Sched!A:AA, MATCH(ABT!$E21, SchedMark, 0), 20)</f>
        <v>R_1004.06</v>
      </c>
      <c r="AH21" t="str">
        <f t="shared" si="29"/>
        <v>B_01'Flr_00'A1</v>
      </c>
      <c r="AI21" t="str">
        <f t="shared" si="16"/>
        <v>VV-1-0-03</v>
      </c>
      <c r="AJ21" t="s">
        <v>991</v>
      </c>
    </row>
    <row r="22" spans="1:36" x14ac:dyDescent="0.2">
      <c r="A22" s="108" t="s">
        <v>948</v>
      </c>
      <c r="B22" t="str">
        <f t="shared" si="21"/>
        <v>B_01'Flr_00'B2</v>
      </c>
      <c r="C22" t="str">
        <f t="shared" si="22"/>
        <v>VV-2-0-06</v>
      </c>
      <c r="D22" t="str">
        <f t="shared" si="23"/>
        <v>1030302</v>
      </c>
      <c r="E22" t="str">
        <f t="shared" si="24"/>
        <v>VV-2-0-06</v>
      </c>
      <c r="F22" t="s">
        <v>695</v>
      </c>
      <c r="G22" t="str">
        <f>INDEX(Sched!$J$213:$O$223, MATCH(ABT!$H22, Sched!$J$213:$J$223, 0), 6)</f>
        <v>15002_VAV_DXR2M12P_US</v>
      </c>
      <c r="H22">
        <f t="shared" si="3"/>
        <v>15002</v>
      </c>
      <c r="I22">
        <f t="shared" si="4"/>
        <v>303</v>
      </c>
      <c r="J22" t="b">
        <v>0</v>
      </c>
      <c r="K22">
        <f t="shared" si="5"/>
        <v>2</v>
      </c>
      <c r="L22">
        <v>85</v>
      </c>
      <c r="M22">
        <v>38400</v>
      </c>
      <c r="N22">
        <f t="shared" si="25"/>
        <v>655</v>
      </c>
      <c r="O22">
        <f t="shared" si="26"/>
        <v>315</v>
      </c>
      <c r="P22">
        <f t="shared" si="26"/>
        <v>315</v>
      </c>
      <c r="Q22">
        <f t="shared" si="27"/>
        <v>3.1415926535897931</v>
      </c>
      <c r="R22">
        <f t="shared" si="28"/>
        <v>12</v>
      </c>
      <c r="S22">
        <f t="shared" si="9"/>
        <v>1400</v>
      </c>
      <c r="T22">
        <f t="shared" si="10"/>
        <v>655</v>
      </c>
      <c r="U22">
        <f t="shared" si="11"/>
        <v>1400</v>
      </c>
      <c r="V22">
        <f t="shared" si="12"/>
        <v>655</v>
      </c>
      <c r="W22">
        <f t="shared" si="13"/>
        <v>1400</v>
      </c>
      <c r="X22">
        <f t="shared" si="14"/>
        <v>655</v>
      </c>
      <c r="Y22">
        <v>75</v>
      </c>
      <c r="Z22">
        <f t="shared" si="19"/>
        <v>0</v>
      </c>
      <c r="AA22">
        <v>80</v>
      </c>
      <c r="AB22">
        <v>70</v>
      </c>
      <c r="AC22">
        <f t="shared" si="20"/>
        <v>0</v>
      </c>
      <c r="AD22">
        <v>60</v>
      </c>
      <c r="AE22">
        <v>0.63</v>
      </c>
      <c r="AF22" t="str">
        <f t="shared" si="29"/>
        <v>B_01'Flr_00'B2</v>
      </c>
      <c r="AG22" t="str">
        <f>"R_" &amp; INDEX(Sched!A:AA, MATCH(ABT!$E22, SchedMark, 0), 20)</f>
        <v>R_1004.00</v>
      </c>
      <c r="AH22" t="str">
        <f t="shared" si="29"/>
        <v>B_01'Flr_00'B2</v>
      </c>
      <c r="AI22" t="str">
        <f t="shared" si="16"/>
        <v>VV-2-0-06</v>
      </c>
      <c r="AJ22" t="s">
        <v>992</v>
      </c>
    </row>
    <row r="23" spans="1:36" x14ac:dyDescent="0.2">
      <c r="A23" s="108" t="s">
        <v>949</v>
      </c>
      <c r="B23" t="str">
        <f t="shared" si="21"/>
        <v>B_01'Flr_00'B2</v>
      </c>
      <c r="C23" t="str">
        <f t="shared" si="22"/>
        <v>VV-2-0-07</v>
      </c>
      <c r="D23" t="str">
        <f t="shared" si="23"/>
        <v>1030303</v>
      </c>
      <c r="E23" t="str">
        <f t="shared" si="24"/>
        <v>VV-2-0-07</v>
      </c>
      <c r="F23" t="s">
        <v>695</v>
      </c>
      <c r="G23" t="str">
        <f>INDEX(Sched!$J$213:$O$223, MATCH(ABT!$H23, Sched!$J$213:$J$223, 0), 6)</f>
        <v>15002_VAV_DXR2M12P_US</v>
      </c>
      <c r="H23">
        <f t="shared" si="3"/>
        <v>15002</v>
      </c>
      <c r="I23">
        <f t="shared" si="4"/>
        <v>303</v>
      </c>
      <c r="J23" t="b">
        <v>0</v>
      </c>
      <c r="K23">
        <f t="shared" si="5"/>
        <v>3</v>
      </c>
      <c r="L23">
        <v>85</v>
      </c>
      <c r="M23">
        <v>38400</v>
      </c>
      <c r="N23">
        <f t="shared" si="25"/>
        <v>655</v>
      </c>
      <c r="O23">
        <f t="shared" si="26"/>
        <v>315</v>
      </c>
      <c r="P23">
        <f t="shared" si="26"/>
        <v>315</v>
      </c>
      <c r="Q23">
        <f t="shared" si="27"/>
        <v>3.1415926535897931</v>
      </c>
      <c r="R23">
        <f t="shared" si="28"/>
        <v>12</v>
      </c>
      <c r="S23">
        <f t="shared" si="9"/>
        <v>1400</v>
      </c>
      <c r="T23">
        <f t="shared" si="10"/>
        <v>655</v>
      </c>
      <c r="U23">
        <f t="shared" si="11"/>
        <v>1400</v>
      </c>
      <c r="V23">
        <f t="shared" si="12"/>
        <v>655</v>
      </c>
      <c r="W23">
        <f t="shared" si="13"/>
        <v>1400</v>
      </c>
      <c r="X23">
        <f t="shared" si="14"/>
        <v>655</v>
      </c>
      <c r="Y23">
        <v>75</v>
      </c>
      <c r="Z23">
        <f t="shared" si="19"/>
        <v>0</v>
      </c>
      <c r="AA23">
        <v>80</v>
      </c>
      <c r="AB23">
        <v>70</v>
      </c>
      <c r="AC23">
        <f t="shared" si="20"/>
        <v>0</v>
      </c>
      <c r="AD23">
        <v>60</v>
      </c>
      <c r="AE23">
        <v>0.63</v>
      </c>
      <c r="AF23" t="str">
        <f t="shared" si="29"/>
        <v>B_01'Flr_00'B2</v>
      </c>
      <c r="AG23" t="str">
        <f>"R_" &amp; INDEX(Sched!A:AA, MATCH(ABT!$E23, SchedMark, 0), 20)</f>
        <v>R_1004.16</v>
      </c>
      <c r="AH23" t="str">
        <f t="shared" si="29"/>
        <v>B_01'Flr_00'B2</v>
      </c>
      <c r="AI23" t="str">
        <f t="shared" si="16"/>
        <v>VV-2-0-07</v>
      </c>
      <c r="AJ23" t="s">
        <v>993</v>
      </c>
    </row>
    <row r="24" spans="1:36" x14ac:dyDescent="0.2">
      <c r="A24" s="108" t="s">
        <v>950</v>
      </c>
      <c r="B24" t="str">
        <f t="shared" si="21"/>
        <v>B_01'Flr_01'B2</v>
      </c>
      <c r="C24" t="str">
        <f t="shared" si="22"/>
        <v>VV-1-1-03</v>
      </c>
      <c r="D24" t="str">
        <f t="shared" si="23"/>
        <v>1030230</v>
      </c>
      <c r="E24" t="str">
        <f t="shared" si="24"/>
        <v>VV-1-1-03</v>
      </c>
      <c r="F24" t="s">
        <v>695</v>
      </c>
      <c r="G24" t="str">
        <f>INDEX(Sched!$J$213:$O$223, MATCH(ABT!$H24, Sched!$J$213:$J$223, 0), 6)</f>
        <v>15002_VAV_DXR2M12P_US</v>
      </c>
      <c r="H24">
        <f t="shared" si="3"/>
        <v>15002</v>
      </c>
      <c r="I24">
        <f t="shared" si="4"/>
        <v>302</v>
      </c>
      <c r="J24" t="b">
        <v>0</v>
      </c>
      <c r="K24">
        <f t="shared" si="5"/>
        <v>30</v>
      </c>
      <c r="L24">
        <v>85</v>
      </c>
      <c r="M24">
        <v>38400</v>
      </c>
      <c r="N24">
        <f t="shared" si="25"/>
        <v>735</v>
      </c>
      <c r="O24">
        <f t="shared" si="26"/>
        <v>560</v>
      </c>
      <c r="P24">
        <f t="shared" si="26"/>
        <v>560</v>
      </c>
      <c r="Q24">
        <f t="shared" si="27"/>
        <v>5.5850536063818543</v>
      </c>
      <c r="R24">
        <f t="shared" si="28"/>
        <v>16</v>
      </c>
      <c r="S24">
        <f t="shared" si="9"/>
        <v>2205</v>
      </c>
      <c r="T24">
        <f t="shared" si="10"/>
        <v>735</v>
      </c>
      <c r="U24">
        <f t="shared" si="11"/>
        <v>2205</v>
      </c>
      <c r="V24">
        <f t="shared" si="12"/>
        <v>735</v>
      </c>
      <c r="W24">
        <f t="shared" si="13"/>
        <v>2205</v>
      </c>
      <c r="X24">
        <f t="shared" si="14"/>
        <v>735</v>
      </c>
      <c r="Y24">
        <v>75</v>
      </c>
      <c r="Z24">
        <f t="shared" si="19"/>
        <v>0</v>
      </c>
      <c r="AA24">
        <v>80</v>
      </c>
      <c r="AB24">
        <v>70</v>
      </c>
      <c r="AC24">
        <f t="shared" si="20"/>
        <v>0</v>
      </c>
      <c r="AD24">
        <v>60</v>
      </c>
      <c r="AE24">
        <v>0.63</v>
      </c>
      <c r="AF24" t="str">
        <f t="shared" si="29"/>
        <v>B_01'Flr_01'B2</v>
      </c>
      <c r="AG24" t="str">
        <f>"R_" &amp; INDEX(Sched!A:AA, MATCH(ABT!$E24, SchedMark, 0), 20)</f>
        <v>R_1115.00</v>
      </c>
      <c r="AH24" t="str">
        <f t="shared" si="29"/>
        <v>B_01'Flr_01'B2</v>
      </c>
      <c r="AI24" t="str">
        <f t="shared" si="16"/>
        <v>VV-1-1-03</v>
      </c>
      <c r="AJ24" t="s">
        <v>877</v>
      </c>
    </row>
    <row r="25" spans="1:36" x14ac:dyDescent="0.2">
      <c r="A25" s="108" t="s">
        <v>951</v>
      </c>
      <c r="B25" t="str">
        <f t="shared" si="21"/>
        <v>B_01'Flr_01'B2</v>
      </c>
      <c r="C25" t="str">
        <f t="shared" si="22"/>
        <v>VV-1-1-05</v>
      </c>
      <c r="D25" t="str">
        <f t="shared" si="23"/>
        <v>1030231</v>
      </c>
      <c r="E25" t="str">
        <f t="shared" si="24"/>
        <v>VV-1-1-05</v>
      </c>
      <c r="F25" t="s">
        <v>695</v>
      </c>
      <c r="G25" t="str">
        <f>INDEX(Sched!$J$213:$O$223, MATCH(ABT!$H25, Sched!$J$213:$J$223, 0), 6)</f>
        <v>15002_VAV_DXR2M12P_US</v>
      </c>
      <c r="H25">
        <f t="shared" si="3"/>
        <v>15002</v>
      </c>
      <c r="I25">
        <f t="shared" si="4"/>
        <v>302</v>
      </c>
      <c r="J25" t="b">
        <v>0</v>
      </c>
      <c r="K25">
        <f t="shared" si="5"/>
        <v>31</v>
      </c>
      <c r="L25">
        <v>85</v>
      </c>
      <c r="M25">
        <v>38400</v>
      </c>
      <c r="N25">
        <f t="shared" si="25"/>
        <v>735</v>
      </c>
      <c r="O25">
        <f t="shared" si="26"/>
        <v>560</v>
      </c>
      <c r="P25">
        <f t="shared" si="26"/>
        <v>560</v>
      </c>
      <c r="Q25">
        <f t="shared" si="27"/>
        <v>5.5850536063818543</v>
      </c>
      <c r="R25">
        <f t="shared" si="28"/>
        <v>16</v>
      </c>
      <c r="S25">
        <f t="shared" si="9"/>
        <v>2205</v>
      </c>
      <c r="T25">
        <f t="shared" si="10"/>
        <v>735</v>
      </c>
      <c r="U25">
        <f t="shared" si="11"/>
        <v>2205</v>
      </c>
      <c r="V25">
        <f t="shared" si="12"/>
        <v>735</v>
      </c>
      <c r="W25">
        <f t="shared" si="13"/>
        <v>2205</v>
      </c>
      <c r="X25">
        <f t="shared" si="14"/>
        <v>735</v>
      </c>
      <c r="Y25">
        <v>75</v>
      </c>
      <c r="Z25">
        <f t="shared" si="19"/>
        <v>0</v>
      </c>
      <c r="AA25">
        <v>80</v>
      </c>
      <c r="AB25">
        <v>70</v>
      </c>
      <c r="AC25">
        <f t="shared" si="20"/>
        <v>0</v>
      </c>
      <c r="AD25">
        <v>60</v>
      </c>
      <c r="AE25">
        <v>0.63</v>
      </c>
      <c r="AF25" t="str">
        <f t="shared" si="29"/>
        <v>B_01'Flr_01'B2</v>
      </c>
      <c r="AG25" t="str">
        <f>"R_" &amp; INDEX(Sched!A:AA, MATCH(ABT!$E25, SchedMark, 0), 20)</f>
        <v>R_1115.00</v>
      </c>
      <c r="AH25" t="str">
        <f t="shared" si="29"/>
        <v>B_01'Flr_01'B2</v>
      </c>
      <c r="AI25" t="str">
        <f t="shared" si="16"/>
        <v>VV-1-1-05</v>
      </c>
      <c r="AJ25" t="s">
        <v>994</v>
      </c>
    </row>
    <row r="26" spans="1:36" x14ac:dyDescent="0.2">
      <c r="A26" s="108" t="s">
        <v>952</v>
      </c>
      <c r="B26" t="str">
        <f t="shared" si="21"/>
        <v>B_01'Flr_00'A2</v>
      </c>
      <c r="C26" t="str">
        <f t="shared" si="22"/>
        <v>VV-2-0-05</v>
      </c>
      <c r="D26" t="str">
        <f t="shared" si="23"/>
        <v>1030324</v>
      </c>
      <c r="E26" t="str">
        <f t="shared" si="24"/>
        <v>VV-2-0-05</v>
      </c>
      <c r="F26" t="s">
        <v>695</v>
      </c>
      <c r="G26" t="str">
        <f>INDEX(Sched!$J$213:$O$223, MATCH(ABT!$H26, Sched!$J$213:$J$223, 0), 6)</f>
        <v>15002_VAV_DXR2M12P_US</v>
      </c>
      <c r="H26">
        <f t="shared" si="3"/>
        <v>15002</v>
      </c>
      <c r="I26">
        <f t="shared" si="4"/>
        <v>303</v>
      </c>
      <c r="J26" t="b">
        <v>0</v>
      </c>
      <c r="K26">
        <f t="shared" si="5"/>
        <v>24</v>
      </c>
      <c r="L26">
        <v>85</v>
      </c>
      <c r="M26">
        <v>38400</v>
      </c>
      <c r="N26">
        <f t="shared" si="25"/>
        <v>95</v>
      </c>
      <c r="O26">
        <f t="shared" si="26"/>
        <v>80</v>
      </c>
      <c r="P26">
        <f t="shared" si="26"/>
        <v>80</v>
      </c>
      <c r="Q26">
        <f t="shared" si="27"/>
        <v>0.78539816339744828</v>
      </c>
      <c r="R26">
        <f t="shared" si="28"/>
        <v>6</v>
      </c>
      <c r="S26">
        <f t="shared" si="9"/>
        <v>320</v>
      </c>
      <c r="T26">
        <f t="shared" si="10"/>
        <v>95</v>
      </c>
      <c r="U26">
        <f t="shared" si="11"/>
        <v>320</v>
      </c>
      <c r="V26">
        <f t="shared" si="12"/>
        <v>95</v>
      </c>
      <c r="W26">
        <f t="shared" si="13"/>
        <v>320</v>
      </c>
      <c r="X26">
        <f t="shared" si="14"/>
        <v>95</v>
      </c>
      <c r="Y26">
        <v>75</v>
      </c>
      <c r="Z26">
        <f t="shared" si="19"/>
        <v>0</v>
      </c>
      <c r="AA26">
        <v>80</v>
      </c>
      <c r="AB26">
        <v>70</v>
      </c>
      <c r="AC26">
        <f t="shared" si="20"/>
        <v>0</v>
      </c>
      <c r="AD26">
        <v>60</v>
      </c>
      <c r="AE26">
        <v>0.63</v>
      </c>
      <c r="AF26" t="str">
        <f t="shared" si="29"/>
        <v>B_01'Flr_00'A2</v>
      </c>
      <c r="AG26" t="str">
        <f>"R_" &amp; INDEX(Sched!A:AA, MATCH(ABT!$E26, SchedMark, 0), 20)</f>
        <v>R_1004.12</v>
      </c>
      <c r="AH26" t="str">
        <f t="shared" si="29"/>
        <v>B_01'Flr_00'A2</v>
      </c>
      <c r="AI26" t="str">
        <f t="shared" si="16"/>
        <v>VV-2-0-05</v>
      </c>
      <c r="AJ26" t="s">
        <v>995</v>
      </c>
    </row>
    <row r="27" spans="1:36" x14ac:dyDescent="0.2">
      <c r="A27" s="111" t="s">
        <v>953</v>
      </c>
      <c r="B27" t="str">
        <f t="shared" si="21"/>
        <v>B_01'Flr_01'B1</v>
      </c>
      <c r="C27" t="str">
        <f t="shared" si="22"/>
        <v>VV-1-1-10</v>
      </c>
      <c r="D27" t="str">
        <f t="shared" si="23"/>
        <v>1030211</v>
      </c>
      <c r="E27" t="str">
        <f t="shared" si="24"/>
        <v>VV-1-1-10</v>
      </c>
      <c r="F27" t="s">
        <v>695</v>
      </c>
      <c r="G27" t="str">
        <f>INDEX(Sched!$J$213:$O$223, MATCH(ABT!$H27, Sched!$J$213:$J$223, 0), 6)</f>
        <v>15003_VAV_DXR2M12P_US</v>
      </c>
      <c r="H27">
        <f t="shared" si="3"/>
        <v>15003</v>
      </c>
      <c r="I27">
        <f t="shared" si="4"/>
        <v>302</v>
      </c>
      <c r="J27" t="b">
        <v>0</v>
      </c>
      <c r="K27">
        <f t="shared" si="5"/>
        <v>11</v>
      </c>
      <c r="L27">
        <v>85</v>
      </c>
      <c r="M27">
        <v>38400</v>
      </c>
      <c r="N27">
        <f t="shared" si="25"/>
        <v>140</v>
      </c>
      <c r="O27">
        <f t="shared" si="26"/>
        <v>140</v>
      </c>
      <c r="P27">
        <f t="shared" si="26"/>
        <v>140</v>
      </c>
      <c r="Q27">
        <f t="shared" si="27"/>
        <v>1.3962634015954636</v>
      </c>
      <c r="R27">
        <f t="shared" si="28"/>
        <v>8</v>
      </c>
      <c r="S27">
        <f t="shared" si="9"/>
        <v>500</v>
      </c>
      <c r="T27">
        <f t="shared" si="10"/>
        <v>140</v>
      </c>
      <c r="U27">
        <f t="shared" si="11"/>
        <v>500</v>
      </c>
      <c r="V27">
        <f t="shared" si="12"/>
        <v>140</v>
      </c>
      <c r="W27">
        <f t="shared" si="13"/>
        <v>500</v>
      </c>
      <c r="X27">
        <f t="shared" si="14"/>
        <v>140</v>
      </c>
      <c r="Y27">
        <v>75</v>
      </c>
      <c r="Z27">
        <f t="shared" si="19"/>
        <v>0</v>
      </c>
      <c r="AA27">
        <v>80</v>
      </c>
      <c r="AB27">
        <v>70</v>
      </c>
      <c r="AC27">
        <f t="shared" si="20"/>
        <v>0</v>
      </c>
      <c r="AD27">
        <v>60</v>
      </c>
      <c r="AE27">
        <v>0.63</v>
      </c>
      <c r="AF27" t="str">
        <f t="shared" si="29"/>
        <v>B_01'Flr_01'B1</v>
      </c>
      <c r="AG27" t="str">
        <f>"R_" &amp; INDEX(Sched!A:AA, MATCH(ABT!$E27, SchedMark, 0), 20)</f>
        <v>R_1106.00</v>
      </c>
      <c r="AH27" t="str">
        <f t="shared" si="29"/>
        <v>B_01'Flr_01'B1</v>
      </c>
      <c r="AI27" t="str">
        <f t="shared" si="16"/>
        <v>VV-1-1-10</v>
      </c>
      <c r="AJ27" t="s">
        <v>996</v>
      </c>
    </row>
    <row r="28" spans="1:36" x14ac:dyDescent="0.2">
      <c r="A28" s="111" t="s">
        <v>954</v>
      </c>
      <c r="B28" t="str">
        <f t="shared" si="21"/>
        <v>B_01'Flr_02'B1</v>
      </c>
      <c r="C28" t="str">
        <f t="shared" si="22"/>
        <v>VV-2-2-10</v>
      </c>
      <c r="D28" t="str">
        <f t="shared" si="23"/>
        <v>1030415</v>
      </c>
      <c r="E28" t="str">
        <f t="shared" si="24"/>
        <v>VV-2-2-10</v>
      </c>
      <c r="F28" t="s">
        <v>695</v>
      </c>
      <c r="G28" t="str">
        <f>INDEX(Sched!$J$213:$O$223, MATCH(ABT!$H28, Sched!$J$213:$J$223, 0), 6)</f>
        <v>15003_VAV_DXR2M12P_US</v>
      </c>
      <c r="H28">
        <f t="shared" si="3"/>
        <v>15003</v>
      </c>
      <c r="I28">
        <f t="shared" si="4"/>
        <v>304</v>
      </c>
      <c r="J28" t="b">
        <v>0</v>
      </c>
      <c r="K28">
        <f t="shared" si="5"/>
        <v>15</v>
      </c>
      <c r="L28">
        <v>85</v>
      </c>
      <c r="M28">
        <v>38400</v>
      </c>
      <c r="N28">
        <f t="shared" si="25"/>
        <v>140</v>
      </c>
      <c r="O28">
        <f t="shared" si="26"/>
        <v>140</v>
      </c>
      <c r="P28">
        <f t="shared" si="26"/>
        <v>140</v>
      </c>
      <c r="Q28">
        <f t="shared" si="27"/>
        <v>1.3962634015954636</v>
      </c>
      <c r="R28">
        <f t="shared" si="28"/>
        <v>8</v>
      </c>
      <c r="S28">
        <f t="shared" si="9"/>
        <v>525</v>
      </c>
      <c r="T28">
        <f t="shared" si="10"/>
        <v>140</v>
      </c>
      <c r="U28">
        <f t="shared" si="11"/>
        <v>525</v>
      </c>
      <c r="V28">
        <f t="shared" si="12"/>
        <v>140</v>
      </c>
      <c r="W28">
        <f t="shared" si="13"/>
        <v>525</v>
      </c>
      <c r="X28">
        <f t="shared" si="14"/>
        <v>140</v>
      </c>
      <c r="Y28">
        <v>75</v>
      </c>
      <c r="Z28">
        <f t="shared" si="19"/>
        <v>0</v>
      </c>
      <c r="AA28">
        <v>80</v>
      </c>
      <c r="AB28">
        <v>70</v>
      </c>
      <c r="AC28">
        <f t="shared" si="20"/>
        <v>0</v>
      </c>
      <c r="AD28">
        <v>60</v>
      </c>
      <c r="AE28">
        <v>0.63</v>
      </c>
      <c r="AF28" t="str">
        <f t="shared" si="29"/>
        <v>B_01'Flr_02'B1</v>
      </c>
      <c r="AG28" t="str">
        <f>"R_" &amp; INDEX(Sched!A:AA, MATCH(ABT!$E28, SchedMark, 0), 20)</f>
        <v>R_1206.00</v>
      </c>
      <c r="AH28" t="str">
        <f t="shared" si="29"/>
        <v>B_01'Flr_02'B1</v>
      </c>
      <c r="AI28" t="str">
        <f t="shared" si="16"/>
        <v>VV-2-2-10</v>
      </c>
      <c r="AJ28" t="s">
        <v>997</v>
      </c>
    </row>
    <row r="29" spans="1:36" x14ac:dyDescent="0.2">
      <c r="A29" s="111" t="s">
        <v>955</v>
      </c>
      <c r="B29" t="str">
        <f t="shared" si="21"/>
        <v>B_01'Flr_01'A1</v>
      </c>
      <c r="C29" t="str">
        <f t="shared" si="22"/>
        <v>VV-1-1-01</v>
      </c>
      <c r="D29" t="str">
        <f t="shared" si="23"/>
        <v>1030222</v>
      </c>
      <c r="E29" t="str">
        <f t="shared" si="24"/>
        <v>VV-1-1-01</v>
      </c>
      <c r="F29" t="s">
        <v>695</v>
      </c>
      <c r="G29" t="str">
        <f>INDEX(Sched!$J$213:$O$223, MATCH(ABT!$H29, Sched!$J$213:$J$223, 0), 6)</f>
        <v>15003_VAV_DXR2M12P_US</v>
      </c>
      <c r="H29">
        <f t="shared" si="3"/>
        <v>15003</v>
      </c>
      <c r="I29">
        <f t="shared" si="4"/>
        <v>302</v>
      </c>
      <c r="J29" t="b">
        <v>0</v>
      </c>
      <c r="K29">
        <f t="shared" si="5"/>
        <v>22</v>
      </c>
      <c r="L29">
        <v>85</v>
      </c>
      <c r="M29">
        <v>38400</v>
      </c>
      <c r="N29">
        <f t="shared" si="25"/>
        <v>140</v>
      </c>
      <c r="O29">
        <f t="shared" si="26"/>
        <v>140</v>
      </c>
      <c r="P29">
        <f t="shared" si="26"/>
        <v>140</v>
      </c>
      <c r="Q29">
        <f t="shared" si="27"/>
        <v>1.3962634015954636</v>
      </c>
      <c r="R29">
        <f t="shared" si="28"/>
        <v>8</v>
      </c>
      <c r="S29">
        <f t="shared" si="9"/>
        <v>425</v>
      </c>
      <c r="T29">
        <f t="shared" si="10"/>
        <v>140</v>
      </c>
      <c r="U29">
        <f t="shared" si="11"/>
        <v>425</v>
      </c>
      <c r="V29">
        <f t="shared" si="12"/>
        <v>140</v>
      </c>
      <c r="W29">
        <f t="shared" si="13"/>
        <v>425</v>
      </c>
      <c r="X29">
        <f t="shared" si="14"/>
        <v>140</v>
      </c>
      <c r="Y29">
        <v>75</v>
      </c>
      <c r="Z29">
        <f t="shared" si="19"/>
        <v>0</v>
      </c>
      <c r="AA29">
        <v>80</v>
      </c>
      <c r="AB29">
        <v>70</v>
      </c>
      <c r="AC29">
        <f t="shared" si="20"/>
        <v>0</v>
      </c>
      <c r="AD29">
        <v>60</v>
      </c>
      <c r="AE29">
        <v>0.63</v>
      </c>
      <c r="AF29" t="str">
        <f t="shared" si="29"/>
        <v>B_01'Flr_01'A1</v>
      </c>
      <c r="AG29" t="str">
        <f>"R_" &amp; INDEX(Sched!A:AA, MATCH(ABT!$E29, SchedMark, 0), 20)</f>
        <v>R_1110.00</v>
      </c>
      <c r="AH29" t="str">
        <f t="shared" si="29"/>
        <v>B_01'Flr_01'A1</v>
      </c>
      <c r="AI29" t="str">
        <f t="shared" si="16"/>
        <v>VV-1-1-01</v>
      </c>
      <c r="AJ29" t="s">
        <v>876</v>
      </c>
    </row>
    <row r="30" spans="1:36" x14ac:dyDescent="0.2">
      <c r="A30" s="111" t="s">
        <v>956</v>
      </c>
      <c r="B30" t="str">
        <f t="shared" si="21"/>
        <v>B_01'Flr_02'A1</v>
      </c>
      <c r="C30" t="str">
        <f t="shared" si="22"/>
        <v>VV-2-2-06</v>
      </c>
      <c r="D30" t="str">
        <f t="shared" si="23"/>
        <v>1030422</v>
      </c>
      <c r="E30" t="str">
        <f t="shared" si="24"/>
        <v>VV-2-2-06</v>
      </c>
      <c r="F30" t="s">
        <v>695</v>
      </c>
      <c r="G30" t="str">
        <f>INDEX(Sched!$J$213:$O$223, MATCH(ABT!$H30, Sched!$J$213:$J$223, 0), 6)</f>
        <v>15003_VAV_DXR2M12P_US</v>
      </c>
      <c r="H30">
        <f t="shared" si="3"/>
        <v>15003</v>
      </c>
      <c r="I30">
        <f t="shared" si="4"/>
        <v>304</v>
      </c>
      <c r="J30" t="b">
        <v>0</v>
      </c>
      <c r="K30">
        <f t="shared" si="5"/>
        <v>22</v>
      </c>
      <c r="L30">
        <v>85</v>
      </c>
      <c r="M30">
        <v>38400</v>
      </c>
      <c r="N30">
        <f t="shared" si="25"/>
        <v>140</v>
      </c>
      <c r="O30">
        <f t="shared" si="26"/>
        <v>140</v>
      </c>
      <c r="P30">
        <f t="shared" si="26"/>
        <v>140</v>
      </c>
      <c r="Q30">
        <f t="shared" si="27"/>
        <v>1.3962634015954636</v>
      </c>
      <c r="R30">
        <f t="shared" si="28"/>
        <v>8</v>
      </c>
      <c r="S30">
        <f t="shared" si="9"/>
        <v>405</v>
      </c>
      <c r="T30">
        <f t="shared" si="10"/>
        <v>140</v>
      </c>
      <c r="U30">
        <f t="shared" si="11"/>
        <v>405</v>
      </c>
      <c r="V30">
        <f t="shared" si="12"/>
        <v>140</v>
      </c>
      <c r="W30">
        <f t="shared" si="13"/>
        <v>405</v>
      </c>
      <c r="X30">
        <f t="shared" si="14"/>
        <v>140</v>
      </c>
      <c r="Y30">
        <v>75</v>
      </c>
      <c r="Z30">
        <f t="shared" si="19"/>
        <v>0</v>
      </c>
      <c r="AA30">
        <v>80</v>
      </c>
      <c r="AB30">
        <v>70</v>
      </c>
      <c r="AC30">
        <f t="shared" si="20"/>
        <v>0</v>
      </c>
      <c r="AD30">
        <v>60</v>
      </c>
      <c r="AE30">
        <v>0.63</v>
      </c>
      <c r="AF30" t="str">
        <f t="shared" si="29"/>
        <v>B_01'Flr_02'A1</v>
      </c>
      <c r="AG30" t="str">
        <f>"R_" &amp; INDEX(Sched!A:AA, MATCH(ABT!$E30, SchedMark, 0), 20)</f>
        <v>R_1200.03</v>
      </c>
      <c r="AH30" t="str">
        <f t="shared" si="29"/>
        <v>B_01'Flr_02'A1</v>
      </c>
      <c r="AI30" t="str">
        <f t="shared" si="16"/>
        <v>VV-2-2-06</v>
      </c>
      <c r="AJ30" t="s">
        <v>998</v>
      </c>
    </row>
    <row r="31" spans="1:36" x14ac:dyDescent="0.2">
      <c r="A31" s="111" t="s">
        <v>957</v>
      </c>
      <c r="B31" t="str">
        <f t="shared" si="21"/>
        <v>B_01'Flr_01'B2</v>
      </c>
      <c r="C31" t="str">
        <f t="shared" si="22"/>
        <v>VV-1-1-11</v>
      </c>
      <c r="D31" t="str">
        <f t="shared" si="23"/>
        <v>1030233</v>
      </c>
      <c r="E31" t="str">
        <f t="shared" si="24"/>
        <v>VV-1-1-11</v>
      </c>
      <c r="F31" t="s">
        <v>695</v>
      </c>
      <c r="G31" t="str">
        <f>INDEX(Sched!$J$213:$O$223, MATCH(ABT!$H31, Sched!$J$213:$J$223, 0), 6)</f>
        <v>15003_VAV_DXR2M12P_US</v>
      </c>
      <c r="H31">
        <f t="shared" si="3"/>
        <v>15003</v>
      </c>
      <c r="I31">
        <f t="shared" si="4"/>
        <v>302</v>
      </c>
      <c r="J31" t="b">
        <v>0</v>
      </c>
      <c r="K31">
        <f t="shared" si="5"/>
        <v>33</v>
      </c>
      <c r="L31">
        <v>85</v>
      </c>
      <c r="M31">
        <v>38400</v>
      </c>
      <c r="N31">
        <f t="shared" si="25"/>
        <v>80</v>
      </c>
      <c r="O31">
        <f t="shared" si="26"/>
        <v>80</v>
      </c>
      <c r="P31">
        <f t="shared" si="26"/>
        <v>80</v>
      </c>
      <c r="Q31">
        <f t="shared" si="27"/>
        <v>0.78539816339744828</v>
      </c>
      <c r="R31">
        <f t="shared" si="28"/>
        <v>6</v>
      </c>
      <c r="S31">
        <f t="shared" si="9"/>
        <v>400</v>
      </c>
      <c r="T31">
        <f t="shared" si="10"/>
        <v>80</v>
      </c>
      <c r="U31">
        <f t="shared" si="11"/>
        <v>400</v>
      </c>
      <c r="V31">
        <f t="shared" si="12"/>
        <v>80</v>
      </c>
      <c r="W31">
        <f t="shared" si="13"/>
        <v>400</v>
      </c>
      <c r="X31">
        <f t="shared" si="14"/>
        <v>80</v>
      </c>
      <c r="Y31">
        <v>75</v>
      </c>
      <c r="Z31">
        <f t="shared" si="19"/>
        <v>0</v>
      </c>
      <c r="AA31">
        <v>80</v>
      </c>
      <c r="AB31">
        <v>70</v>
      </c>
      <c r="AC31">
        <f t="shared" si="20"/>
        <v>0</v>
      </c>
      <c r="AD31">
        <v>60</v>
      </c>
      <c r="AE31">
        <v>0.63</v>
      </c>
      <c r="AF31" t="str">
        <f t="shared" si="29"/>
        <v>B_01'Flr_01'B2</v>
      </c>
      <c r="AG31" t="str">
        <f>"R_" &amp; INDEX(Sched!A:AA, MATCH(ABT!$E31, SchedMark, 0), 20)</f>
        <v>R_1126.00</v>
      </c>
      <c r="AH31" t="str">
        <f t="shared" si="29"/>
        <v>B_01'Flr_01'B2</v>
      </c>
      <c r="AI31" t="str">
        <f t="shared" si="16"/>
        <v>VV-1-1-11</v>
      </c>
      <c r="AJ31" t="s">
        <v>999</v>
      </c>
    </row>
    <row r="32" spans="1:36" x14ac:dyDescent="0.2">
      <c r="A32" s="111" t="s">
        <v>958</v>
      </c>
      <c r="B32" t="str">
        <f t="shared" si="21"/>
        <v>B_01'Flr_02'B2</v>
      </c>
      <c r="C32" t="str">
        <f t="shared" si="22"/>
        <v>VV-2-2-03</v>
      </c>
      <c r="D32" t="str">
        <f t="shared" si="23"/>
        <v>1030432</v>
      </c>
      <c r="E32" t="str">
        <f t="shared" si="24"/>
        <v>VV-2-2-03</v>
      </c>
      <c r="F32" t="s">
        <v>695</v>
      </c>
      <c r="G32" t="str">
        <f>INDEX(Sched!$J$213:$O$223, MATCH(ABT!$H32, Sched!$J$213:$J$223, 0), 6)</f>
        <v>15003_VAV_DXR2M12P_US</v>
      </c>
      <c r="H32">
        <f t="shared" si="3"/>
        <v>15003</v>
      </c>
      <c r="I32">
        <f t="shared" si="4"/>
        <v>304</v>
      </c>
      <c r="J32" t="b">
        <v>0</v>
      </c>
      <c r="K32">
        <f t="shared" si="5"/>
        <v>32</v>
      </c>
      <c r="L32">
        <v>85</v>
      </c>
      <c r="M32">
        <v>38400</v>
      </c>
      <c r="N32">
        <f t="shared" si="25"/>
        <v>140</v>
      </c>
      <c r="O32">
        <f t="shared" si="26"/>
        <v>140</v>
      </c>
      <c r="P32">
        <f t="shared" si="26"/>
        <v>140</v>
      </c>
      <c r="Q32">
        <f t="shared" si="27"/>
        <v>1.3962634015954636</v>
      </c>
      <c r="R32">
        <f t="shared" si="28"/>
        <v>8</v>
      </c>
      <c r="S32">
        <f t="shared" si="9"/>
        <v>405</v>
      </c>
      <c r="T32">
        <f t="shared" si="10"/>
        <v>140</v>
      </c>
      <c r="U32">
        <f t="shared" si="11"/>
        <v>405</v>
      </c>
      <c r="V32">
        <f t="shared" si="12"/>
        <v>140</v>
      </c>
      <c r="W32">
        <f t="shared" si="13"/>
        <v>405</v>
      </c>
      <c r="X32">
        <f t="shared" si="14"/>
        <v>140</v>
      </c>
      <c r="Y32">
        <v>75</v>
      </c>
      <c r="Z32">
        <f t="shared" si="19"/>
        <v>0</v>
      </c>
      <c r="AA32">
        <v>80</v>
      </c>
      <c r="AB32">
        <v>70</v>
      </c>
      <c r="AC32">
        <f t="shared" si="20"/>
        <v>0</v>
      </c>
      <c r="AD32">
        <v>60</v>
      </c>
      <c r="AE32">
        <v>0.63</v>
      </c>
      <c r="AF32" t="str">
        <f t="shared" si="29"/>
        <v>B_01'Flr_02'B2</v>
      </c>
      <c r="AG32" t="str">
        <f>"R_" &amp; INDEX(Sched!A:AA, MATCH(ABT!$E32, SchedMark, 0), 20)</f>
        <v>R_1228.01</v>
      </c>
      <c r="AH32" t="str">
        <f t="shared" si="29"/>
        <v>B_01'Flr_02'B2</v>
      </c>
      <c r="AI32" t="str">
        <f t="shared" si="16"/>
        <v>VV-2-2-03</v>
      </c>
      <c r="AJ32" t="s">
        <v>1000</v>
      </c>
    </row>
    <row r="33" spans="1:36" x14ac:dyDescent="0.2">
      <c r="A33" s="111" t="s">
        <v>959</v>
      </c>
      <c r="B33" t="str">
        <f t="shared" si="21"/>
        <v>B_01'Flr_02'B2</v>
      </c>
      <c r="C33" t="str">
        <f t="shared" si="22"/>
        <v>VV-2-2-04</v>
      </c>
      <c r="D33" t="str">
        <f t="shared" si="23"/>
        <v>1030433</v>
      </c>
      <c r="E33" t="str">
        <f t="shared" si="24"/>
        <v>VV-2-2-04</v>
      </c>
      <c r="F33" t="s">
        <v>695</v>
      </c>
      <c r="G33" t="str">
        <f>INDEX(Sched!$J$213:$O$223, MATCH(ABT!$H33, Sched!$J$213:$J$223, 0), 6)</f>
        <v>15003_VAV_DXR2M12P_US</v>
      </c>
      <c r="H33">
        <f t="shared" si="3"/>
        <v>15003</v>
      </c>
      <c r="I33">
        <f t="shared" si="4"/>
        <v>304</v>
      </c>
      <c r="J33" t="b">
        <v>0</v>
      </c>
      <c r="K33">
        <f t="shared" si="5"/>
        <v>33</v>
      </c>
      <c r="L33">
        <v>85</v>
      </c>
      <c r="M33">
        <v>38400</v>
      </c>
      <c r="N33">
        <f t="shared" si="25"/>
        <v>140</v>
      </c>
      <c r="O33">
        <f t="shared" si="26"/>
        <v>140</v>
      </c>
      <c r="P33">
        <f t="shared" si="26"/>
        <v>140</v>
      </c>
      <c r="Q33">
        <f t="shared" si="27"/>
        <v>1.3962634015954636</v>
      </c>
      <c r="R33">
        <f t="shared" si="28"/>
        <v>8</v>
      </c>
      <c r="S33">
        <f t="shared" si="9"/>
        <v>445</v>
      </c>
      <c r="T33">
        <f t="shared" si="10"/>
        <v>140</v>
      </c>
      <c r="U33">
        <f t="shared" si="11"/>
        <v>445</v>
      </c>
      <c r="V33">
        <f t="shared" si="12"/>
        <v>140</v>
      </c>
      <c r="W33">
        <f t="shared" si="13"/>
        <v>445</v>
      </c>
      <c r="X33">
        <f t="shared" si="14"/>
        <v>140</v>
      </c>
      <c r="Y33">
        <v>75</v>
      </c>
      <c r="Z33">
        <f t="shared" si="19"/>
        <v>0</v>
      </c>
      <c r="AA33">
        <v>80</v>
      </c>
      <c r="AB33">
        <v>70</v>
      </c>
      <c r="AC33">
        <f t="shared" si="20"/>
        <v>0</v>
      </c>
      <c r="AD33">
        <v>60</v>
      </c>
      <c r="AE33">
        <v>0.63</v>
      </c>
      <c r="AF33" t="str">
        <f t="shared" si="29"/>
        <v>B_01'Flr_02'B2</v>
      </c>
      <c r="AG33" t="str">
        <f>"R_" &amp; INDEX(Sched!A:AA, MATCH(ABT!$E33, SchedMark, 0), 20)</f>
        <v>R_1226.00</v>
      </c>
      <c r="AH33" t="str">
        <f t="shared" si="29"/>
        <v>B_01'Flr_02'B2</v>
      </c>
      <c r="AI33" t="str">
        <f t="shared" si="16"/>
        <v>VV-2-2-04</v>
      </c>
      <c r="AJ33" t="s">
        <v>1001</v>
      </c>
    </row>
    <row r="34" spans="1:36" x14ac:dyDescent="0.2">
      <c r="A34" s="111" t="s">
        <v>802</v>
      </c>
      <c r="B34" t="str">
        <f t="shared" si="21"/>
        <v>B_01'Flr_00'A2</v>
      </c>
      <c r="C34" t="str">
        <f t="shared" si="22"/>
        <v>VV-2-0-02</v>
      </c>
      <c r="D34" t="str">
        <f t="shared" si="23"/>
        <v>1030321</v>
      </c>
      <c r="E34" t="str">
        <f t="shared" si="24"/>
        <v>VV-2-0-02</v>
      </c>
      <c r="F34" t="s">
        <v>695</v>
      </c>
      <c r="G34" t="str">
        <f>INDEX(Sched!$J$213:$O$223, MATCH(ABT!$H34, Sched!$J$213:$J$223, 0), 6)</f>
        <v>15003_VAV_DXR2M12P_US</v>
      </c>
      <c r="H34">
        <f t="shared" si="3"/>
        <v>15003</v>
      </c>
      <c r="I34">
        <f t="shared" si="4"/>
        <v>303</v>
      </c>
      <c r="J34" t="b">
        <v>0</v>
      </c>
      <c r="K34">
        <f t="shared" si="5"/>
        <v>21</v>
      </c>
      <c r="L34">
        <v>85</v>
      </c>
      <c r="M34">
        <v>38400</v>
      </c>
      <c r="N34">
        <f t="shared" si="25"/>
        <v>140</v>
      </c>
      <c r="O34">
        <f t="shared" si="26"/>
        <v>140</v>
      </c>
      <c r="P34">
        <f t="shared" si="26"/>
        <v>140</v>
      </c>
      <c r="Q34">
        <f t="shared" si="27"/>
        <v>1.3962634015954636</v>
      </c>
      <c r="R34">
        <f t="shared" si="28"/>
        <v>8</v>
      </c>
      <c r="S34">
        <f t="shared" si="9"/>
        <v>660</v>
      </c>
      <c r="T34">
        <f t="shared" si="10"/>
        <v>140</v>
      </c>
      <c r="U34">
        <f t="shared" si="11"/>
        <v>660</v>
      </c>
      <c r="V34">
        <f t="shared" si="12"/>
        <v>140</v>
      </c>
      <c r="W34">
        <f t="shared" si="13"/>
        <v>660</v>
      </c>
      <c r="X34">
        <f t="shared" si="14"/>
        <v>140</v>
      </c>
      <c r="Y34">
        <v>75</v>
      </c>
      <c r="Z34">
        <f t="shared" si="19"/>
        <v>0</v>
      </c>
      <c r="AA34">
        <v>80</v>
      </c>
      <c r="AB34">
        <v>70</v>
      </c>
      <c r="AC34">
        <f t="shared" si="20"/>
        <v>0</v>
      </c>
      <c r="AD34">
        <v>60</v>
      </c>
      <c r="AE34">
        <v>0.63</v>
      </c>
      <c r="AF34" t="str">
        <f t="shared" si="29"/>
        <v>B_01'Flr_00'A2</v>
      </c>
      <c r="AG34" t="str">
        <f>"R_" &amp; INDEX(Sched!A:AA, MATCH(ABT!$E34, SchedMark, 0), 20)</f>
        <v>R_1002.02</v>
      </c>
      <c r="AH34" t="str">
        <f t="shared" si="29"/>
        <v>B_01'Flr_00'A2</v>
      </c>
      <c r="AI34" t="str">
        <f t="shared" ref="AI34:AI65" si="30">INDEX(Joined, MATCH($A34, SystemName, FALSE), 7)</f>
        <v>VV-2-0-02</v>
      </c>
      <c r="AJ34" t="s">
        <v>1002</v>
      </c>
    </row>
    <row r="35" spans="1:36" x14ac:dyDescent="0.2">
      <c r="A35" s="111" t="s">
        <v>960</v>
      </c>
      <c r="B35" t="str">
        <f t="shared" si="21"/>
        <v>B_01'Flr_01'A2</v>
      </c>
      <c r="C35" t="str">
        <f t="shared" si="22"/>
        <v>VV-1-1-07</v>
      </c>
      <c r="D35" t="str">
        <f t="shared" si="23"/>
        <v>1030241</v>
      </c>
      <c r="E35" t="str">
        <f t="shared" si="24"/>
        <v>VV-1-1-07</v>
      </c>
      <c r="F35" t="s">
        <v>695</v>
      </c>
      <c r="G35" t="str">
        <f>INDEX(Sched!$J$213:$O$223, MATCH(ABT!$H35, Sched!$J$213:$J$223, 0), 6)</f>
        <v>15003_VAV_DXR2M12P_US</v>
      </c>
      <c r="H35">
        <f t="shared" si="3"/>
        <v>15003</v>
      </c>
      <c r="I35">
        <f t="shared" si="4"/>
        <v>302</v>
      </c>
      <c r="J35" t="b">
        <v>0</v>
      </c>
      <c r="K35">
        <f t="shared" si="5"/>
        <v>41</v>
      </c>
      <c r="L35">
        <v>85</v>
      </c>
      <c r="M35">
        <v>38400</v>
      </c>
      <c r="N35">
        <f t="shared" si="25"/>
        <v>80</v>
      </c>
      <c r="O35">
        <f t="shared" si="26"/>
        <v>80</v>
      </c>
      <c r="P35">
        <f t="shared" si="26"/>
        <v>80</v>
      </c>
      <c r="Q35">
        <f t="shared" si="27"/>
        <v>0.78539816339744828</v>
      </c>
      <c r="R35">
        <f t="shared" si="28"/>
        <v>6</v>
      </c>
      <c r="S35">
        <f t="shared" si="9"/>
        <v>320</v>
      </c>
      <c r="T35">
        <f t="shared" si="10"/>
        <v>80</v>
      </c>
      <c r="U35">
        <f t="shared" si="11"/>
        <v>320</v>
      </c>
      <c r="V35">
        <f t="shared" si="12"/>
        <v>80</v>
      </c>
      <c r="W35">
        <f t="shared" si="13"/>
        <v>320</v>
      </c>
      <c r="X35">
        <f t="shared" si="14"/>
        <v>80</v>
      </c>
      <c r="Y35">
        <v>75</v>
      </c>
      <c r="Z35">
        <f t="shared" si="19"/>
        <v>0</v>
      </c>
      <c r="AA35">
        <v>80</v>
      </c>
      <c r="AB35">
        <v>70</v>
      </c>
      <c r="AC35">
        <f t="shared" si="20"/>
        <v>0</v>
      </c>
      <c r="AD35">
        <v>60</v>
      </c>
      <c r="AE35">
        <v>0.63</v>
      </c>
      <c r="AF35" t="str">
        <f t="shared" si="29"/>
        <v>B_01'Flr_01'A2</v>
      </c>
      <c r="AG35" t="str">
        <f>"R_" &amp; INDEX(Sched!A:AA, MATCH(ABT!$E35, SchedMark, 0), 20)</f>
        <v>R_1120.01</v>
      </c>
      <c r="AH35" t="str">
        <f t="shared" si="29"/>
        <v>B_01'Flr_01'A2</v>
      </c>
      <c r="AI35" t="str">
        <f t="shared" si="30"/>
        <v>VV-1-1-07</v>
      </c>
      <c r="AJ35" t="s">
        <v>1003</v>
      </c>
    </row>
    <row r="36" spans="1:36" x14ac:dyDescent="0.2">
      <c r="A36" s="111" t="s">
        <v>961</v>
      </c>
      <c r="B36" t="str">
        <f t="shared" si="21"/>
        <v>B_01'Flr_02'A2</v>
      </c>
      <c r="C36" t="str">
        <f t="shared" si="22"/>
        <v>VV-2-2-05</v>
      </c>
      <c r="D36" t="str">
        <f t="shared" si="23"/>
        <v>1030444</v>
      </c>
      <c r="E36" t="str">
        <f t="shared" si="24"/>
        <v>VV-2-2-05</v>
      </c>
      <c r="F36" t="s">
        <v>695</v>
      </c>
      <c r="G36" t="str">
        <f>INDEX(Sched!$J$213:$O$223, MATCH(ABT!$H36, Sched!$J$213:$J$223, 0), 6)</f>
        <v>15003_VAV_DXR2M12P_US</v>
      </c>
      <c r="H36">
        <f t="shared" si="3"/>
        <v>15003</v>
      </c>
      <c r="I36">
        <f t="shared" si="4"/>
        <v>304</v>
      </c>
      <c r="J36" t="b">
        <v>0</v>
      </c>
      <c r="K36">
        <f t="shared" si="5"/>
        <v>44</v>
      </c>
      <c r="L36">
        <v>85</v>
      </c>
      <c r="M36">
        <v>38400</v>
      </c>
      <c r="N36">
        <f t="shared" si="25"/>
        <v>140</v>
      </c>
      <c r="O36">
        <f t="shared" si="26"/>
        <v>140</v>
      </c>
      <c r="P36">
        <f t="shared" si="26"/>
        <v>140</v>
      </c>
      <c r="Q36">
        <f t="shared" si="27"/>
        <v>1.3962634015954636</v>
      </c>
      <c r="R36">
        <f t="shared" si="28"/>
        <v>8</v>
      </c>
      <c r="S36">
        <f t="shared" si="9"/>
        <v>405</v>
      </c>
      <c r="T36">
        <f t="shared" si="10"/>
        <v>140</v>
      </c>
      <c r="U36">
        <f t="shared" si="11"/>
        <v>405</v>
      </c>
      <c r="V36">
        <f t="shared" si="12"/>
        <v>140</v>
      </c>
      <c r="W36">
        <f t="shared" si="13"/>
        <v>405</v>
      </c>
      <c r="X36">
        <f t="shared" si="14"/>
        <v>140</v>
      </c>
      <c r="Y36">
        <v>75</v>
      </c>
      <c r="Z36">
        <f t="shared" si="19"/>
        <v>0</v>
      </c>
      <c r="AA36">
        <v>80</v>
      </c>
      <c r="AB36">
        <v>70</v>
      </c>
      <c r="AC36">
        <f t="shared" si="20"/>
        <v>0</v>
      </c>
      <c r="AD36">
        <v>60</v>
      </c>
      <c r="AE36">
        <v>0.63</v>
      </c>
      <c r="AF36" t="str">
        <f t="shared" si="29"/>
        <v>B_01'Flr_02'A2</v>
      </c>
      <c r="AG36" t="str">
        <f>"R_" &amp; INDEX(Sched!A:AA, MATCH(ABT!$E36, SchedMark, 0), 20)</f>
        <v>R_1239.00</v>
      </c>
      <c r="AH36" t="str">
        <f t="shared" si="29"/>
        <v>B_01'Flr_02'A2</v>
      </c>
      <c r="AI36" t="str">
        <f t="shared" si="30"/>
        <v>VV-2-2-05</v>
      </c>
      <c r="AJ36" t="s">
        <v>1004</v>
      </c>
    </row>
    <row r="37" spans="1:36" x14ac:dyDescent="0.2">
      <c r="A37" s="111" t="s">
        <v>962</v>
      </c>
      <c r="B37" t="str">
        <f t="shared" si="21"/>
        <v>B_01'Flr_02'A2</v>
      </c>
      <c r="C37" t="str">
        <f t="shared" si="22"/>
        <v>VV-2-2-09</v>
      </c>
      <c r="D37" t="str">
        <f t="shared" si="23"/>
        <v>1030446</v>
      </c>
      <c r="E37" t="str">
        <f t="shared" si="24"/>
        <v>VV-2-2-09</v>
      </c>
      <c r="F37" t="s">
        <v>695</v>
      </c>
      <c r="G37" t="str">
        <f>INDEX(Sched!$J$213:$O$223, MATCH(ABT!$H37, Sched!$J$213:$J$223, 0), 6)</f>
        <v>15003_VAV_DXR2M12P_US</v>
      </c>
      <c r="H37">
        <f t="shared" si="3"/>
        <v>15003</v>
      </c>
      <c r="I37">
        <f t="shared" si="4"/>
        <v>304</v>
      </c>
      <c r="J37" t="b">
        <v>0</v>
      </c>
      <c r="K37">
        <f t="shared" si="5"/>
        <v>46</v>
      </c>
      <c r="L37">
        <v>85</v>
      </c>
      <c r="M37">
        <v>38400</v>
      </c>
      <c r="N37">
        <f t="shared" si="25"/>
        <v>140</v>
      </c>
      <c r="O37">
        <f t="shared" si="26"/>
        <v>140</v>
      </c>
      <c r="P37">
        <f t="shared" si="26"/>
        <v>140</v>
      </c>
      <c r="Q37">
        <f t="shared" si="27"/>
        <v>1.3962634015954636</v>
      </c>
      <c r="R37">
        <f t="shared" si="28"/>
        <v>8</v>
      </c>
      <c r="S37">
        <f t="shared" si="9"/>
        <v>410</v>
      </c>
      <c r="T37">
        <f t="shared" si="10"/>
        <v>140</v>
      </c>
      <c r="U37">
        <f t="shared" si="11"/>
        <v>410</v>
      </c>
      <c r="V37">
        <f t="shared" si="12"/>
        <v>140</v>
      </c>
      <c r="W37">
        <f t="shared" si="13"/>
        <v>410</v>
      </c>
      <c r="X37">
        <f t="shared" si="14"/>
        <v>140</v>
      </c>
      <c r="Y37">
        <v>75</v>
      </c>
      <c r="Z37">
        <f t="shared" si="19"/>
        <v>0</v>
      </c>
      <c r="AA37">
        <v>80</v>
      </c>
      <c r="AB37">
        <v>70</v>
      </c>
      <c r="AC37">
        <f t="shared" si="20"/>
        <v>0</v>
      </c>
      <c r="AD37">
        <v>60</v>
      </c>
      <c r="AE37">
        <v>0.63</v>
      </c>
      <c r="AF37" t="str">
        <f t="shared" si="29"/>
        <v>B_01'Flr_02'A2</v>
      </c>
      <c r="AG37" t="str">
        <f>"R_" &amp; INDEX(Sched!A:AA, MATCH(ABT!$E37, SchedMark, 0), 20)</f>
        <v>R_1224.00</v>
      </c>
      <c r="AH37" t="str">
        <f t="shared" si="29"/>
        <v>B_01'Flr_02'A2</v>
      </c>
      <c r="AI37" t="str">
        <f t="shared" si="30"/>
        <v>VV-2-2-09</v>
      </c>
      <c r="AJ37" t="s">
        <v>1005</v>
      </c>
    </row>
    <row r="38" spans="1:36" x14ac:dyDescent="0.2">
      <c r="A38" s="111" t="s">
        <v>963</v>
      </c>
      <c r="B38" t="str">
        <f t="shared" si="21"/>
        <v>B_01'Flr_03'B1</v>
      </c>
      <c r="C38" t="str">
        <f t="shared" si="22"/>
        <v>VV-2-3-05</v>
      </c>
      <c r="D38" t="str">
        <f t="shared" si="23"/>
        <v>1031015</v>
      </c>
      <c r="E38" t="str">
        <f t="shared" si="24"/>
        <v>VV-2-3-05</v>
      </c>
      <c r="F38" t="s">
        <v>695</v>
      </c>
      <c r="G38" t="str">
        <f>INDEX(Sched!$J$213:$O$223, MATCH(ABT!$H38, Sched!$J$213:$J$223, 0), 6)</f>
        <v>15003_VAV_DXR2M12P_US</v>
      </c>
      <c r="H38">
        <f t="shared" si="3"/>
        <v>15003</v>
      </c>
      <c r="I38">
        <f t="shared" si="4"/>
        <v>310</v>
      </c>
      <c r="J38" t="b">
        <v>0</v>
      </c>
      <c r="K38">
        <f t="shared" si="5"/>
        <v>15</v>
      </c>
      <c r="L38">
        <v>85</v>
      </c>
      <c r="M38">
        <v>38400</v>
      </c>
      <c r="N38">
        <f t="shared" si="25"/>
        <v>140</v>
      </c>
      <c r="O38">
        <f t="shared" si="26"/>
        <v>140</v>
      </c>
      <c r="P38">
        <f t="shared" si="26"/>
        <v>140</v>
      </c>
      <c r="Q38">
        <f t="shared" si="27"/>
        <v>1.3962634015954636</v>
      </c>
      <c r="R38">
        <f t="shared" si="28"/>
        <v>8</v>
      </c>
      <c r="S38">
        <f t="shared" si="9"/>
        <v>555</v>
      </c>
      <c r="T38">
        <f t="shared" si="10"/>
        <v>140</v>
      </c>
      <c r="U38">
        <f t="shared" si="11"/>
        <v>555</v>
      </c>
      <c r="V38">
        <f t="shared" si="12"/>
        <v>140</v>
      </c>
      <c r="W38">
        <f t="shared" si="13"/>
        <v>555</v>
      </c>
      <c r="X38">
        <f t="shared" si="14"/>
        <v>140</v>
      </c>
      <c r="Y38">
        <v>75</v>
      </c>
      <c r="Z38">
        <f t="shared" si="19"/>
        <v>0</v>
      </c>
      <c r="AA38">
        <v>80</v>
      </c>
      <c r="AB38">
        <v>70</v>
      </c>
      <c r="AC38">
        <f t="shared" si="20"/>
        <v>0</v>
      </c>
      <c r="AD38">
        <v>60</v>
      </c>
      <c r="AE38">
        <v>0.63</v>
      </c>
      <c r="AF38" t="str">
        <f t="shared" si="29"/>
        <v>B_01'Flr_03'B1</v>
      </c>
      <c r="AG38" t="str">
        <f>"R_" &amp; INDEX(Sched!A:AA, MATCH(ABT!$E38, SchedMark, 0), 20)</f>
        <v>R_1312.00</v>
      </c>
      <c r="AH38" t="str">
        <f t="shared" si="29"/>
        <v>B_01'Flr_03'B1</v>
      </c>
      <c r="AI38" t="str">
        <f t="shared" si="30"/>
        <v>VV-2-3-05</v>
      </c>
      <c r="AJ38" t="s">
        <v>1006</v>
      </c>
    </row>
    <row r="39" spans="1:36" x14ac:dyDescent="0.2">
      <c r="A39" s="111" t="s">
        <v>964</v>
      </c>
      <c r="B39" t="str">
        <f t="shared" si="21"/>
        <v>B_01'Flr_03'B2</v>
      </c>
      <c r="C39" t="str">
        <f t="shared" si="22"/>
        <v>VV-2-3-04</v>
      </c>
      <c r="D39" t="str">
        <f t="shared" si="23"/>
        <v>1031040</v>
      </c>
      <c r="E39" t="str">
        <f t="shared" si="24"/>
        <v>VV-2-3-04</v>
      </c>
      <c r="F39" t="s">
        <v>695</v>
      </c>
      <c r="G39" t="str">
        <f>INDEX(Sched!$J$213:$O$223, MATCH(ABT!$H39, Sched!$J$213:$J$223, 0), 6)</f>
        <v>15003_VAV_DXR2M12P_US</v>
      </c>
      <c r="H39">
        <f t="shared" si="3"/>
        <v>15003</v>
      </c>
      <c r="I39">
        <f t="shared" si="4"/>
        <v>310</v>
      </c>
      <c r="J39" t="b">
        <v>0</v>
      </c>
      <c r="K39">
        <f t="shared" si="5"/>
        <v>40</v>
      </c>
      <c r="L39">
        <v>85</v>
      </c>
      <c r="M39">
        <v>38400</v>
      </c>
      <c r="N39">
        <f t="shared" si="25"/>
        <v>140</v>
      </c>
      <c r="O39">
        <f t="shared" si="26"/>
        <v>140</v>
      </c>
      <c r="P39">
        <f t="shared" si="26"/>
        <v>140</v>
      </c>
      <c r="Q39">
        <f t="shared" si="27"/>
        <v>1.3962634015954636</v>
      </c>
      <c r="R39">
        <f t="shared" si="28"/>
        <v>8</v>
      </c>
      <c r="S39">
        <f t="shared" si="9"/>
        <v>455</v>
      </c>
      <c r="T39">
        <f t="shared" si="10"/>
        <v>140</v>
      </c>
      <c r="U39">
        <f t="shared" si="11"/>
        <v>455</v>
      </c>
      <c r="V39">
        <f t="shared" si="12"/>
        <v>140</v>
      </c>
      <c r="W39">
        <f t="shared" si="13"/>
        <v>455</v>
      </c>
      <c r="X39">
        <f t="shared" si="14"/>
        <v>140</v>
      </c>
      <c r="Y39">
        <v>75</v>
      </c>
      <c r="Z39">
        <f t="shared" si="19"/>
        <v>0</v>
      </c>
      <c r="AA39">
        <v>80</v>
      </c>
      <c r="AB39">
        <v>70</v>
      </c>
      <c r="AC39">
        <f t="shared" si="20"/>
        <v>0</v>
      </c>
      <c r="AD39">
        <v>60</v>
      </c>
      <c r="AE39">
        <v>0.63</v>
      </c>
      <c r="AF39" t="str">
        <f t="shared" si="29"/>
        <v>B_01'Flr_03'B2</v>
      </c>
      <c r="AG39" t="str">
        <f>"R_" &amp; INDEX(Sched!A:AA, MATCH(ABT!$E39, SchedMark, 0), 20)</f>
        <v>R_1336.00</v>
      </c>
      <c r="AH39" t="str">
        <f t="shared" si="29"/>
        <v>B_01'Flr_03'B2</v>
      </c>
      <c r="AI39" t="str">
        <f t="shared" si="30"/>
        <v>VV-2-3-04</v>
      </c>
      <c r="AJ39" t="s">
        <v>1007</v>
      </c>
    </row>
    <row r="40" spans="1:36" x14ac:dyDescent="0.2">
      <c r="A40" s="111" t="s">
        <v>965</v>
      </c>
      <c r="B40" t="str">
        <f t="shared" si="21"/>
        <v>B_01'Flr_03'A2</v>
      </c>
      <c r="C40" t="str">
        <f t="shared" si="22"/>
        <v>VV-2-3-02</v>
      </c>
      <c r="D40" t="str">
        <f t="shared" si="23"/>
        <v>1031041</v>
      </c>
      <c r="E40" t="str">
        <f t="shared" si="24"/>
        <v>VV-2-3-02</v>
      </c>
      <c r="F40" t="s">
        <v>695</v>
      </c>
      <c r="G40" t="str">
        <f>INDEX(Sched!$J$213:$O$223, MATCH(ABT!$H40, Sched!$J$213:$J$223, 0), 6)</f>
        <v>15003_VAV_DXR2M12P_US</v>
      </c>
      <c r="H40">
        <f t="shared" si="3"/>
        <v>15003</v>
      </c>
      <c r="I40">
        <f t="shared" si="4"/>
        <v>310</v>
      </c>
      <c r="J40" t="b">
        <v>0</v>
      </c>
      <c r="K40">
        <f t="shared" si="5"/>
        <v>41</v>
      </c>
      <c r="L40">
        <v>85</v>
      </c>
      <c r="M40">
        <v>38400</v>
      </c>
      <c r="N40">
        <f t="shared" si="25"/>
        <v>140</v>
      </c>
      <c r="O40">
        <f t="shared" si="26"/>
        <v>140</v>
      </c>
      <c r="P40">
        <f t="shared" si="26"/>
        <v>140</v>
      </c>
      <c r="Q40">
        <f t="shared" si="27"/>
        <v>1.3962634015954636</v>
      </c>
      <c r="R40">
        <f t="shared" si="28"/>
        <v>8</v>
      </c>
      <c r="S40">
        <f t="shared" si="9"/>
        <v>410</v>
      </c>
      <c r="T40">
        <f t="shared" si="10"/>
        <v>140</v>
      </c>
      <c r="U40">
        <f t="shared" si="11"/>
        <v>410</v>
      </c>
      <c r="V40">
        <f t="shared" si="12"/>
        <v>140</v>
      </c>
      <c r="W40">
        <f t="shared" si="13"/>
        <v>410</v>
      </c>
      <c r="X40">
        <f t="shared" si="14"/>
        <v>140</v>
      </c>
      <c r="Y40">
        <v>75</v>
      </c>
      <c r="Z40">
        <f t="shared" si="19"/>
        <v>0</v>
      </c>
      <c r="AA40">
        <v>80</v>
      </c>
      <c r="AB40">
        <v>70</v>
      </c>
      <c r="AC40">
        <f t="shared" si="20"/>
        <v>0</v>
      </c>
      <c r="AD40">
        <v>60</v>
      </c>
      <c r="AE40">
        <v>0.63</v>
      </c>
      <c r="AF40" t="str">
        <f t="shared" si="29"/>
        <v>B_01'Flr_03'A2</v>
      </c>
      <c r="AG40" t="str">
        <f>"R_" &amp; INDEX(Sched!A:AA, MATCH(ABT!$E40, SchedMark, 0), 20)</f>
        <v>R_1328.02</v>
      </c>
      <c r="AH40" t="str">
        <f t="shared" si="29"/>
        <v>B_01'Flr_03'A2</v>
      </c>
      <c r="AI40" t="str">
        <f t="shared" si="30"/>
        <v>VV-2-3-02</v>
      </c>
      <c r="AJ40" t="s">
        <v>1008</v>
      </c>
    </row>
    <row r="41" spans="1:36" x14ac:dyDescent="0.2">
      <c r="A41" s="111" t="s">
        <v>966</v>
      </c>
      <c r="B41" t="str">
        <f t="shared" si="21"/>
        <v>B_01'Flr_03'A1</v>
      </c>
      <c r="C41" t="str">
        <f t="shared" si="22"/>
        <v>VV-2-3-01</v>
      </c>
      <c r="D41" t="str">
        <f t="shared" si="23"/>
        <v>1031050</v>
      </c>
      <c r="E41" t="str">
        <f t="shared" si="24"/>
        <v>VV-2-3-01</v>
      </c>
      <c r="F41" t="s">
        <v>695</v>
      </c>
      <c r="G41" t="str">
        <f>INDEX(Sched!$J$213:$O$223, MATCH(ABT!$H41, Sched!$J$213:$J$223, 0), 6)</f>
        <v>15003_VAV_DXR2M12P_US</v>
      </c>
      <c r="H41">
        <f t="shared" si="3"/>
        <v>15003</v>
      </c>
      <c r="I41">
        <f t="shared" si="4"/>
        <v>310</v>
      </c>
      <c r="J41" t="b">
        <v>0</v>
      </c>
      <c r="K41">
        <f t="shared" si="5"/>
        <v>50</v>
      </c>
      <c r="L41">
        <v>85</v>
      </c>
      <c r="M41">
        <v>38400</v>
      </c>
      <c r="N41">
        <f t="shared" si="25"/>
        <v>140</v>
      </c>
      <c r="O41">
        <f t="shared" si="26"/>
        <v>140</v>
      </c>
      <c r="P41">
        <f t="shared" si="26"/>
        <v>140</v>
      </c>
      <c r="Q41">
        <f t="shared" si="27"/>
        <v>1.3962634015954636</v>
      </c>
      <c r="R41">
        <f t="shared" si="28"/>
        <v>8</v>
      </c>
      <c r="S41">
        <f t="shared" si="9"/>
        <v>410</v>
      </c>
      <c r="T41">
        <f t="shared" si="10"/>
        <v>140</v>
      </c>
      <c r="U41">
        <f t="shared" si="11"/>
        <v>410</v>
      </c>
      <c r="V41">
        <f t="shared" si="12"/>
        <v>140</v>
      </c>
      <c r="W41">
        <f t="shared" si="13"/>
        <v>410</v>
      </c>
      <c r="X41">
        <f t="shared" si="14"/>
        <v>140</v>
      </c>
      <c r="Y41">
        <v>75</v>
      </c>
      <c r="Z41">
        <f t="shared" si="19"/>
        <v>0</v>
      </c>
      <c r="AA41">
        <v>80</v>
      </c>
      <c r="AB41">
        <v>70</v>
      </c>
      <c r="AC41">
        <f t="shared" si="20"/>
        <v>0</v>
      </c>
      <c r="AD41">
        <v>60</v>
      </c>
      <c r="AE41">
        <v>0.63</v>
      </c>
      <c r="AF41" t="str">
        <f t="shared" si="29"/>
        <v>B_01'Flr_03'A1</v>
      </c>
      <c r="AG41" t="str">
        <f>"R_" &amp; INDEX(Sched!A:AA, MATCH(ABT!$E41, SchedMark, 0), 20)</f>
        <v>R_1318.00</v>
      </c>
      <c r="AH41" t="str">
        <f t="shared" si="29"/>
        <v>B_01'Flr_03'A1</v>
      </c>
      <c r="AI41" t="str">
        <f t="shared" si="30"/>
        <v>VV-2-3-01</v>
      </c>
      <c r="AJ41" t="s">
        <v>1009</v>
      </c>
    </row>
    <row r="42" spans="1:36" x14ac:dyDescent="0.2">
      <c r="A42" s="109" t="s">
        <v>575</v>
      </c>
      <c r="B42" t="str">
        <f t="shared" si="21"/>
        <v>B_01'Flr_00'B1</v>
      </c>
      <c r="C42" t="str">
        <f t="shared" si="22"/>
        <v>VV-3-0-10</v>
      </c>
      <c r="D42" t="str">
        <f t="shared" si="23"/>
        <v>1030101</v>
      </c>
      <c r="E42" t="str">
        <f t="shared" si="24"/>
        <v>VV-3-0-10</v>
      </c>
      <c r="F42" t="s">
        <v>695</v>
      </c>
      <c r="G42" t="str">
        <f>INDEX(Sched!$J$213:$O$223, MATCH(ABT!$H42, Sched!$J$213:$J$223, 0), 6)</f>
        <v>15201_CB_DXR2M12P_US</v>
      </c>
      <c r="H42">
        <f t="shared" si="3"/>
        <v>15201</v>
      </c>
      <c r="I42">
        <f t="shared" si="4"/>
        <v>301</v>
      </c>
      <c r="J42" t="b">
        <v>0</v>
      </c>
      <c r="K42">
        <f t="shared" si="5"/>
        <v>1</v>
      </c>
      <c r="L42">
        <v>85</v>
      </c>
      <c r="M42">
        <v>38400</v>
      </c>
      <c r="N42">
        <f t="shared" si="25"/>
        <v>165</v>
      </c>
      <c r="O42">
        <f t="shared" si="26"/>
        <v>80</v>
      </c>
      <c r="P42">
        <f t="shared" si="26"/>
        <v>80</v>
      </c>
      <c r="Q42">
        <f t="shared" si="27"/>
        <v>0.78539816339744828</v>
      </c>
      <c r="R42">
        <f t="shared" si="28"/>
        <v>6</v>
      </c>
      <c r="S42">
        <f t="shared" si="9"/>
        <v>165</v>
      </c>
      <c r="T42">
        <f t="shared" si="10"/>
        <v>165</v>
      </c>
      <c r="U42">
        <f t="shared" si="11"/>
        <v>165</v>
      </c>
      <c r="V42">
        <f t="shared" si="12"/>
        <v>165</v>
      </c>
      <c r="W42">
        <f t="shared" si="13"/>
        <v>165</v>
      </c>
      <c r="X42">
        <f t="shared" si="14"/>
        <v>165</v>
      </c>
      <c r="Y42">
        <v>75</v>
      </c>
      <c r="Z42">
        <f t="shared" si="19"/>
        <v>2</v>
      </c>
      <c r="AA42">
        <v>80</v>
      </c>
      <c r="AB42">
        <v>70</v>
      </c>
      <c r="AC42">
        <f t="shared" si="20"/>
        <v>2</v>
      </c>
      <c r="AD42">
        <v>60</v>
      </c>
      <c r="AE42">
        <v>0.63</v>
      </c>
      <c r="AF42" t="str">
        <f t="shared" si="29"/>
        <v>B_01'Flr_00'B1</v>
      </c>
      <c r="AG42" t="str">
        <f>"R_" &amp; INDEX(Sched!A:AA, MATCH(ABT!$E42, SchedMark, 0), 20)</f>
        <v>R_1005.02</v>
      </c>
      <c r="AH42" t="str">
        <f t="shared" si="29"/>
        <v>B_01'Flr_00'B1</v>
      </c>
      <c r="AI42" t="str">
        <f t="shared" si="30"/>
        <v>VV-3-0-10</v>
      </c>
      <c r="AJ42" t="s">
        <v>1010</v>
      </c>
    </row>
    <row r="43" spans="1:36" x14ac:dyDescent="0.2">
      <c r="A43" s="109" t="s">
        <v>576</v>
      </c>
      <c r="B43" t="str">
        <f t="shared" si="21"/>
        <v>B_01'Flr_01'B1</v>
      </c>
      <c r="C43" t="str">
        <f t="shared" si="22"/>
        <v>VV-3-1-06</v>
      </c>
      <c r="D43" t="str">
        <f t="shared" si="23"/>
        <v>1030201</v>
      </c>
      <c r="E43" t="str">
        <f t="shared" si="24"/>
        <v>VV-3-1-06</v>
      </c>
      <c r="F43" t="s">
        <v>695</v>
      </c>
      <c r="G43" t="str">
        <f>INDEX(Sched!$J$213:$O$223, MATCH(ABT!$H43, Sched!$J$213:$J$223, 0), 6)</f>
        <v>15201_CB_DXR2M12P_US</v>
      </c>
      <c r="H43">
        <f t="shared" si="3"/>
        <v>15201</v>
      </c>
      <c r="I43">
        <f t="shared" si="4"/>
        <v>302</v>
      </c>
      <c r="J43" t="b">
        <v>0</v>
      </c>
      <c r="K43">
        <f t="shared" si="5"/>
        <v>1</v>
      </c>
      <c r="L43">
        <v>85</v>
      </c>
      <c r="M43">
        <v>38400</v>
      </c>
      <c r="N43">
        <f t="shared" si="25"/>
        <v>560</v>
      </c>
      <c r="O43">
        <f t="shared" si="26"/>
        <v>140</v>
      </c>
      <c r="P43">
        <f t="shared" si="26"/>
        <v>140</v>
      </c>
      <c r="Q43">
        <f t="shared" si="27"/>
        <v>1.3962634015954636</v>
      </c>
      <c r="R43">
        <f t="shared" si="28"/>
        <v>8</v>
      </c>
      <c r="S43">
        <f t="shared" si="9"/>
        <v>560</v>
      </c>
      <c r="T43">
        <f t="shared" si="10"/>
        <v>560</v>
      </c>
      <c r="U43">
        <f t="shared" si="11"/>
        <v>560</v>
      </c>
      <c r="V43">
        <f t="shared" si="12"/>
        <v>560</v>
      </c>
      <c r="W43">
        <f t="shared" si="13"/>
        <v>560</v>
      </c>
      <c r="X43">
        <f t="shared" si="14"/>
        <v>560</v>
      </c>
      <c r="Y43">
        <v>75</v>
      </c>
      <c r="Z43">
        <f t="shared" si="19"/>
        <v>2</v>
      </c>
      <c r="AA43">
        <v>80</v>
      </c>
      <c r="AB43">
        <v>70</v>
      </c>
      <c r="AC43">
        <f t="shared" si="20"/>
        <v>2</v>
      </c>
      <c r="AD43">
        <v>60</v>
      </c>
      <c r="AE43">
        <v>0.63</v>
      </c>
      <c r="AF43" t="str">
        <f t="shared" si="29"/>
        <v>B_01'Flr_01'B1</v>
      </c>
      <c r="AG43" t="str">
        <f>"R_" &amp; INDEX(Sched!A:AA, MATCH(ABT!$E43, SchedMark, 0), 20)</f>
        <v>R_1109.00</v>
      </c>
      <c r="AH43" t="str">
        <f t="shared" si="29"/>
        <v>B_01'Flr_01'B1</v>
      </c>
      <c r="AI43" t="str">
        <f t="shared" si="30"/>
        <v>VV-3-1-06</v>
      </c>
      <c r="AJ43" t="s">
        <v>1011</v>
      </c>
    </row>
    <row r="44" spans="1:36" x14ac:dyDescent="0.2">
      <c r="A44" s="109" t="s">
        <v>577</v>
      </c>
      <c r="B44" t="str">
        <f t="shared" si="21"/>
        <v>B_01'Flr_01'B1</v>
      </c>
      <c r="C44" t="str">
        <f t="shared" si="22"/>
        <v>VV-3-1-07</v>
      </c>
      <c r="D44" t="str">
        <f t="shared" si="23"/>
        <v>1030202</v>
      </c>
      <c r="E44" t="str">
        <f t="shared" si="24"/>
        <v>VV-3-1-07</v>
      </c>
      <c r="F44" t="s">
        <v>695</v>
      </c>
      <c r="G44" t="str">
        <f>INDEX(Sched!$J$213:$O$223, MATCH(ABT!$H44, Sched!$J$213:$J$223, 0), 6)</f>
        <v>15201_CB_DXR2M12P_US</v>
      </c>
      <c r="H44">
        <f t="shared" si="3"/>
        <v>15201</v>
      </c>
      <c r="I44">
        <f t="shared" si="4"/>
        <v>302</v>
      </c>
      <c r="J44" t="b">
        <v>0</v>
      </c>
      <c r="K44">
        <f t="shared" si="5"/>
        <v>2</v>
      </c>
      <c r="L44">
        <v>85</v>
      </c>
      <c r="M44">
        <v>38400</v>
      </c>
      <c r="N44">
        <f t="shared" si="25"/>
        <v>570</v>
      </c>
      <c r="O44">
        <f t="shared" si="26"/>
        <v>140</v>
      </c>
      <c r="P44">
        <f t="shared" si="26"/>
        <v>140</v>
      </c>
      <c r="Q44">
        <f t="shared" si="27"/>
        <v>1.3962634015954636</v>
      </c>
      <c r="R44">
        <f t="shared" si="28"/>
        <v>8</v>
      </c>
      <c r="S44">
        <f t="shared" si="9"/>
        <v>570</v>
      </c>
      <c r="T44">
        <f t="shared" si="10"/>
        <v>570</v>
      </c>
      <c r="U44">
        <f t="shared" si="11"/>
        <v>570</v>
      </c>
      <c r="V44">
        <f t="shared" si="12"/>
        <v>570</v>
      </c>
      <c r="W44">
        <f t="shared" si="13"/>
        <v>570</v>
      </c>
      <c r="X44">
        <f t="shared" si="14"/>
        <v>570</v>
      </c>
      <c r="Y44">
        <v>75</v>
      </c>
      <c r="Z44">
        <f t="shared" si="19"/>
        <v>2</v>
      </c>
      <c r="AA44">
        <v>80</v>
      </c>
      <c r="AB44">
        <v>70</v>
      </c>
      <c r="AC44">
        <f t="shared" si="20"/>
        <v>2</v>
      </c>
      <c r="AD44">
        <v>60</v>
      </c>
      <c r="AE44">
        <v>0.63</v>
      </c>
      <c r="AF44" t="str">
        <f t="shared" si="29"/>
        <v>B_01'Flr_01'B1</v>
      </c>
      <c r="AG44" t="str">
        <f>"R_" &amp; INDEX(Sched!A:AA, MATCH(ABT!$E44, SchedMark, 0), 20)</f>
        <v>R_1107.00</v>
      </c>
      <c r="AH44" t="str">
        <f t="shared" si="29"/>
        <v>B_01'Flr_01'B1</v>
      </c>
      <c r="AI44" t="str">
        <f t="shared" si="30"/>
        <v>VV-3-1-07</v>
      </c>
      <c r="AJ44" t="s">
        <v>1012</v>
      </c>
    </row>
    <row r="45" spans="1:36" x14ac:dyDescent="0.2">
      <c r="A45" s="109" t="s">
        <v>578</v>
      </c>
      <c r="B45" t="str">
        <f t="shared" si="21"/>
        <v>B_01'Flr_01'B1</v>
      </c>
      <c r="C45" t="str">
        <f t="shared" si="22"/>
        <v>VV-3-1-08</v>
      </c>
      <c r="D45" t="str">
        <f t="shared" si="23"/>
        <v>1030203</v>
      </c>
      <c r="E45" t="str">
        <f t="shared" si="24"/>
        <v>VV-3-1-08</v>
      </c>
      <c r="F45" t="s">
        <v>695</v>
      </c>
      <c r="G45" t="str">
        <f>INDEX(Sched!$J$213:$O$223, MATCH(ABT!$H45, Sched!$J$213:$J$223, 0), 6)</f>
        <v>15201_CB_DXR2M12P_US</v>
      </c>
      <c r="H45">
        <f t="shared" si="3"/>
        <v>15201</v>
      </c>
      <c r="I45">
        <f t="shared" si="4"/>
        <v>302</v>
      </c>
      <c r="J45" t="b">
        <v>0</v>
      </c>
      <c r="K45">
        <f t="shared" si="5"/>
        <v>3</v>
      </c>
      <c r="L45">
        <v>85</v>
      </c>
      <c r="M45">
        <v>38400</v>
      </c>
      <c r="N45">
        <f t="shared" si="25"/>
        <v>150</v>
      </c>
      <c r="O45">
        <f t="shared" si="26"/>
        <v>150</v>
      </c>
      <c r="P45">
        <f t="shared" si="26"/>
        <v>150</v>
      </c>
      <c r="Q45">
        <f t="shared" si="27"/>
        <v>0.78539816339744828</v>
      </c>
      <c r="R45">
        <f t="shared" si="28"/>
        <v>6</v>
      </c>
      <c r="S45">
        <f t="shared" si="9"/>
        <v>150</v>
      </c>
      <c r="T45">
        <f t="shared" si="10"/>
        <v>150</v>
      </c>
      <c r="U45">
        <f t="shared" si="11"/>
        <v>150</v>
      </c>
      <c r="V45">
        <f t="shared" si="12"/>
        <v>150</v>
      </c>
      <c r="W45">
        <f t="shared" si="13"/>
        <v>150</v>
      </c>
      <c r="X45">
        <f t="shared" si="14"/>
        <v>150</v>
      </c>
      <c r="Y45">
        <v>75</v>
      </c>
      <c r="Z45">
        <f t="shared" si="19"/>
        <v>2</v>
      </c>
      <c r="AA45">
        <v>80</v>
      </c>
      <c r="AB45">
        <v>70</v>
      </c>
      <c r="AC45">
        <f t="shared" si="20"/>
        <v>2</v>
      </c>
      <c r="AD45">
        <v>60</v>
      </c>
      <c r="AE45">
        <v>0.63</v>
      </c>
      <c r="AF45" t="str">
        <f t="shared" si="29"/>
        <v>B_01'Flr_01'B1</v>
      </c>
      <c r="AG45" t="str">
        <f>"R_" &amp; INDEX(Sched!A:AA, MATCH(ABT!$E45, SchedMark, 0), 20)</f>
        <v>R_1100.02</v>
      </c>
      <c r="AH45" t="str">
        <f t="shared" si="29"/>
        <v>B_01'Flr_01'B1</v>
      </c>
      <c r="AI45" t="str">
        <f t="shared" si="30"/>
        <v>VV-3-1-08</v>
      </c>
      <c r="AJ45" s="10" t="s">
        <v>1013</v>
      </c>
    </row>
    <row r="46" spans="1:36" x14ac:dyDescent="0.2">
      <c r="A46" s="109" t="s">
        <v>579</v>
      </c>
      <c r="B46" t="str">
        <f t="shared" si="21"/>
        <v>B_01'Flr_01'B1</v>
      </c>
      <c r="C46" t="str">
        <f t="shared" si="22"/>
        <v>VV-3-1-09</v>
      </c>
      <c r="D46" t="str">
        <f t="shared" si="23"/>
        <v>1030204</v>
      </c>
      <c r="E46" t="str">
        <f t="shared" si="24"/>
        <v>VV-3-1-09</v>
      </c>
      <c r="F46" t="s">
        <v>695</v>
      </c>
      <c r="G46" t="str">
        <f>INDEX(Sched!$J$213:$O$223, MATCH(ABT!$H46, Sched!$J$213:$J$223, 0), 6)</f>
        <v>15201_CB_DXR2M12P_US</v>
      </c>
      <c r="H46">
        <f t="shared" si="3"/>
        <v>15201</v>
      </c>
      <c r="I46">
        <f t="shared" si="4"/>
        <v>302</v>
      </c>
      <c r="J46" t="b">
        <v>0</v>
      </c>
      <c r="K46">
        <f t="shared" si="5"/>
        <v>4</v>
      </c>
      <c r="L46">
        <v>85</v>
      </c>
      <c r="M46">
        <v>38400</v>
      </c>
      <c r="N46">
        <f t="shared" si="25"/>
        <v>630</v>
      </c>
      <c r="O46">
        <f t="shared" si="26"/>
        <v>140</v>
      </c>
      <c r="P46">
        <f t="shared" si="26"/>
        <v>140</v>
      </c>
      <c r="Q46">
        <f t="shared" si="27"/>
        <v>1.3962634015954636</v>
      </c>
      <c r="R46">
        <f t="shared" si="28"/>
        <v>8</v>
      </c>
      <c r="S46">
        <f t="shared" si="9"/>
        <v>630</v>
      </c>
      <c r="T46">
        <f t="shared" si="10"/>
        <v>630</v>
      </c>
      <c r="U46">
        <f t="shared" si="11"/>
        <v>630</v>
      </c>
      <c r="V46">
        <f t="shared" si="12"/>
        <v>630</v>
      </c>
      <c r="W46">
        <f t="shared" si="13"/>
        <v>630</v>
      </c>
      <c r="X46">
        <f t="shared" si="14"/>
        <v>630</v>
      </c>
      <c r="Y46">
        <v>75</v>
      </c>
      <c r="Z46">
        <f t="shared" si="19"/>
        <v>2</v>
      </c>
      <c r="AA46">
        <v>80</v>
      </c>
      <c r="AB46">
        <v>70</v>
      </c>
      <c r="AC46">
        <f t="shared" si="20"/>
        <v>2</v>
      </c>
      <c r="AD46">
        <v>60</v>
      </c>
      <c r="AE46">
        <v>0.63</v>
      </c>
      <c r="AF46" t="str">
        <f t="shared" si="29"/>
        <v>B_01'Flr_01'B1</v>
      </c>
      <c r="AG46" t="str">
        <f>"R_" &amp; INDEX(Sched!A:AA, MATCH(ABT!$E46, SchedMark, 0), 20)</f>
        <v>R_1105.00</v>
      </c>
      <c r="AH46" t="str">
        <f t="shared" si="29"/>
        <v>B_01'Flr_01'B1</v>
      </c>
      <c r="AI46" t="str">
        <f t="shared" si="30"/>
        <v>VV-3-1-09</v>
      </c>
      <c r="AJ46" t="s">
        <v>1014</v>
      </c>
    </row>
    <row r="47" spans="1:36" x14ac:dyDescent="0.2">
      <c r="A47" s="109" t="s">
        <v>580</v>
      </c>
      <c r="B47" t="str">
        <f t="shared" si="21"/>
        <v>B_01'Flr_01'B1</v>
      </c>
      <c r="C47" t="str">
        <f t="shared" si="22"/>
        <v>VV-3-1-10</v>
      </c>
      <c r="D47" t="str">
        <f t="shared" si="23"/>
        <v>1030205</v>
      </c>
      <c r="E47" t="str">
        <f t="shared" si="24"/>
        <v>VV-3-1-10</v>
      </c>
      <c r="F47" t="s">
        <v>695</v>
      </c>
      <c r="G47" t="str">
        <f>INDEX(Sched!$J$213:$O$223, MATCH(ABT!$H47, Sched!$J$213:$J$223, 0), 6)</f>
        <v>15201_CB_DXR2M12P_US</v>
      </c>
      <c r="H47">
        <f t="shared" si="3"/>
        <v>15201</v>
      </c>
      <c r="I47">
        <f t="shared" si="4"/>
        <v>302</v>
      </c>
      <c r="J47" t="b">
        <v>0</v>
      </c>
      <c r="K47">
        <f t="shared" si="5"/>
        <v>5</v>
      </c>
      <c r="L47">
        <v>85</v>
      </c>
      <c r="M47">
        <v>38400</v>
      </c>
      <c r="N47">
        <f t="shared" si="25"/>
        <v>560</v>
      </c>
      <c r="O47">
        <f t="shared" si="26"/>
        <v>140</v>
      </c>
      <c r="P47">
        <f t="shared" si="26"/>
        <v>140</v>
      </c>
      <c r="Q47">
        <f t="shared" si="27"/>
        <v>1.3962634015954636</v>
      </c>
      <c r="R47">
        <f t="shared" si="28"/>
        <v>8</v>
      </c>
      <c r="S47">
        <f t="shared" si="9"/>
        <v>560</v>
      </c>
      <c r="T47">
        <f t="shared" si="10"/>
        <v>560</v>
      </c>
      <c r="U47">
        <f t="shared" si="11"/>
        <v>560</v>
      </c>
      <c r="V47">
        <f t="shared" si="12"/>
        <v>560</v>
      </c>
      <c r="W47">
        <f t="shared" si="13"/>
        <v>560</v>
      </c>
      <c r="X47">
        <f t="shared" si="14"/>
        <v>560</v>
      </c>
      <c r="Y47">
        <v>75</v>
      </c>
      <c r="Z47">
        <f t="shared" si="19"/>
        <v>2</v>
      </c>
      <c r="AA47">
        <v>80</v>
      </c>
      <c r="AB47">
        <v>70</v>
      </c>
      <c r="AC47">
        <f t="shared" si="20"/>
        <v>2</v>
      </c>
      <c r="AD47">
        <v>60</v>
      </c>
      <c r="AE47">
        <v>0.63</v>
      </c>
      <c r="AF47" t="str">
        <f t="shared" si="29"/>
        <v>B_01'Flr_01'B1</v>
      </c>
      <c r="AG47" t="str">
        <f>"R_" &amp; INDEX(Sched!A:AA, MATCH(ABT!$E47, SchedMark, 0), 20)</f>
        <v>R_1103.00</v>
      </c>
      <c r="AH47" t="str">
        <f t="shared" si="29"/>
        <v>B_01'Flr_01'B1</v>
      </c>
      <c r="AI47" t="str">
        <f t="shared" si="30"/>
        <v>VV-3-1-10</v>
      </c>
      <c r="AJ47" t="s">
        <v>1015</v>
      </c>
    </row>
    <row r="48" spans="1:36" x14ac:dyDescent="0.2">
      <c r="A48" s="109" t="s">
        <v>581</v>
      </c>
      <c r="B48" t="str">
        <f t="shared" si="21"/>
        <v>B_01'Flr_01'B1</v>
      </c>
      <c r="C48" t="str">
        <f t="shared" si="22"/>
        <v>VV-3-1-11</v>
      </c>
      <c r="D48" t="str">
        <f t="shared" si="23"/>
        <v>1030206</v>
      </c>
      <c r="E48" t="str">
        <f t="shared" si="24"/>
        <v>VV-3-1-11</v>
      </c>
      <c r="F48" t="s">
        <v>695</v>
      </c>
      <c r="G48" t="str">
        <f>INDEX(Sched!$J$213:$O$223, MATCH(ABT!$H48, Sched!$J$213:$J$223, 0), 6)</f>
        <v>15201_CB_DXR2M12P_US</v>
      </c>
      <c r="H48">
        <f t="shared" si="3"/>
        <v>15201</v>
      </c>
      <c r="I48">
        <f t="shared" si="4"/>
        <v>302</v>
      </c>
      <c r="J48" t="b">
        <v>0</v>
      </c>
      <c r="K48">
        <f t="shared" si="5"/>
        <v>6</v>
      </c>
      <c r="L48">
        <v>85</v>
      </c>
      <c r="M48">
        <v>38400</v>
      </c>
      <c r="N48">
        <f t="shared" si="25"/>
        <v>130</v>
      </c>
      <c r="O48">
        <f t="shared" si="26"/>
        <v>80</v>
      </c>
      <c r="P48">
        <f t="shared" si="26"/>
        <v>80</v>
      </c>
      <c r="Q48">
        <f t="shared" si="27"/>
        <v>0.78539816339744828</v>
      </c>
      <c r="R48">
        <f t="shared" si="28"/>
        <v>6</v>
      </c>
      <c r="S48">
        <f t="shared" si="9"/>
        <v>130</v>
      </c>
      <c r="T48">
        <f t="shared" si="10"/>
        <v>130</v>
      </c>
      <c r="U48">
        <f t="shared" si="11"/>
        <v>130</v>
      </c>
      <c r="V48">
        <f t="shared" si="12"/>
        <v>130</v>
      </c>
      <c r="W48">
        <f t="shared" si="13"/>
        <v>130</v>
      </c>
      <c r="X48">
        <f t="shared" si="14"/>
        <v>130</v>
      </c>
      <c r="Y48">
        <v>75</v>
      </c>
      <c r="Z48">
        <f t="shared" si="19"/>
        <v>2</v>
      </c>
      <c r="AA48">
        <v>80</v>
      </c>
      <c r="AB48">
        <v>70</v>
      </c>
      <c r="AC48">
        <f t="shared" si="20"/>
        <v>2</v>
      </c>
      <c r="AD48">
        <v>60</v>
      </c>
      <c r="AE48">
        <v>0.63</v>
      </c>
      <c r="AF48" t="str">
        <f t="shared" si="29"/>
        <v>B_01'Flr_01'B1</v>
      </c>
      <c r="AG48" t="str">
        <f>"R_" &amp; INDEX(Sched!A:AA, MATCH(ABT!$E48, SchedMark, 0), 20)</f>
        <v>R_1101.00</v>
      </c>
      <c r="AH48" t="str">
        <f t="shared" si="29"/>
        <v>B_01'Flr_01'B1</v>
      </c>
      <c r="AI48" t="str">
        <f t="shared" si="30"/>
        <v>VV-3-1-11</v>
      </c>
      <c r="AJ48" t="s">
        <v>1016</v>
      </c>
    </row>
    <row r="49" spans="1:36" x14ac:dyDescent="0.2">
      <c r="A49" s="109" t="s">
        <v>582</v>
      </c>
      <c r="B49" t="str">
        <f t="shared" si="21"/>
        <v>B_01'Flr_02'B1</v>
      </c>
      <c r="C49" t="str">
        <f t="shared" si="22"/>
        <v>VV-3-2-05</v>
      </c>
      <c r="D49" t="str">
        <f t="shared" si="23"/>
        <v>1030401</v>
      </c>
      <c r="E49" t="str">
        <f t="shared" si="24"/>
        <v>VV-3-2-05</v>
      </c>
      <c r="F49" t="s">
        <v>695</v>
      </c>
      <c r="G49" t="str">
        <f>INDEX(Sched!$J$213:$O$223, MATCH(ABT!$H49, Sched!$J$213:$J$223, 0), 6)</f>
        <v>15201_CB_DXR2M12P_US</v>
      </c>
      <c r="H49">
        <f t="shared" si="3"/>
        <v>15201</v>
      </c>
      <c r="I49">
        <f t="shared" si="4"/>
        <v>304</v>
      </c>
      <c r="J49" t="b">
        <v>0</v>
      </c>
      <c r="K49">
        <f t="shared" si="5"/>
        <v>1</v>
      </c>
      <c r="L49">
        <v>85</v>
      </c>
      <c r="M49">
        <v>38400</v>
      </c>
      <c r="N49">
        <f t="shared" si="25"/>
        <v>840</v>
      </c>
      <c r="O49">
        <f t="shared" si="26"/>
        <v>220</v>
      </c>
      <c r="P49">
        <f t="shared" si="26"/>
        <v>220</v>
      </c>
      <c r="Q49">
        <f t="shared" si="27"/>
        <v>2.1816615649929121</v>
      </c>
      <c r="R49">
        <f t="shared" si="28"/>
        <v>10</v>
      </c>
      <c r="S49">
        <f t="shared" si="9"/>
        <v>840</v>
      </c>
      <c r="T49">
        <f t="shared" si="10"/>
        <v>840</v>
      </c>
      <c r="U49">
        <f t="shared" si="11"/>
        <v>840</v>
      </c>
      <c r="V49">
        <f t="shared" si="12"/>
        <v>840</v>
      </c>
      <c r="W49">
        <f t="shared" si="13"/>
        <v>840</v>
      </c>
      <c r="X49">
        <f t="shared" si="14"/>
        <v>840</v>
      </c>
      <c r="Y49">
        <v>75</v>
      </c>
      <c r="Z49">
        <f t="shared" si="19"/>
        <v>2</v>
      </c>
      <c r="AA49">
        <v>80</v>
      </c>
      <c r="AB49">
        <v>70</v>
      </c>
      <c r="AC49">
        <f t="shared" si="20"/>
        <v>2</v>
      </c>
      <c r="AD49">
        <v>60</v>
      </c>
      <c r="AE49">
        <v>0.63</v>
      </c>
      <c r="AF49" t="str">
        <f t="shared" si="29"/>
        <v>B_01'Flr_02'B1</v>
      </c>
      <c r="AG49" t="str">
        <f>"R_" &amp; INDEX(Sched!A:AA, MATCH(ABT!$E49, SchedMark, 0), 20)</f>
        <v>R_1213.00A</v>
      </c>
      <c r="AH49" t="str">
        <f t="shared" si="29"/>
        <v>B_01'Flr_02'B1</v>
      </c>
      <c r="AI49" t="str">
        <f t="shared" si="30"/>
        <v>VV-3-2-05</v>
      </c>
      <c r="AJ49" t="s">
        <v>1017</v>
      </c>
    </row>
    <row r="50" spans="1:36" x14ac:dyDescent="0.2">
      <c r="A50" s="109" t="s">
        <v>583</v>
      </c>
      <c r="B50" t="str">
        <f t="shared" si="21"/>
        <v>B_01'Flr_02'B1</v>
      </c>
      <c r="C50" t="str">
        <f t="shared" si="22"/>
        <v>VV-3-2-06</v>
      </c>
      <c r="D50" t="str">
        <f t="shared" si="23"/>
        <v>1030402</v>
      </c>
      <c r="E50" t="str">
        <f t="shared" si="24"/>
        <v>VV-3-2-06</v>
      </c>
      <c r="F50" t="s">
        <v>695</v>
      </c>
      <c r="G50" t="str">
        <f>INDEX(Sched!$J$213:$O$223, MATCH(ABT!$H50, Sched!$J$213:$J$223, 0), 6)</f>
        <v>15201_CB_DXR2M12P_US</v>
      </c>
      <c r="H50">
        <f t="shared" si="3"/>
        <v>15201</v>
      </c>
      <c r="I50">
        <f t="shared" si="4"/>
        <v>304</v>
      </c>
      <c r="J50" t="b">
        <v>0</v>
      </c>
      <c r="K50">
        <f t="shared" si="5"/>
        <v>2</v>
      </c>
      <c r="L50">
        <v>85</v>
      </c>
      <c r="M50">
        <v>38400</v>
      </c>
      <c r="N50">
        <f t="shared" si="25"/>
        <v>100</v>
      </c>
      <c r="O50">
        <f t="shared" si="26"/>
        <v>80</v>
      </c>
      <c r="P50">
        <f t="shared" si="26"/>
        <v>80</v>
      </c>
      <c r="Q50">
        <f t="shared" si="27"/>
        <v>0.78539816339744828</v>
      </c>
      <c r="R50">
        <f t="shared" si="28"/>
        <v>6</v>
      </c>
      <c r="S50">
        <f t="shared" si="9"/>
        <v>100</v>
      </c>
      <c r="T50">
        <f t="shared" si="10"/>
        <v>100</v>
      </c>
      <c r="U50">
        <f t="shared" si="11"/>
        <v>100</v>
      </c>
      <c r="V50">
        <f t="shared" si="12"/>
        <v>100</v>
      </c>
      <c r="W50">
        <f t="shared" si="13"/>
        <v>100</v>
      </c>
      <c r="X50">
        <f t="shared" si="14"/>
        <v>100</v>
      </c>
      <c r="Y50">
        <v>75</v>
      </c>
      <c r="Z50">
        <f t="shared" si="19"/>
        <v>2</v>
      </c>
      <c r="AA50">
        <v>80</v>
      </c>
      <c r="AB50">
        <v>70</v>
      </c>
      <c r="AC50">
        <f t="shared" si="20"/>
        <v>2</v>
      </c>
      <c r="AD50">
        <v>60</v>
      </c>
      <c r="AE50">
        <v>0.63</v>
      </c>
      <c r="AF50" t="str">
        <f t="shared" si="29"/>
        <v>B_01'Flr_02'B1</v>
      </c>
      <c r="AG50" t="str">
        <f>"R_" &amp; INDEX(Sched!A:AA, MATCH(ABT!$E50, SchedMark, 0), 20)</f>
        <v>R_1213.08</v>
      </c>
      <c r="AH50" t="str">
        <f t="shared" si="29"/>
        <v>B_01'Flr_02'B1</v>
      </c>
      <c r="AI50" t="str">
        <f t="shared" si="30"/>
        <v>VV-3-2-06</v>
      </c>
      <c r="AJ50" t="s">
        <v>1018</v>
      </c>
    </row>
    <row r="51" spans="1:36" x14ac:dyDescent="0.2">
      <c r="A51" s="109" t="s">
        <v>584</v>
      </c>
      <c r="B51" t="str">
        <f t="shared" si="21"/>
        <v>B_01'Flr_02'B1</v>
      </c>
      <c r="C51" t="str">
        <f t="shared" si="22"/>
        <v>VV-3-2-07</v>
      </c>
      <c r="D51" t="str">
        <f t="shared" si="23"/>
        <v>1030403</v>
      </c>
      <c r="E51" t="str">
        <f t="shared" si="24"/>
        <v>VV-3-2-07</v>
      </c>
      <c r="F51" t="s">
        <v>695</v>
      </c>
      <c r="G51" t="str">
        <f>INDEX(Sched!$J$213:$O$223, MATCH(ABT!$H51, Sched!$J$213:$J$223, 0), 6)</f>
        <v>15201_CB_DXR2M12P_US</v>
      </c>
      <c r="H51">
        <f t="shared" si="3"/>
        <v>15201</v>
      </c>
      <c r="I51">
        <f t="shared" si="4"/>
        <v>304</v>
      </c>
      <c r="J51" t="b">
        <v>0</v>
      </c>
      <c r="K51">
        <f t="shared" si="5"/>
        <v>3</v>
      </c>
      <c r="L51">
        <v>85</v>
      </c>
      <c r="M51">
        <v>38400</v>
      </c>
      <c r="N51">
        <f t="shared" si="25"/>
        <v>270</v>
      </c>
      <c r="O51">
        <f t="shared" si="26"/>
        <v>80</v>
      </c>
      <c r="P51">
        <f t="shared" si="26"/>
        <v>80</v>
      </c>
      <c r="Q51">
        <f t="shared" si="27"/>
        <v>0.78539816339744828</v>
      </c>
      <c r="R51">
        <f t="shared" si="28"/>
        <v>6</v>
      </c>
      <c r="S51">
        <f t="shared" si="9"/>
        <v>270</v>
      </c>
      <c r="T51">
        <f t="shared" si="10"/>
        <v>270</v>
      </c>
      <c r="U51">
        <f t="shared" si="11"/>
        <v>270</v>
      </c>
      <c r="V51">
        <f t="shared" si="12"/>
        <v>270</v>
      </c>
      <c r="W51">
        <f t="shared" si="13"/>
        <v>270</v>
      </c>
      <c r="X51">
        <f t="shared" si="14"/>
        <v>270</v>
      </c>
      <c r="Y51">
        <v>75</v>
      </c>
      <c r="Z51">
        <f t="shared" si="19"/>
        <v>2</v>
      </c>
      <c r="AA51">
        <v>80</v>
      </c>
      <c r="AB51">
        <v>70</v>
      </c>
      <c r="AC51">
        <f t="shared" si="20"/>
        <v>2</v>
      </c>
      <c r="AD51">
        <v>60</v>
      </c>
      <c r="AE51">
        <v>0.63</v>
      </c>
      <c r="AF51" t="str">
        <f t="shared" si="29"/>
        <v>B_01'Flr_02'B1</v>
      </c>
      <c r="AG51" t="str">
        <f>"R_" &amp; INDEX(Sched!A:AA, MATCH(ABT!$E51, SchedMark, 0), 20)</f>
        <v>R_1211.00</v>
      </c>
      <c r="AH51" t="str">
        <f t="shared" si="29"/>
        <v>B_01'Flr_02'B1</v>
      </c>
      <c r="AI51" t="str">
        <f t="shared" si="30"/>
        <v>VV-3-2-07</v>
      </c>
      <c r="AJ51" t="s">
        <v>1019</v>
      </c>
    </row>
    <row r="52" spans="1:36" x14ac:dyDescent="0.2">
      <c r="A52" s="109" t="s">
        <v>585</v>
      </c>
      <c r="B52" t="str">
        <f t="shared" si="21"/>
        <v>B_01'Flr_02'B1</v>
      </c>
      <c r="C52" t="str">
        <f t="shared" si="22"/>
        <v>VV-3-2-08</v>
      </c>
      <c r="D52" t="str">
        <f t="shared" si="23"/>
        <v>1030404</v>
      </c>
      <c r="E52" t="str">
        <f t="shared" si="24"/>
        <v>VV-3-2-08</v>
      </c>
      <c r="F52" t="s">
        <v>695</v>
      </c>
      <c r="G52" t="str">
        <f>INDEX(Sched!$J$213:$O$223, MATCH(ABT!$H52, Sched!$J$213:$J$223, 0), 6)</f>
        <v>15201_CB_DXR2M12P_US</v>
      </c>
      <c r="H52">
        <f t="shared" si="3"/>
        <v>15201</v>
      </c>
      <c r="I52">
        <f t="shared" si="4"/>
        <v>304</v>
      </c>
      <c r="J52" t="b">
        <v>0</v>
      </c>
      <c r="K52">
        <f t="shared" si="5"/>
        <v>4</v>
      </c>
      <c r="L52">
        <v>85</v>
      </c>
      <c r="M52">
        <v>38400</v>
      </c>
      <c r="N52">
        <f t="shared" si="25"/>
        <v>85</v>
      </c>
      <c r="O52">
        <f t="shared" si="26"/>
        <v>80</v>
      </c>
      <c r="P52">
        <f t="shared" si="26"/>
        <v>80</v>
      </c>
      <c r="Q52">
        <f t="shared" si="27"/>
        <v>0.78539816339744828</v>
      </c>
      <c r="R52">
        <f t="shared" si="28"/>
        <v>6</v>
      </c>
      <c r="S52">
        <f t="shared" si="9"/>
        <v>85</v>
      </c>
      <c r="T52">
        <f t="shared" si="10"/>
        <v>85</v>
      </c>
      <c r="U52">
        <f t="shared" si="11"/>
        <v>85</v>
      </c>
      <c r="V52">
        <f t="shared" si="12"/>
        <v>85</v>
      </c>
      <c r="W52">
        <f t="shared" si="13"/>
        <v>85</v>
      </c>
      <c r="X52">
        <f t="shared" si="14"/>
        <v>85</v>
      </c>
      <c r="Y52">
        <v>75</v>
      </c>
      <c r="Z52">
        <f t="shared" si="19"/>
        <v>2</v>
      </c>
      <c r="AA52">
        <v>80</v>
      </c>
      <c r="AB52">
        <v>70</v>
      </c>
      <c r="AC52">
        <f t="shared" si="20"/>
        <v>2</v>
      </c>
      <c r="AD52">
        <v>60</v>
      </c>
      <c r="AE52">
        <v>0.63</v>
      </c>
      <c r="AF52" t="str">
        <f t="shared" si="29"/>
        <v>B_01'Flr_02'B1</v>
      </c>
      <c r="AG52" t="str">
        <f>"R_" &amp; INDEX(Sched!A:AA, MATCH(ABT!$E52, SchedMark, 0), 20)</f>
        <v>R_1211.04</v>
      </c>
      <c r="AH52" t="str">
        <f t="shared" si="29"/>
        <v>B_01'Flr_02'B1</v>
      </c>
      <c r="AI52" t="str">
        <f t="shared" si="30"/>
        <v>VV-3-2-08</v>
      </c>
      <c r="AJ52" t="s">
        <v>1020</v>
      </c>
    </row>
    <row r="53" spans="1:36" x14ac:dyDescent="0.2">
      <c r="A53" s="109" t="s">
        <v>586</v>
      </c>
      <c r="B53" t="str">
        <f t="shared" si="21"/>
        <v>B_01'Flr_02'B1</v>
      </c>
      <c r="C53" t="str">
        <f t="shared" si="22"/>
        <v>VV-3-2-09</v>
      </c>
      <c r="D53" t="str">
        <f t="shared" si="23"/>
        <v>1030405</v>
      </c>
      <c r="E53" t="str">
        <f t="shared" si="24"/>
        <v>VV-3-2-09</v>
      </c>
      <c r="F53" t="s">
        <v>695</v>
      </c>
      <c r="G53" t="str">
        <f>INDEX(Sched!$J$213:$O$223, MATCH(ABT!$H53, Sched!$J$213:$J$223, 0), 6)</f>
        <v>15201_CB_DXR2M12P_US</v>
      </c>
      <c r="H53">
        <f t="shared" si="3"/>
        <v>15201</v>
      </c>
      <c r="I53">
        <f t="shared" si="4"/>
        <v>304</v>
      </c>
      <c r="J53" t="b">
        <v>0</v>
      </c>
      <c r="K53">
        <f t="shared" si="5"/>
        <v>5</v>
      </c>
      <c r="L53">
        <v>85</v>
      </c>
      <c r="M53">
        <v>38400</v>
      </c>
      <c r="N53">
        <f t="shared" si="25"/>
        <v>185</v>
      </c>
      <c r="O53">
        <f t="shared" si="26"/>
        <v>80</v>
      </c>
      <c r="P53">
        <f t="shared" si="26"/>
        <v>80</v>
      </c>
      <c r="Q53">
        <f t="shared" si="27"/>
        <v>0.78539816339744828</v>
      </c>
      <c r="R53">
        <f t="shared" si="28"/>
        <v>6</v>
      </c>
      <c r="S53">
        <f t="shared" si="9"/>
        <v>185</v>
      </c>
      <c r="T53">
        <f t="shared" si="10"/>
        <v>185</v>
      </c>
      <c r="U53">
        <f t="shared" si="11"/>
        <v>185</v>
      </c>
      <c r="V53">
        <f t="shared" si="12"/>
        <v>185</v>
      </c>
      <c r="W53">
        <f t="shared" si="13"/>
        <v>185</v>
      </c>
      <c r="X53">
        <f t="shared" si="14"/>
        <v>185</v>
      </c>
      <c r="Y53">
        <v>75</v>
      </c>
      <c r="Z53">
        <f t="shared" si="19"/>
        <v>2</v>
      </c>
      <c r="AA53">
        <v>80</v>
      </c>
      <c r="AB53">
        <v>70</v>
      </c>
      <c r="AC53">
        <f t="shared" si="20"/>
        <v>2</v>
      </c>
      <c r="AD53">
        <v>60</v>
      </c>
      <c r="AE53">
        <v>0.63</v>
      </c>
      <c r="AF53" t="str">
        <f t="shared" si="29"/>
        <v>B_01'Flr_02'B1</v>
      </c>
      <c r="AG53" t="str">
        <f>"R_" &amp; INDEX(Sched!A:AA, MATCH(ABT!$E53, SchedMark, 0), 20)</f>
        <v>R_1211.02</v>
      </c>
      <c r="AH53" t="str">
        <f t="shared" si="29"/>
        <v>B_01'Flr_02'B1</v>
      </c>
      <c r="AI53" t="str">
        <f t="shared" si="30"/>
        <v>VV-3-2-09</v>
      </c>
      <c r="AJ53" t="s">
        <v>1021</v>
      </c>
    </row>
    <row r="54" spans="1:36" x14ac:dyDescent="0.2">
      <c r="A54" s="109" t="s">
        <v>587</v>
      </c>
      <c r="B54" t="str">
        <f t="shared" si="21"/>
        <v>B_01'Flr_02'B1</v>
      </c>
      <c r="C54" t="str">
        <f t="shared" si="22"/>
        <v>VV-3-2-10</v>
      </c>
      <c r="D54" t="str">
        <f t="shared" si="23"/>
        <v>1030406</v>
      </c>
      <c r="E54" t="str">
        <f t="shared" si="24"/>
        <v>VV-3-2-10</v>
      </c>
      <c r="F54" t="s">
        <v>695</v>
      </c>
      <c r="G54" t="str">
        <f>INDEX(Sched!$J$213:$O$223, MATCH(ABT!$H54, Sched!$J$213:$J$223, 0), 6)</f>
        <v>15201_CB_DXR2M12P_US</v>
      </c>
      <c r="H54">
        <f t="shared" si="3"/>
        <v>15201</v>
      </c>
      <c r="I54">
        <f t="shared" si="4"/>
        <v>304</v>
      </c>
      <c r="J54" t="b">
        <v>0</v>
      </c>
      <c r="K54">
        <f t="shared" si="5"/>
        <v>6</v>
      </c>
      <c r="L54">
        <v>85</v>
      </c>
      <c r="M54">
        <v>38400</v>
      </c>
      <c r="N54">
        <f t="shared" si="25"/>
        <v>225</v>
      </c>
      <c r="O54">
        <f t="shared" si="26"/>
        <v>80</v>
      </c>
      <c r="P54">
        <f t="shared" si="26"/>
        <v>80</v>
      </c>
      <c r="Q54">
        <f t="shared" si="27"/>
        <v>0.78539816339744828</v>
      </c>
      <c r="R54">
        <f t="shared" si="28"/>
        <v>6</v>
      </c>
      <c r="S54">
        <f t="shared" si="9"/>
        <v>225</v>
      </c>
      <c r="T54">
        <f t="shared" si="10"/>
        <v>225</v>
      </c>
      <c r="U54">
        <f t="shared" si="11"/>
        <v>225</v>
      </c>
      <c r="V54">
        <f t="shared" si="12"/>
        <v>225</v>
      </c>
      <c r="W54">
        <f t="shared" si="13"/>
        <v>225</v>
      </c>
      <c r="X54">
        <f t="shared" si="14"/>
        <v>225</v>
      </c>
      <c r="Y54">
        <v>75</v>
      </c>
      <c r="Z54">
        <f t="shared" si="19"/>
        <v>2</v>
      </c>
      <c r="AA54">
        <v>80</v>
      </c>
      <c r="AB54">
        <v>70</v>
      </c>
      <c r="AC54">
        <f t="shared" si="20"/>
        <v>2</v>
      </c>
      <c r="AD54">
        <v>60</v>
      </c>
      <c r="AE54">
        <v>0.63</v>
      </c>
      <c r="AF54" t="str">
        <f t="shared" si="29"/>
        <v>B_01'Flr_02'B1</v>
      </c>
      <c r="AG54" t="str">
        <f>"R_" &amp; INDEX(Sched!A:AA, MATCH(ABT!$E54, SchedMark, 0), 20)</f>
        <v>R_1209.02</v>
      </c>
      <c r="AH54" t="str">
        <f t="shared" si="29"/>
        <v>B_01'Flr_02'B1</v>
      </c>
      <c r="AI54" t="str">
        <f t="shared" si="30"/>
        <v>VV-3-2-10</v>
      </c>
      <c r="AJ54" t="s">
        <v>1022</v>
      </c>
    </row>
    <row r="55" spans="1:36" x14ac:dyDescent="0.2">
      <c r="A55" s="109" t="s">
        <v>588</v>
      </c>
      <c r="B55" t="str">
        <f t="shared" si="21"/>
        <v>B_01'Flr_02'B1</v>
      </c>
      <c r="C55" t="str">
        <f t="shared" si="22"/>
        <v>VV-3-2-11</v>
      </c>
      <c r="D55" t="str">
        <f t="shared" si="23"/>
        <v>1030407</v>
      </c>
      <c r="E55" t="str">
        <f t="shared" si="24"/>
        <v>VV-3-2-11</v>
      </c>
      <c r="F55" t="s">
        <v>695</v>
      </c>
      <c r="G55" t="str">
        <f>INDEX(Sched!$J$213:$O$223, MATCH(ABT!$H55, Sched!$J$213:$J$223, 0), 6)</f>
        <v>15201_CB_DXR2M12P_US</v>
      </c>
      <c r="H55">
        <f t="shared" si="3"/>
        <v>15201</v>
      </c>
      <c r="I55">
        <f t="shared" si="4"/>
        <v>304</v>
      </c>
      <c r="J55" t="b">
        <v>0</v>
      </c>
      <c r="K55">
        <f t="shared" si="5"/>
        <v>7</v>
      </c>
      <c r="L55">
        <v>85</v>
      </c>
      <c r="M55">
        <v>38400</v>
      </c>
      <c r="N55">
        <f t="shared" si="25"/>
        <v>270</v>
      </c>
      <c r="O55">
        <f t="shared" si="26"/>
        <v>80</v>
      </c>
      <c r="P55">
        <f t="shared" si="26"/>
        <v>80</v>
      </c>
      <c r="Q55">
        <f t="shared" si="27"/>
        <v>0.78539816339744828</v>
      </c>
      <c r="R55">
        <f t="shared" si="28"/>
        <v>6</v>
      </c>
      <c r="S55">
        <f t="shared" si="9"/>
        <v>270</v>
      </c>
      <c r="T55">
        <f t="shared" si="10"/>
        <v>270</v>
      </c>
      <c r="U55">
        <f t="shared" si="11"/>
        <v>270</v>
      </c>
      <c r="V55">
        <f t="shared" si="12"/>
        <v>270</v>
      </c>
      <c r="W55">
        <f t="shared" si="13"/>
        <v>270</v>
      </c>
      <c r="X55">
        <f t="shared" si="14"/>
        <v>270</v>
      </c>
      <c r="Y55">
        <v>75</v>
      </c>
      <c r="Z55">
        <f t="shared" si="19"/>
        <v>2</v>
      </c>
      <c r="AA55">
        <v>80</v>
      </c>
      <c r="AB55">
        <v>70</v>
      </c>
      <c r="AC55">
        <f t="shared" si="20"/>
        <v>2</v>
      </c>
      <c r="AD55">
        <v>60</v>
      </c>
      <c r="AE55">
        <v>0.63</v>
      </c>
      <c r="AF55" t="str">
        <f t="shared" si="29"/>
        <v>B_01'Flr_02'B1</v>
      </c>
      <c r="AG55" t="str">
        <f>"R_" &amp; INDEX(Sched!A:AA, MATCH(ABT!$E55, SchedMark, 0), 20)</f>
        <v>R_1209.03</v>
      </c>
      <c r="AH55" t="str">
        <f t="shared" si="29"/>
        <v>B_01'Flr_02'B1</v>
      </c>
      <c r="AI55" t="str">
        <f t="shared" si="30"/>
        <v>VV-3-2-11</v>
      </c>
      <c r="AJ55" t="s">
        <v>1023</v>
      </c>
    </row>
    <row r="56" spans="1:36" x14ac:dyDescent="0.2">
      <c r="A56" s="109" t="s">
        <v>589</v>
      </c>
      <c r="B56" t="str">
        <f t="shared" si="21"/>
        <v>B_01'Flr_02'B1</v>
      </c>
      <c r="C56" t="str">
        <f t="shared" si="22"/>
        <v>VV-3-2-12</v>
      </c>
      <c r="D56" t="str">
        <f t="shared" si="23"/>
        <v>1030408</v>
      </c>
      <c r="E56" t="str">
        <f t="shared" si="24"/>
        <v>VV-3-2-12</v>
      </c>
      <c r="F56" t="s">
        <v>695</v>
      </c>
      <c r="G56" t="str">
        <f>INDEX(Sched!$J$213:$O$223, MATCH(ABT!$H56, Sched!$J$213:$J$223, 0), 6)</f>
        <v>15201_CB_DXR2M12P_US</v>
      </c>
      <c r="H56">
        <f t="shared" si="3"/>
        <v>15201</v>
      </c>
      <c r="I56">
        <f t="shared" si="4"/>
        <v>304</v>
      </c>
      <c r="J56" t="b">
        <v>0</v>
      </c>
      <c r="K56">
        <f t="shared" si="5"/>
        <v>8</v>
      </c>
      <c r="L56">
        <v>85</v>
      </c>
      <c r="M56">
        <v>38400</v>
      </c>
      <c r="N56">
        <f t="shared" si="25"/>
        <v>260</v>
      </c>
      <c r="O56">
        <f t="shared" si="26"/>
        <v>80</v>
      </c>
      <c r="P56">
        <f t="shared" si="26"/>
        <v>80</v>
      </c>
      <c r="Q56">
        <f t="shared" si="27"/>
        <v>0.78539816339744828</v>
      </c>
      <c r="R56">
        <f t="shared" si="28"/>
        <v>6</v>
      </c>
      <c r="S56">
        <f t="shared" si="9"/>
        <v>260</v>
      </c>
      <c r="T56">
        <f t="shared" si="10"/>
        <v>260</v>
      </c>
      <c r="U56">
        <f t="shared" si="11"/>
        <v>260</v>
      </c>
      <c r="V56">
        <f t="shared" si="12"/>
        <v>260</v>
      </c>
      <c r="W56">
        <f t="shared" si="13"/>
        <v>260</v>
      </c>
      <c r="X56">
        <f t="shared" si="14"/>
        <v>260</v>
      </c>
      <c r="Y56">
        <v>75</v>
      </c>
      <c r="Z56">
        <f t="shared" si="19"/>
        <v>2</v>
      </c>
      <c r="AA56">
        <v>80</v>
      </c>
      <c r="AB56">
        <v>70</v>
      </c>
      <c r="AC56">
        <f t="shared" si="20"/>
        <v>2</v>
      </c>
      <c r="AD56">
        <v>60</v>
      </c>
      <c r="AE56">
        <v>0.63</v>
      </c>
      <c r="AF56" t="str">
        <f t="shared" si="29"/>
        <v>B_01'Flr_02'B1</v>
      </c>
      <c r="AG56" t="str">
        <f>"R_" &amp; INDEX(Sched!A:AA, MATCH(ABT!$E56, SchedMark, 0), 20)</f>
        <v>R_1209.00A</v>
      </c>
      <c r="AH56" t="str">
        <f t="shared" si="29"/>
        <v>B_01'Flr_02'B1</v>
      </c>
      <c r="AI56" t="str">
        <f t="shared" si="30"/>
        <v>VV-3-2-12</v>
      </c>
      <c r="AJ56" t="s">
        <v>1024</v>
      </c>
    </row>
    <row r="57" spans="1:36" x14ac:dyDescent="0.2">
      <c r="A57" s="109" t="s">
        <v>590</v>
      </c>
      <c r="B57" t="str">
        <f t="shared" si="21"/>
        <v>B_01'Flr_02'B1</v>
      </c>
      <c r="C57" t="str">
        <f t="shared" si="22"/>
        <v>VV-3-2-13</v>
      </c>
      <c r="D57" t="str">
        <f t="shared" si="23"/>
        <v>1030409</v>
      </c>
      <c r="E57" t="str">
        <f t="shared" si="24"/>
        <v>VV-3-2-13</v>
      </c>
      <c r="F57" t="s">
        <v>695</v>
      </c>
      <c r="G57" t="str">
        <f>INDEX(Sched!$J$213:$O$223, MATCH(ABT!$H57, Sched!$J$213:$J$223, 0), 6)</f>
        <v>15201_CB_DXR2M12P_US</v>
      </c>
      <c r="H57">
        <f t="shared" si="3"/>
        <v>15201</v>
      </c>
      <c r="I57">
        <f t="shared" si="4"/>
        <v>304</v>
      </c>
      <c r="J57" t="b">
        <v>0</v>
      </c>
      <c r="K57">
        <f t="shared" si="5"/>
        <v>9</v>
      </c>
      <c r="L57">
        <v>85</v>
      </c>
      <c r="M57">
        <v>38400</v>
      </c>
      <c r="N57">
        <f t="shared" si="25"/>
        <v>215</v>
      </c>
      <c r="O57">
        <f t="shared" si="26"/>
        <v>170</v>
      </c>
      <c r="P57">
        <f t="shared" si="26"/>
        <v>170</v>
      </c>
      <c r="Q57">
        <f t="shared" si="27"/>
        <v>0.78539816339744828</v>
      </c>
      <c r="R57">
        <f t="shared" si="28"/>
        <v>6</v>
      </c>
      <c r="S57">
        <f t="shared" si="9"/>
        <v>215</v>
      </c>
      <c r="T57">
        <f t="shared" si="10"/>
        <v>215</v>
      </c>
      <c r="U57">
        <f t="shared" si="11"/>
        <v>215</v>
      </c>
      <c r="V57">
        <f t="shared" si="12"/>
        <v>215</v>
      </c>
      <c r="W57">
        <f t="shared" si="13"/>
        <v>215</v>
      </c>
      <c r="X57">
        <f t="shared" si="14"/>
        <v>215</v>
      </c>
      <c r="Y57">
        <v>75</v>
      </c>
      <c r="Z57">
        <f t="shared" si="19"/>
        <v>2</v>
      </c>
      <c r="AA57">
        <v>80</v>
      </c>
      <c r="AB57">
        <v>70</v>
      </c>
      <c r="AC57">
        <f t="shared" si="20"/>
        <v>2</v>
      </c>
      <c r="AD57">
        <v>60</v>
      </c>
      <c r="AE57">
        <v>0.63</v>
      </c>
      <c r="AF57" t="str">
        <f t="shared" si="29"/>
        <v>B_01'Flr_02'B1</v>
      </c>
      <c r="AG57" t="str">
        <f>"R_" &amp; INDEX(Sched!A:AA, MATCH(ABT!$E57, SchedMark, 0), 20)</f>
        <v>R_1209.04</v>
      </c>
      <c r="AH57" t="str">
        <f t="shared" si="29"/>
        <v>B_01'Flr_02'B1</v>
      </c>
      <c r="AI57" t="str">
        <f t="shared" si="30"/>
        <v>VV-3-2-13</v>
      </c>
      <c r="AJ57" t="s">
        <v>1025</v>
      </c>
    </row>
    <row r="58" spans="1:36" x14ac:dyDescent="0.2">
      <c r="A58" s="109" t="s">
        <v>591</v>
      </c>
      <c r="B58" t="str">
        <f t="shared" si="21"/>
        <v>B_01'Flr_02'B1</v>
      </c>
      <c r="C58" t="str">
        <f t="shared" si="22"/>
        <v>VV-3-2-15</v>
      </c>
      <c r="D58" t="str">
        <f t="shared" si="23"/>
        <v>1030410</v>
      </c>
      <c r="E58" t="str">
        <f t="shared" si="24"/>
        <v>VV-3-2-15</v>
      </c>
      <c r="F58" t="s">
        <v>695</v>
      </c>
      <c r="G58" t="str">
        <f>INDEX(Sched!$J$213:$O$223, MATCH(ABT!$H58, Sched!$J$213:$J$223, 0), 6)</f>
        <v>15201_CB_DXR2M12P_US</v>
      </c>
      <c r="H58">
        <f t="shared" si="3"/>
        <v>15201</v>
      </c>
      <c r="I58">
        <f t="shared" si="4"/>
        <v>304</v>
      </c>
      <c r="J58" t="b">
        <v>0</v>
      </c>
      <c r="K58">
        <f t="shared" si="5"/>
        <v>10</v>
      </c>
      <c r="L58">
        <v>85</v>
      </c>
      <c r="M58">
        <v>38400</v>
      </c>
      <c r="N58">
        <f t="shared" si="25"/>
        <v>270</v>
      </c>
      <c r="O58">
        <f t="shared" si="26"/>
        <v>80</v>
      </c>
      <c r="P58">
        <f t="shared" si="26"/>
        <v>80</v>
      </c>
      <c r="Q58">
        <f t="shared" si="27"/>
        <v>0.78539816339744828</v>
      </c>
      <c r="R58">
        <f t="shared" si="28"/>
        <v>6</v>
      </c>
      <c r="S58">
        <f t="shared" si="9"/>
        <v>270</v>
      </c>
      <c r="T58">
        <f t="shared" si="10"/>
        <v>270</v>
      </c>
      <c r="U58">
        <f t="shared" si="11"/>
        <v>270</v>
      </c>
      <c r="V58">
        <f t="shared" si="12"/>
        <v>270</v>
      </c>
      <c r="W58">
        <f t="shared" si="13"/>
        <v>270</v>
      </c>
      <c r="X58">
        <f t="shared" si="14"/>
        <v>270</v>
      </c>
      <c r="Y58">
        <v>75</v>
      </c>
      <c r="Z58">
        <f t="shared" si="19"/>
        <v>2</v>
      </c>
      <c r="AA58">
        <v>80</v>
      </c>
      <c r="AB58">
        <v>70</v>
      </c>
      <c r="AC58">
        <f t="shared" si="20"/>
        <v>2</v>
      </c>
      <c r="AD58">
        <v>60</v>
      </c>
      <c r="AE58">
        <v>0.63</v>
      </c>
      <c r="AF58" t="str">
        <f t="shared" si="29"/>
        <v>B_01'Flr_02'B1</v>
      </c>
      <c r="AG58" t="str">
        <f>"R_" &amp; INDEX(Sched!A:AA, MATCH(ABT!$E58, SchedMark, 0), 20)</f>
        <v>R_1205.00</v>
      </c>
      <c r="AH58" t="str">
        <f t="shared" si="29"/>
        <v>B_01'Flr_02'B1</v>
      </c>
      <c r="AI58" t="str">
        <f t="shared" si="30"/>
        <v>VV-3-2-15</v>
      </c>
      <c r="AJ58" s="10" t="s">
        <v>1026</v>
      </c>
    </row>
    <row r="59" spans="1:36" x14ac:dyDescent="0.2">
      <c r="A59" s="109" t="s">
        <v>592</v>
      </c>
      <c r="B59" t="str">
        <f t="shared" si="21"/>
        <v>B_01'Flr_02'B1</v>
      </c>
      <c r="C59" t="str">
        <f t="shared" si="22"/>
        <v>VV-3-2-16</v>
      </c>
      <c r="D59" t="str">
        <f t="shared" si="23"/>
        <v>1030411</v>
      </c>
      <c r="E59" t="str">
        <f t="shared" si="24"/>
        <v>VV-3-2-16</v>
      </c>
      <c r="F59" t="s">
        <v>695</v>
      </c>
      <c r="G59" t="str">
        <f>INDEX(Sched!$J$213:$O$223, MATCH(ABT!$H59, Sched!$J$213:$J$223, 0), 6)</f>
        <v>15201_CB_DXR2M12P_US</v>
      </c>
      <c r="H59">
        <f t="shared" si="3"/>
        <v>15201</v>
      </c>
      <c r="I59">
        <f t="shared" si="4"/>
        <v>304</v>
      </c>
      <c r="J59" t="b">
        <v>0</v>
      </c>
      <c r="K59">
        <f t="shared" si="5"/>
        <v>11</v>
      </c>
      <c r="L59">
        <v>85</v>
      </c>
      <c r="M59">
        <v>38400</v>
      </c>
      <c r="N59">
        <f t="shared" si="25"/>
        <v>580</v>
      </c>
      <c r="O59">
        <f t="shared" si="26"/>
        <v>140</v>
      </c>
      <c r="P59">
        <f t="shared" si="26"/>
        <v>140</v>
      </c>
      <c r="Q59">
        <f t="shared" si="27"/>
        <v>1.3962634015954636</v>
      </c>
      <c r="R59">
        <f t="shared" si="28"/>
        <v>8</v>
      </c>
      <c r="S59">
        <f t="shared" si="9"/>
        <v>580</v>
      </c>
      <c r="T59">
        <f t="shared" si="10"/>
        <v>580</v>
      </c>
      <c r="U59">
        <f t="shared" si="11"/>
        <v>580</v>
      </c>
      <c r="V59">
        <f t="shared" si="12"/>
        <v>580</v>
      </c>
      <c r="W59">
        <f t="shared" si="13"/>
        <v>580</v>
      </c>
      <c r="X59">
        <f t="shared" si="14"/>
        <v>580</v>
      </c>
      <c r="Y59">
        <v>75</v>
      </c>
      <c r="Z59">
        <f t="shared" si="19"/>
        <v>2</v>
      </c>
      <c r="AA59">
        <v>80</v>
      </c>
      <c r="AB59">
        <v>70</v>
      </c>
      <c r="AC59">
        <f t="shared" si="20"/>
        <v>2</v>
      </c>
      <c r="AD59">
        <v>60</v>
      </c>
      <c r="AE59">
        <v>0.63</v>
      </c>
      <c r="AF59" t="str">
        <f t="shared" si="29"/>
        <v>B_01'Flr_02'B1</v>
      </c>
      <c r="AG59" t="str">
        <f>"R_" &amp; INDEX(Sched!A:AA, MATCH(ABT!$E59, SchedMark, 0), 20)</f>
        <v>R_1204.00</v>
      </c>
      <c r="AH59" t="str">
        <f t="shared" si="29"/>
        <v>B_01'Flr_02'B1</v>
      </c>
      <c r="AI59" t="str">
        <f t="shared" si="30"/>
        <v>VV-3-2-16</v>
      </c>
      <c r="AJ59" t="s">
        <v>1027</v>
      </c>
    </row>
    <row r="60" spans="1:36" x14ac:dyDescent="0.2">
      <c r="A60" s="109" t="s">
        <v>593</v>
      </c>
      <c r="B60" t="str">
        <f t="shared" si="21"/>
        <v>B_01'Flr_02'B1</v>
      </c>
      <c r="C60" t="str">
        <f t="shared" si="22"/>
        <v>VV-3-2-17</v>
      </c>
      <c r="D60" t="str">
        <f t="shared" si="23"/>
        <v>1030412</v>
      </c>
      <c r="E60" t="str">
        <f t="shared" si="24"/>
        <v>VV-3-2-17</v>
      </c>
      <c r="F60" t="s">
        <v>695</v>
      </c>
      <c r="G60" t="str">
        <f>INDEX(Sched!$J$213:$O$223, MATCH(ABT!$H60, Sched!$J$213:$J$223, 0), 6)</f>
        <v>15201_CB_DXR2M12P_US</v>
      </c>
      <c r="H60">
        <f t="shared" si="3"/>
        <v>15201</v>
      </c>
      <c r="I60">
        <f t="shared" si="4"/>
        <v>304</v>
      </c>
      <c r="J60" t="b">
        <v>0</v>
      </c>
      <c r="K60">
        <f t="shared" si="5"/>
        <v>12</v>
      </c>
      <c r="L60">
        <v>85</v>
      </c>
      <c r="M60">
        <v>38400</v>
      </c>
      <c r="N60">
        <f t="shared" si="25"/>
        <v>245</v>
      </c>
      <c r="O60">
        <f t="shared" si="26"/>
        <v>80</v>
      </c>
      <c r="P60">
        <f t="shared" si="26"/>
        <v>80</v>
      </c>
      <c r="Q60">
        <f t="shared" si="27"/>
        <v>0.78539816339744828</v>
      </c>
      <c r="R60">
        <f t="shared" si="28"/>
        <v>6</v>
      </c>
      <c r="S60">
        <f t="shared" si="9"/>
        <v>245</v>
      </c>
      <c r="T60">
        <f t="shared" si="10"/>
        <v>245</v>
      </c>
      <c r="U60">
        <f t="shared" si="11"/>
        <v>245</v>
      </c>
      <c r="V60">
        <f t="shared" si="12"/>
        <v>245</v>
      </c>
      <c r="W60">
        <f t="shared" si="13"/>
        <v>245</v>
      </c>
      <c r="X60">
        <f t="shared" si="14"/>
        <v>245</v>
      </c>
      <c r="Y60">
        <v>75</v>
      </c>
      <c r="Z60">
        <f t="shared" si="19"/>
        <v>2</v>
      </c>
      <c r="AA60">
        <v>80</v>
      </c>
      <c r="AB60">
        <v>70</v>
      </c>
      <c r="AC60">
        <f t="shared" si="20"/>
        <v>2</v>
      </c>
      <c r="AD60">
        <v>60</v>
      </c>
      <c r="AE60">
        <v>0.63</v>
      </c>
      <c r="AF60" t="str">
        <f t="shared" si="29"/>
        <v>B_01'Flr_02'B1</v>
      </c>
      <c r="AG60" t="str">
        <f>"R_" &amp; INDEX(Sched!A:AA, MATCH(ABT!$E60, SchedMark, 0), 20)</f>
        <v>R_1201.04</v>
      </c>
      <c r="AH60" t="str">
        <f t="shared" si="29"/>
        <v>B_01'Flr_02'B1</v>
      </c>
      <c r="AI60" t="str">
        <f t="shared" si="30"/>
        <v>VV-3-2-17</v>
      </c>
      <c r="AJ60" t="s">
        <v>1028</v>
      </c>
    </row>
    <row r="61" spans="1:36" x14ac:dyDescent="0.2">
      <c r="A61" s="109" t="s">
        <v>594</v>
      </c>
      <c r="B61" t="str">
        <f t="shared" si="21"/>
        <v>B_01'Flr_02'B1</v>
      </c>
      <c r="C61" t="str">
        <f t="shared" si="22"/>
        <v>VV-3-2-18</v>
      </c>
      <c r="D61" t="str">
        <f t="shared" si="23"/>
        <v>1030413</v>
      </c>
      <c r="E61" t="str">
        <f t="shared" si="24"/>
        <v>VV-3-2-18</v>
      </c>
      <c r="F61" t="s">
        <v>695</v>
      </c>
      <c r="G61" t="str">
        <f>INDEX(Sched!$J$213:$O$223, MATCH(ABT!$H61, Sched!$J$213:$J$223, 0), 6)</f>
        <v>15201_CB_DXR2M12P_US</v>
      </c>
      <c r="H61">
        <f t="shared" si="3"/>
        <v>15201</v>
      </c>
      <c r="I61">
        <f t="shared" si="4"/>
        <v>304</v>
      </c>
      <c r="J61" t="b">
        <v>0</v>
      </c>
      <c r="K61">
        <f t="shared" si="5"/>
        <v>13</v>
      </c>
      <c r="L61">
        <v>85</v>
      </c>
      <c r="M61">
        <v>38400</v>
      </c>
      <c r="N61">
        <f t="shared" si="25"/>
        <v>430</v>
      </c>
      <c r="O61">
        <f t="shared" si="26"/>
        <v>140</v>
      </c>
      <c r="P61">
        <f t="shared" si="26"/>
        <v>140</v>
      </c>
      <c r="Q61">
        <f t="shared" si="27"/>
        <v>1.3962634015954636</v>
      </c>
      <c r="R61">
        <f t="shared" si="28"/>
        <v>8</v>
      </c>
      <c r="S61">
        <f t="shared" si="9"/>
        <v>430</v>
      </c>
      <c r="T61">
        <f t="shared" si="10"/>
        <v>430</v>
      </c>
      <c r="U61">
        <f t="shared" si="11"/>
        <v>430</v>
      </c>
      <c r="V61">
        <f t="shared" si="12"/>
        <v>430</v>
      </c>
      <c r="W61">
        <f t="shared" si="13"/>
        <v>430</v>
      </c>
      <c r="X61">
        <f t="shared" si="14"/>
        <v>430</v>
      </c>
      <c r="Y61">
        <v>75</v>
      </c>
      <c r="Z61">
        <f t="shared" si="19"/>
        <v>2</v>
      </c>
      <c r="AA61">
        <v>80</v>
      </c>
      <c r="AB61">
        <v>70</v>
      </c>
      <c r="AC61">
        <f t="shared" si="20"/>
        <v>2</v>
      </c>
      <c r="AD61">
        <v>60</v>
      </c>
      <c r="AE61">
        <v>0.63</v>
      </c>
      <c r="AF61" t="str">
        <f t="shared" si="29"/>
        <v>B_01'Flr_02'B1</v>
      </c>
      <c r="AG61" t="str">
        <f>"R_" &amp; INDEX(Sched!A:AA, MATCH(ABT!$E61, SchedMark, 0), 20)</f>
        <v>R_1201.00</v>
      </c>
      <c r="AH61" t="str">
        <f t="shared" si="29"/>
        <v>B_01'Flr_02'B1</v>
      </c>
      <c r="AI61" t="str">
        <f t="shared" si="30"/>
        <v>VV-3-2-18</v>
      </c>
      <c r="AJ61" t="s">
        <v>1029</v>
      </c>
    </row>
    <row r="62" spans="1:36" x14ac:dyDescent="0.2">
      <c r="A62" s="109" t="s">
        <v>595</v>
      </c>
      <c r="B62" t="str">
        <f t="shared" si="21"/>
        <v>B_01'Flr_02'B1</v>
      </c>
      <c r="C62" t="str">
        <f t="shared" si="22"/>
        <v>VV-3-2-19</v>
      </c>
      <c r="D62" t="str">
        <f t="shared" si="23"/>
        <v>1030414</v>
      </c>
      <c r="E62" t="str">
        <f t="shared" si="24"/>
        <v>VV-3-2-19</v>
      </c>
      <c r="F62" t="s">
        <v>695</v>
      </c>
      <c r="G62" t="str">
        <f>INDEX(Sched!$J$213:$O$223, MATCH(ABT!$H62, Sched!$J$213:$J$223, 0), 6)</f>
        <v>15201_CB_DXR2M12P_US</v>
      </c>
      <c r="H62">
        <f t="shared" si="3"/>
        <v>15201</v>
      </c>
      <c r="I62">
        <f t="shared" si="4"/>
        <v>304</v>
      </c>
      <c r="J62" t="b">
        <v>0</v>
      </c>
      <c r="K62">
        <f t="shared" si="5"/>
        <v>14</v>
      </c>
      <c r="L62">
        <v>85</v>
      </c>
      <c r="M62">
        <v>38400</v>
      </c>
      <c r="N62">
        <f t="shared" si="25"/>
        <v>270</v>
      </c>
      <c r="O62">
        <f t="shared" si="26"/>
        <v>270</v>
      </c>
      <c r="P62">
        <f t="shared" si="26"/>
        <v>270</v>
      </c>
      <c r="Q62">
        <f t="shared" si="27"/>
        <v>0.78539816339744828</v>
      </c>
      <c r="R62">
        <f t="shared" si="28"/>
        <v>6</v>
      </c>
      <c r="S62">
        <f t="shared" si="9"/>
        <v>270</v>
      </c>
      <c r="T62">
        <f t="shared" si="10"/>
        <v>270</v>
      </c>
      <c r="U62">
        <f t="shared" si="11"/>
        <v>270</v>
      </c>
      <c r="V62">
        <f t="shared" si="12"/>
        <v>270</v>
      </c>
      <c r="W62">
        <f t="shared" si="13"/>
        <v>270</v>
      </c>
      <c r="X62">
        <f t="shared" si="14"/>
        <v>270</v>
      </c>
      <c r="Y62">
        <v>75</v>
      </c>
      <c r="Z62">
        <f t="shared" si="19"/>
        <v>2</v>
      </c>
      <c r="AA62">
        <v>80</v>
      </c>
      <c r="AB62">
        <v>70</v>
      </c>
      <c r="AC62">
        <f t="shared" si="20"/>
        <v>2</v>
      </c>
      <c r="AD62">
        <v>60</v>
      </c>
      <c r="AE62">
        <v>0.63</v>
      </c>
      <c r="AF62" t="str">
        <f t="shared" si="29"/>
        <v>B_01'Flr_02'B1</v>
      </c>
      <c r="AG62" t="str">
        <f>"R_" &amp; INDEX(Sched!A:AA, MATCH(ABT!$E62, SchedMark, 0), 20)</f>
        <v>R_1200.02</v>
      </c>
      <c r="AH62" t="str">
        <f t="shared" si="29"/>
        <v>B_01'Flr_02'B1</v>
      </c>
      <c r="AI62" t="str">
        <f t="shared" si="30"/>
        <v>VV-3-2-19</v>
      </c>
      <c r="AJ62" t="s">
        <v>1030</v>
      </c>
    </row>
    <row r="63" spans="1:36" x14ac:dyDescent="0.2">
      <c r="A63" s="109" t="s">
        <v>596</v>
      </c>
      <c r="B63" t="str">
        <f t="shared" si="21"/>
        <v>B_01'Flr_00'A1</v>
      </c>
      <c r="C63" t="str">
        <f t="shared" si="22"/>
        <v>VV-3-0-01</v>
      </c>
      <c r="D63" t="str">
        <f t="shared" si="23"/>
        <v>1030113</v>
      </c>
      <c r="E63" t="str">
        <f t="shared" si="24"/>
        <v>VV-3-0-01</v>
      </c>
      <c r="F63" t="s">
        <v>695</v>
      </c>
      <c r="G63" t="str">
        <f>INDEX(Sched!$J$213:$O$223, MATCH(ABT!$H63, Sched!$J$213:$J$223, 0), 6)</f>
        <v>15201_CB_DXR2M12P_US</v>
      </c>
      <c r="H63">
        <f t="shared" si="3"/>
        <v>15201</v>
      </c>
      <c r="I63">
        <f t="shared" si="4"/>
        <v>301</v>
      </c>
      <c r="J63" t="b">
        <v>0</v>
      </c>
      <c r="K63">
        <f t="shared" si="5"/>
        <v>13</v>
      </c>
      <c r="L63">
        <v>85</v>
      </c>
      <c r="M63">
        <v>38400</v>
      </c>
      <c r="N63">
        <f t="shared" si="25"/>
        <v>425</v>
      </c>
      <c r="O63">
        <f t="shared" si="26"/>
        <v>80</v>
      </c>
      <c r="P63">
        <f t="shared" si="26"/>
        <v>80</v>
      </c>
      <c r="Q63">
        <f t="shared" si="27"/>
        <v>1.3962634015954636</v>
      </c>
      <c r="R63">
        <f t="shared" si="28"/>
        <v>8</v>
      </c>
      <c r="S63">
        <f t="shared" si="9"/>
        <v>425</v>
      </c>
      <c r="T63">
        <f t="shared" si="10"/>
        <v>425</v>
      </c>
      <c r="U63">
        <f t="shared" si="11"/>
        <v>425</v>
      </c>
      <c r="V63">
        <f t="shared" si="12"/>
        <v>425</v>
      </c>
      <c r="W63">
        <f t="shared" si="13"/>
        <v>425</v>
      </c>
      <c r="X63">
        <f t="shared" si="14"/>
        <v>425</v>
      </c>
      <c r="Y63">
        <v>75</v>
      </c>
      <c r="Z63">
        <f t="shared" si="19"/>
        <v>2</v>
      </c>
      <c r="AA63">
        <v>80</v>
      </c>
      <c r="AB63">
        <v>70</v>
      </c>
      <c r="AC63">
        <f t="shared" si="20"/>
        <v>2</v>
      </c>
      <c r="AD63">
        <v>60</v>
      </c>
      <c r="AE63">
        <v>0.63</v>
      </c>
      <c r="AF63" t="str">
        <f t="shared" si="29"/>
        <v>B_01'Flr_00'A1</v>
      </c>
      <c r="AG63" t="str">
        <f>"R_" &amp; INDEX(Sched!A:AA, MATCH(ABT!$E63, SchedMark, 0), 20)</f>
        <v>R_1007.01</v>
      </c>
      <c r="AH63" t="str">
        <f t="shared" si="29"/>
        <v>B_01'Flr_00'A1</v>
      </c>
      <c r="AI63" t="str">
        <f t="shared" si="30"/>
        <v>VV-3-0-01</v>
      </c>
      <c r="AJ63" t="s">
        <v>1031</v>
      </c>
    </row>
    <row r="64" spans="1:36" x14ac:dyDescent="0.2">
      <c r="A64" s="109" t="s">
        <v>597</v>
      </c>
      <c r="B64" t="str">
        <f t="shared" si="21"/>
        <v>B_01'Flr_00'A1</v>
      </c>
      <c r="C64" t="str">
        <f t="shared" si="22"/>
        <v>VV-3-0-02</v>
      </c>
      <c r="D64" t="str">
        <f t="shared" si="23"/>
        <v>1030114</v>
      </c>
      <c r="E64" t="str">
        <f t="shared" si="24"/>
        <v>VV-3-0-02</v>
      </c>
      <c r="F64" t="s">
        <v>695</v>
      </c>
      <c r="G64" t="str">
        <f>INDEX(Sched!$J$213:$O$223, MATCH(ABT!$H64, Sched!$J$213:$J$223, 0), 6)</f>
        <v>15201_CB_DXR2M12P_US</v>
      </c>
      <c r="H64">
        <f t="shared" si="3"/>
        <v>15201</v>
      </c>
      <c r="I64">
        <f t="shared" si="4"/>
        <v>301</v>
      </c>
      <c r="J64" t="b">
        <v>0</v>
      </c>
      <c r="K64">
        <f t="shared" si="5"/>
        <v>14</v>
      </c>
      <c r="L64">
        <v>85</v>
      </c>
      <c r="M64">
        <v>38400</v>
      </c>
      <c r="N64">
        <f t="shared" si="25"/>
        <v>355</v>
      </c>
      <c r="O64">
        <f t="shared" si="26"/>
        <v>355</v>
      </c>
      <c r="P64">
        <f t="shared" si="26"/>
        <v>355</v>
      </c>
      <c r="Q64">
        <f t="shared" si="27"/>
        <v>0.78539816339744828</v>
      </c>
      <c r="R64">
        <f t="shared" si="28"/>
        <v>6</v>
      </c>
      <c r="S64">
        <f t="shared" si="9"/>
        <v>355</v>
      </c>
      <c r="T64">
        <f t="shared" si="10"/>
        <v>355</v>
      </c>
      <c r="U64">
        <f t="shared" si="11"/>
        <v>355</v>
      </c>
      <c r="V64">
        <f t="shared" si="12"/>
        <v>355</v>
      </c>
      <c r="W64">
        <f t="shared" si="13"/>
        <v>355</v>
      </c>
      <c r="X64">
        <f t="shared" si="14"/>
        <v>355</v>
      </c>
      <c r="Y64">
        <v>75</v>
      </c>
      <c r="Z64">
        <f t="shared" si="19"/>
        <v>2</v>
      </c>
      <c r="AA64">
        <v>80</v>
      </c>
      <c r="AB64">
        <v>70</v>
      </c>
      <c r="AC64">
        <f t="shared" si="20"/>
        <v>2</v>
      </c>
      <c r="AD64">
        <v>60</v>
      </c>
      <c r="AE64">
        <v>0.63</v>
      </c>
      <c r="AF64" t="str">
        <f t="shared" si="29"/>
        <v>B_01'Flr_00'A1</v>
      </c>
      <c r="AG64" t="str">
        <f>"R_" &amp; INDEX(Sched!A:AA, MATCH(ABT!$E64, SchedMark, 0), 20)</f>
        <v>R_1007.04</v>
      </c>
      <c r="AH64" t="str">
        <f t="shared" si="29"/>
        <v>B_01'Flr_00'A1</v>
      </c>
      <c r="AI64" t="str">
        <f t="shared" si="30"/>
        <v>VV-3-0-02</v>
      </c>
      <c r="AJ64" t="s">
        <v>1032</v>
      </c>
    </row>
    <row r="65" spans="1:36" x14ac:dyDescent="0.2">
      <c r="A65" s="109" t="s">
        <v>598</v>
      </c>
      <c r="B65" t="str">
        <f t="shared" si="21"/>
        <v>B_01'Flr_00'A1</v>
      </c>
      <c r="C65" t="str">
        <f t="shared" si="22"/>
        <v>VV-3-0-03</v>
      </c>
      <c r="D65" t="str">
        <f t="shared" si="23"/>
        <v>1030115</v>
      </c>
      <c r="E65" t="str">
        <f t="shared" si="24"/>
        <v>VV-3-0-03</v>
      </c>
      <c r="F65" t="s">
        <v>695</v>
      </c>
      <c r="G65" t="str">
        <f>INDEX(Sched!$J$213:$O$223, MATCH(ABT!$H65, Sched!$J$213:$J$223, 0), 6)</f>
        <v>15201_CB_DXR2M12P_US</v>
      </c>
      <c r="H65">
        <f t="shared" si="3"/>
        <v>15201</v>
      </c>
      <c r="I65">
        <f t="shared" si="4"/>
        <v>301</v>
      </c>
      <c r="J65" t="b">
        <v>0</v>
      </c>
      <c r="K65">
        <f t="shared" si="5"/>
        <v>15</v>
      </c>
      <c r="L65">
        <v>85</v>
      </c>
      <c r="M65">
        <v>38400</v>
      </c>
      <c r="N65">
        <f t="shared" si="25"/>
        <v>80</v>
      </c>
      <c r="O65">
        <f t="shared" si="26"/>
        <v>80</v>
      </c>
      <c r="P65">
        <f t="shared" si="26"/>
        <v>80</v>
      </c>
      <c r="Q65">
        <f t="shared" si="27"/>
        <v>0.78539816339744828</v>
      </c>
      <c r="R65">
        <f t="shared" si="28"/>
        <v>6</v>
      </c>
      <c r="S65">
        <f t="shared" si="9"/>
        <v>80</v>
      </c>
      <c r="T65">
        <f t="shared" si="10"/>
        <v>80</v>
      </c>
      <c r="U65">
        <f t="shared" si="11"/>
        <v>80</v>
      </c>
      <c r="V65">
        <f t="shared" si="12"/>
        <v>80</v>
      </c>
      <c r="W65">
        <f t="shared" si="13"/>
        <v>80</v>
      </c>
      <c r="X65">
        <f t="shared" si="14"/>
        <v>80</v>
      </c>
      <c r="Y65">
        <v>75</v>
      </c>
      <c r="Z65">
        <f t="shared" si="19"/>
        <v>2</v>
      </c>
      <c r="AA65">
        <v>80</v>
      </c>
      <c r="AB65">
        <v>70</v>
      </c>
      <c r="AC65">
        <f t="shared" si="20"/>
        <v>2</v>
      </c>
      <c r="AD65">
        <v>60</v>
      </c>
      <c r="AE65">
        <v>0.63</v>
      </c>
      <c r="AF65" t="str">
        <f t="shared" si="29"/>
        <v>B_01'Flr_00'A1</v>
      </c>
      <c r="AG65" t="str">
        <f>"R_" &amp; INDEX(Sched!A:AA, MATCH(ABT!$E65, SchedMark, 0), 20)</f>
        <v>R_1007.00</v>
      </c>
      <c r="AH65" t="str">
        <f t="shared" si="29"/>
        <v>B_01'Flr_00'A1</v>
      </c>
      <c r="AI65" t="str">
        <f t="shared" si="30"/>
        <v>VV-3-0-03</v>
      </c>
      <c r="AJ65" t="s">
        <v>1033</v>
      </c>
    </row>
    <row r="66" spans="1:36" x14ac:dyDescent="0.2">
      <c r="A66" s="109" t="s">
        <v>599</v>
      </c>
      <c r="B66" t="str">
        <f t="shared" si="21"/>
        <v>B_01'Flr_00'A1</v>
      </c>
      <c r="C66" t="str">
        <f t="shared" si="22"/>
        <v>VV-3-0-04</v>
      </c>
      <c r="D66" t="str">
        <f t="shared" si="23"/>
        <v>1030116</v>
      </c>
      <c r="E66" t="str">
        <f t="shared" si="24"/>
        <v>VV-3-0-04</v>
      </c>
      <c r="F66" t="s">
        <v>695</v>
      </c>
      <c r="G66" t="str">
        <f>INDEX(Sched!$J$213:$O$223, MATCH(ABT!$H66, Sched!$J$213:$J$223, 0), 6)</f>
        <v>15201_CB_DXR2M12P_US</v>
      </c>
      <c r="H66">
        <f t="shared" ref="H66:H129" si="31">INDEX(Joined, MATCH($A66, SystemName, FALSE), 6)</f>
        <v>15201</v>
      </c>
      <c r="I66">
        <f t="shared" ref="I66:I129" si="32">INDEX(Joined, MATCH($A66, SystemName, FALSE), 4)</f>
        <v>301</v>
      </c>
      <c r="J66" t="b">
        <v>0</v>
      </c>
      <c r="K66">
        <f t="shared" ref="K66:K129" si="33">INDEX(Joined, MATCH($A66, SystemName, FALSE), 3)</f>
        <v>16</v>
      </c>
      <c r="L66">
        <v>85</v>
      </c>
      <c r="M66">
        <v>38400</v>
      </c>
      <c r="N66">
        <f t="shared" si="25"/>
        <v>215</v>
      </c>
      <c r="O66">
        <f t="shared" si="26"/>
        <v>80</v>
      </c>
      <c r="P66">
        <f t="shared" si="26"/>
        <v>80</v>
      </c>
      <c r="Q66">
        <f t="shared" si="27"/>
        <v>0.78539816339744828</v>
      </c>
      <c r="R66">
        <f t="shared" si="28"/>
        <v>6</v>
      </c>
      <c r="S66">
        <f t="shared" ref="S66:S129" si="34">INDEX(Schedule, MATCH($E66, SchedMark, 0), 5)</f>
        <v>215</v>
      </c>
      <c r="T66">
        <f t="shared" ref="T66:T129" si="35">INDEX(Schedule, MATCH($E66, SchedMark, 0), 6)</f>
        <v>215</v>
      </c>
      <c r="U66">
        <f t="shared" ref="U66:U129" si="36">INDEX(Schedule, MATCH($E66, SchedMark, 0), 5)</f>
        <v>215</v>
      </c>
      <c r="V66">
        <f t="shared" ref="V66:V129" si="37">INDEX(Schedule, MATCH($E66, SchedMark, 0), 6)</f>
        <v>215</v>
      </c>
      <c r="W66">
        <f t="shared" ref="W66:W129" si="38">INDEX(Schedule, MATCH($E66, SchedMark, 0), 5)</f>
        <v>215</v>
      </c>
      <c r="X66">
        <f t="shared" ref="X66:X129" si="39">INDEX(Schedule, MATCH($E66, SchedMark, 0), 6)</f>
        <v>215</v>
      </c>
      <c r="Y66">
        <v>75</v>
      </c>
      <c r="Z66">
        <f t="shared" si="19"/>
        <v>2</v>
      </c>
      <c r="AA66">
        <v>80</v>
      </c>
      <c r="AB66">
        <v>70</v>
      </c>
      <c r="AC66">
        <f t="shared" si="20"/>
        <v>2</v>
      </c>
      <c r="AD66">
        <v>60</v>
      </c>
      <c r="AE66">
        <v>0.63</v>
      </c>
      <c r="AF66" t="str">
        <f t="shared" si="29"/>
        <v>B_01'Flr_00'A1</v>
      </c>
      <c r="AG66" t="str">
        <f>"R_" &amp; INDEX(Sched!A:AA, MATCH(ABT!$E66, SchedMark, 0), 20)</f>
        <v>R_1006.02</v>
      </c>
      <c r="AH66" t="str">
        <f t="shared" si="29"/>
        <v>B_01'Flr_00'A1</v>
      </c>
      <c r="AI66" t="str">
        <f t="shared" ref="AI66:AI97" si="40">INDEX(Joined, MATCH($A66, SystemName, FALSE), 7)</f>
        <v>VV-3-0-04</v>
      </c>
      <c r="AJ66" t="s">
        <v>1034</v>
      </c>
    </row>
    <row r="67" spans="1:36" x14ac:dyDescent="0.2">
      <c r="A67" s="109" t="s">
        <v>600</v>
      </c>
      <c r="B67" t="str">
        <f t="shared" si="21"/>
        <v>B_01'Flr_00'A1</v>
      </c>
      <c r="C67" t="str">
        <f t="shared" si="22"/>
        <v>VV-3-0-05</v>
      </c>
      <c r="D67" t="str">
        <f t="shared" si="23"/>
        <v>1030117</v>
      </c>
      <c r="E67" t="str">
        <f t="shared" si="24"/>
        <v>VV-3-0-05</v>
      </c>
      <c r="F67" t="s">
        <v>695</v>
      </c>
      <c r="G67" t="str">
        <f>INDEX(Sched!$J$213:$O$223, MATCH(ABT!$H67, Sched!$J$213:$J$223, 0), 6)</f>
        <v>15201_CB_DXR2M12P_US</v>
      </c>
      <c r="H67">
        <f t="shared" si="31"/>
        <v>15201</v>
      </c>
      <c r="I67">
        <f t="shared" si="32"/>
        <v>301</v>
      </c>
      <c r="J67" t="b">
        <v>0</v>
      </c>
      <c r="K67">
        <f t="shared" si="33"/>
        <v>17</v>
      </c>
      <c r="L67">
        <v>85</v>
      </c>
      <c r="M67">
        <v>38400</v>
      </c>
      <c r="N67">
        <f t="shared" si="25"/>
        <v>100</v>
      </c>
      <c r="O67">
        <f t="shared" si="26"/>
        <v>80</v>
      </c>
      <c r="P67">
        <f t="shared" si="26"/>
        <v>80</v>
      </c>
      <c r="Q67">
        <f t="shared" si="27"/>
        <v>0.78539816339744828</v>
      </c>
      <c r="R67">
        <f t="shared" si="28"/>
        <v>6</v>
      </c>
      <c r="S67">
        <f t="shared" si="34"/>
        <v>100</v>
      </c>
      <c r="T67">
        <f t="shared" si="35"/>
        <v>100</v>
      </c>
      <c r="U67">
        <f t="shared" si="36"/>
        <v>100</v>
      </c>
      <c r="V67">
        <f t="shared" si="37"/>
        <v>100</v>
      </c>
      <c r="W67">
        <f t="shared" si="38"/>
        <v>100</v>
      </c>
      <c r="X67">
        <f t="shared" si="39"/>
        <v>100</v>
      </c>
      <c r="Y67">
        <v>75</v>
      </c>
      <c r="Z67">
        <f t="shared" ref="Z67:Z130" si="41">IF(OR($H67=15201, $H67=15202), 2, 0)</f>
        <v>2</v>
      </c>
      <c r="AA67">
        <v>80</v>
      </c>
      <c r="AB67">
        <v>70</v>
      </c>
      <c r="AC67">
        <f t="shared" ref="AC67:AC130" si="42">IF(OR($H67=15201, $H67=15202), 2, 0)</f>
        <v>2</v>
      </c>
      <c r="AD67">
        <v>60</v>
      </c>
      <c r="AE67">
        <v>0.63</v>
      </c>
      <c r="AF67" t="str">
        <f t="shared" si="29"/>
        <v>B_01'Flr_00'A1</v>
      </c>
      <c r="AG67" t="str">
        <f>"R_" &amp; INDEX(Sched!A:AA, MATCH(ABT!$E67, SchedMark, 0), 20)</f>
        <v>R_1006.04</v>
      </c>
      <c r="AH67" t="str">
        <f t="shared" si="29"/>
        <v>B_01'Flr_00'A1</v>
      </c>
      <c r="AI67" t="str">
        <f t="shared" si="40"/>
        <v>VV-3-0-05</v>
      </c>
      <c r="AJ67" t="s">
        <v>1035</v>
      </c>
    </row>
    <row r="68" spans="1:36" x14ac:dyDescent="0.2">
      <c r="A68" s="109" t="s">
        <v>601</v>
      </c>
      <c r="B68" t="str">
        <f t="shared" si="21"/>
        <v>B_01'Flr_00'A1</v>
      </c>
      <c r="C68" t="str">
        <f t="shared" si="22"/>
        <v>VV-3-0-06</v>
      </c>
      <c r="D68" t="str">
        <f t="shared" si="23"/>
        <v>1030118</v>
      </c>
      <c r="E68" t="str">
        <f t="shared" si="24"/>
        <v>VV-3-0-06</v>
      </c>
      <c r="F68" t="s">
        <v>695</v>
      </c>
      <c r="G68" t="str">
        <f>INDEX(Sched!$J$213:$O$223, MATCH(ABT!$H68, Sched!$J$213:$J$223, 0), 6)</f>
        <v>15201_CB_DXR2M12P_US</v>
      </c>
      <c r="H68">
        <f t="shared" si="31"/>
        <v>15201</v>
      </c>
      <c r="I68">
        <f t="shared" si="32"/>
        <v>301</v>
      </c>
      <c r="J68" t="b">
        <v>0</v>
      </c>
      <c r="K68">
        <f t="shared" si="33"/>
        <v>18</v>
      </c>
      <c r="L68">
        <v>85</v>
      </c>
      <c r="M68">
        <v>38400</v>
      </c>
      <c r="N68">
        <f t="shared" si="25"/>
        <v>500</v>
      </c>
      <c r="O68">
        <f t="shared" si="26"/>
        <v>750</v>
      </c>
      <c r="P68">
        <f t="shared" si="26"/>
        <v>750</v>
      </c>
      <c r="Q68">
        <f t="shared" si="27"/>
        <v>1.3962634015954636</v>
      </c>
      <c r="R68">
        <f t="shared" si="28"/>
        <v>8</v>
      </c>
      <c r="S68">
        <f t="shared" si="34"/>
        <v>500</v>
      </c>
      <c r="T68">
        <f t="shared" si="35"/>
        <v>500</v>
      </c>
      <c r="U68">
        <f t="shared" si="36"/>
        <v>500</v>
      </c>
      <c r="V68">
        <f t="shared" si="37"/>
        <v>500</v>
      </c>
      <c r="W68">
        <f t="shared" si="38"/>
        <v>500</v>
      </c>
      <c r="X68">
        <f t="shared" si="39"/>
        <v>500</v>
      </c>
      <c r="Y68">
        <v>75</v>
      </c>
      <c r="Z68">
        <f t="shared" si="41"/>
        <v>2</v>
      </c>
      <c r="AA68">
        <v>80</v>
      </c>
      <c r="AB68">
        <v>70</v>
      </c>
      <c r="AC68">
        <f t="shared" si="42"/>
        <v>2</v>
      </c>
      <c r="AD68">
        <v>60</v>
      </c>
      <c r="AE68">
        <v>0.63</v>
      </c>
      <c r="AF68" t="str">
        <f t="shared" si="29"/>
        <v>B_01'Flr_00'A1</v>
      </c>
      <c r="AG68" t="str">
        <f>"R_" &amp; INDEX(Sched!A:AA, MATCH(ABT!$E68, SchedMark, 0), 20)</f>
        <v>R_1000.06</v>
      </c>
      <c r="AH68" t="str">
        <f t="shared" si="29"/>
        <v>B_01'Flr_00'A1</v>
      </c>
      <c r="AI68" t="str">
        <f t="shared" si="40"/>
        <v>VV-3-0-06</v>
      </c>
      <c r="AJ68" t="s">
        <v>1036</v>
      </c>
    </row>
    <row r="69" spans="1:36" x14ac:dyDescent="0.2">
      <c r="A69" s="109" t="s">
        <v>602</v>
      </c>
      <c r="B69" t="str">
        <f t="shared" si="21"/>
        <v>B_01'Flr_00'A1</v>
      </c>
      <c r="C69" t="str">
        <f t="shared" si="22"/>
        <v>VV-3-0-07</v>
      </c>
      <c r="D69" t="str">
        <f t="shared" si="23"/>
        <v>1030119</v>
      </c>
      <c r="E69" t="str">
        <f t="shared" si="24"/>
        <v>VV-3-0-07</v>
      </c>
      <c r="F69" t="s">
        <v>695</v>
      </c>
      <c r="G69" t="str">
        <f>INDEX(Sched!$J$213:$O$223, MATCH(ABT!$H69, Sched!$J$213:$J$223, 0), 6)</f>
        <v>15201_CB_DXR2M12P_US</v>
      </c>
      <c r="H69">
        <f t="shared" si="31"/>
        <v>15201</v>
      </c>
      <c r="I69">
        <f t="shared" si="32"/>
        <v>301</v>
      </c>
      <c r="J69" t="b">
        <v>0</v>
      </c>
      <c r="K69">
        <f t="shared" si="33"/>
        <v>19</v>
      </c>
      <c r="L69">
        <v>85</v>
      </c>
      <c r="M69">
        <v>38400</v>
      </c>
      <c r="N69">
        <f t="shared" si="25"/>
        <v>710</v>
      </c>
      <c r="O69">
        <f t="shared" si="26"/>
        <v>710</v>
      </c>
      <c r="P69">
        <f t="shared" si="26"/>
        <v>710</v>
      </c>
      <c r="Q69">
        <f t="shared" si="27"/>
        <v>2.1816615649929121</v>
      </c>
      <c r="R69">
        <f t="shared" si="28"/>
        <v>10</v>
      </c>
      <c r="S69">
        <f t="shared" si="34"/>
        <v>710</v>
      </c>
      <c r="T69">
        <f t="shared" si="35"/>
        <v>710</v>
      </c>
      <c r="U69">
        <f t="shared" si="36"/>
        <v>710</v>
      </c>
      <c r="V69">
        <f t="shared" si="37"/>
        <v>710</v>
      </c>
      <c r="W69">
        <f t="shared" si="38"/>
        <v>710</v>
      </c>
      <c r="X69">
        <f t="shared" si="39"/>
        <v>710</v>
      </c>
      <c r="Y69">
        <v>75</v>
      </c>
      <c r="Z69">
        <f t="shared" si="41"/>
        <v>2</v>
      </c>
      <c r="AA69">
        <v>80</v>
      </c>
      <c r="AB69">
        <v>70</v>
      </c>
      <c r="AC69">
        <f t="shared" si="42"/>
        <v>2</v>
      </c>
      <c r="AD69">
        <v>60</v>
      </c>
      <c r="AE69">
        <v>0.63</v>
      </c>
      <c r="AF69" t="str">
        <f t="shared" si="29"/>
        <v>B_01'Flr_00'A1</v>
      </c>
      <c r="AG69" t="str">
        <f>"R_" &amp; INDEX(Sched!A:AA, MATCH(ABT!$E69, SchedMark, 0), 20)</f>
        <v>R_1005.08</v>
      </c>
      <c r="AH69" t="str">
        <f t="shared" si="29"/>
        <v>B_01'Flr_00'A1</v>
      </c>
      <c r="AI69" t="str">
        <f t="shared" si="40"/>
        <v>VV-3-0-07</v>
      </c>
      <c r="AJ69" t="s">
        <v>1037</v>
      </c>
    </row>
    <row r="70" spans="1:36" x14ac:dyDescent="0.2">
      <c r="A70" s="109" t="s">
        <v>603</v>
      </c>
      <c r="B70" t="str">
        <f t="shared" si="21"/>
        <v>B_01'Flr_00'A1</v>
      </c>
      <c r="C70" t="str">
        <f t="shared" si="22"/>
        <v>VV-3-0-08</v>
      </c>
      <c r="D70" t="str">
        <f t="shared" si="23"/>
        <v>1030120</v>
      </c>
      <c r="E70" t="str">
        <f t="shared" si="24"/>
        <v>VV-3-0-08</v>
      </c>
      <c r="F70" t="s">
        <v>695</v>
      </c>
      <c r="G70" t="str">
        <f>INDEX(Sched!$J$213:$O$223, MATCH(ABT!$H70, Sched!$J$213:$J$223, 0), 6)</f>
        <v>15201_CB_DXR2M12P_US</v>
      </c>
      <c r="H70">
        <f t="shared" si="31"/>
        <v>15201</v>
      </c>
      <c r="I70">
        <f t="shared" si="32"/>
        <v>301</v>
      </c>
      <c r="J70" t="b">
        <v>0</v>
      </c>
      <c r="K70">
        <f t="shared" si="33"/>
        <v>20</v>
      </c>
      <c r="L70">
        <v>85</v>
      </c>
      <c r="M70">
        <v>38400</v>
      </c>
      <c r="N70">
        <f t="shared" si="25"/>
        <v>100</v>
      </c>
      <c r="O70">
        <f t="shared" si="26"/>
        <v>80</v>
      </c>
      <c r="P70">
        <f t="shared" si="26"/>
        <v>80</v>
      </c>
      <c r="Q70">
        <f t="shared" si="27"/>
        <v>0.78539816339744828</v>
      </c>
      <c r="R70">
        <f t="shared" si="28"/>
        <v>6</v>
      </c>
      <c r="S70">
        <f t="shared" si="34"/>
        <v>100</v>
      </c>
      <c r="T70">
        <f t="shared" si="35"/>
        <v>100</v>
      </c>
      <c r="U70">
        <f t="shared" si="36"/>
        <v>100</v>
      </c>
      <c r="V70">
        <f t="shared" si="37"/>
        <v>100</v>
      </c>
      <c r="W70">
        <f t="shared" si="38"/>
        <v>100</v>
      </c>
      <c r="X70">
        <f t="shared" si="39"/>
        <v>100</v>
      </c>
      <c r="Y70">
        <v>75</v>
      </c>
      <c r="Z70">
        <f t="shared" si="41"/>
        <v>2</v>
      </c>
      <c r="AA70">
        <v>80</v>
      </c>
      <c r="AB70">
        <v>70</v>
      </c>
      <c r="AC70">
        <f t="shared" si="42"/>
        <v>2</v>
      </c>
      <c r="AD70">
        <v>60</v>
      </c>
      <c r="AE70">
        <v>0.63</v>
      </c>
      <c r="AF70" t="str">
        <f t="shared" si="29"/>
        <v>B_01'Flr_00'A1</v>
      </c>
      <c r="AG70" t="str">
        <f>"R_" &amp; INDEX(Sched!A:AA, MATCH(ABT!$E70, SchedMark, 0), 20)</f>
        <v>R_1005.06</v>
      </c>
      <c r="AH70" t="str">
        <f t="shared" si="29"/>
        <v>B_01'Flr_00'A1</v>
      </c>
      <c r="AI70" t="str">
        <f t="shared" si="40"/>
        <v>VV-3-0-08</v>
      </c>
      <c r="AJ70" t="s">
        <v>1038</v>
      </c>
    </row>
    <row r="71" spans="1:36" x14ac:dyDescent="0.2">
      <c r="A71" s="109" t="s">
        <v>604</v>
      </c>
      <c r="B71" t="str">
        <f t="shared" si="21"/>
        <v>B_01'Flr_00'A1</v>
      </c>
      <c r="C71" t="str">
        <f t="shared" si="22"/>
        <v>VV-3-0-09</v>
      </c>
      <c r="D71" t="str">
        <f t="shared" si="23"/>
        <v>1030121</v>
      </c>
      <c r="E71" t="str">
        <f t="shared" si="24"/>
        <v>VV-3-0-09</v>
      </c>
      <c r="F71" t="s">
        <v>695</v>
      </c>
      <c r="G71" t="str">
        <f>INDEX(Sched!$J$213:$O$223, MATCH(ABT!$H71, Sched!$J$213:$J$223, 0), 6)</f>
        <v>15201_CB_DXR2M12P_US</v>
      </c>
      <c r="H71">
        <f t="shared" si="31"/>
        <v>15201</v>
      </c>
      <c r="I71">
        <f t="shared" si="32"/>
        <v>301</v>
      </c>
      <c r="J71" t="b">
        <v>0</v>
      </c>
      <c r="K71">
        <f t="shared" si="33"/>
        <v>21</v>
      </c>
      <c r="L71">
        <v>85</v>
      </c>
      <c r="M71">
        <v>38400</v>
      </c>
      <c r="N71">
        <f t="shared" si="25"/>
        <v>165</v>
      </c>
      <c r="O71">
        <f t="shared" si="26"/>
        <v>80</v>
      </c>
      <c r="P71">
        <f t="shared" si="26"/>
        <v>80</v>
      </c>
      <c r="Q71">
        <f t="shared" si="27"/>
        <v>0.78539816339744828</v>
      </c>
      <c r="R71">
        <f t="shared" si="28"/>
        <v>6</v>
      </c>
      <c r="S71">
        <f t="shared" si="34"/>
        <v>165</v>
      </c>
      <c r="T71">
        <f t="shared" si="35"/>
        <v>165</v>
      </c>
      <c r="U71">
        <f t="shared" si="36"/>
        <v>165</v>
      </c>
      <c r="V71">
        <f t="shared" si="37"/>
        <v>165</v>
      </c>
      <c r="W71">
        <f t="shared" si="38"/>
        <v>165</v>
      </c>
      <c r="X71">
        <f t="shared" si="39"/>
        <v>165</v>
      </c>
      <c r="Y71">
        <v>75</v>
      </c>
      <c r="Z71">
        <f t="shared" si="41"/>
        <v>2</v>
      </c>
      <c r="AA71">
        <v>80</v>
      </c>
      <c r="AB71">
        <v>70</v>
      </c>
      <c r="AC71">
        <f t="shared" si="42"/>
        <v>2</v>
      </c>
      <c r="AD71">
        <v>60</v>
      </c>
      <c r="AE71">
        <v>0.63</v>
      </c>
      <c r="AF71" t="str">
        <f t="shared" si="29"/>
        <v>B_01'Flr_00'A1</v>
      </c>
      <c r="AG71" t="str">
        <f>"R_" &amp; INDEX(Sched!A:AA, MATCH(ABT!$E71, SchedMark, 0), 20)</f>
        <v>R_1005.07</v>
      </c>
      <c r="AH71" t="str">
        <f t="shared" si="29"/>
        <v>B_01'Flr_00'A1</v>
      </c>
      <c r="AI71" t="str">
        <f t="shared" si="40"/>
        <v>VV-3-0-09</v>
      </c>
      <c r="AJ71" t="s">
        <v>1039</v>
      </c>
    </row>
    <row r="72" spans="1:36" x14ac:dyDescent="0.2">
      <c r="A72" s="109" t="s">
        <v>605</v>
      </c>
      <c r="B72" t="str">
        <f t="shared" ref="B72:B135" si="43">"B_01'" &amp; "Flr_0" &amp; INDEX(Joined, MATCH(A72, SystemName, FALSE), 13) &amp; "'" &amp; INDEX(Joined, MATCH(A72, SystemName, FALSE), 12)</f>
        <v>B_01'Flr_00'A1</v>
      </c>
      <c r="C72" t="str">
        <f t="shared" ref="C72:C135" si="44">INDEX(Joined, MATCH(A72, SystemName, FALSE), 7)</f>
        <v>VV-3-0-11</v>
      </c>
      <c r="D72" t="str">
        <f t="shared" ref="D72:D135" si="45">INDEX(Joined, MATCH(A72, SystemName, FALSE), 5)</f>
        <v>1030122</v>
      </c>
      <c r="E72" t="str">
        <f t="shared" ref="E72:E135" si="46">INDEX(Joined, MATCH(A72, SystemName, FALSE), 7)</f>
        <v>VV-3-0-11</v>
      </c>
      <c r="F72" t="s">
        <v>695</v>
      </c>
      <c r="G72" t="str">
        <f>INDEX(Sched!$J$213:$O$223, MATCH(ABT!$H72, Sched!$J$213:$J$223, 0), 6)</f>
        <v>15201_CB_DXR2M12P_US</v>
      </c>
      <c r="H72">
        <f t="shared" si="31"/>
        <v>15201</v>
      </c>
      <c r="I72">
        <f t="shared" si="32"/>
        <v>301</v>
      </c>
      <c r="J72" t="b">
        <v>0</v>
      </c>
      <c r="K72">
        <f t="shared" si="33"/>
        <v>22</v>
      </c>
      <c r="L72">
        <v>85</v>
      </c>
      <c r="M72">
        <v>38400</v>
      </c>
      <c r="N72">
        <f t="shared" si="25"/>
        <v>195</v>
      </c>
      <c r="O72">
        <f t="shared" si="26"/>
        <v>80</v>
      </c>
      <c r="P72">
        <f t="shared" si="26"/>
        <v>80</v>
      </c>
      <c r="Q72">
        <f t="shared" si="27"/>
        <v>0.78539816339744828</v>
      </c>
      <c r="R72">
        <f t="shared" si="28"/>
        <v>6</v>
      </c>
      <c r="S72">
        <f t="shared" si="34"/>
        <v>195</v>
      </c>
      <c r="T72">
        <f t="shared" si="35"/>
        <v>195</v>
      </c>
      <c r="U72">
        <f t="shared" si="36"/>
        <v>195</v>
      </c>
      <c r="V72">
        <f t="shared" si="37"/>
        <v>195</v>
      </c>
      <c r="W72">
        <f t="shared" si="38"/>
        <v>195</v>
      </c>
      <c r="X72">
        <f t="shared" si="39"/>
        <v>195</v>
      </c>
      <c r="Y72">
        <v>75</v>
      </c>
      <c r="Z72">
        <f t="shared" si="41"/>
        <v>2</v>
      </c>
      <c r="AA72">
        <v>80</v>
      </c>
      <c r="AB72">
        <v>70</v>
      </c>
      <c r="AC72">
        <f t="shared" si="42"/>
        <v>2</v>
      </c>
      <c r="AD72">
        <v>60</v>
      </c>
      <c r="AE72">
        <v>0.63</v>
      </c>
      <c r="AF72" t="str">
        <f t="shared" si="29"/>
        <v>B_01'Flr_00'A1</v>
      </c>
      <c r="AG72" t="str">
        <f>"R_" &amp; INDEX(Sched!A:AA, MATCH(ABT!$E72, SchedMark, 0), 20)</f>
        <v>R_1011.00</v>
      </c>
      <c r="AH72" t="str">
        <f t="shared" si="29"/>
        <v>B_01'Flr_00'A1</v>
      </c>
      <c r="AI72" t="str">
        <f t="shared" si="40"/>
        <v>VV-3-0-11</v>
      </c>
      <c r="AJ72" t="s">
        <v>1040</v>
      </c>
    </row>
    <row r="73" spans="1:36" x14ac:dyDescent="0.2">
      <c r="A73" s="109" t="s">
        <v>606</v>
      </c>
      <c r="B73" t="str">
        <f t="shared" si="43"/>
        <v>B_01'Flr_00'A1</v>
      </c>
      <c r="C73" t="str">
        <f t="shared" si="44"/>
        <v>VV-3-0-12</v>
      </c>
      <c r="D73" t="str">
        <f t="shared" si="45"/>
        <v>1030123</v>
      </c>
      <c r="E73" t="str">
        <f t="shared" si="46"/>
        <v>VV-3-0-12</v>
      </c>
      <c r="F73" t="s">
        <v>695</v>
      </c>
      <c r="G73" t="str">
        <f>INDEX(Sched!$J$213:$O$223, MATCH(ABT!$H73, Sched!$J$213:$J$223, 0), 6)</f>
        <v>15201_CB_DXR2M12P_US</v>
      </c>
      <c r="H73">
        <f t="shared" si="31"/>
        <v>15201</v>
      </c>
      <c r="I73">
        <f t="shared" si="32"/>
        <v>301</v>
      </c>
      <c r="J73" t="b">
        <v>0</v>
      </c>
      <c r="K73">
        <f t="shared" si="33"/>
        <v>23</v>
      </c>
      <c r="L73">
        <v>85</v>
      </c>
      <c r="M73">
        <v>38400</v>
      </c>
      <c r="N73">
        <f t="shared" si="25"/>
        <v>255</v>
      </c>
      <c r="O73">
        <f t="shared" si="26"/>
        <v>80</v>
      </c>
      <c r="P73">
        <f t="shared" si="26"/>
        <v>80</v>
      </c>
      <c r="Q73">
        <f t="shared" si="27"/>
        <v>0.78539816339744828</v>
      </c>
      <c r="R73">
        <f t="shared" si="28"/>
        <v>6</v>
      </c>
      <c r="S73">
        <f t="shared" si="34"/>
        <v>255</v>
      </c>
      <c r="T73">
        <f t="shared" si="35"/>
        <v>255</v>
      </c>
      <c r="U73">
        <f t="shared" si="36"/>
        <v>255</v>
      </c>
      <c r="V73">
        <f t="shared" si="37"/>
        <v>255</v>
      </c>
      <c r="W73">
        <f t="shared" si="38"/>
        <v>255</v>
      </c>
      <c r="X73">
        <f t="shared" si="39"/>
        <v>255</v>
      </c>
      <c r="Y73">
        <v>75</v>
      </c>
      <c r="Z73">
        <f t="shared" si="41"/>
        <v>2</v>
      </c>
      <c r="AA73">
        <v>80</v>
      </c>
      <c r="AB73">
        <v>70</v>
      </c>
      <c r="AC73">
        <f t="shared" si="42"/>
        <v>2</v>
      </c>
      <c r="AD73">
        <v>60</v>
      </c>
      <c r="AE73">
        <v>0.63</v>
      </c>
      <c r="AF73" t="str">
        <f t="shared" si="29"/>
        <v>B_01'Flr_00'A1</v>
      </c>
      <c r="AG73" t="str">
        <f>"R_" &amp; INDEX(Sched!A:AA, MATCH(ABT!$E73, SchedMark, 0), 20)</f>
        <v>R_1011.04</v>
      </c>
      <c r="AH73" t="str">
        <f t="shared" si="29"/>
        <v>B_01'Flr_00'A1</v>
      </c>
      <c r="AI73" t="str">
        <f t="shared" si="40"/>
        <v>VV-3-0-12</v>
      </c>
      <c r="AJ73" t="s">
        <v>1041</v>
      </c>
    </row>
    <row r="74" spans="1:36" x14ac:dyDescent="0.2">
      <c r="A74" s="109" t="s">
        <v>607</v>
      </c>
      <c r="B74" t="str">
        <f t="shared" si="43"/>
        <v>B_01'Flr_01'A1</v>
      </c>
      <c r="C74" t="str">
        <f t="shared" si="44"/>
        <v>VV-3-1-01</v>
      </c>
      <c r="D74" t="str">
        <f t="shared" si="45"/>
        <v>1030213</v>
      </c>
      <c r="E74" t="str">
        <f t="shared" si="46"/>
        <v>VV-3-1-01</v>
      </c>
      <c r="F74" t="s">
        <v>695</v>
      </c>
      <c r="G74" t="str">
        <f>INDEX(Sched!$J$213:$O$223, MATCH(ABT!$H74, Sched!$J$213:$J$223, 0), 6)</f>
        <v>15201_CB_DXR2M12P_US</v>
      </c>
      <c r="H74">
        <f t="shared" si="31"/>
        <v>15201</v>
      </c>
      <c r="I74">
        <f t="shared" si="32"/>
        <v>302</v>
      </c>
      <c r="J74" t="b">
        <v>0</v>
      </c>
      <c r="K74">
        <f t="shared" si="33"/>
        <v>13</v>
      </c>
      <c r="L74">
        <v>85</v>
      </c>
      <c r="M74">
        <v>38400</v>
      </c>
      <c r="N74">
        <f t="shared" si="25"/>
        <v>540</v>
      </c>
      <c r="O74">
        <f t="shared" si="26"/>
        <v>140</v>
      </c>
      <c r="P74">
        <f t="shared" si="26"/>
        <v>140</v>
      </c>
      <c r="Q74">
        <f t="shared" si="27"/>
        <v>1.3962634015954636</v>
      </c>
      <c r="R74">
        <f t="shared" si="28"/>
        <v>8</v>
      </c>
      <c r="S74">
        <f t="shared" si="34"/>
        <v>540</v>
      </c>
      <c r="T74">
        <f t="shared" si="35"/>
        <v>540</v>
      </c>
      <c r="U74">
        <f t="shared" si="36"/>
        <v>540</v>
      </c>
      <c r="V74">
        <f t="shared" si="37"/>
        <v>540</v>
      </c>
      <c r="W74">
        <f t="shared" si="38"/>
        <v>540</v>
      </c>
      <c r="X74">
        <f t="shared" si="39"/>
        <v>540</v>
      </c>
      <c r="Y74">
        <v>75</v>
      </c>
      <c r="Z74">
        <f t="shared" si="41"/>
        <v>2</v>
      </c>
      <c r="AA74">
        <v>80</v>
      </c>
      <c r="AB74">
        <v>70</v>
      </c>
      <c r="AC74">
        <f t="shared" si="42"/>
        <v>2</v>
      </c>
      <c r="AD74">
        <v>60</v>
      </c>
      <c r="AE74">
        <v>0.63</v>
      </c>
      <c r="AF74" t="str">
        <f t="shared" si="29"/>
        <v>B_01'Flr_01'A1</v>
      </c>
      <c r="AG74" t="str">
        <f>"R_" &amp; INDEX(Sched!A:AA, MATCH(ABT!$E74, SchedMark, 0), 20)</f>
        <v>R_1113.00</v>
      </c>
      <c r="AH74" t="str">
        <f t="shared" si="29"/>
        <v>B_01'Flr_01'A1</v>
      </c>
      <c r="AI74" t="str">
        <f t="shared" si="40"/>
        <v>VV-3-1-01</v>
      </c>
      <c r="AJ74" t="s">
        <v>1042</v>
      </c>
    </row>
    <row r="75" spans="1:36" x14ac:dyDescent="0.2">
      <c r="A75" s="109" t="s">
        <v>608</v>
      </c>
      <c r="B75" t="str">
        <f t="shared" si="43"/>
        <v>B_01'Flr_01'A1</v>
      </c>
      <c r="C75" t="str">
        <f t="shared" si="44"/>
        <v>VV-3-1-03</v>
      </c>
      <c r="D75" t="str">
        <f t="shared" si="45"/>
        <v>1030215</v>
      </c>
      <c r="E75" t="str">
        <f t="shared" si="46"/>
        <v>VV-3-1-03</v>
      </c>
      <c r="F75" t="s">
        <v>695</v>
      </c>
      <c r="G75" t="str">
        <f>INDEX(Sched!$J$213:$O$223, MATCH(ABT!$H75, Sched!$J$213:$J$223, 0), 6)</f>
        <v>15201_CB_DXR2M12P_US</v>
      </c>
      <c r="H75">
        <f t="shared" si="31"/>
        <v>15201</v>
      </c>
      <c r="I75">
        <f t="shared" si="32"/>
        <v>302</v>
      </c>
      <c r="J75" t="b">
        <v>0</v>
      </c>
      <c r="K75">
        <f t="shared" si="33"/>
        <v>15</v>
      </c>
      <c r="L75">
        <v>85</v>
      </c>
      <c r="M75">
        <v>38400</v>
      </c>
      <c r="N75">
        <f t="shared" si="25"/>
        <v>450</v>
      </c>
      <c r="O75">
        <f t="shared" si="26"/>
        <v>140</v>
      </c>
      <c r="P75">
        <f t="shared" si="26"/>
        <v>140</v>
      </c>
      <c r="Q75">
        <f t="shared" si="27"/>
        <v>1.3962634015954636</v>
      </c>
      <c r="R75">
        <f t="shared" si="28"/>
        <v>8</v>
      </c>
      <c r="S75">
        <f t="shared" si="34"/>
        <v>450</v>
      </c>
      <c r="T75">
        <f t="shared" si="35"/>
        <v>450</v>
      </c>
      <c r="U75">
        <f t="shared" si="36"/>
        <v>450</v>
      </c>
      <c r="V75">
        <f t="shared" si="37"/>
        <v>450</v>
      </c>
      <c r="W75">
        <f t="shared" si="38"/>
        <v>450</v>
      </c>
      <c r="X75">
        <f t="shared" si="39"/>
        <v>450</v>
      </c>
      <c r="Y75">
        <v>75</v>
      </c>
      <c r="Z75">
        <f t="shared" si="41"/>
        <v>2</v>
      </c>
      <c r="AA75">
        <v>80</v>
      </c>
      <c r="AB75">
        <v>70</v>
      </c>
      <c r="AC75">
        <f t="shared" si="42"/>
        <v>2</v>
      </c>
      <c r="AD75">
        <v>60</v>
      </c>
      <c r="AE75">
        <v>0.63</v>
      </c>
      <c r="AF75" t="str">
        <f t="shared" si="29"/>
        <v>B_01'Flr_01'A1</v>
      </c>
      <c r="AG75" t="str">
        <f>"R_" &amp; INDEX(Sched!A:AA, MATCH(ABT!$E75, SchedMark, 0), 20)</f>
        <v>R_1114.01</v>
      </c>
      <c r="AH75" t="str">
        <f t="shared" si="29"/>
        <v>B_01'Flr_01'A1</v>
      </c>
      <c r="AI75" t="str">
        <f t="shared" si="40"/>
        <v>VV-3-1-03</v>
      </c>
      <c r="AJ75" t="s">
        <v>945</v>
      </c>
    </row>
    <row r="76" spans="1:36" x14ac:dyDescent="0.2">
      <c r="A76" s="109" t="s">
        <v>609</v>
      </c>
      <c r="B76" t="str">
        <f t="shared" si="43"/>
        <v>B_01'Flr_01'A1</v>
      </c>
      <c r="C76" t="str">
        <f t="shared" si="44"/>
        <v>VV-3-1-04</v>
      </c>
      <c r="D76" t="str">
        <f t="shared" si="45"/>
        <v>1030216</v>
      </c>
      <c r="E76" t="str">
        <f t="shared" si="46"/>
        <v>VV-3-1-04</v>
      </c>
      <c r="F76" t="s">
        <v>695</v>
      </c>
      <c r="G76" t="str">
        <f>INDEX(Sched!$J$213:$O$223, MATCH(ABT!$H76, Sched!$J$213:$J$223, 0), 6)</f>
        <v>15201_CB_DXR2M12P_US</v>
      </c>
      <c r="H76">
        <f t="shared" si="31"/>
        <v>15201</v>
      </c>
      <c r="I76">
        <f t="shared" si="32"/>
        <v>302</v>
      </c>
      <c r="J76" t="b">
        <v>0</v>
      </c>
      <c r="K76">
        <f t="shared" si="33"/>
        <v>16</v>
      </c>
      <c r="L76">
        <v>85</v>
      </c>
      <c r="M76">
        <v>38400</v>
      </c>
      <c r="N76">
        <f t="shared" si="25"/>
        <v>630</v>
      </c>
      <c r="O76">
        <f t="shared" si="26"/>
        <v>630</v>
      </c>
      <c r="P76">
        <f t="shared" si="26"/>
        <v>630</v>
      </c>
      <c r="Q76">
        <f t="shared" si="27"/>
        <v>1.3962634015954636</v>
      </c>
      <c r="R76">
        <f t="shared" si="28"/>
        <v>8</v>
      </c>
      <c r="S76">
        <f t="shared" si="34"/>
        <v>630</v>
      </c>
      <c r="T76">
        <f t="shared" si="35"/>
        <v>630</v>
      </c>
      <c r="U76">
        <f t="shared" si="36"/>
        <v>630</v>
      </c>
      <c r="V76">
        <f t="shared" si="37"/>
        <v>630</v>
      </c>
      <c r="W76">
        <f t="shared" si="38"/>
        <v>630</v>
      </c>
      <c r="X76">
        <f t="shared" si="39"/>
        <v>630</v>
      </c>
      <c r="Y76">
        <v>75</v>
      </c>
      <c r="Z76">
        <f t="shared" si="41"/>
        <v>2</v>
      </c>
      <c r="AA76">
        <v>80</v>
      </c>
      <c r="AB76">
        <v>70</v>
      </c>
      <c r="AC76">
        <f t="shared" si="42"/>
        <v>2</v>
      </c>
      <c r="AD76">
        <v>60</v>
      </c>
      <c r="AE76">
        <v>0.63</v>
      </c>
      <c r="AF76" t="str">
        <f t="shared" si="29"/>
        <v>B_01'Flr_01'A1</v>
      </c>
      <c r="AG76" t="str">
        <f>"R_" &amp; INDEX(Sched!A:AA, MATCH(ABT!$E76, SchedMark, 0), 20)</f>
        <v>R_1100.03</v>
      </c>
      <c r="AH76" t="str">
        <f t="shared" si="29"/>
        <v>B_01'Flr_01'A1</v>
      </c>
      <c r="AI76" t="str">
        <f t="shared" si="40"/>
        <v>VV-3-1-04</v>
      </c>
      <c r="AJ76" t="s">
        <v>1043</v>
      </c>
    </row>
    <row r="77" spans="1:36" x14ac:dyDescent="0.2">
      <c r="A77" s="109" t="s">
        <v>610</v>
      </c>
      <c r="B77" t="str">
        <f t="shared" si="43"/>
        <v>B_01'Flr_01'A1</v>
      </c>
      <c r="C77" t="str">
        <f t="shared" si="44"/>
        <v>VV-3-1-05</v>
      </c>
      <c r="D77" t="str">
        <f t="shared" si="45"/>
        <v>1030217</v>
      </c>
      <c r="E77" t="str">
        <f t="shared" si="46"/>
        <v>VV-3-1-05</v>
      </c>
      <c r="F77" t="s">
        <v>695</v>
      </c>
      <c r="G77" t="str">
        <f>INDEX(Sched!$J$213:$O$223, MATCH(ABT!$H77, Sched!$J$213:$J$223, 0), 6)</f>
        <v>15201_CB_DXR2M12P_US</v>
      </c>
      <c r="H77">
        <f t="shared" si="31"/>
        <v>15201</v>
      </c>
      <c r="I77">
        <f t="shared" si="32"/>
        <v>302</v>
      </c>
      <c r="J77" t="b">
        <v>0</v>
      </c>
      <c r="K77">
        <f t="shared" si="33"/>
        <v>17</v>
      </c>
      <c r="L77">
        <v>85</v>
      </c>
      <c r="M77">
        <v>38400</v>
      </c>
      <c r="N77">
        <f t="shared" si="25"/>
        <v>560</v>
      </c>
      <c r="O77">
        <f t="shared" si="26"/>
        <v>140</v>
      </c>
      <c r="P77">
        <f t="shared" si="26"/>
        <v>140</v>
      </c>
      <c r="Q77">
        <f t="shared" si="27"/>
        <v>1.3962634015954636</v>
      </c>
      <c r="R77">
        <f t="shared" si="28"/>
        <v>8</v>
      </c>
      <c r="S77">
        <f t="shared" si="34"/>
        <v>560</v>
      </c>
      <c r="T77">
        <f t="shared" si="35"/>
        <v>560</v>
      </c>
      <c r="U77">
        <f t="shared" si="36"/>
        <v>560</v>
      </c>
      <c r="V77">
        <f t="shared" si="37"/>
        <v>560</v>
      </c>
      <c r="W77">
        <f t="shared" si="38"/>
        <v>560</v>
      </c>
      <c r="X77">
        <f t="shared" si="39"/>
        <v>560</v>
      </c>
      <c r="Y77">
        <v>75</v>
      </c>
      <c r="Z77">
        <f t="shared" si="41"/>
        <v>2</v>
      </c>
      <c r="AA77">
        <v>80</v>
      </c>
      <c r="AB77">
        <v>70</v>
      </c>
      <c r="AC77">
        <f t="shared" si="42"/>
        <v>2</v>
      </c>
      <c r="AD77">
        <v>60</v>
      </c>
      <c r="AE77">
        <v>0.63</v>
      </c>
      <c r="AF77" t="str">
        <f t="shared" si="29"/>
        <v>B_01'Flr_01'A1</v>
      </c>
      <c r="AG77" t="str">
        <f>"R_" &amp; INDEX(Sched!A:AA, MATCH(ABT!$E77, SchedMark, 0), 20)</f>
        <v>R_1111.00</v>
      </c>
      <c r="AH77" t="str">
        <f t="shared" si="29"/>
        <v>B_01'Flr_01'A1</v>
      </c>
      <c r="AI77" t="str">
        <f t="shared" si="40"/>
        <v>VV-3-1-05</v>
      </c>
      <c r="AJ77" t="s">
        <v>1044</v>
      </c>
    </row>
    <row r="78" spans="1:36" x14ac:dyDescent="0.2">
      <c r="A78" s="109" t="s">
        <v>611</v>
      </c>
      <c r="B78" t="str">
        <f t="shared" si="43"/>
        <v>B_01'Flr_01'A1</v>
      </c>
      <c r="C78" t="str">
        <f t="shared" si="44"/>
        <v>VV-3-1-12</v>
      </c>
      <c r="D78" t="str">
        <f t="shared" si="45"/>
        <v>1030218</v>
      </c>
      <c r="E78" t="str">
        <f t="shared" si="46"/>
        <v>VV-3-1-12</v>
      </c>
      <c r="F78" t="s">
        <v>695</v>
      </c>
      <c r="G78" t="str">
        <f>INDEX(Sched!$J$213:$O$223, MATCH(ABT!$H78, Sched!$J$213:$J$223, 0), 6)</f>
        <v>15201_CB_DXR2M12P_US</v>
      </c>
      <c r="H78">
        <f t="shared" si="31"/>
        <v>15201</v>
      </c>
      <c r="I78">
        <f t="shared" si="32"/>
        <v>302</v>
      </c>
      <c r="J78" t="b">
        <v>0</v>
      </c>
      <c r="K78">
        <f t="shared" si="33"/>
        <v>18</v>
      </c>
      <c r="L78">
        <v>85</v>
      </c>
      <c r="M78">
        <v>38400</v>
      </c>
      <c r="N78">
        <f t="shared" si="25"/>
        <v>320</v>
      </c>
      <c r="O78">
        <f t="shared" si="26"/>
        <v>80</v>
      </c>
      <c r="P78">
        <f t="shared" si="26"/>
        <v>80</v>
      </c>
      <c r="Q78">
        <f t="shared" si="27"/>
        <v>0.78539816339744828</v>
      </c>
      <c r="R78">
        <f t="shared" si="28"/>
        <v>6</v>
      </c>
      <c r="S78">
        <f t="shared" si="34"/>
        <v>320</v>
      </c>
      <c r="T78">
        <f t="shared" si="35"/>
        <v>320</v>
      </c>
      <c r="U78">
        <f t="shared" si="36"/>
        <v>320</v>
      </c>
      <c r="V78">
        <f t="shared" si="37"/>
        <v>320</v>
      </c>
      <c r="W78">
        <f t="shared" si="38"/>
        <v>320</v>
      </c>
      <c r="X78">
        <f t="shared" si="39"/>
        <v>320</v>
      </c>
      <c r="Y78">
        <v>75</v>
      </c>
      <c r="Z78">
        <f t="shared" si="41"/>
        <v>2</v>
      </c>
      <c r="AA78">
        <v>80</v>
      </c>
      <c r="AB78">
        <v>70</v>
      </c>
      <c r="AC78">
        <f t="shared" si="42"/>
        <v>2</v>
      </c>
      <c r="AD78">
        <v>60</v>
      </c>
      <c r="AE78">
        <v>0.63</v>
      </c>
      <c r="AF78" t="str">
        <f t="shared" si="29"/>
        <v>B_01'Flr_01'A1</v>
      </c>
      <c r="AG78" t="str">
        <f>"R_" &amp; INDEX(Sched!A:AA, MATCH(ABT!$E78, SchedMark, 0), 20)</f>
        <v>R_1115.01</v>
      </c>
      <c r="AH78" t="str">
        <f t="shared" si="29"/>
        <v>B_01'Flr_01'A1</v>
      </c>
      <c r="AI78" t="str">
        <f t="shared" si="40"/>
        <v>VV-3-1-12</v>
      </c>
      <c r="AJ78" t="s">
        <v>1045</v>
      </c>
    </row>
    <row r="79" spans="1:36" x14ac:dyDescent="0.2">
      <c r="A79" s="109" t="s">
        <v>612</v>
      </c>
      <c r="B79" t="str">
        <f t="shared" si="43"/>
        <v>B_01'Flr_01'A1</v>
      </c>
      <c r="C79" t="str">
        <f t="shared" si="44"/>
        <v>VV-3-1-13</v>
      </c>
      <c r="D79" t="str">
        <f t="shared" si="45"/>
        <v>1030219</v>
      </c>
      <c r="E79" t="str">
        <f t="shared" si="46"/>
        <v>VV-3-1-13</v>
      </c>
      <c r="F79" t="s">
        <v>695</v>
      </c>
      <c r="G79" t="str">
        <f>INDEX(Sched!$J$213:$O$223, MATCH(ABT!$H79, Sched!$J$213:$J$223, 0), 6)</f>
        <v>15201_CB_DXR2M12P_US</v>
      </c>
      <c r="H79">
        <f t="shared" si="31"/>
        <v>15201</v>
      </c>
      <c r="I79">
        <f t="shared" si="32"/>
        <v>302</v>
      </c>
      <c r="J79" t="b">
        <v>0</v>
      </c>
      <c r="K79">
        <f t="shared" si="33"/>
        <v>19</v>
      </c>
      <c r="L79">
        <v>85</v>
      </c>
      <c r="M79">
        <v>38400</v>
      </c>
      <c r="N79">
        <f t="shared" si="25"/>
        <v>590</v>
      </c>
      <c r="O79">
        <f t="shared" si="26"/>
        <v>500</v>
      </c>
      <c r="P79">
        <f t="shared" si="26"/>
        <v>500</v>
      </c>
      <c r="Q79">
        <f t="shared" si="27"/>
        <v>1.3962634015954636</v>
      </c>
      <c r="R79">
        <f t="shared" si="28"/>
        <v>8</v>
      </c>
      <c r="S79">
        <f t="shared" si="34"/>
        <v>590</v>
      </c>
      <c r="T79">
        <f t="shared" si="35"/>
        <v>590</v>
      </c>
      <c r="U79">
        <f t="shared" si="36"/>
        <v>590</v>
      </c>
      <c r="V79">
        <f t="shared" si="37"/>
        <v>590</v>
      </c>
      <c r="W79">
        <f t="shared" si="38"/>
        <v>590</v>
      </c>
      <c r="X79">
        <f t="shared" si="39"/>
        <v>590</v>
      </c>
      <c r="Y79">
        <v>75</v>
      </c>
      <c r="Z79">
        <f t="shared" si="41"/>
        <v>2</v>
      </c>
      <c r="AA79">
        <v>80</v>
      </c>
      <c r="AB79">
        <v>70</v>
      </c>
      <c r="AC79">
        <f t="shared" si="42"/>
        <v>2</v>
      </c>
      <c r="AD79">
        <v>60</v>
      </c>
      <c r="AE79">
        <v>0.63</v>
      </c>
      <c r="AF79" t="str">
        <f t="shared" si="29"/>
        <v>B_01'Flr_01'A1</v>
      </c>
      <c r="AG79" t="str">
        <f>"R_" &amp; INDEX(Sched!A:AA, MATCH(ABT!$E79, SchedMark, 0), 20)</f>
        <v>R_1100.06</v>
      </c>
      <c r="AH79" t="str">
        <f t="shared" si="29"/>
        <v>B_01'Flr_01'A1</v>
      </c>
      <c r="AI79" t="str">
        <f t="shared" si="40"/>
        <v>VV-3-1-13</v>
      </c>
      <c r="AJ79" t="s">
        <v>1046</v>
      </c>
    </row>
    <row r="80" spans="1:36" x14ac:dyDescent="0.2">
      <c r="A80" s="109" t="s">
        <v>613</v>
      </c>
      <c r="B80" t="str">
        <f t="shared" si="43"/>
        <v>B_01'Flr_02'A1</v>
      </c>
      <c r="C80" t="str">
        <f t="shared" si="44"/>
        <v>VV-3-2-01</v>
      </c>
      <c r="D80" t="str">
        <f t="shared" si="45"/>
        <v>1030416</v>
      </c>
      <c r="E80" t="str">
        <f t="shared" si="46"/>
        <v>VV-3-2-01</v>
      </c>
      <c r="F80" t="s">
        <v>695</v>
      </c>
      <c r="G80" t="str">
        <f>INDEX(Sched!$J$213:$O$223, MATCH(ABT!$H80, Sched!$J$213:$J$223, 0), 6)</f>
        <v>15201_CB_DXR2M12P_US</v>
      </c>
      <c r="H80">
        <f t="shared" si="31"/>
        <v>15201</v>
      </c>
      <c r="I80">
        <f t="shared" si="32"/>
        <v>304</v>
      </c>
      <c r="J80" t="b">
        <v>0</v>
      </c>
      <c r="K80">
        <f t="shared" si="33"/>
        <v>16</v>
      </c>
      <c r="L80">
        <v>85</v>
      </c>
      <c r="M80">
        <v>38400</v>
      </c>
      <c r="N80">
        <f t="shared" si="25"/>
        <v>570</v>
      </c>
      <c r="O80">
        <f t="shared" si="26"/>
        <v>140</v>
      </c>
      <c r="P80">
        <f t="shared" si="26"/>
        <v>140</v>
      </c>
      <c r="Q80">
        <f t="shared" si="27"/>
        <v>1.3962634015954636</v>
      </c>
      <c r="R80">
        <f t="shared" si="28"/>
        <v>8</v>
      </c>
      <c r="S80">
        <f t="shared" si="34"/>
        <v>570</v>
      </c>
      <c r="T80">
        <f t="shared" si="35"/>
        <v>570</v>
      </c>
      <c r="U80">
        <f t="shared" si="36"/>
        <v>570</v>
      </c>
      <c r="V80">
        <f t="shared" si="37"/>
        <v>570</v>
      </c>
      <c r="W80">
        <f t="shared" si="38"/>
        <v>570</v>
      </c>
      <c r="X80">
        <f t="shared" si="39"/>
        <v>570</v>
      </c>
      <c r="Y80">
        <v>75</v>
      </c>
      <c r="Z80">
        <f t="shared" si="41"/>
        <v>2</v>
      </c>
      <c r="AA80">
        <v>80</v>
      </c>
      <c r="AB80">
        <v>70</v>
      </c>
      <c r="AC80">
        <f t="shared" si="42"/>
        <v>2</v>
      </c>
      <c r="AD80">
        <v>60</v>
      </c>
      <c r="AE80">
        <v>0.63</v>
      </c>
      <c r="AF80" t="str">
        <f t="shared" si="29"/>
        <v>B_01'Flr_02'A1</v>
      </c>
      <c r="AG80" t="str">
        <f>"R_" &amp; INDEX(Sched!A:AA, MATCH(ABT!$E80, SchedMark, 0), 20)</f>
        <v>R_1215.00</v>
      </c>
      <c r="AH80" t="str">
        <f t="shared" si="29"/>
        <v>B_01'Flr_02'A1</v>
      </c>
      <c r="AI80" t="str">
        <f t="shared" si="40"/>
        <v>VV-3-2-01</v>
      </c>
      <c r="AJ80" t="s">
        <v>1047</v>
      </c>
    </row>
    <row r="81" spans="1:36" x14ac:dyDescent="0.2">
      <c r="A81" s="109" t="s">
        <v>614</v>
      </c>
      <c r="B81" t="str">
        <f t="shared" si="43"/>
        <v>B_01'Flr_02'A1</v>
      </c>
      <c r="C81" t="str">
        <f t="shared" si="44"/>
        <v>VV-3-2-02</v>
      </c>
      <c r="D81" t="str">
        <f t="shared" si="45"/>
        <v>1030417</v>
      </c>
      <c r="E81" t="str">
        <f t="shared" si="46"/>
        <v>VV-3-2-02</v>
      </c>
      <c r="F81" t="s">
        <v>695</v>
      </c>
      <c r="G81" t="str">
        <f>INDEX(Sched!$J$213:$O$223, MATCH(ABT!$H81, Sched!$J$213:$J$223, 0), 6)</f>
        <v>15201_CB_DXR2M12P_US</v>
      </c>
      <c r="H81">
        <f t="shared" si="31"/>
        <v>15201</v>
      </c>
      <c r="I81">
        <f t="shared" si="32"/>
        <v>304</v>
      </c>
      <c r="J81" t="b">
        <v>0</v>
      </c>
      <c r="K81">
        <f t="shared" si="33"/>
        <v>17</v>
      </c>
      <c r="L81">
        <v>85</v>
      </c>
      <c r="M81">
        <v>38400</v>
      </c>
      <c r="N81">
        <f t="shared" si="25"/>
        <v>80</v>
      </c>
      <c r="O81">
        <f t="shared" si="26"/>
        <v>80</v>
      </c>
      <c r="P81">
        <f t="shared" si="26"/>
        <v>80</v>
      </c>
      <c r="Q81">
        <f t="shared" si="27"/>
        <v>0.78539816339744828</v>
      </c>
      <c r="R81">
        <f t="shared" si="28"/>
        <v>6</v>
      </c>
      <c r="S81">
        <f t="shared" si="34"/>
        <v>80</v>
      </c>
      <c r="T81">
        <f t="shared" si="35"/>
        <v>80</v>
      </c>
      <c r="U81">
        <f t="shared" si="36"/>
        <v>80</v>
      </c>
      <c r="V81">
        <f t="shared" si="37"/>
        <v>80</v>
      </c>
      <c r="W81">
        <f t="shared" si="38"/>
        <v>80</v>
      </c>
      <c r="X81">
        <f t="shared" si="39"/>
        <v>80</v>
      </c>
      <c r="Y81">
        <v>75</v>
      </c>
      <c r="Z81">
        <f t="shared" si="41"/>
        <v>2</v>
      </c>
      <c r="AA81">
        <v>80</v>
      </c>
      <c r="AB81">
        <v>70</v>
      </c>
      <c r="AC81">
        <f t="shared" si="42"/>
        <v>2</v>
      </c>
      <c r="AD81">
        <v>60</v>
      </c>
      <c r="AE81">
        <v>0.63</v>
      </c>
      <c r="AF81" t="str">
        <f t="shared" si="29"/>
        <v>B_01'Flr_02'A1</v>
      </c>
      <c r="AG81" t="str">
        <f>"R_" &amp; INDEX(Sched!A:AA, MATCH(ABT!$E81, SchedMark, 0), 20)</f>
        <v>R_1213.02</v>
      </c>
      <c r="AH81" t="str">
        <f t="shared" si="29"/>
        <v>B_01'Flr_02'A1</v>
      </c>
      <c r="AI81" t="str">
        <f t="shared" si="40"/>
        <v>VV-3-2-02</v>
      </c>
      <c r="AJ81" t="s">
        <v>1048</v>
      </c>
    </row>
    <row r="82" spans="1:36" x14ac:dyDescent="0.2">
      <c r="A82" s="109" t="s">
        <v>615</v>
      </c>
      <c r="B82" t="str">
        <f t="shared" si="43"/>
        <v>B_01'Flr_02'A1</v>
      </c>
      <c r="C82" t="str">
        <f t="shared" si="44"/>
        <v>VV-3-2-03</v>
      </c>
      <c r="D82" t="str">
        <f t="shared" si="45"/>
        <v>1030418</v>
      </c>
      <c r="E82" t="str">
        <f t="shared" si="46"/>
        <v>VV-3-2-03</v>
      </c>
      <c r="F82" t="s">
        <v>695</v>
      </c>
      <c r="G82" t="str">
        <f>INDEX(Sched!$J$213:$O$223, MATCH(ABT!$H82, Sched!$J$213:$J$223, 0), 6)</f>
        <v>15201_CB_DXR2M12P_US</v>
      </c>
      <c r="H82">
        <f t="shared" si="31"/>
        <v>15201</v>
      </c>
      <c r="I82">
        <f t="shared" si="32"/>
        <v>304</v>
      </c>
      <c r="J82" t="b">
        <v>0</v>
      </c>
      <c r="K82">
        <f t="shared" si="33"/>
        <v>18</v>
      </c>
      <c r="L82">
        <v>85</v>
      </c>
      <c r="M82">
        <v>38400</v>
      </c>
      <c r="N82">
        <f t="shared" ref="N82:N145" si="47">INDEX(Schedule, MATCH($E82, SchedMark, 0), 6)</f>
        <v>150</v>
      </c>
      <c r="O82">
        <f t="shared" ref="O82:P145" si="48">INDEX(Schedule, MATCH($E82, SchedMark, 0), 7)</f>
        <v>80</v>
      </c>
      <c r="P82">
        <f t="shared" si="48"/>
        <v>80</v>
      </c>
      <c r="Q82">
        <f t="shared" ref="Q82:Q145" si="49">INDEX(Schedule, MATCH($E82, SchedMark, 0), 8)^2*PI()/144</f>
        <v>0.78539816339744828</v>
      </c>
      <c r="R82">
        <f t="shared" ref="R82:R145" si="50">INDEX(Schedule, MATCH($E82, SchedMark, 0), 8)</f>
        <v>6</v>
      </c>
      <c r="S82">
        <f t="shared" si="34"/>
        <v>150</v>
      </c>
      <c r="T82">
        <f t="shared" si="35"/>
        <v>150</v>
      </c>
      <c r="U82">
        <f t="shared" si="36"/>
        <v>150</v>
      </c>
      <c r="V82">
        <f t="shared" si="37"/>
        <v>150</v>
      </c>
      <c r="W82">
        <f t="shared" si="38"/>
        <v>150</v>
      </c>
      <c r="X82">
        <f t="shared" si="39"/>
        <v>150</v>
      </c>
      <c r="Y82">
        <v>75</v>
      </c>
      <c r="Z82">
        <f t="shared" si="41"/>
        <v>2</v>
      </c>
      <c r="AA82">
        <v>80</v>
      </c>
      <c r="AB82">
        <v>70</v>
      </c>
      <c r="AC82">
        <f t="shared" si="42"/>
        <v>2</v>
      </c>
      <c r="AD82">
        <v>60</v>
      </c>
      <c r="AE82">
        <v>0.63</v>
      </c>
      <c r="AF82" t="str">
        <f t="shared" ref="AF82:AH145" si="51">"B_01'" &amp; "Flr_0" &amp; INDEX(Joined, MATCH($A82, SystemName, FALSE), 13) &amp; "'" &amp; INDEX(Joined, MATCH($A82, SystemName, FALSE), 12)</f>
        <v>B_01'Flr_02'A1</v>
      </c>
      <c r="AG82" t="str">
        <f>"R_" &amp; INDEX(Sched!A:AA, MATCH(ABT!$E82, SchedMark, 0), 20)</f>
        <v>R_1213.04</v>
      </c>
      <c r="AH82" t="str">
        <f t="shared" si="51"/>
        <v>B_01'Flr_02'A1</v>
      </c>
      <c r="AI82" t="str">
        <f t="shared" si="40"/>
        <v>VV-3-2-03</v>
      </c>
      <c r="AJ82" t="s">
        <v>1049</v>
      </c>
    </row>
    <row r="83" spans="1:36" x14ac:dyDescent="0.2">
      <c r="A83" s="109" t="s">
        <v>616</v>
      </c>
      <c r="B83" t="str">
        <f t="shared" si="43"/>
        <v>B_01'Flr_02'A1</v>
      </c>
      <c r="C83" t="str">
        <f t="shared" si="44"/>
        <v>VV-3-2-04</v>
      </c>
      <c r="D83" t="str">
        <f t="shared" si="45"/>
        <v>1030419</v>
      </c>
      <c r="E83" t="str">
        <f t="shared" si="46"/>
        <v>VV-3-2-04</v>
      </c>
      <c r="F83" t="s">
        <v>695</v>
      </c>
      <c r="G83" t="str">
        <f>INDEX(Sched!$J$213:$O$223, MATCH(ABT!$H83, Sched!$J$213:$J$223, 0), 6)</f>
        <v>15201_CB_DXR2M12P_US</v>
      </c>
      <c r="H83">
        <f t="shared" si="31"/>
        <v>15201</v>
      </c>
      <c r="I83">
        <f t="shared" si="32"/>
        <v>304</v>
      </c>
      <c r="J83" t="b">
        <v>0</v>
      </c>
      <c r="K83">
        <f t="shared" si="33"/>
        <v>19</v>
      </c>
      <c r="L83">
        <v>85</v>
      </c>
      <c r="M83">
        <v>38400</v>
      </c>
      <c r="N83">
        <f t="shared" si="47"/>
        <v>100</v>
      </c>
      <c r="O83">
        <f t="shared" si="48"/>
        <v>80</v>
      </c>
      <c r="P83">
        <f t="shared" si="48"/>
        <v>80</v>
      </c>
      <c r="Q83">
        <f t="shared" si="49"/>
        <v>0.78539816339744828</v>
      </c>
      <c r="R83">
        <f t="shared" si="50"/>
        <v>6</v>
      </c>
      <c r="S83">
        <f t="shared" si="34"/>
        <v>100</v>
      </c>
      <c r="T83">
        <f t="shared" si="35"/>
        <v>100</v>
      </c>
      <c r="U83">
        <f t="shared" si="36"/>
        <v>100</v>
      </c>
      <c r="V83">
        <f t="shared" si="37"/>
        <v>100</v>
      </c>
      <c r="W83">
        <f t="shared" si="38"/>
        <v>100</v>
      </c>
      <c r="X83">
        <f t="shared" si="39"/>
        <v>100</v>
      </c>
      <c r="Y83">
        <v>75</v>
      </c>
      <c r="Z83">
        <f t="shared" si="41"/>
        <v>2</v>
      </c>
      <c r="AA83">
        <v>80</v>
      </c>
      <c r="AB83">
        <v>70</v>
      </c>
      <c r="AC83">
        <f t="shared" si="42"/>
        <v>2</v>
      </c>
      <c r="AD83">
        <v>60</v>
      </c>
      <c r="AE83">
        <v>0.63</v>
      </c>
      <c r="AF83" t="str">
        <f t="shared" si="51"/>
        <v>B_01'Flr_02'A1</v>
      </c>
      <c r="AG83" t="str">
        <f>"R_" &amp; INDEX(Sched!A:AA, MATCH(ABT!$E83, SchedMark, 0), 20)</f>
        <v>R_1213.07</v>
      </c>
      <c r="AH83" t="str">
        <f t="shared" si="51"/>
        <v>B_01'Flr_02'A1</v>
      </c>
      <c r="AI83" t="str">
        <f t="shared" si="40"/>
        <v>VV-3-2-04</v>
      </c>
      <c r="AJ83" s="10" t="s">
        <v>1050</v>
      </c>
    </row>
    <row r="84" spans="1:36" x14ac:dyDescent="0.2">
      <c r="A84" s="109" t="s">
        <v>617</v>
      </c>
      <c r="B84" t="str">
        <f t="shared" si="43"/>
        <v>B_01'Flr_02'A1</v>
      </c>
      <c r="C84" t="str">
        <f t="shared" si="44"/>
        <v>VV-3-2-14</v>
      </c>
      <c r="D84" t="str">
        <f t="shared" si="45"/>
        <v>1030420</v>
      </c>
      <c r="E84" t="str">
        <f t="shared" si="46"/>
        <v>VV-3-2-14</v>
      </c>
      <c r="F84" t="s">
        <v>695</v>
      </c>
      <c r="G84" t="str">
        <f>INDEX(Sched!$J$213:$O$223, MATCH(ABT!$H84, Sched!$J$213:$J$223, 0), 6)</f>
        <v>15201_CB_DXR2M12P_US</v>
      </c>
      <c r="H84">
        <f t="shared" si="31"/>
        <v>15201</v>
      </c>
      <c r="I84">
        <f t="shared" si="32"/>
        <v>304</v>
      </c>
      <c r="J84" t="b">
        <v>0</v>
      </c>
      <c r="K84">
        <f t="shared" si="33"/>
        <v>20</v>
      </c>
      <c r="L84">
        <v>85</v>
      </c>
      <c r="M84">
        <v>38400</v>
      </c>
      <c r="N84">
        <f t="shared" si="47"/>
        <v>500</v>
      </c>
      <c r="O84">
        <f t="shared" si="48"/>
        <v>500</v>
      </c>
      <c r="P84">
        <f t="shared" si="48"/>
        <v>500</v>
      </c>
      <c r="Q84">
        <f t="shared" si="49"/>
        <v>1.3962634015954636</v>
      </c>
      <c r="R84">
        <f t="shared" si="50"/>
        <v>8</v>
      </c>
      <c r="S84">
        <f t="shared" si="34"/>
        <v>500</v>
      </c>
      <c r="T84">
        <f t="shared" si="35"/>
        <v>500</v>
      </c>
      <c r="U84">
        <f t="shared" si="36"/>
        <v>500</v>
      </c>
      <c r="V84">
        <f t="shared" si="37"/>
        <v>500</v>
      </c>
      <c r="W84">
        <f t="shared" si="38"/>
        <v>500</v>
      </c>
      <c r="X84">
        <f t="shared" si="39"/>
        <v>500</v>
      </c>
      <c r="Y84">
        <v>75</v>
      </c>
      <c r="Z84">
        <f t="shared" si="41"/>
        <v>2</v>
      </c>
      <c r="AA84">
        <v>80</v>
      </c>
      <c r="AB84">
        <v>70</v>
      </c>
      <c r="AC84">
        <f t="shared" si="42"/>
        <v>2</v>
      </c>
      <c r="AD84">
        <v>60</v>
      </c>
      <c r="AE84">
        <v>0.63</v>
      </c>
      <c r="AF84" t="str">
        <f t="shared" si="51"/>
        <v>B_01'Flr_02'A1</v>
      </c>
      <c r="AG84" t="str">
        <f>"R_" &amp; INDEX(Sched!A:AA, MATCH(ABT!$E84, SchedMark, 0), 20)</f>
        <v>R_1200.06</v>
      </c>
      <c r="AH84" t="str">
        <f t="shared" si="51"/>
        <v>B_01'Flr_02'A1</v>
      </c>
      <c r="AI84" t="str">
        <f t="shared" si="40"/>
        <v>VV-3-2-14</v>
      </c>
      <c r="AJ84" t="s">
        <v>1051</v>
      </c>
    </row>
    <row r="85" spans="1:36" x14ac:dyDescent="0.2">
      <c r="A85" s="109" t="s">
        <v>618</v>
      </c>
      <c r="B85" t="str">
        <f t="shared" si="43"/>
        <v>B_01'Flr_02'A1</v>
      </c>
      <c r="C85" t="str">
        <f t="shared" si="44"/>
        <v>VV-3-2-20</v>
      </c>
      <c r="D85" t="str">
        <f t="shared" si="45"/>
        <v>1030424</v>
      </c>
      <c r="E85" t="str">
        <f t="shared" si="46"/>
        <v>VV-3-2-20</v>
      </c>
      <c r="F85" t="s">
        <v>695</v>
      </c>
      <c r="G85" t="str">
        <f>INDEX(Sched!$J$213:$O$223, MATCH(ABT!$H85, Sched!$J$213:$J$223, 0), 6)</f>
        <v>15201_CB_DXR2M12P_US</v>
      </c>
      <c r="H85">
        <f t="shared" si="31"/>
        <v>15201</v>
      </c>
      <c r="I85">
        <f t="shared" si="32"/>
        <v>304</v>
      </c>
      <c r="J85" t="b">
        <v>0</v>
      </c>
      <c r="K85">
        <f t="shared" si="33"/>
        <v>24</v>
      </c>
      <c r="L85">
        <v>85</v>
      </c>
      <c r="M85">
        <v>38400</v>
      </c>
      <c r="N85">
        <f t="shared" si="47"/>
        <v>150</v>
      </c>
      <c r="O85">
        <f t="shared" si="48"/>
        <v>80</v>
      </c>
      <c r="P85">
        <f t="shared" si="48"/>
        <v>80</v>
      </c>
      <c r="Q85">
        <f t="shared" si="49"/>
        <v>0.78539816339744828</v>
      </c>
      <c r="R85">
        <f t="shared" si="50"/>
        <v>6</v>
      </c>
      <c r="S85">
        <f t="shared" si="34"/>
        <v>150</v>
      </c>
      <c r="T85">
        <f t="shared" si="35"/>
        <v>150</v>
      </c>
      <c r="U85">
        <f t="shared" si="36"/>
        <v>150</v>
      </c>
      <c r="V85">
        <f t="shared" si="37"/>
        <v>150</v>
      </c>
      <c r="W85">
        <f t="shared" si="38"/>
        <v>150</v>
      </c>
      <c r="X85">
        <f t="shared" si="39"/>
        <v>150</v>
      </c>
      <c r="Y85">
        <v>75</v>
      </c>
      <c r="Z85">
        <f t="shared" si="41"/>
        <v>2</v>
      </c>
      <c r="AA85">
        <v>80</v>
      </c>
      <c r="AB85">
        <v>70</v>
      </c>
      <c r="AC85">
        <f t="shared" si="42"/>
        <v>2</v>
      </c>
      <c r="AD85">
        <v>60</v>
      </c>
      <c r="AE85">
        <v>0.63</v>
      </c>
      <c r="AF85" t="str">
        <f t="shared" si="51"/>
        <v>B_01'Flr_02'A1</v>
      </c>
      <c r="AG85" t="str">
        <f>"R_" &amp; INDEX(Sched!A:AA, MATCH(ABT!$E85, SchedMark, 0), 20)</f>
        <v>R_1221.00</v>
      </c>
      <c r="AH85" t="str">
        <f t="shared" si="51"/>
        <v>B_01'Flr_02'A1</v>
      </c>
      <c r="AI85" t="str">
        <f t="shared" si="40"/>
        <v>VV-3-2-20</v>
      </c>
      <c r="AJ85" t="s">
        <v>1052</v>
      </c>
    </row>
    <row r="86" spans="1:36" x14ac:dyDescent="0.2">
      <c r="A86" s="109" t="s">
        <v>619</v>
      </c>
      <c r="B86" t="str">
        <f t="shared" si="43"/>
        <v>B_01'Flr_00'B2</v>
      </c>
      <c r="C86" t="str">
        <f t="shared" si="44"/>
        <v>VV-4-0-10</v>
      </c>
      <c r="D86" t="str">
        <f t="shared" si="45"/>
        <v>1030301</v>
      </c>
      <c r="E86" t="str">
        <f t="shared" si="46"/>
        <v>VV-4-0-10</v>
      </c>
      <c r="F86" t="s">
        <v>695</v>
      </c>
      <c r="G86" t="str">
        <f>INDEX(Sched!$J$213:$O$223, MATCH(ABT!$H86, Sched!$J$213:$J$223, 0), 6)</f>
        <v>15201_CB_DXR2M12P_US</v>
      </c>
      <c r="H86">
        <f t="shared" si="31"/>
        <v>15201</v>
      </c>
      <c r="I86">
        <f t="shared" si="32"/>
        <v>303</v>
      </c>
      <c r="J86" t="b">
        <v>0</v>
      </c>
      <c r="K86">
        <f t="shared" si="33"/>
        <v>1</v>
      </c>
      <c r="L86">
        <v>85</v>
      </c>
      <c r="M86">
        <v>38400</v>
      </c>
      <c r="N86">
        <f t="shared" si="47"/>
        <v>125</v>
      </c>
      <c r="O86">
        <f t="shared" si="48"/>
        <v>80</v>
      </c>
      <c r="P86">
        <f t="shared" si="48"/>
        <v>80</v>
      </c>
      <c r="Q86">
        <f t="shared" si="49"/>
        <v>0.78539816339744828</v>
      </c>
      <c r="R86">
        <f t="shared" si="50"/>
        <v>6</v>
      </c>
      <c r="S86">
        <f t="shared" si="34"/>
        <v>125</v>
      </c>
      <c r="T86">
        <f t="shared" si="35"/>
        <v>125</v>
      </c>
      <c r="U86">
        <f t="shared" si="36"/>
        <v>125</v>
      </c>
      <c r="V86">
        <f t="shared" si="37"/>
        <v>125</v>
      </c>
      <c r="W86">
        <f t="shared" si="38"/>
        <v>125</v>
      </c>
      <c r="X86">
        <f t="shared" si="39"/>
        <v>125</v>
      </c>
      <c r="Y86">
        <v>75</v>
      </c>
      <c r="Z86">
        <f t="shared" si="41"/>
        <v>2</v>
      </c>
      <c r="AA86">
        <v>80</v>
      </c>
      <c r="AB86">
        <v>70</v>
      </c>
      <c r="AC86">
        <f t="shared" si="42"/>
        <v>2</v>
      </c>
      <c r="AD86">
        <v>60</v>
      </c>
      <c r="AE86">
        <v>0.63</v>
      </c>
      <c r="AF86" t="str">
        <f t="shared" si="51"/>
        <v>B_01'Flr_00'B2</v>
      </c>
      <c r="AG86" t="str">
        <f>"R_" &amp; INDEX(Sched!A:AA, MATCH(ABT!$E86, SchedMark, 0), 20)</f>
        <v>R_1003.18</v>
      </c>
      <c r="AH86" t="str">
        <f t="shared" si="51"/>
        <v>B_01'Flr_00'B2</v>
      </c>
      <c r="AI86" t="str">
        <f t="shared" si="40"/>
        <v>VV-4-0-10</v>
      </c>
      <c r="AJ86" t="s">
        <v>1053</v>
      </c>
    </row>
    <row r="87" spans="1:36" x14ac:dyDescent="0.2">
      <c r="A87" s="109" t="s">
        <v>620</v>
      </c>
      <c r="B87" t="str">
        <f t="shared" si="43"/>
        <v>B_01'Flr_01'B2</v>
      </c>
      <c r="C87" t="str">
        <f t="shared" si="44"/>
        <v>VV-4-1-06</v>
      </c>
      <c r="D87" t="str">
        <f t="shared" si="45"/>
        <v>1030223</v>
      </c>
      <c r="E87" t="str">
        <f t="shared" si="46"/>
        <v>VV-4-1-06</v>
      </c>
      <c r="F87" t="s">
        <v>695</v>
      </c>
      <c r="G87" t="str">
        <f>INDEX(Sched!$J$213:$O$223, MATCH(ABT!$H87, Sched!$J$213:$J$223, 0), 6)</f>
        <v>15201_CB_DXR2M12P_US</v>
      </c>
      <c r="H87">
        <f t="shared" si="31"/>
        <v>15201</v>
      </c>
      <c r="I87">
        <f t="shared" si="32"/>
        <v>302</v>
      </c>
      <c r="J87" t="b">
        <v>0</v>
      </c>
      <c r="K87">
        <f t="shared" si="33"/>
        <v>23</v>
      </c>
      <c r="L87">
        <v>85</v>
      </c>
      <c r="M87">
        <v>38400</v>
      </c>
      <c r="N87">
        <f t="shared" si="47"/>
        <v>560</v>
      </c>
      <c r="O87">
        <f t="shared" si="48"/>
        <v>140</v>
      </c>
      <c r="P87">
        <f t="shared" si="48"/>
        <v>140</v>
      </c>
      <c r="Q87">
        <f t="shared" si="49"/>
        <v>1.3962634015954636</v>
      </c>
      <c r="R87">
        <f t="shared" si="50"/>
        <v>8</v>
      </c>
      <c r="S87">
        <f t="shared" si="34"/>
        <v>560</v>
      </c>
      <c r="T87">
        <f t="shared" si="35"/>
        <v>560</v>
      </c>
      <c r="U87">
        <f t="shared" si="36"/>
        <v>560</v>
      </c>
      <c r="V87">
        <f t="shared" si="37"/>
        <v>560</v>
      </c>
      <c r="W87">
        <f t="shared" si="38"/>
        <v>560</v>
      </c>
      <c r="X87">
        <f t="shared" si="39"/>
        <v>560</v>
      </c>
      <c r="Y87">
        <v>75</v>
      </c>
      <c r="Z87">
        <f t="shared" si="41"/>
        <v>2</v>
      </c>
      <c r="AA87">
        <v>80</v>
      </c>
      <c r="AB87">
        <v>70</v>
      </c>
      <c r="AC87">
        <f t="shared" si="42"/>
        <v>2</v>
      </c>
      <c r="AD87">
        <v>60</v>
      </c>
      <c r="AE87">
        <v>0.63</v>
      </c>
      <c r="AF87" t="str">
        <f t="shared" si="51"/>
        <v>B_01'Flr_01'B2</v>
      </c>
      <c r="AG87" t="str">
        <f>"R_" &amp; INDEX(Sched!A:AA, MATCH(ABT!$E87, SchedMark, 0), 20)</f>
        <v>R_1123.00</v>
      </c>
      <c r="AH87" t="str">
        <f t="shared" si="51"/>
        <v>B_01'Flr_01'B2</v>
      </c>
      <c r="AI87" t="str">
        <f t="shared" si="40"/>
        <v>VV-4-1-06</v>
      </c>
      <c r="AJ87" t="s">
        <v>1054</v>
      </c>
    </row>
    <row r="88" spans="1:36" x14ac:dyDescent="0.2">
      <c r="A88" s="109" t="s">
        <v>621</v>
      </c>
      <c r="B88" t="str">
        <f t="shared" si="43"/>
        <v>B_01'Flr_01'B2</v>
      </c>
      <c r="C88" t="str">
        <f t="shared" si="44"/>
        <v>VV-4-1-07</v>
      </c>
      <c r="D88" t="str">
        <f t="shared" si="45"/>
        <v>1030224</v>
      </c>
      <c r="E88" t="str">
        <f t="shared" si="46"/>
        <v>VV-4-1-07</v>
      </c>
      <c r="F88" t="s">
        <v>695</v>
      </c>
      <c r="G88" t="str">
        <f>INDEX(Sched!$J$213:$O$223, MATCH(ABT!$H88, Sched!$J$213:$J$223, 0), 6)</f>
        <v>15201_CB_DXR2M12P_US</v>
      </c>
      <c r="H88">
        <f t="shared" si="31"/>
        <v>15201</v>
      </c>
      <c r="I88">
        <f t="shared" si="32"/>
        <v>302</v>
      </c>
      <c r="J88" t="b">
        <v>0</v>
      </c>
      <c r="K88">
        <f t="shared" si="33"/>
        <v>24</v>
      </c>
      <c r="L88">
        <v>85</v>
      </c>
      <c r="M88">
        <v>38400</v>
      </c>
      <c r="N88">
        <f t="shared" si="47"/>
        <v>570</v>
      </c>
      <c r="O88">
        <f t="shared" si="48"/>
        <v>140</v>
      </c>
      <c r="P88">
        <f t="shared" si="48"/>
        <v>140</v>
      </c>
      <c r="Q88">
        <f t="shared" si="49"/>
        <v>1.3962634015954636</v>
      </c>
      <c r="R88">
        <f t="shared" si="50"/>
        <v>8</v>
      </c>
      <c r="S88">
        <f t="shared" si="34"/>
        <v>570</v>
      </c>
      <c r="T88">
        <f t="shared" si="35"/>
        <v>570</v>
      </c>
      <c r="U88">
        <f t="shared" si="36"/>
        <v>570</v>
      </c>
      <c r="V88">
        <f t="shared" si="37"/>
        <v>570</v>
      </c>
      <c r="W88">
        <f t="shared" si="38"/>
        <v>570</v>
      </c>
      <c r="X88">
        <f t="shared" si="39"/>
        <v>570</v>
      </c>
      <c r="Y88">
        <v>75</v>
      </c>
      <c r="Z88">
        <f t="shared" si="41"/>
        <v>2</v>
      </c>
      <c r="AA88">
        <v>80</v>
      </c>
      <c r="AB88">
        <v>70</v>
      </c>
      <c r="AC88">
        <f t="shared" si="42"/>
        <v>2</v>
      </c>
      <c r="AD88">
        <v>60</v>
      </c>
      <c r="AE88">
        <v>0.63</v>
      </c>
      <c r="AF88" t="str">
        <f t="shared" si="51"/>
        <v>B_01'Flr_01'B2</v>
      </c>
      <c r="AG88" t="str">
        <f>"R_" &amp; INDEX(Sched!A:AA, MATCH(ABT!$E88, SchedMark, 0), 20)</f>
        <v>R_1121.00</v>
      </c>
      <c r="AH88" t="str">
        <f t="shared" si="51"/>
        <v>B_01'Flr_01'B2</v>
      </c>
      <c r="AI88" t="str">
        <f t="shared" si="40"/>
        <v>VV-4-1-07</v>
      </c>
      <c r="AJ88" t="s">
        <v>1055</v>
      </c>
    </row>
    <row r="89" spans="1:36" x14ac:dyDescent="0.2">
      <c r="A89" s="109" t="s">
        <v>622</v>
      </c>
      <c r="B89" t="str">
        <f t="shared" si="43"/>
        <v>B_01'Flr_01'B2</v>
      </c>
      <c r="C89" t="str">
        <f t="shared" si="44"/>
        <v>VV-4-1-08</v>
      </c>
      <c r="D89" t="str">
        <f t="shared" si="45"/>
        <v>1030225</v>
      </c>
      <c r="E89" t="str">
        <f t="shared" si="46"/>
        <v>VV-4-1-08</v>
      </c>
      <c r="F89" t="s">
        <v>695</v>
      </c>
      <c r="G89" t="str">
        <f>INDEX(Sched!$J$213:$O$223, MATCH(ABT!$H89, Sched!$J$213:$J$223, 0), 6)</f>
        <v>15201_CB_DXR2M12P_US</v>
      </c>
      <c r="H89">
        <f t="shared" si="31"/>
        <v>15201</v>
      </c>
      <c r="I89">
        <f t="shared" si="32"/>
        <v>302</v>
      </c>
      <c r="J89" t="b">
        <v>0</v>
      </c>
      <c r="K89">
        <f t="shared" si="33"/>
        <v>25</v>
      </c>
      <c r="L89">
        <v>85</v>
      </c>
      <c r="M89">
        <v>38400</v>
      </c>
      <c r="N89">
        <f t="shared" si="47"/>
        <v>150</v>
      </c>
      <c r="O89">
        <f t="shared" si="48"/>
        <v>150</v>
      </c>
      <c r="P89">
        <f t="shared" si="48"/>
        <v>150</v>
      </c>
      <c r="Q89">
        <f t="shared" si="49"/>
        <v>0.78539816339744828</v>
      </c>
      <c r="R89">
        <f t="shared" si="50"/>
        <v>6</v>
      </c>
      <c r="S89">
        <f t="shared" si="34"/>
        <v>150</v>
      </c>
      <c r="T89">
        <f t="shared" si="35"/>
        <v>150</v>
      </c>
      <c r="U89">
        <f t="shared" si="36"/>
        <v>150</v>
      </c>
      <c r="V89">
        <f t="shared" si="37"/>
        <v>150</v>
      </c>
      <c r="W89">
        <f t="shared" si="38"/>
        <v>150</v>
      </c>
      <c r="X89">
        <f t="shared" si="39"/>
        <v>150</v>
      </c>
      <c r="Y89">
        <v>75</v>
      </c>
      <c r="Z89">
        <f t="shared" si="41"/>
        <v>2</v>
      </c>
      <c r="AA89">
        <v>80</v>
      </c>
      <c r="AB89">
        <v>70</v>
      </c>
      <c r="AC89">
        <f t="shared" si="42"/>
        <v>2</v>
      </c>
      <c r="AD89">
        <v>60</v>
      </c>
      <c r="AE89">
        <v>0.63</v>
      </c>
      <c r="AF89" t="str">
        <f t="shared" si="51"/>
        <v>B_01'Flr_01'B2</v>
      </c>
      <c r="AG89" t="str">
        <f>"R_" &amp; INDEX(Sched!A:AA, MATCH(ABT!$E89, SchedMark, 0), 20)</f>
        <v>R_1100.04</v>
      </c>
      <c r="AH89" t="str">
        <f t="shared" si="51"/>
        <v>B_01'Flr_01'B2</v>
      </c>
      <c r="AI89" t="str">
        <f t="shared" si="40"/>
        <v>VV-4-1-08</v>
      </c>
      <c r="AJ89" t="s">
        <v>1056</v>
      </c>
    </row>
    <row r="90" spans="1:36" x14ac:dyDescent="0.2">
      <c r="A90" s="109" t="s">
        <v>623</v>
      </c>
      <c r="B90" t="str">
        <f t="shared" si="43"/>
        <v>B_01'Flr_01'B2</v>
      </c>
      <c r="C90" t="str">
        <f t="shared" si="44"/>
        <v>VV-4-1-09</v>
      </c>
      <c r="D90" t="str">
        <f t="shared" si="45"/>
        <v>1030226</v>
      </c>
      <c r="E90" t="str">
        <f t="shared" si="46"/>
        <v>VV-4-1-09</v>
      </c>
      <c r="F90" t="s">
        <v>695</v>
      </c>
      <c r="G90" t="str">
        <f>INDEX(Sched!$J$213:$O$223, MATCH(ABT!$H90, Sched!$J$213:$J$223, 0), 6)</f>
        <v>15201_CB_DXR2M12P_US</v>
      </c>
      <c r="H90">
        <f t="shared" si="31"/>
        <v>15201</v>
      </c>
      <c r="I90">
        <f t="shared" si="32"/>
        <v>302</v>
      </c>
      <c r="J90" t="b">
        <v>0</v>
      </c>
      <c r="K90">
        <f t="shared" si="33"/>
        <v>26</v>
      </c>
      <c r="L90">
        <v>85</v>
      </c>
      <c r="M90">
        <v>38400</v>
      </c>
      <c r="N90">
        <f t="shared" si="47"/>
        <v>570</v>
      </c>
      <c r="O90">
        <f t="shared" si="48"/>
        <v>140</v>
      </c>
      <c r="P90">
        <f t="shared" si="48"/>
        <v>140</v>
      </c>
      <c r="Q90">
        <f t="shared" si="49"/>
        <v>1.3962634015954636</v>
      </c>
      <c r="R90">
        <f t="shared" si="50"/>
        <v>8</v>
      </c>
      <c r="S90">
        <f t="shared" si="34"/>
        <v>570</v>
      </c>
      <c r="T90">
        <f t="shared" si="35"/>
        <v>570</v>
      </c>
      <c r="U90">
        <f t="shared" si="36"/>
        <v>570</v>
      </c>
      <c r="V90">
        <f t="shared" si="37"/>
        <v>570</v>
      </c>
      <c r="W90">
        <f t="shared" si="38"/>
        <v>570</v>
      </c>
      <c r="X90">
        <f t="shared" si="39"/>
        <v>570</v>
      </c>
      <c r="Y90">
        <v>75</v>
      </c>
      <c r="Z90">
        <f t="shared" si="41"/>
        <v>2</v>
      </c>
      <c r="AA90">
        <v>80</v>
      </c>
      <c r="AB90">
        <v>70</v>
      </c>
      <c r="AC90">
        <f t="shared" si="42"/>
        <v>2</v>
      </c>
      <c r="AD90">
        <v>60</v>
      </c>
      <c r="AE90">
        <v>0.63</v>
      </c>
      <c r="AF90" t="str">
        <f t="shared" si="51"/>
        <v>B_01'Flr_01'B2</v>
      </c>
      <c r="AG90" t="str">
        <f>"R_" &amp; INDEX(Sched!A:AA, MATCH(ABT!$E90, SchedMark, 0), 20)</f>
        <v>R_1127.00</v>
      </c>
      <c r="AH90" t="str">
        <f t="shared" si="51"/>
        <v>B_01'Flr_01'B2</v>
      </c>
      <c r="AI90" t="str">
        <f t="shared" si="40"/>
        <v>VV-4-1-09</v>
      </c>
      <c r="AJ90" t="s">
        <v>1057</v>
      </c>
    </row>
    <row r="91" spans="1:36" x14ac:dyDescent="0.2">
      <c r="A91" s="109" t="s">
        <v>624</v>
      </c>
      <c r="B91" t="str">
        <f t="shared" si="43"/>
        <v>B_01'Flr_01'B2</v>
      </c>
      <c r="C91" t="str">
        <f t="shared" si="44"/>
        <v>VV-4-1-10</v>
      </c>
      <c r="D91" t="str">
        <f t="shared" si="45"/>
        <v>1030227</v>
      </c>
      <c r="E91" t="str">
        <f t="shared" si="46"/>
        <v>VV-4-1-10</v>
      </c>
      <c r="F91" t="s">
        <v>695</v>
      </c>
      <c r="G91" t="str">
        <f>INDEX(Sched!$J$213:$O$223, MATCH(ABT!$H91, Sched!$J$213:$J$223, 0), 6)</f>
        <v>15201_CB_DXR2M12P_US</v>
      </c>
      <c r="H91">
        <f t="shared" si="31"/>
        <v>15201</v>
      </c>
      <c r="I91">
        <f t="shared" si="32"/>
        <v>302</v>
      </c>
      <c r="J91" t="b">
        <v>0</v>
      </c>
      <c r="K91">
        <f t="shared" si="33"/>
        <v>27</v>
      </c>
      <c r="L91">
        <v>85</v>
      </c>
      <c r="M91">
        <v>38400</v>
      </c>
      <c r="N91">
        <f t="shared" si="47"/>
        <v>560</v>
      </c>
      <c r="O91">
        <f t="shared" si="48"/>
        <v>140</v>
      </c>
      <c r="P91">
        <f t="shared" si="48"/>
        <v>140</v>
      </c>
      <c r="Q91">
        <f t="shared" si="49"/>
        <v>1.3962634015954636</v>
      </c>
      <c r="R91">
        <f t="shared" si="50"/>
        <v>8</v>
      </c>
      <c r="S91">
        <f t="shared" si="34"/>
        <v>560</v>
      </c>
      <c r="T91">
        <f t="shared" si="35"/>
        <v>560</v>
      </c>
      <c r="U91">
        <f t="shared" si="36"/>
        <v>560</v>
      </c>
      <c r="V91">
        <f t="shared" si="37"/>
        <v>560</v>
      </c>
      <c r="W91">
        <f t="shared" si="38"/>
        <v>560</v>
      </c>
      <c r="X91">
        <f t="shared" si="39"/>
        <v>560</v>
      </c>
      <c r="Y91">
        <v>75</v>
      </c>
      <c r="Z91">
        <f t="shared" si="41"/>
        <v>2</v>
      </c>
      <c r="AA91">
        <v>80</v>
      </c>
      <c r="AB91">
        <v>70</v>
      </c>
      <c r="AC91">
        <f t="shared" si="42"/>
        <v>2</v>
      </c>
      <c r="AD91">
        <v>60</v>
      </c>
      <c r="AE91">
        <v>0.63</v>
      </c>
      <c r="AF91" t="str">
        <f t="shared" si="51"/>
        <v>B_01'Flr_01'B2</v>
      </c>
      <c r="AG91" t="str">
        <f>"R_" &amp; INDEX(Sched!A:AA, MATCH(ABT!$E91, SchedMark, 0), 20)</f>
        <v>R_1128.00</v>
      </c>
      <c r="AH91" t="str">
        <f t="shared" si="51"/>
        <v>B_01'Flr_01'B2</v>
      </c>
      <c r="AI91" t="str">
        <f t="shared" si="40"/>
        <v>VV-4-1-10</v>
      </c>
      <c r="AJ91" t="s">
        <v>1058</v>
      </c>
    </row>
    <row r="92" spans="1:36" x14ac:dyDescent="0.2">
      <c r="A92" s="109" t="s">
        <v>625</v>
      </c>
      <c r="B92" t="str">
        <f t="shared" si="43"/>
        <v>B_01'Flr_01'B2</v>
      </c>
      <c r="C92" t="str">
        <f t="shared" si="44"/>
        <v>VV-4-1-11</v>
      </c>
      <c r="D92" t="str">
        <f t="shared" si="45"/>
        <v>1030228</v>
      </c>
      <c r="E92" t="str">
        <f t="shared" si="46"/>
        <v>VV-4-1-11</v>
      </c>
      <c r="F92" t="s">
        <v>695</v>
      </c>
      <c r="G92" t="str">
        <f>INDEX(Sched!$J$213:$O$223, MATCH(ABT!$H92, Sched!$J$213:$J$223, 0), 6)</f>
        <v>15201_CB_DXR2M12P_US</v>
      </c>
      <c r="H92">
        <f t="shared" si="31"/>
        <v>15201</v>
      </c>
      <c r="I92">
        <f t="shared" si="32"/>
        <v>302</v>
      </c>
      <c r="J92" t="b">
        <v>0</v>
      </c>
      <c r="K92">
        <f t="shared" si="33"/>
        <v>28</v>
      </c>
      <c r="L92">
        <v>85</v>
      </c>
      <c r="M92">
        <v>38400</v>
      </c>
      <c r="N92">
        <f t="shared" si="47"/>
        <v>120</v>
      </c>
      <c r="O92">
        <f t="shared" si="48"/>
        <v>80</v>
      </c>
      <c r="P92">
        <f t="shared" si="48"/>
        <v>80</v>
      </c>
      <c r="Q92">
        <f t="shared" si="49"/>
        <v>0.78539816339744828</v>
      </c>
      <c r="R92">
        <f t="shared" si="50"/>
        <v>6</v>
      </c>
      <c r="S92">
        <f t="shared" si="34"/>
        <v>120</v>
      </c>
      <c r="T92">
        <f t="shared" si="35"/>
        <v>120</v>
      </c>
      <c r="U92">
        <f t="shared" si="36"/>
        <v>120</v>
      </c>
      <c r="V92">
        <f t="shared" si="37"/>
        <v>120</v>
      </c>
      <c r="W92">
        <f t="shared" si="38"/>
        <v>120</v>
      </c>
      <c r="X92">
        <f t="shared" si="39"/>
        <v>120</v>
      </c>
      <c r="Y92">
        <v>75</v>
      </c>
      <c r="Z92">
        <f t="shared" si="41"/>
        <v>2</v>
      </c>
      <c r="AA92">
        <v>80</v>
      </c>
      <c r="AB92">
        <v>70</v>
      </c>
      <c r="AC92">
        <f t="shared" si="42"/>
        <v>2</v>
      </c>
      <c r="AD92">
        <v>60</v>
      </c>
      <c r="AE92">
        <v>0.63</v>
      </c>
      <c r="AF92" t="str">
        <f t="shared" si="51"/>
        <v>B_01'Flr_01'B2</v>
      </c>
      <c r="AG92" t="str">
        <f>"R_" &amp; INDEX(Sched!A:AA, MATCH(ABT!$E92, SchedMark, 0), 20)</f>
        <v>R_1130.00</v>
      </c>
      <c r="AH92" t="str">
        <f t="shared" si="51"/>
        <v>B_01'Flr_01'B2</v>
      </c>
      <c r="AI92" t="str">
        <f t="shared" si="40"/>
        <v>VV-4-1-11</v>
      </c>
      <c r="AJ92" t="s">
        <v>1059</v>
      </c>
    </row>
    <row r="93" spans="1:36" x14ac:dyDescent="0.2">
      <c r="A93" s="109" t="s">
        <v>626</v>
      </c>
      <c r="B93" t="str">
        <f t="shared" si="43"/>
        <v>B_01'Flr_01'B2</v>
      </c>
      <c r="C93" t="str">
        <f t="shared" si="44"/>
        <v>VV-4-1-12</v>
      </c>
      <c r="D93" t="str">
        <f t="shared" si="45"/>
        <v>1030229</v>
      </c>
      <c r="E93" t="str">
        <f t="shared" si="46"/>
        <v>VV-4-1-12</v>
      </c>
      <c r="F93" t="s">
        <v>695</v>
      </c>
      <c r="G93" t="str">
        <f>INDEX(Sched!$J$213:$O$223, MATCH(ABT!$H93, Sched!$J$213:$J$223, 0), 6)</f>
        <v>15201_CB_DXR2M12P_US</v>
      </c>
      <c r="H93">
        <f t="shared" si="31"/>
        <v>15201</v>
      </c>
      <c r="I93">
        <f t="shared" si="32"/>
        <v>302</v>
      </c>
      <c r="J93" t="b">
        <v>0</v>
      </c>
      <c r="K93">
        <f t="shared" si="33"/>
        <v>29</v>
      </c>
      <c r="L93">
        <v>85</v>
      </c>
      <c r="M93">
        <v>38400</v>
      </c>
      <c r="N93">
        <f t="shared" si="47"/>
        <v>240</v>
      </c>
      <c r="O93">
        <f t="shared" si="48"/>
        <v>240</v>
      </c>
      <c r="P93">
        <f t="shared" si="48"/>
        <v>240</v>
      </c>
      <c r="Q93">
        <f t="shared" si="49"/>
        <v>0.78539816339744828</v>
      </c>
      <c r="R93">
        <f t="shared" si="50"/>
        <v>6</v>
      </c>
      <c r="S93">
        <f t="shared" si="34"/>
        <v>240</v>
      </c>
      <c r="T93">
        <f t="shared" si="35"/>
        <v>240</v>
      </c>
      <c r="U93">
        <f t="shared" si="36"/>
        <v>240</v>
      </c>
      <c r="V93">
        <f t="shared" si="37"/>
        <v>240</v>
      </c>
      <c r="W93">
        <f t="shared" si="38"/>
        <v>240</v>
      </c>
      <c r="X93">
        <f t="shared" si="39"/>
        <v>240</v>
      </c>
      <c r="Y93">
        <v>75</v>
      </c>
      <c r="Z93">
        <f t="shared" si="41"/>
        <v>2</v>
      </c>
      <c r="AA93">
        <v>80</v>
      </c>
      <c r="AB93">
        <v>70</v>
      </c>
      <c r="AC93">
        <f t="shared" si="42"/>
        <v>2</v>
      </c>
      <c r="AD93">
        <v>60</v>
      </c>
      <c r="AE93">
        <v>0.63</v>
      </c>
      <c r="AF93" t="str">
        <f t="shared" si="51"/>
        <v>B_01'Flr_01'B2</v>
      </c>
      <c r="AG93" t="str">
        <f>"R_" &amp; INDEX(Sched!A:AA, MATCH(ABT!$E93, SchedMark, 0), 20)</f>
        <v>R_1100.01</v>
      </c>
      <c r="AH93" t="str">
        <f t="shared" si="51"/>
        <v>B_01'Flr_01'B2</v>
      </c>
      <c r="AI93" t="str">
        <f t="shared" si="40"/>
        <v>VV-4-1-12</v>
      </c>
      <c r="AJ93" t="s">
        <v>1060</v>
      </c>
    </row>
    <row r="94" spans="1:36" x14ac:dyDescent="0.2">
      <c r="A94" s="109" t="s">
        <v>627</v>
      </c>
      <c r="B94" t="str">
        <f t="shared" si="43"/>
        <v>B_01'Flr_02'B2</v>
      </c>
      <c r="C94" t="str">
        <f t="shared" si="44"/>
        <v>VV-4-2-04</v>
      </c>
      <c r="D94" t="str">
        <f t="shared" si="45"/>
        <v>1030425</v>
      </c>
      <c r="E94" t="str">
        <f t="shared" si="46"/>
        <v>VV-4-2-04</v>
      </c>
      <c r="F94" t="s">
        <v>695</v>
      </c>
      <c r="G94" t="str">
        <f>INDEX(Sched!$J$213:$O$223, MATCH(ABT!$H94, Sched!$J$213:$J$223, 0), 6)</f>
        <v>15201_CB_DXR2M12P_US</v>
      </c>
      <c r="H94">
        <f t="shared" si="31"/>
        <v>15201</v>
      </c>
      <c r="I94">
        <f t="shared" si="32"/>
        <v>304</v>
      </c>
      <c r="J94" t="b">
        <v>0</v>
      </c>
      <c r="K94">
        <f t="shared" si="33"/>
        <v>25</v>
      </c>
      <c r="L94">
        <v>85</v>
      </c>
      <c r="M94">
        <v>38400</v>
      </c>
      <c r="N94">
        <f t="shared" si="47"/>
        <v>510</v>
      </c>
      <c r="O94">
        <f t="shared" si="48"/>
        <v>140</v>
      </c>
      <c r="P94">
        <f t="shared" si="48"/>
        <v>140</v>
      </c>
      <c r="Q94">
        <f t="shared" si="49"/>
        <v>1.3962634015954636</v>
      </c>
      <c r="R94">
        <f t="shared" si="50"/>
        <v>8</v>
      </c>
      <c r="S94">
        <f t="shared" si="34"/>
        <v>510</v>
      </c>
      <c r="T94">
        <f t="shared" si="35"/>
        <v>510</v>
      </c>
      <c r="U94">
        <f t="shared" si="36"/>
        <v>510</v>
      </c>
      <c r="V94">
        <f t="shared" si="37"/>
        <v>510</v>
      </c>
      <c r="W94">
        <f t="shared" si="38"/>
        <v>510</v>
      </c>
      <c r="X94">
        <f t="shared" si="39"/>
        <v>510</v>
      </c>
      <c r="Y94">
        <v>75</v>
      </c>
      <c r="Z94">
        <f t="shared" si="41"/>
        <v>2</v>
      </c>
      <c r="AA94">
        <v>80</v>
      </c>
      <c r="AB94">
        <v>70</v>
      </c>
      <c r="AC94">
        <f t="shared" si="42"/>
        <v>2</v>
      </c>
      <c r="AD94">
        <v>60</v>
      </c>
      <c r="AE94">
        <v>0.63</v>
      </c>
      <c r="AF94" t="str">
        <f t="shared" si="51"/>
        <v>B_01'Flr_02'B2</v>
      </c>
      <c r="AG94" t="str">
        <f>"R_" &amp; INDEX(Sched!A:AA, MATCH(ABT!$E94, SchedMark, 0), 20)</f>
        <v>R_1243.00</v>
      </c>
      <c r="AH94" t="str">
        <f t="shared" si="51"/>
        <v>B_01'Flr_02'B2</v>
      </c>
      <c r="AI94" t="str">
        <f t="shared" si="40"/>
        <v>VV-4-2-04</v>
      </c>
      <c r="AJ94" t="s">
        <v>1061</v>
      </c>
    </row>
    <row r="95" spans="1:36" x14ac:dyDescent="0.2">
      <c r="A95" s="109" t="s">
        <v>628</v>
      </c>
      <c r="B95" t="str">
        <f t="shared" si="43"/>
        <v>B_01'Flr_02'B2</v>
      </c>
      <c r="C95" t="str">
        <f t="shared" si="44"/>
        <v>VV-4-2-06</v>
      </c>
      <c r="D95" t="str">
        <f t="shared" si="45"/>
        <v>1030426</v>
      </c>
      <c r="E95" t="str">
        <f t="shared" si="46"/>
        <v>VV-4-2-06</v>
      </c>
      <c r="F95" t="s">
        <v>695</v>
      </c>
      <c r="G95" t="str">
        <f>INDEX(Sched!$J$213:$O$223, MATCH(ABT!$H95, Sched!$J$213:$J$223, 0), 6)</f>
        <v>15201_CB_DXR2M12P_US</v>
      </c>
      <c r="H95">
        <f t="shared" si="31"/>
        <v>15201</v>
      </c>
      <c r="I95">
        <f t="shared" si="32"/>
        <v>304</v>
      </c>
      <c r="J95" t="b">
        <v>0</v>
      </c>
      <c r="K95">
        <f t="shared" si="33"/>
        <v>26</v>
      </c>
      <c r="L95">
        <v>85</v>
      </c>
      <c r="M95">
        <v>38400</v>
      </c>
      <c r="N95">
        <f t="shared" si="47"/>
        <v>780</v>
      </c>
      <c r="O95">
        <f t="shared" si="48"/>
        <v>220</v>
      </c>
      <c r="P95">
        <f t="shared" si="48"/>
        <v>220</v>
      </c>
      <c r="Q95">
        <f t="shared" si="49"/>
        <v>2.1816615649929121</v>
      </c>
      <c r="R95">
        <f t="shared" si="50"/>
        <v>10</v>
      </c>
      <c r="S95">
        <f t="shared" si="34"/>
        <v>780</v>
      </c>
      <c r="T95">
        <f t="shared" si="35"/>
        <v>780</v>
      </c>
      <c r="U95">
        <f t="shared" si="36"/>
        <v>780</v>
      </c>
      <c r="V95">
        <f t="shared" si="37"/>
        <v>780</v>
      </c>
      <c r="W95">
        <f t="shared" si="38"/>
        <v>780</v>
      </c>
      <c r="X95">
        <f t="shared" si="39"/>
        <v>780</v>
      </c>
      <c r="Y95">
        <v>75</v>
      </c>
      <c r="Z95">
        <f t="shared" si="41"/>
        <v>2</v>
      </c>
      <c r="AA95">
        <v>80</v>
      </c>
      <c r="AB95">
        <v>70</v>
      </c>
      <c r="AC95">
        <f t="shared" si="42"/>
        <v>2</v>
      </c>
      <c r="AD95">
        <v>60</v>
      </c>
      <c r="AE95">
        <v>0.63</v>
      </c>
      <c r="AF95" t="str">
        <f t="shared" si="51"/>
        <v>B_01'Flr_02'B2</v>
      </c>
      <c r="AG95" t="str">
        <f>"R_" &amp; INDEX(Sched!A:AA, MATCH(ABT!$E95, SchedMark, 0), 20)</f>
        <v>R_1245.00</v>
      </c>
      <c r="AH95" t="str">
        <f t="shared" si="51"/>
        <v>B_01'Flr_02'B2</v>
      </c>
      <c r="AI95" t="str">
        <f t="shared" si="40"/>
        <v>VV-4-2-06</v>
      </c>
      <c r="AJ95" t="s">
        <v>1062</v>
      </c>
    </row>
    <row r="96" spans="1:36" x14ac:dyDescent="0.2">
      <c r="A96" s="109" t="s">
        <v>629</v>
      </c>
      <c r="B96" t="str">
        <f t="shared" si="43"/>
        <v>B_01'Flr_02'B2</v>
      </c>
      <c r="C96" t="str">
        <f t="shared" si="44"/>
        <v>VV-4-2-07</v>
      </c>
      <c r="D96" t="str">
        <f t="shared" si="45"/>
        <v>1030427</v>
      </c>
      <c r="E96" t="str">
        <f t="shared" si="46"/>
        <v>VV-4-2-07</v>
      </c>
      <c r="F96" t="s">
        <v>695</v>
      </c>
      <c r="G96" t="str">
        <f>INDEX(Sched!$J$213:$O$223, MATCH(ABT!$H96, Sched!$J$213:$J$223, 0), 6)</f>
        <v>15201_CB_DXR2M12P_US</v>
      </c>
      <c r="H96">
        <f t="shared" si="31"/>
        <v>15201</v>
      </c>
      <c r="I96">
        <f t="shared" si="32"/>
        <v>304</v>
      </c>
      <c r="J96" t="b">
        <v>0</v>
      </c>
      <c r="K96">
        <f t="shared" si="33"/>
        <v>27</v>
      </c>
      <c r="L96">
        <v>85</v>
      </c>
      <c r="M96">
        <v>38400</v>
      </c>
      <c r="N96">
        <f t="shared" si="47"/>
        <v>480</v>
      </c>
      <c r="O96">
        <f t="shared" si="48"/>
        <v>140</v>
      </c>
      <c r="P96">
        <f t="shared" si="48"/>
        <v>140</v>
      </c>
      <c r="Q96">
        <f t="shared" si="49"/>
        <v>1.3962634015954636</v>
      </c>
      <c r="R96">
        <f t="shared" si="50"/>
        <v>8</v>
      </c>
      <c r="S96">
        <f t="shared" si="34"/>
        <v>480</v>
      </c>
      <c r="T96">
        <f t="shared" si="35"/>
        <v>480</v>
      </c>
      <c r="U96">
        <f t="shared" si="36"/>
        <v>480</v>
      </c>
      <c r="V96">
        <f t="shared" si="37"/>
        <v>480</v>
      </c>
      <c r="W96">
        <f t="shared" si="38"/>
        <v>480</v>
      </c>
      <c r="X96">
        <f t="shared" si="39"/>
        <v>480</v>
      </c>
      <c r="Y96">
        <v>75</v>
      </c>
      <c r="Z96">
        <f t="shared" si="41"/>
        <v>2</v>
      </c>
      <c r="AA96">
        <v>80</v>
      </c>
      <c r="AB96">
        <v>70</v>
      </c>
      <c r="AC96">
        <f t="shared" si="42"/>
        <v>2</v>
      </c>
      <c r="AD96">
        <v>60</v>
      </c>
      <c r="AE96">
        <v>0.63</v>
      </c>
      <c r="AF96" t="str">
        <f t="shared" si="51"/>
        <v>B_01'Flr_02'B2</v>
      </c>
      <c r="AG96" t="str">
        <f>"R_" &amp; INDEX(Sched!A:AA, MATCH(ABT!$E96, SchedMark, 0), 20)</f>
        <v>R_1247.00</v>
      </c>
      <c r="AH96" t="str">
        <f t="shared" si="51"/>
        <v>B_01'Flr_02'B2</v>
      </c>
      <c r="AI96" t="str">
        <f t="shared" si="40"/>
        <v>VV-4-2-07</v>
      </c>
      <c r="AJ96" t="s">
        <v>1063</v>
      </c>
    </row>
    <row r="97" spans="1:36" x14ac:dyDescent="0.2">
      <c r="A97" s="109" t="s">
        <v>630</v>
      </c>
      <c r="B97" t="str">
        <f t="shared" si="43"/>
        <v>B_01'Flr_02'B2</v>
      </c>
      <c r="C97" t="str">
        <f t="shared" si="44"/>
        <v>VV-4-2-08</v>
      </c>
      <c r="D97" t="str">
        <f t="shared" si="45"/>
        <v>1030428</v>
      </c>
      <c r="E97" t="str">
        <f t="shared" si="46"/>
        <v>VV-4-2-08</v>
      </c>
      <c r="F97" t="s">
        <v>695</v>
      </c>
      <c r="G97" t="str">
        <f>INDEX(Sched!$J$213:$O$223, MATCH(ABT!$H97, Sched!$J$213:$J$223, 0), 6)</f>
        <v>15201_CB_DXR2M12P_US</v>
      </c>
      <c r="H97">
        <f t="shared" si="31"/>
        <v>15201</v>
      </c>
      <c r="I97">
        <f t="shared" si="32"/>
        <v>304</v>
      </c>
      <c r="J97" t="b">
        <v>0</v>
      </c>
      <c r="K97">
        <f t="shared" si="33"/>
        <v>28</v>
      </c>
      <c r="L97">
        <v>85</v>
      </c>
      <c r="M97">
        <v>38400</v>
      </c>
      <c r="N97">
        <f t="shared" si="47"/>
        <v>415</v>
      </c>
      <c r="O97">
        <f t="shared" si="48"/>
        <v>140</v>
      </c>
      <c r="P97">
        <f t="shared" si="48"/>
        <v>140</v>
      </c>
      <c r="Q97">
        <f t="shared" si="49"/>
        <v>1.3962634015954636</v>
      </c>
      <c r="R97">
        <f t="shared" si="50"/>
        <v>8</v>
      </c>
      <c r="S97">
        <f t="shared" si="34"/>
        <v>415</v>
      </c>
      <c r="T97">
        <f t="shared" si="35"/>
        <v>415</v>
      </c>
      <c r="U97">
        <f t="shared" si="36"/>
        <v>415</v>
      </c>
      <c r="V97">
        <f t="shared" si="37"/>
        <v>415</v>
      </c>
      <c r="W97">
        <f t="shared" si="38"/>
        <v>415</v>
      </c>
      <c r="X97">
        <f t="shared" si="39"/>
        <v>415</v>
      </c>
      <c r="Y97">
        <v>75</v>
      </c>
      <c r="Z97">
        <f t="shared" si="41"/>
        <v>2</v>
      </c>
      <c r="AA97">
        <v>80</v>
      </c>
      <c r="AB97">
        <v>70</v>
      </c>
      <c r="AC97">
        <f t="shared" si="42"/>
        <v>2</v>
      </c>
      <c r="AD97">
        <v>60</v>
      </c>
      <c r="AE97">
        <v>0.63</v>
      </c>
      <c r="AF97" t="str">
        <f t="shared" si="51"/>
        <v>B_01'Flr_02'B2</v>
      </c>
      <c r="AG97" t="str">
        <f>"R_" &amp; INDEX(Sched!A:AA, MATCH(ABT!$E97, SchedMark, 0), 20)</f>
        <v>R_1228.00</v>
      </c>
      <c r="AH97" t="str">
        <f t="shared" si="51"/>
        <v>B_01'Flr_02'B2</v>
      </c>
      <c r="AI97" t="str">
        <f t="shared" si="40"/>
        <v>VV-4-2-08</v>
      </c>
      <c r="AJ97" t="s">
        <v>1064</v>
      </c>
    </row>
    <row r="98" spans="1:36" x14ac:dyDescent="0.2">
      <c r="A98" s="109" t="s">
        <v>631</v>
      </c>
      <c r="B98" t="str">
        <f t="shared" si="43"/>
        <v>B_01'Flr_02'B2</v>
      </c>
      <c r="C98" t="str">
        <f t="shared" si="44"/>
        <v>VV-4-2-09</v>
      </c>
      <c r="D98" t="str">
        <f t="shared" si="45"/>
        <v>1030429</v>
      </c>
      <c r="E98" t="str">
        <f t="shared" si="46"/>
        <v>VV-4-2-09</v>
      </c>
      <c r="F98" t="s">
        <v>695</v>
      </c>
      <c r="G98" t="str">
        <f>INDEX(Sched!$J$213:$O$223, MATCH(ABT!$H98, Sched!$J$213:$J$223, 0), 6)</f>
        <v>15201_CB_DXR2M12P_US</v>
      </c>
      <c r="H98">
        <f t="shared" si="31"/>
        <v>15201</v>
      </c>
      <c r="I98">
        <f t="shared" si="32"/>
        <v>304</v>
      </c>
      <c r="J98" t="b">
        <v>0</v>
      </c>
      <c r="K98">
        <f t="shared" si="33"/>
        <v>29</v>
      </c>
      <c r="L98">
        <v>85</v>
      </c>
      <c r="M98">
        <v>38400</v>
      </c>
      <c r="N98">
        <f t="shared" si="47"/>
        <v>480</v>
      </c>
      <c r="O98">
        <f t="shared" si="48"/>
        <v>140</v>
      </c>
      <c r="P98">
        <f t="shared" si="48"/>
        <v>140</v>
      </c>
      <c r="Q98">
        <f t="shared" si="49"/>
        <v>1.3962634015954636</v>
      </c>
      <c r="R98">
        <f t="shared" si="50"/>
        <v>8</v>
      </c>
      <c r="S98">
        <f t="shared" si="34"/>
        <v>480</v>
      </c>
      <c r="T98">
        <f t="shared" si="35"/>
        <v>480</v>
      </c>
      <c r="U98">
        <f t="shared" si="36"/>
        <v>480</v>
      </c>
      <c r="V98">
        <f t="shared" si="37"/>
        <v>480</v>
      </c>
      <c r="W98">
        <f t="shared" si="38"/>
        <v>480</v>
      </c>
      <c r="X98">
        <f t="shared" si="39"/>
        <v>480</v>
      </c>
      <c r="Y98">
        <v>75</v>
      </c>
      <c r="Z98">
        <f t="shared" si="41"/>
        <v>2</v>
      </c>
      <c r="AA98">
        <v>80</v>
      </c>
      <c r="AB98">
        <v>70</v>
      </c>
      <c r="AC98">
        <f t="shared" si="42"/>
        <v>2</v>
      </c>
      <c r="AD98">
        <v>60</v>
      </c>
      <c r="AE98">
        <v>0.63</v>
      </c>
      <c r="AF98" t="str">
        <f t="shared" si="51"/>
        <v>B_01'Flr_02'B2</v>
      </c>
      <c r="AG98" t="str">
        <f>"R_" &amp; INDEX(Sched!A:AA, MATCH(ABT!$E98, SchedMark, 0), 20)</f>
        <v>R_1249.00</v>
      </c>
      <c r="AH98" t="str">
        <f t="shared" si="51"/>
        <v>B_01'Flr_02'B2</v>
      </c>
      <c r="AI98" t="str">
        <f t="shared" ref="AI98:AI129" si="52">INDEX(Joined, MATCH($A98, SystemName, FALSE), 7)</f>
        <v>VV-4-2-09</v>
      </c>
      <c r="AJ98" t="s">
        <v>1065</v>
      </c>
    </row>
    <row r="99" spans="1:36" x14ac:dyDescent="0.2">
      <c r="A99" s="109" t="s">
        <v>632</v>
      </c>
      <c r="B99" t="str">
        <f t="shared" si="43"/>
        <v>B_01'Flr_02'B2</v>
      </c>
      <c r="C99" t="str">
        <f t="shared" si="44"/>
        <v>VV-4-2-15</v>
      </c>
      <c r="D99" t="str">
        <f t="shared" si="45"/>
        <v>1030430</v>
      </c>
      <c r="E99" t="str">
        <f t="shared" si="46"/>
        <v>VV-4-2-15</v>
      </c>
      <c r="F99" t="s">
        <v>695</v>
      </c>
      <c r="G99" t="str">
        <f>INDEX(Sched!$J$213:$O$223, MATCH(ABT!$H99, Sched!$J$213:$J$223, 0), 6)</f>
        <v>15201_CB_DXR2M12P_US</v>
      </c>
      <c r="H99">
        <f t="shared" si="31"/>
        <v>15201</v>
      </c>
      <c r="I99">
        <f t="shared" si="32"/>
        <v>304</v>
      </c>
      <c r="J99" t="b">
        <v>0</v>
      </c>
      <c r="K99">
        <f t="shared" si="33"/>
        <v>30</v>
      </c>
      <c r="L99">
        <v>85</v>
      </c>
      <c r="M99">
        <v>38400</v>
      </c>
      <c r="N99">
        <f t="shared" si="47"/>
        <v>630</v>
      </c>
      <c r="O99">
        <f t="shared" si="48"/>
        <v>630</v>
      </c>
      <c r="P99">
        <f t="shared" si="48"/>
        <v>630</v>
      </c>
      <c r="Q99">
        <f t="shared" si="49"/>
        <v>1.3962634015954636</v>
      </c>
      <c r="R99">
        <f t="shared" si="50"/>
        <v>8</v>
      </c>
      <c r="S99">
        <f t="shared" si="34"/>
        <v>630</v>
      </c>
      <c r="T99">
        <f t="shared" si="35"/>
        <v>630</v>
      </c>
      <c r="U99">
        <f t="shared" si="36"/>
        <v>630</v>
      </c>
      <c r="V99">
        <f t="shared" si="37"/>
        <v>630</v>
      </c>
      <c r="W99">
        <f t="shared" si="38"/>
        <v>630</v>
      </c>
      <c r="X99">
        <f t="shared" si="39"/>
        <v>630</v>
      </c>
      <c r="Y99">
        <v>75</v>
      </c>
      <c r="Z99">
        <f t="shared" si="41"/>
        <v>2</v>
      </c>
      <c r="AA99">
        <v>80</v>
      </c>
      <c r="AB99">
        <v>70</v>
      </c>
      <c r="AC99">
        <f t="shared" si="42"/>
        <v>2</v>
      </c>
      <c r="AD99">
        <v>60</v>
      </c>
      <c r="AE99">
        <v>0.63</v>
      </c>
      <c r="AF99" t="str">
        <f t="shared" si="51"/>
        <v>B_01'Flr_02'B2</v>
      </c>
      <c r="AG99" t="str">
        <f>"R_" &amp; INDEX(Sched!A:AA, MATCH(ABT!$E99, SchedMark, 0), 20)</f>
        <v>R_1200.01</v>
      </c>
      <c r="AH99" t="str">
        <f t="shared" si="51"/>
        <v>B_01'Flr_02'B2</v>
      </c>
      <c r="AI99" t="str">
        <f t="shared" si="52"/>
        <v>VV-4-2-15</v>
      </c>
      <c r="AJ99" t="s">
        <v>1066</v>
      </c>
    </row>
    <row r="100" spans="1:36" x14ac:dyDescent="0.2">
      <c r="A100" s="109" t="s">
        <v>633</v>
      </c>
      <c r="B100" t="str">
        <f t="shared" si="43"/>
        <v>B_01'Flr_00'A2</v>
      </c>
      <c r="C100" t="str">
        <f t="shared" si="44"/>
        <v>VV-4-0-01</v>
      </c>
      <c r="D100" t="str">
        <f t="shared" si="45"/>
        <v>1030311</v>
      </c>
      <c r="E100" t="str">
        <f t="shared" si="46"/>
        <v>VV-4-0-01</v>
      </c>
      <c r="F100" t="s">
        <v>695</v>
      </c>
      <c r="G100" t="str">
        <f>INDEX(Sched!$J$213:$O$223, MATCH(ABT!$H100, Sched!$J$213:$J$223, 0), 6)</f>
        <v>15201_CB_DXR2M12P_US</v>
      </c>
      <c r="H100">
        <f t="shared" si="31"/>
        <v>15201</v>
      </c>
      <c r="I100">
        <f t="shared" si="32"/>
        <v>303</v>
      </c>
      <c r="J100" t="b">
        <v>0</v>
      </c>
      <c r="K100">
        <f t="shared" si="33"/>
        <v>11</v>
      </c>
      <c r="L100">
        <v>85</v>
      </c>
      <c r="M100">
        <v>38400</v>
      </c>
      <c r="N100">
        <f t="shared" si="47"/>
        <v>345</v>
      </c>
      <c r="O100">
        <f t="shared" si="48"/>
        <v>80</v>
      </c>
      <c r="P100">
        <f t="shared" si="48"/>
        <v>80</v>
      </c>
      <c r="Q100">
        <f t="shared" si="49"/>
        <v>0.78539816339744828</v>
      </c>
      <c r="R100">
        <f t="shared" si="50"/>
        <v>6</v>
      </c>
      <c r="S100">
        <f t="shared" si="34"/>
        <v>345</v>
      </c>
      <c r="T100">
        <f t="shared" si="35"/>
        <v>345</v>
      </c>
      <c r="U100">
        <f t="shared" si="36"/>
        <v>345</v>
      </c>
      <c r="V100">
        <f t="shared" si="37"/>
        <v>345</v>
      </c>
      <c r="W100">
        <f t="shared" si="38"/>
        <v>345</v>
      </c>
      <c r="X100">
        <f t="shared" si="39"/>
        <v>345</v>
      </c>
      <c r="Y100">
        <v>75</v>
      </c>
      <c r="Z100">
        <f t="shared" si="41"/>
        <v>2</v>
      </c>
      <c r="AA100">
        <v>80</v>
      </c>
      <c r="AB100">
        <v>70</v>
      </c>
      <c r="AC100">
        <f t="shared" si="42"/>
        <v>2</v>
      </c>
      <c r="AD100">
        <v>60</v>
      </c>
      <c r="AE100">
        <v>0.63</v>
      </c>
      <c r="AF100" t="str">
        <f t="shared" si="51"/>
        <v>B_01'Flr_00'A2</v>
      </c>
      <c r="AG100" t="str">
        <f>"R_" &amp; INDEX(Sched!A:AA, MATCH(ABT!$E100, SchedMark, 0), 20)</f>
        <v>R_1003.08</v>
      </c>
      <c r="AH100" t="str">
        <f t="shared" si="51"/>
        <v>B_01'Flr_00'A2</v>
      </c>
      <c r="AI100" t="str">
        <f t="shared" si="52"/>
        <v>VV-4-0-01</v>
      </c>
      <c r="AJ100" t="s">
        <v>1067</v>
      </c>
    </row>
    <row r="101" spans="1:36" x14ac:dyDescent="0.2">
      <c r="A101" s="109" t="s">
        <v>634</v>
      </c>
      <c r="B101" t="str">
        <f t="shared" si="43"/>
        <v>B_01'Flr_00'A2</v>
      </c>
      <c r="C101" t="str">
        <f t="shared" si="44"/>
        <v>VV-4-0-02</v>
      </c>
      <c r="D101" t="str">
        <f t="shared" si="45"/>
        <v>1030312</v>
      </c>
      <c r="E101" t="str">
        <f t="shared" si="46"/>
        <v>VV-4-0-02</v>
      </c>
      <c r="F101" t="s">
        <v>695</v>
      </c>
      <c r="G101" t="str">
        <f>INDEX(Sched!$J$213:$O$223, MATCH(ABT!$H101, Sched!$J$213:$J$223, 0), 6)</f>
        <v>15201_CB_DXR2M12P_US</v>
      </c>
      <c r="H101">
        <f t="shared" si="31"/>
        <v>15201</v>
      </c>
      <c r="I101">
        <f t="shared" si="32"/>
        <v>303</v>
      </c>
      <c r="J101" t="b">
        <v>0</v>
      </c>
      <c r="K101">
        <f t="shared" si="33"/>
        <v>12</v>
      </c>
      <c r="L101">
        <v>85</v>
      </c>
      <c r="M101">
        <v>38400</v>
      </c>
      <c r="N101">
        <f t="shared" si="47"/>
        <v>450</v>
      </c>
      <c r="O101">
        <f t="shared" si="48"/>
        <v>140</v>
      </c>
      <c r="P101">
        <f t="shared" si="48"/>
        <v>140</v>
      </c>
      <c r="Q101">
        <f t="shared" si="49"/>
        <v>1.3962634015954636</v>
      </c>
      <c r="R101">
        <f t="shared" si="50"/>
        <v>8</v>
      </c>
      <c r="S101">
        <f t="shared" si="34"/>
        <v>450</v>
      </c>
      <c r="T101">
        <f t="shared" si="35"/>
        <v>450</v>
      </c>
      <c r="U101">
        <f t="shared" si="36"/>
        <v>450</v>
      </c>
      <c r="V101">
        <f t="shared" si="37"/>
        <v>450</v>
      </c>
      <c r="W101">
        <f t="shared" si="38"/>
        <v>450</v>
      </c>
      <c r="X101">
        <f t="shared" si="39"/>
        <v>450</v>
      </c>
      <c r="Y101">
        <v>75</v>
      </c>
      <c r="Z101">
        <f t="shared" si="41"/>
        <v>2</v>
      </c>
      <c r="AA101">
        <v>80</v>
      </c>
      <c r="AB101">
        <v>70</v>
      </c>
      <c r="AC101">
        <f t="shared" si="42"/>
        <v>2</v>
      </c>
      <c r="AD101">
        <v>60</v>
      </c>
      <c r="AE101">
        <v>0.63</v>
      </c>
      <c r="AF101" t="str">
        <f t="shared" si="51"/>
        <v>B_01'Flr_00'A2</v>
      </c>
      <c r="AG101" t="str">
        <f>"R_" &amp; INDEX(Sched!A:AA, MATCH(ABT!$E101, SchedMark, 0), 20)</f>
        <v>R_1003.09</v>
      </c>
      <c r="AH101" t="str">
        <f t="shared" si="51"/>
        <v>B_01'Flr_00'A2</v>
      </c>
      <c r="AI101" t="str">
        <f t="shared" si="52"/>
        <v>VV-4-0-02</v>
      </c>
      <c r="AJ101" t="s">
        <v>1068</v>
      </c>
    </row>
    <row r="102" spans="1:36" x14ac:dyDescent="0.2">
      <c r="A102" s="109" t="s">
        <v>635</v>
      </c>
      <c r="B102" t="str">
        <f t="shared" si="43"/>
        <v>B_01'Flr_00'A2</v>
      </c>
      <c r="C102" t="str">
        <f t="shared" si="44"/>
        <v>VV-4-0-03</v>
      </c>
      <c r="D102" t="str">
        <f t="shared" si="45"/>
        <v>1030313</v>
      </c>
      <c r="E102" t="str">
        <f t="shared" si="46"/>
        <v>VV-4-0-03</v>
      </c>
      <c r="F102" t="s">
        <v>695</v>
      </c>
      <c r="G102" t="str">
        <f>INDEX(Sched!$J$213:$O$223, MATCH(ABT!$H102, Sched!$J$213:$J$223, 0), 6)</f>
        <v>15201_CB_DXR2M12P_US</v>
      </c>
      <c r="H102">
        <f t="shared" si="31"/>
        <v>15201</v>
      </c>
      <c r="I102">
        <f t="shared" si="32"/>
        <v>303</v>
      </c>
      <c r="J102" t="b">
        <v>0</v>
      </c>
      <c r="K102">
        <f t="shared" si="33"/>
        <v>13</v>
      </c>
      <c r="L102">
        <v>85</v>
      </c>
      <c r="M102">
        <v>38400</v>
      </c>
      <c r="N102">
        <f t="shared" si="47"/>
        <v>170</v>
      </c>
      <c r="O102">
        <f t="shared" si="48"/>
        <v>80</v>
      </c>
      <c r="P102">
        <f t="shared" si="48"/>
        <v>80</v>
      </c>
      <c r="Q102">
        <f t="shared" si="49"/>
        <v>0.78539816339744828</v>
      </c>
      <c r="R102">
        <f t="shared" si="50"/>
        <v>6</v>
      </c>
      <c r="S102">
        <f t="shared" si="34"/>
        <v>170</v>
      </c>
      <c r="T102">
        <f t="shared" si="35"/>
        <v>170</v>
      </c>
      <c r="U102">
        <f t="shared" si="36"/>
        <v>170</v>
      </c>
      <c r="V102">
        <f t="shared" si="37"/>
        <v>170</v>
      </c>
      <c r="W102">
        <f t="shared" si="38"/>
        <v>170</v>
      </c>
      <c r="X102">
        <f t="shared" si="39"/>
        <v>170</v>
      </c>
      <c r="Y102">
        <v>75</v>
      </c>
      <c r="Z102">
        <f t="shared" si="41"/>
        <v>2</v>
      </c>
      <c r="AA102">
        <v>80</v>
      </c>
      <c r="AB102">
        <v>70</v>
      </c>
      <c r="AC102">
        <f t="shared" si="42"/>
        <v>2</v>
      </c>
      <c r="AD102">
        <v>60</v>
      </c>
      <c r="AE102">
        <v>0.63</v>
      </c>
      <c r="AF102" t="str">
        <f t="shared" si="51"/>
        <v>B_01'Flr_00'A2</v>
      </c>
      <c r="AG102" t="str">
        <f>"R_" &amp; INDEX(Sched!A:AA, MATCH(ABT!$E102, SchedMark, 0), 20)</f>
        <v>R_1003.06</v>
      </c>
      <c r="AH102" t="str">
        <f t="shared" si="51"/>
        <v>B_01'Flr_00'A2</v>
      </c>
      <c r="AI102" t="str">
        <f t="shared" si="52"/>
        <v>VV-4-0-03</v>
      </c>
      <c r="AJ102" t="s">
        <v>1069</v>
      </c>
    </row>
    <row r="103" spans="1:36" x14ac:dyDescent="0.2">
      <c r="A103" s="109" t="s">
        <v>636</v>
      </c>
      <c r="B103" t="str">
        <f t="shared" si="43"/>
        <v>B_01'Flr_00'A2</v>
      </c>
      <c r="C103" t="str">
        <f t="shared" si="44"/>
        <v>VV-4-0-04</v>
      </c>
      <c r="D103" t="str">
        <f t="shared" si="45"/>
        <v>1030314</v>
      </c>
      <c r="E103" t="str">
        <f t="shared" si="46"/>
        <v>VV-4-0-04</v>
      </c>
      <c r="F103" t="s">
        <v>695</v>
      </c>
      <c r="G103" t="str">
        <f>INDEX(Sched!$J$213:$O$223, MATCH(ABT!$H103, Sched!$J$213:$J$223, 0), 6)</f>
        <v>15201_CB_DXR2M12P_US</v>
      </c>
      <c r="H103">
        <f t="shared" si="31"/>
        <v>15201</v>
      </c>
      <c r="I103">
        <f t="shared" si="32"/>
        <v>303</v>
      </c>
      <c r="J103" t="b">
        <v>0</v>
      </c>
      <c r="K103">
        <f t="shared" si="33"/>
        <v>14</v>
      </c>
      <c r="L103">
        <v>85</v>
      </c>
      <c r="M103">
        <v>38400</v>
      </c>
      <c r="N103">
        <f t="shared" si="47"/>
        <v>505</v>
      </c>
      <c r="O103">
        <f t="shared" si="48"/>
        <v>140</v>
      </c>
      <c r="P103">
        <f t="shared" si="48"/>
        <v>140</v>
      </c>
      <c r="Q103">
        <f t="shared" si="49"/>
        <v>1.3962634015954636</v>
      </c>
      <c r="R103">
        <f t="shared" si="50"/>
        <v>8</v>
      </c>
      <c r="S103">
        <f t="shared" si="34"/>
        <v>505</v>
      </c>
      <c r="T103">
        <f t="shared" si="35"/>
        <v>505</v>
      </c>
      <c r="U103">
        <f t="shared" si="36"/>
        <v>505</v>
      </c>
      <c r="V103">
        <f t="shared" si="37"/>
        <v>505</v>
      </c>
      <c r="W103">
        <f t="shared" si="38"/>
        <v>505</v>
      </c>
      <c r="X103">
        <f t="shared" si="39"/>
        <v>505</v>
      </c>
      <c r="Y103">
        <v>75</v>
      </c>
      <c r="Z103">
        <f t="shared" si="41"/>
        <v>2</v>
      </c>
      <c r="AA103">
        <v>80</v>
      </c>
      <c r="AB103">
        <v>70</v>
      </c>
      <c r="AC103">
        <f t="shared" si="42"/>
        <v>2</v>
      </c>
      <c r="AD103">
        <v>60</v>
      </c>
      <c r="AE103">
        <v>0.63</v>
      </c>
      <c r="AF103" t="str">
        <f t="shared" si="51"/>
        <v>B_01'Flr_00'A2</v>
      </c>
      <c r="AG103" t="str">
        <f>"R_" &amp; INDEX(Sched!A:AA, MATCH(ABT!$E103, SchedMark, 0), 20)</f>
        <v>R_1003.08</v>
      </c>
      <c r="AH103" t="str">
        <f t="shared" si="51"/>
        <v>B_01'Flr_00'A2</v>
      </c>
      <c r="AI103" t="str">
        <f t="shared" si="52"/>
        <v>VV-4-0-04</v>
      </c>
      <c r="AJ103" t="s">
        <v>1070</v>
      </c>
    </row>
    <row r="104" spans="1:36" x14ac:dyDescent="0.2">
      <c r="A104" s="109" t="s">
        <v>637</v>
      </c>
      <c r="B104" t="str">
        <f t="shared" si="43"/>
        <v>B_01'Flr_00'A2</v>
      </c>
      <c r="C104" t="str">
        <f t="shared" si="44"/>
        <v>VV-4-0-05</v>
      </c>
      <c r="D104" t="str">
        <f t="shared" si="45"/>
        <v>1030315</v>
      </c>
      <c r="E104" t="str">
        <f t="shared" si="46"/>
        <v>VV-4-0-05</v>
      </c>
      <c r="F104" t="s">
        <v>695</v>
      </c>
      <c r="G104" t="str">
        <f>INDEX(Sched!$J$213:$O$223, MATCH(ABT!$H104, Sched!$J$213:$J$223, 0), 6)</f>
        <v>15201_CB_DXR2M12P_US</v>
      </c>
      <c r="H104">
        <f t="shared" si="31"/>
        <v>15201</v>
      </c>
      <c r="I104">
        <f t="shared" si="32"/>
        <v>303</v>
      </c>
      <c r="J104" t="b">
        <v>0</v>
      </c>
      <c r="K104">
        <f t="shared" si="33"/>
        <v>15</v>
      </c>
      <c r="L104">
        <v>85</v>
      </c>
      <c r="M104">
        <v>38400</v>
      </c>
      <c r="N104">
        <f t="shared" si="47"/>
        <v>200</v>
      </c>
      <c r="O104">
        <f t="shared" si="48"/>
        <v>80</v>
      </c>
      <c r="P104">
        <f t="shared" si="48"/>
        <v>80</v>
      </c>
      <c r="Q104">
        <f t="shared" si="49"/>
        <v>0.78539816339744828</v>
      </c>
      <c r="R104">
        <f t="shared" si="50"/>
        <v>6</v>
      </c>
      <c r="S104">
        <f t="shared" si="34"/>
        <v>200</v>
      </c>
      <c r="T104">
        <f t="shared" si="35"/>
        <v>200</v>
      </c>
      <c r="U104">
        <f t="shared" si="36"/>
        <v>200</v>
      </c>
      <c r="V104">
        <f t="shared" si="37"/>
        <v>200</v>
      </c>
      <c r="W104">
        <f t="shared" si="38"/>
        <v>200</v>
      </c>
      <c r="X104">
        <f t="shared" si="39"/>
        <v>200</v>
      </c>
      <c r="Y104">
        <v>75</v>
      </c>
      <c r="Z104">
        <f t="shared" si="41"/>
        <v>2</v>
      </c>
      <c r="AA104">
        <v>80</v>
      </c>
      <c r="AB104">
        <v>70</v>
      </c>
      <c r="AC104">
        <f t="shared" si="42"/>
        <v>2</v>
      </c>
      <c r="AD104">
        <v>60</v>
      </c>
      <c r="AE104">
        <v>0.63</v>
      </c>
      <c r="AF104" t="str">
        <f t="shared" si="51"/>
        <v>B_01'Flr_00'A2</v>
      </c>
      <c r="AG104" t="str">
        <f>"R_" &amp; INDEX(Sched!A:AA, MATCH(ABT!$E104, SchedMark, 0), 20)</f>
        <v>R_1003.03</v>
      </c>
      <c r="AH104" t="str">
        <f t="shared" si="51"/>
        <v>B_01'Flr_00'A2</v>
      </c>
      <c r="AI104" t="str">
        <f t="shared" si="52"/>
        <v>VV-4-0-05</v>
      </c>
      <c r="AJ104" t="s">
        <v>1071</v>
      </c>
    </row>
    <row r="105" spans="1:36" x14ac:dyDescent="0.2">
      <c r="A105" s="109" t="s">
        <v>638</v>
      </c>
      <c r="B105" t="str">
        <f t="shared" si="43"/>
        <v>B_01'Flr_00'A2</v>
      </c>
      <c r="C105" t="str">
        <f t="shared" si="44"/>
        <v>VV-4-0-06</v>
      </c>
      <c r="D105" t="str">
        <f t="shared" si="45"/>
        <v>1030316</v>
      </c>
      <c r="E105" t="str">
        <f t="shared" si="46"/>
        <v>VV-4-0-06</v>
      </c>
      <c r="F105" t="s">
        <v>695</v>
      </c>
      <c r="G105" t="str">
        <f>INDEX(Sched!$J$213:$O$223, MATCH(ABT!$H105, Sched!$J$213:$J$223, 0), 6)</f>
        <v>15201_CB_DXR2M12P_US</v>
      </c>
      <c r="H105">
        <f t="shared" si="31"/>
        <v>15201</v>
      </c>
      <c r="I105">
        <f t="shared" si="32"/>
        <v>303</v>
      </c>
      <c r="J105" t="b">
        <v>0</v>
      </c>
      <c r="K105">
        <f t="shared" si="33"/>
        <v>16</v>
      </c>
      <c r="L105">
        <v>85</v>
      </c>
      <c r="M105">
        <v>38400</v>
      </c>
      <c r="N105">
        <f t="shared" si="47"/>
        <v>475</v>
      </c>
      <c r="O105">
        <f t="shared" si="48"/>
        <v>175</v>
      </c>
      <c r="P105">
        <f t="shared" si="48"/>
        <v>175</v>
      </c>
      <c r="Q105">
        <f t="shared" si="49"/>
        <v>1.3962634015954636</v>
      </c>
      <c r="R105">
        <f t="shared" si="50"/>
        <v>8</v>
      </c>
      <c r="S105">
        <f t="shared" si="34"/>
        <v>475</v>
      </c>
      <c r="T105">
        <f t="shared" si="35"/>
        <v>475</v>
      </c>
      <c r="U105">
        <f t="shared" si="36"/>
        <v>475</v>
      </c>
      <c r="V105">
        <f t="shared" si="37"/>
        <v>475</v>
      </c>
      <c r="W105">
        <f t="shared" si="38"/>
        <v>475</v>
      </c>
      <c r="X105">
        <f t="shared" si="39"/>
        <v>475</v>
      </c>
      <c r="Y105">
        <v>75</v>
      </c>
      <c r="Z105">
        <f t="shared" si="41"/>
        <v>2</v>
      </c>
      <c r="AA105">
        <v>80</v>
      </c>
      <c r="AB105">
        <v>70</v>
      </c>
      <c r="AC105">
        <f t="shared" si="42"/>
        <v>2</v>
      </c>
      <c r="AD105">
        <v>60</v>
      </c>
      <c r="AE105">
        <v>0.63</v>
      </c>
      <c r="AF105" t="str">
        <f t="shared" si="51"/>
        <v>B_01'Flr_00'A2</v>
      </c>
      <c r="AG105" t="str">
        <f>"R_" &amp; INDEX(Sched!A:AA, MATCH(ABT!$E105, SchedMark, 0), 20)</f>
        <v>R_1000.01</v>
      </c>
      <c r="AH105" t="str">
        <f t="shared" si="51"/>
        <v>B_01'Flr_00'A2</v>
      </c>
      <c r="AI105" t="str">
        <f t="shared" si="52"/>
        <v>VV-4-0-06</v>
      </c>
      <c r="AJ105" t="s">
        <v>1072</v>
      </c>
    </row>
    <row r="106" spans="1:36" x14ac:dyDescent="0.2">
      <c r="A106" s="109" t="s">
        <v>639</v>
      </c>
      <c r="B106" t="str">
        <f t="shared" si="43"/>
        <v>B_01'Flr_00'A2</v>
      </c>
      <c r="C106" t="str">
        <f t="shared" si="44"/>
        <v>VV-4-0-07</v>
      </c>
      <c r="D106" t="str">
        <f t="shared" si="45"/>
        <v>1030317</v>
      </c>
      <c r="E106" t="str">
        <f t="shared" si="46"/>
        <v>VV-4-0-07</v>
      </c>
      <c r="F106" t="s">
        <v>695</v>
      </c>
      <c r="G106" t="str">
        <f>INDEX(Sched!$J$213:$O$223, MATCH(ABT!$H106, Sched!$J$213:$J$223, 0), 6)</f>
        <v>15201_CB_DXR2M12P_US</v>
      </c>
      <c r="H106">
        <f t="shared" si="31"/>
        <v>15201</v>
      </c>
      <c r="I106">
        <f t="shared" si="32"/>
        <v>303</v>
      </c>
      <c r="J106" t="b">
        <v>0</v>
      </c>
      <c r="K106">
        <f t="shared" si="33"/>
        <v>17</v>
      </c>
      <c r="L106">
        <v>85</v>
      </c>
      <c r="M106">
        <v>38400</v>
      </c>
      <c r="N106">
        <f t="shared" si="47"/>
        <v>660</v>
      </c>
      <c r="O106">
        <f t="shared" si="48"/>
        <v>140</v>
      </c>
      <c r="P106">
        <f t="shared" si="48"/>
        <v>140</v>
      </c>
      <c r="Q106">
        <f t="shared" si="49"/>
        <v>1.3962634015954636</v>
      </c>
      <c r="R106">
        <f t="shared" si="50"/>
        <v>8</v>
      </c>
      <c r="S106">
        <f t="shared" si="34"/>
        <v>660</v>
      </c>
      <c r="T106">
        <f t="shared" si="35"/>
        <v>660</v>
      </c>
      <c r="U106">
        <f t="shared" si="36"/>
        <v>660</v>
      </c>
      <c r="V106">
        <f t="shared" si="37"/>
        <v>660</v>
      </c>
      <c r="W106">
        <f t="shared" si="38"/>
        <v>660</v>
      </c>
      <c r="X106">
        <f t="shared" si="39"/>
        <v>660</v>
      </c>
      <c r="Y106">
        <v>75</v>
      </c>
      <c r="Z106">
        <f t="shared" si="41"/>
        <v>2</v>
      </c>
      <c r="AA106">
        <v>80</v>
      </c>
      <c r="AB106">
        <v>70</v>
      </c>
      <c r="AC106">
        <f t="shared" si="42"/>
        <v>2</v>
      </c>
      <c r="AD106">
        <v>60</v>
      </c>
      <c r="AE106">
        <v>0.63</v>
      </c>
      <c r="AF106" t="str">
        <f t="shared" si="51"/>
        <v>B_01'Flr_00'A2</v>
      </c>
      <c r="AG106" t="str">
        <f>"R_" &amp; INDEX(Sched!A:AA, MATCH(ABT!$E106, SchedMark, 0), 20)</f>
        <v>R_1000.03</v>
      </c>
      <c r="AH106" t="str">
        <f t="shared" si="51"/>
        <v>B_01'Flr_00'A2</v>
      </c>
      <c r="AI106" t="str">
        <f t="shared" si="52"/>
        <v>VV-4-0-07</v>
      </c>
      <c r="AJ106" s="10" t="s">
        <v>1073</v>
      </c>
    </row>
    <row r="107" spans="1:36" x14ac:dyDescent="0.2">
      <c r="A107" s="109" t="s">
        <v>640</v>
      </c>
      <c r="B107" t="str">
        <f t="shared" si="43"/>
        <v>B_01'Flr_00'A2</v>
      </c>
      <c r="C107" t="str">
        <f t="shared" si="44"/>
        <v>VV-4-0-08</v>
      </c>
      <c r="D107" t="str">
        <f t="shared" si="45"/>
        <v>1030318</v>
      </c>
      <c r="E107" t="str">
        <f t="shared" si="46"/>
        <v>VV-4-0-08</v>
      </c>
      <c r="F107" t="s">
        <v>695</v>
      </c>
      <c r="G107" t="str">
        <f>INDEX(Sched!$J$213:$O$223, MATCH(ABT!$H107, Sched!$J$213:$J$223, 0), 6)</f>
        <v>15201_CB_DXR2M12P_US</v>
      </c>
      <c r="H107">
        <f t="shared" si="31"/>
        <v>15201</v>
      </c>
      <c r="I107">
        <f t="shared" si="32"/>
        <v>303</v>
      </c>
      <c r="J107" t="b">
        <v>0</v>
      </c>
      <c r="K107">
        <f t="shared" si="33"/>
        <v>18</v>
      </c>
      <c r="L107">
        <v>85</v>
      </c>
      <c r="M107">
        <v>38400</v>
      </c>
      <c r="N107">
        <f t="shared" si="47"/>
        <v>135</v>
      </c>
      <c r="O107">
        <f t="shared" si="48"/>
        <v>80</v>
      </c>
      <c r="P107">
        <f t="shared" si="48"/>
        <v>80</v>
      </c>
      <c r="Q107">
        <f t="shared" si="49"/>
        <v>0.78539816339744828</v>
      </c>
      <c r="R107">
        <f t="shared" si="50"/>
        <v>6</v>
      </c>
      <c r="S107">
        <f t="shared" si="34"/>
        <v>135</v>
      </c>
      <c r="T107">
        <f t="shared" si="35"/>
        <v>135</v>
      </c>
      <c r="U107">
        <f t="shared" si="36"/>
        <v>135</v>
      </c>
      <c r="V107">
        <f t="shared" si="37"/>
        <v>135</v>
      </c>
      <c r="W107">
        <f t="shared" si="38"/>
        <v>135</v>
      </c>
      <c r="X107">
        <f t="shared" si="39"/>
        <v>135</v>
      </c>
      <c r="Y107">
        <v>75</v>
      </c>
      <c r="Z107">
        <f t="shared" si="41"/>
        <v>2</v>
      </c>
      <c r="AA107">
        <v>80</v>
      </c>
      <c r="AB107">
        <v>70</v>
      </c>
      <c r="AC107">
        <f t="shared" si="42"/>
        <v>2</v>
      </c>
      <c r="AD107">
        <v>60</v>
      </c>
      <c r="AE107">
        <v>0.63</v>
      </c>
      <c r="AF107" t="str">
        <f t="shared" si="51"/>
        <v>B_01'Flr_00'A2</v>
      </c>
      <c r="AG107" t="str">
        <f>"R_" &amp; INDEX(Sched!A:AA, MATCH(ABT!$E107, SchedMark, 0), 20)</f>
        <v>R_1003.16</v>
      </c>
      <c r="AH107" t="str">
        <f t="shared" si="51"/>
        <v>B_01'Flr_00'A2</v>
      </c>
      <c r="AI107" t="str">
        <f t="shared" si="52"/>
        <v>VV-4-0-08</v>
      </c>
      <c r="AJ107" s="10" t="s">
        <v>1074</v>
      </c>
    </row>
    <row r="108" spans="1:36" x14ac:dyDescent="0.2">
      <c r="A108" s="109" t="s">
        <v>641</v>
      </c>
      <c r="B108" t="str">
        <f t="shared" si="43"/>
        <v>B_01'Flr_00'A2</v>
      </c>
      <c r="C108" t="str">
        <f t="shared" si="44"/>
        <v>VV-4-0-09</v>
      </c>
      <c r="D108" t="str">
        <f t="shared" si="45"/>
        <v>1030319</v>
      </c>
      <c r="E108" t="str">
        <f t="shared" si="46"/>
        <v>VV-4-0-09</v>
      </c>
      <c r="F108" t="s">
        <v>695</v>
      </c>
      <c r="G108" t="str">
        <f>INDEX(Sched!$J$213:$O$223, MATCH(ABT!$H108, Sched!$J$213:$J$223, 0), 6)</f>
        <v>15201_CB_DXR2M12P_US</v>
      </c>
      <c r="H108">
        <f t="shared" si="31"/>
        <v>15201</v>
      </c>
      <c r="I108">
        <f t="shared" si="32"/>
        <v>303</v>
      </c>
      <c r="J108" t="b">
        <v>0</v>
      </c>
      <c r="K108">
        <f t="shared" si="33"/>
        <v>19</v>
      </c>
      <c r="L108">
        <v>85</v>
      </c>
      <c r="M108">
        <v>38400</v>
      </c>
      <c r="N108">
        <f t="shared" si="47"/>
        <v>175</v>
      </c>
      <c r="O108">
        <f t="shared" si="48"/>
        <v>80</v>
      </c>
      <c r="P108">
        <f t="shared" si="48"/>
        <v>80</v>
      </c>
      <c r="Q108">
        <f t="shared" si="49"/>
        <v>0.78539816339744828</v>
      </c>
      <c r="R108">
        <f t="shared" si="50"/>
        <v>6</v>
      </c>
      <c r="S108">
        <f t="shared" si="34"/>
        <v>175</v>
      </c>
      <c r="T108">
        <f t="shared" si="35"/>
        <v>175</v>
      </c>
      <c r="U108">
        <f t="shared" si="36"/>
        <v>175</v>
      </c>
      <c r="V108">
        <f t="shared" si="37"/>
        <v>175</v>
      </c>
      <c r="W108">
        <f t="shared" si="38"/>
        <v>175</v>
      </c>
      <c r="X108">
        <f t="shared" si="39"/>
        <v>175</v>
      </c>
      <c r="Y108">
        <v>75</v>
      </c>
      <c r="Z108">
        <f t="shared" si="41"/>
        <v>2</v>
      </c>
      <c r="AA108">
        <v>80</v>
      </c>
      <c r="AB108">
        <v>70</v>
      </c>
      <c r="AC108">
        <f t="shared" si="42"/>
        <v>2</v>
      </c>
      <c r="AD108">
        <v>60</v>
      </c>
      <c r="AE108">
        <v>0.63</v>
      </c>
      <c r="AF108" t="str">
        <f t="shared" si="51"/>
        <v>B_01'Flr_00'A2</v>
      </c>
      <c r="AG108" t="str">
        <f>"R_" &amp; INDEX(Sched!A:AA, MATCH(ABT!$E108, SchedMark, 0), 20)</f>
        <v>R_1003.23</v>
      </c>
      <c r="AH108" t="str">
        <f t="shared" si="51"/>
        <v>B_01'Flr_00'A2</v>
      </c>
      <c r="AI108" t="str">
        <f t="shared" si="52"/>
        <v>VV-4-0-09</v>
      </c>
      <c r="AJ108" t="s">
        <v>1075</v>
      </c>
    </row>
    <row r="109" spans="1:36" x14ac:dyDescent="0.2">
      <c r="A109" s="109" t="s">
        <v>642</v>
      </c>
      <c r="B109" t="str">
        <f t="shared" si="43"/>
        <v>B_01'Flr_01'A2</v>
      </c>
      <c r="C109" t="str">
        <f t="shared" si="44"/>
        <v>VV-4-1-01</v>
      </c>
      <c r="D109" t="str">
        <f t="shared" si="45"/>
        <v>1030234</v>
      </c>
      <c r="E109" t="str">
        <f t="shared" si="46"/>
        <v>VV-4-1-01</v>
      </c>
      <c r="F109" t="s">
        <v>695</v>
      </c>
      <c r="G109" t="str">
        <f>INDEX(Sched!$J$213:$O$223, MATCH(ABT!$H109, Sched!$J$213:$J$223, 0), 6)</f>
        <v>15201_CB_DXR2M12P_US</v>
      </c>
      <c r="H109">
        <f t="shared" si="31"/>
        <v>15201</v>
      </c>
      <c r="I109">
        <f t="shared" si="32"/>
        <v>302</v>
      </c>
      <c r="J109" t="b">
        <v>0</v>
      </c>
      <c r="K109">
        <f t="shared" si="33"/>
        <v>34</v>
      </c>
      <c r="L109">
        <v>85</v>
      </c>
      <c r="M109">
        <v>38400</v>
      </c>
      <c r="N109">
        <f t="shared" si="47"/>
        <v>540</v>
      </c>
      <c r="O109">
        <f t="shared" si="48"/>
        <v>140</v>
      </c>
      <c r="P109">
        <f t="shared" si="48"/>
        <v>140</v>
      </c>
      <c r="Q109">
        <f t="shared" si="49"/>
        <v>1.3962634015954636</v>
      </c>
      <c r="R109">
        <f t="shared" si="50"/>
        <v>8</v>
      </c>
      <c r="S109">
        <f t="shared" si="34"/>
        <v>540</v>
      </c>
      <c r="T109">
        <f t="shared" si="35"/>
        <v>540</v>
      </c>
      <c r="U109">
        <f t="shared" si="36"/>
        <v>540</v>
      </c>
      <c r="V109">
        <f t="shared" si="37"/>
        <v>540</v>
      </c>
      <c r="W109">
        <f t="shared" si="38"/>
        <v>540</v>
      </c>
      <c r="X109">
        <f t="shared" si="39"/>
        <v>540</v>
      </c>
      <c r="Y109">
        <v>75</v>
      </c>
      <c r="Z109">
        <f t="shared" si="41"/>
        <v>2</v>
      </c>
      <c r="AA109">
        <v>80</v>
      </c>
      <c r="AB109">
        <v>70</v>
      </c>
      <c r="AC109">
        <f t="shared" si="42"/>
        <v>2</v>
      </c>
      <c r="AD109">
        <v>60</v>
      </c>
      <c r="AE109">
        <v>0.63</v>
      </c>
      <c r="AF109" t="str">
        <f t="shared" si="51"/>
        <v>B_01'Flr_01'A2</v>
      </c>
      <c r="AG109" t="str">
        <f>"R_" &amp; INDEX(Sched!A:AA, MATCH(ABT!$E109, SchedMark, 0), 20)</f>
        <v>R_1121.00</v>
      </c>
      <c r="AH109" t="str">
        <f t="shared" si="51"/>
        <v>B_01'Flr_01'A2</v>
      </c>
      <c r="AI109" t="str">
        <f t="shared" si="52"/>
        <v>VV-4-1-01</v>
      </c>
      <c r="AJ109" t="s">
        <v>1076</v>
      </c>
    </row>
    <row r="110" spans="1:36" x14ac:dyDescent="0.2">
      <c r="A110" s="109" t="s">
        <v>643</v>
      </c>
      <c r="B110" t="str">
        <f t="shared" si="43"/>
        <v>B_01'Flr_01'A2</v>
      </c>
      <c r="C110" t="str">
        <f t="shared" si="44"/>
        <v>VV-4-1-03</v>
      </c>
      <c r="D110" t="str">
        <f t="shared" si="45"/>
        <v>1030236</v>
      </c>
      <c r="E110" t="str">
        <f t="shared" si="46"/>
        <v>VV-4-1-03</v>
      </c>
      <c r="F110" t="s">
        <v>695</v>
      </c>
      <c r="G110" t="str">
        <f>INDEX(Sched!$J$213:$O$223, MATCH(ABT!$H110, Sched!$J$213:$J$223, 0), 6)</f>
        <v>15201_CB_DXR2M12P_US</v>
      </c>
      <c r="H110">
        <f t="shared" si="31"/>
        <v>15201</v>
      </c>
      <c r="I110">
        <f t="shared" si="32"/>
        <v>302</v>
      </c>
      <c r="J110" t="b">
        <v>0</v>
      </c>
      <c r="K110">
        <f t="shared" si="33"/>
        <v>36</v>
      </c>
      <c r="L110">
        <v>85</v>
      </c>
      <c r="M110">
        <v>38400</v>
      </c>
      <c r="N110">
        <f t="shared" si="47"/>
        <v>180</v>
      </c>
      <c r="O110">
        <f t="shared" si="48"/>
        <v>80</v>
      </c>
      <c r="P110">
        <f t="shared" si="48"/>
        <v>80</v>
      </c>
      <c r="Q110">
        <f t="shared" si="49"/>
        <v>0.78539816339744828</v>
      </c>
      <c r="R110">
        <f t="shared" si="50"/>
        <v>6</v>
      </c>
      <c r="S110">
        <f t="shared" si="34"/>
        <v>180</v>
      </c>
      <c r="T110">
        <f t="shared" si="35"/>
        <v>180</v>
      </c>
      <c r="U110">
        <f t="shared" si="36"/>
        <v>180</v>
      </c>
      <c r="V110">
        <f t="shared" si="37"/>
        <v>180</v>
      </c>
      <c r="W110">
        <f t="shared" si="38"/>
        <v>180</v>
      </c>
      <c r="X110">
        <f t="shared" si="39"/>
        <v>180</v>
      </c>
      <c r="Y110">
        <v>75</v>
      </c>
      <c r="Z110">
        <f t="shared" si="41"/>
        <v>2</v>
      </c>
      <c r="AA110">
        <v>80</v>
      </c>
      <c r="AB110">
        <v>70</v>
      </c>
      <c r="AC110">
        <f t="shared" si="42"/>
        <v>2</v>
      </c>
      <c r="AD110">
        <v>60</v>
      </c>
      <c r="AE110">
        <v>0.63</v>
      </c>
      <c r="AF110" t="str">
        <f t="shared" si="51"/>
        <v>B_01'Flr_01'A2</v>
      </c>
      <c r="AG110" t="str">
        <f>"R_" &amp; INDEX(Sched!A:AA, MATCH(ABT!$E110, SchedMark, 0), 20)</f>
        <v>R_1117.01</v>
      </c>
      <c r="AH110" t="str">
        <f t="shared" si="51"/>
        <v>B_01'Flr_01'A2</v>
      </c>
      <c r="AI110" t="str">
        <f t="shared" si="52"/>
        <v>VV-4-1-03</v>
      </c>
      <c r="AJ110" t="s">
        <v>1077</v>
      </c>
    </row>
    <row r="111" spans="1:36" x14ac:dyDescent="0.2">
      <c r="A111" s="109" t="s">
        <v>644</v>
      </c>
      <c r="B111" t="str">
        <f t="shared" si="43"/>
        <v>B_01'Flr_01'A2</v>
      </c>
      <c r="C111" t="str">
        <f t="shared" si="44"/>
        <v>VV-4-1-04</v>
      </c>
      <c r="D111" t="str">
        <f t="shared" si="45"/>
        <v>1030237</v>
      </c>
      <c r="E111" t="str">
        <f t="shared" si="46"/>
        <v>VV-4-1-04</v>
      </c>
      <c r="F111" t="s">
        <v>695</v>
      </c>
      <c r="G111" t="str">
        <f>INDEX(Sched!$J$213:$O$223, MATCH(ABT!$H111, Sched!$J$213:$J$223, 0), 6)</f>
        <v>15201_CB_DXR2M12P_US</v>
      </c>
      <c r="H111">
        <f t="shared" si="31"/>
        <v>15201</v>
      </c>
      <c r="I111">
        <f t="shared" si="32"/>
        <v>302</v>
      </c>
      <c r="J111" t="b">
        <v>0</v>
      </c>
      <c r="K111">
        <f t="shared" si="33"/>
        <v>37</v>
      </c>
      <c r="L111">
        <v>85</v>
      </c>
      <c r="M111">
        <v>38400</v>
      </c>
      <c r="N111">
        <f t="shared" si="47"/>
        <v>125</v>
      </c>
      <c r="O111">
        <f t="shared" si="48"/>
        <v>80</v>
      </c>
      <c r="P111">
        <f t="shared" si="48"/>
        <v>80</v>
      </c>
      <c r="Q111">
        <f t="shared" si="49"/>
        <v>0.78539816339744828</v>
      </c>
      <c r="R111">
        <f t="shared" si="50"/>
        <v>6</v>
      </c>
      <c r="S111">
        <f t="shared" si="34"/>
        <v>125</v>
      </c>
      <c r="T111">
        <f t="shared" si="35"/>
        <v>125</v>
      </c>
      <c r="U111">
        <f t="shared" si="36"/>
        <v>125</v>
      </c>
      <c r="V111">
        <f t="shared" si="37"/>
        <v>125</v>
      </c>
      <c r="W111">
        <f t="shared" si="38"/>
        <v>125</v>
      </c>
      <c r="X111">
        <f t="shared" si="39"/>
        <v>125</v>
      </c>
      <c r="Y111">
        <v>75</v>
      </c>
      <c r="Z111">
        <f t="shared" si="41"/>
        <v>2</v>
      </c>
      <c r="AA111">
        <v>80</v>
      </c>
      <c r="AB111">
        <v>70</v>
      </c>
      <c r="AC111">
        <f t="shared" si="42"/>
        <v>2</v>
      </c>
      <c r="AD111">
        <v>60</v>
      </c>
      <c r="AE111">
        <v>0.63</v>
      </c>
      <c r="AF111" t="str">
        <f t="shared" si="51"/>
        <v>B_01'Flr_01'A2</v>
      </c>
      <c r="AG111" t="str">
        <f>"R_" &amp; INDEX(Sched!A:AA, MATCH(ABT!$E111, SchedMark, 0), 20)</f>
        <v>R_1116.00</v>
      </c>
      <c r="AH111" t="str">
        <f t="shared" si="51"/>
        <v>B_01'Flr_01'A2</v>
      </c>
      <c r="AI111" t="str">
        <f t="shared" si="52"/>
        <v>VV-4-1-04</v>
      </c>
      <c r="AJ111" t="s">
        <v>1078</v>
      </c>
    </row>
    <row r="112" spans="1:36" x14ac:dyDescent="0.2">
      <c r="A112" s="109" t="s">
        <v>645</v>
      </c>
      <c r="B112" t="str">
        <f t="shared" si="43"/>
        <v>B_01'Flr_01'A2</v>
      </c>
      <c r="C112" t="str">
        <f t="shared" si="44"/>
        <v>VV-4-1-05</v>
      </c>
      <c r="D112" t="str">
        <f t="shared" si="45"/>
        <v>1030238</v>
      </c>
      <c r="E112" t="str">
        <f t="shared" si="46"/>
        <v>VV-4-1-05</v>
      </c>
      <c r="F112" t="s">
        <v>695</v>
      </c>
      <c r="G112" t="str">
        <f>INDEX(Sched!$J$213:$O$223, MATCH(ABT!$H112, Sched!$J$213:$J$223, 0), 6)</f>
        <v>15201_CB_DXR2M12P_US</v>
      </c>
      <c r="H112">
        <f t="shared" si="31"/>
        <v>15201</v>
      </c>
      <c r="I112">
        <f t="shared" si="32"/>
        <v>302</v>
      </c>
      <c r="J112" t="b">
        <v>0</v>
      </c>
      <c r="K112">
        <f t="shared" si="33"/>
        <v>38</v>
      </c>
      <c r="L112">
        <v>85</v>
      </c>
      <c r="M112">
        <v>38400</v>
      </c>
      <c r="N112">
        <f t="shared" si="47"/>
        <v>560</v>
      </c>
      <c r="O112">
        <f t="shared" si="48"/>
        <v>140</v>
      </c>
      <c r="P112">
        <f t="shared" si="48"/>
        <v>140</v>
      </c>
      <c r="Q112">
        <f t="shared" si="49"/>
        <v>1.3962634015954636</v>
      </c>
      <c r="R112">
        <f t="shared" si="50"/>
        <v>8</v>
      </c>
      <c r="S112">
        <f t="shared" si="34"/>
        <v>560</v>
      </c>
      <c r="T112">
        <f t="shared" si="35"/>
        <v>560</v>
      </c>
      <c r="U112">
        <f t="shared" si="36"/>
        <v>560</v>
      </c>
      <c r="V112">
        <f t="shared" si="37"/>
        <v>560</v>
      </c>
      <c r="W112">
        <f t="shared" si="38"/>
        <v>560</v>
      </c>
      <c r="X112">
        <f t="shared" si="39"/>
        <v>560</v>
      </c>
      <c r="Y112">
        <v>75</v>
      </c>
      <c r="Z112">
        <f t="shared" si="41"/>
        <v>2</v>
      </c>
      <c r="AA112">
        <v>80</v>
      </c>
      <c r="AB112">
        <v>70</v>
      </c>
      <c r="AC112">
        <f t="shared" si="42"/>
        <v>2</v>
      </c>
      <c r="AD112">
        <v>60</v>
      </c>
      <c r="AE112">
        <v>0.63</v>
      </c>
      <c r="AF112" t="str">
        <f t="shared" si="51"/>
        <v>B_01'Flr_01'A2</v>
      </c>
      <c r="AG112" t="str">
        <f>"R_" &amp; INDEX(Sched!A:AA, MATCH(ABT!$E112, SchedMark, 0), 20)</f>
        <v>R_1122.00</v>
      </c>
      <c r="AH112" t="str">
        <f t="shared" si="51"/>
        <v>B_01'Flr_01'A2</v>
      </c>
      <c r="AI112" t="str">
        <f t="shared" si="52"/>
        <v>VV-4-1-05</v>
      </c>
      <c r="AJ112" t="s">
        <v>1079</v>
      </c>
    </row>
    <row r="113" spans="1:36" x14ac:dyDescent="0.2">
      <c r="A113" s="109" t="s">
        <v>646</v>
      </c>
      <c r="B113" t="str">
        <f t="shared" si="43"/>
        <v>B_01'Flr_01'A2</v>
      </c>
      <c r="C113" t="str">
        <f t="shared" si="44"/>
        <v>VV-4-1-13</v>
      </c>
      <c r="D113" t="str">
        <f t="shared" si="45"/>
        <v>1030239</v>
      </c>
      <c r="E113" t="str">
        <f t="shared" si="46"/>
        <v>VV-4-1-13</v>
      </c>
      <c r="F113" t="s">
        <v>695</v>
      </c>
      <c r="G113" t="str">
        <f>INDEX(Sched!$J$213:$O$223, MATCH(ABT!$H113, Sched!$J$213:$J$223, 0), 6)</f>
        <v>15201_CB_DXR2M12P_US</v>
      </c>
      <c r="H113">
        <f t="shared" si="31"/>
        <v>15201</v>
      </c>
      <c r="I113">
        <f t="shared" si="32"/>
        <v>302</v>
      </c>
      <c r="J113" t="b">
        <v>0</v>
      </c>
      <c r="K113">
        <f t="shared" si="33"/>
        <v>39</v>
      </c>
      <c r="L113">
        <v>85</v>
      </c>
      <c r="M113">
        <v>38400</v>
      </c>
      <c r="N113">
        <f t="shared" si="47"/>
        <v>205</v>
      </c>
      <c r="O113">
        <f t="shared" si="48"/>
        <v>80</v>
      </c>
      <c r="P113">
        <f t="shared" si="48"/>
        <v>80</v>
      </c>
      <c r="Q113">
        <f t="shared" si="49"/>
        <v>0.78539816339744828</v>
      </c>
      <c r="R113">
        <f t="shared" si="50"/>
        <v>6</v>
      </c>
      <c r="S113">
        <f t="shared" si="34"/>
        <v>205</v>
      </c>
      <c r="T113">
        <f t="shared" si="35"/>
        <v>205</v>
      </c>
      <c r="U113">
        <f t="shared" si="36"/>
        <v>205</v>
      </c>
      <c r="V113">
        <f t="shared" si="37"/>
        <v>205</v>
      </c>
      <c r="W113">
        <f t="shared" si="38"/>
        <v>205</v>
      </c>
      <c r="X113">
        <f t="shared" si="39"/>
        <v>205</v>
      </c>
      <c r="Y113">
        <v>75</v>
      </c>
      <c r="Z113">
        <f t="shared" si="41"/>
        <v>2</v>
      </c>
      <c r="AA113">
        <v>80</v>
      </c>
      <c r="AB113">
        <v>70</v>
      </c>
      <c r="AC113">
        <f t="shared" si="42"/>
        <v>2</v>
      </c>
      <c r="AD113">
        <v>60</v>
      </c>
      <c r="AE113">
        <v>0.63</v>
      </c>
      <c r="AF113" t="str">
        <f t="shared" si="51"/>
        <v>B_01'Flr_01'A2</v>
      </c>
      <c r="AG113" t="str">
        <f>"R_" &amp; INDEX(Sched!A:AA, MATCH(ABT!$E113, SchedMark, 0), 20)</f>
        <v>R_1118.01</v>
      </c>
      <c r="AH113" t="str">
        <f t="shared" si="51"/>
        <v>B_01'Flr_01'A2</v>
      </c>
      <c r="AI113" t="str">
        <f t="shared" si="52"/>
        <v>VV-4-1-13</v>
      </c>
      <c r="AJ113" t="s">
        <v>1080</v>
      </c>
    </row>
    <row r="114" spans="1:36" x14ac:dyDescent="0.2">
      <c r="A114" s="109" t="s">
        <v>647</v>
      </c>
      <c r="B114" t="str">
        <f t="shared" si="43"/>
        <v>B_01'Flr_02'A2</v>
      </c>
      <c r="C114" t="str">
        <f t="shared" si="44"/>
        <v>VV-4-2-01</v>
      </c>
      <c r="D114" t="str">
        <f t="shared" si="45"/>
        <v>1030435</v>
      </c>
      <c r="E114" t="str">
        <f t="shared" si="46"/>
        <v>VV-4-2-01</v>
      </c>
      <c r="F114" t="s">
        <v>695</v>
      </c>
      <c r="G114" t="str">
        <f>INDEX(Sched!$J$213:$O$223, MATCH(ABT!$H114, Sched!$J$213:$J$223, 0), 6)</f>
        <v>15201_CB_DXR2M12P_US</v>
      </c>
      <c r="H114">
        <f t="shared" si="31"/>
        <v>15201</v>
      </c>
      <c r="I114">
        <f t="shared" si="32"/>
        <v>304</v>
      </c>
      <c r="J114" t="b">
        <v>0</v>
      </c>
      <c r="K114">
        <f t="shared" si="33"/>
        <v>35</v>
      </c>
      <c r="L114">
        <v>85</v>
      </c>
      <c r="M114">
        <v>38400</v>
      </c>
      <c r="N114">
        <f t="shared" si="47"/>
        <v>570</v>
      </c>
      <c r="O114">
        <f t="shared" si="48"/>
        <v>140</v>
      </c>
      <c r="P114">
        <f t="shared" si="48"/>
        <v>140</v>
      </c>
      <c r="Q114">
        <f t="shared" si="49"/>
        <v>1.3962634015954636</v>
      </c>
      <c r="R114">
        <f t="shared" si="50"/>
        <v>8</v>
      </c>
      <c r="S114">
        <f t="shared" si="34"/>
        <v>570</v>
      </c>
      <c r="T114">
        <f t="shared" si="35"/>
        <v>570</v>
      </c>
      <c r="U114">
        <f t="shared" si="36"/>
        <v>570</v>
      </c>
      <c r="V114">
        <f t="shared" si="37"/>
        <v>570</v>
      </c>
      <c r="W114">
        <f t="shared" si="38"/>
        <v>570</v>
      </c>
      <c r="X114">
        <f t="shared" si="39"/>
        <v>570</v>
      </c>
      <c r="Y114">
        <v>75</v>
      </c>
      <c r="Z114">
        <f t="shared" si="41"/>
        <v>2</v>
      </c>
      <c r="AA114">
        <v>80</v>
      </c>
      <c r="AB114">
        <v>70</v>
      </c>
      <c r="AC114">
        <f t="shared" si="42"/>
        <v>2</v>
      </c>
      <c r="AD114">
        <v>60</v>
      </c>
      <c r="AE114">
        <v>0.63</v>
      </c>
      <c r="AF114" t="str">
        <f t="shared" si="51"/>
        <v>B_01'Flr_02'A2</v>
      </c>
      <c r="AG114" t="str">
        <f>"R_" &amp; INDEX(Sched!A:AA, MATCH(ABT!$E114, SchedMark, 0), 20)</f>
        <v>R_1235.00</v>
      </c>
      <c r="AH114" t="str">
        <f t="shared" si="51"/>
        <v>B_01'Flr_02'A2</v>
      </c>
      <c r="AI114" t="str">
        <f t="shared" si="52"/>
        <v>VV-4-2-01</v>
      </c>
      <c r="AJ114" t="s">
        <v>1081</v>
      </c>
    </row>
    <row r="115" spans="1:36" x14ac:dyDescent="0.2">
      <c r="A115" s="109" t="s">
        <v>648</v>
      </c>
      <c r="B115" t="str">
        <f t="shared" si="43"/>
        <v>B_01'Flr_02'A2</v>
      </c>
      <c r="C115" t="str">
        <f t="shared" si="44"/>
        <v>VV-4-2-02</v>
      </c>
      <c r="D115" t="str">
        <f t="shared" si="45"/>
        <v>1030436</v>
      </c>
      <c r="E115" t="str">
        <f t="shared" si="46"/>
        <v>VV-4-2-02</v>
      </c>
      <c r="F115" t="s">
        <v>695</v>
      </c>
      <c r="G115" t="str">
        <f>INDEX(Sched!$J$213:$O$223, MATCH(ABT!$H115, Sched!$J$213:$J$223, 0), 6)</f>
        <v>15201_CB_DXR2M12P_US</v>
      </c>
      <c r="H115">
        <f t="shared" si="31"/>
        <v>15201</v>
      </c>
      <c r="I115">
        <f t="shared" si="32"/>
        <v>304</v>
      </c>
      <c r="J115" t="b">
        <v>0</v>
      </c>
      <c r="K115">
        <f t="shared" si="33"/>
        <v>36</v>
      </c>
      <c r="L115">
        <v>85</v>
      </c>
      <c r="M115">
        <v>38400</v>
      </c>
      <c r="N115">
        <f t="shared" si="47"/>
        <v>600</v>
      </c>
      <c r="O115">
        <f t="shared" si="48"/>
        <v>140</v>
      </c>
      <c r="P115">
        <f t="shared" si="48"/>
        <v>140</v>
      </c>
      <c r="Q115">
        <f t="shared" si="49"/>
        <v>1.3962634015954636</v>
      </c>
      <c r="R115">
        <f t="shared" si="50"/>
        <v>8</v>
      </c>
      <c r="S115">
        <f t="shared" si="34"/>
        <v>600</v>
      </c>
      <c r="T115">
        <f t="shared" si="35"/>
        <v>600</v>
      </c>
      <c r="U115">
        <f t="shared" si="36"/>
        <v>600</v>
      </c>
      <c r="V115">
        <f t="shared" si="37"/>
        <v>600</v>
      </c>
      <c r="W115">
        <f t="shared" si="38"/>
        <v>600</v>
      </c>
      <c r="X115">
        <f t="shared" si="39"/>
        <v>600</v>
      </c>
      <c r="Y115">
        <v>75</v>
      </c>
      <c r="Z115">
        <f t="shared" si="41"/>
        <v>2</v>
      </c>
      <c r="AA115">
        <v>80</v>
      </c>
      <c r="AB115">
        <v>70</v>
      </c>
      <c r="AC115">
        <f t="shared" si="42"/>
        <v>2</v>
      </c>
      <c r="AD115">
        <v>60</v>
      </c>
      <c r="AE115">
        <v>0.63</v>
      </c>
      <c r="AF115" t="str">
        <f t="shared" si="51"/>
        <v>B_01'Flr_02'A2</v>
      </c>
      <c r="AG115" t="str">
        <f>"R_" &amp; INDEX(Sched!A:AA, MATCH(ABT!$E115, SchedMark, 0), 20)</f>
        <v>R_1237.00</v>
      </c>
      <c r="AH115" t="str">
        <f t="shared" si="51"/>
        <v>B_01'Flr_02'A2</v>
      </c>
      <c r="AI115" t="str">
        <f t="shared" si="52"/>
        <v>VV-4-2-02</v>
      </c>
      <c r="AJ115" t="s">
        <v>1082</v>
      </c>
    </row>
    <row r="116" spans="1:36" x14ac:dyDescent="0.2">
      <c r="A116" s="109" t="s">
        <v>649</v>
      </c>
      <c r="B116" t="str">
        <f t="shared" si="43"/>
        <v>B_01'Flr_02'A2</v>
      </c>
      <c r="C116" t="str">
        <f t="shared" si="44"/>
        <v>VV-4-2-03</v>
      </c>
      <c r="D116" t="str">
        <f t="shared" si="45"/>
        <v>1030437</v>
      </c>
      <c r="E116" t="str">
        <f t="shared" si="46"/>
        <v>VV-4-2-03</v>
      </c>
      <c r="F116" t="s">
        <v>695</v>
      </c>
      <c r="G116" t="str">
        <f>INDEX(Sched!$J$213:$O$223, MATCH(ABT!$H116, Sched!$J$213:$J$223, 0), 6)</f>
        <v>15201_CB_DXR2M12P_US</v>
      </c>
      <c r="H116">
        <f t="shared" si="31"/>
        <v>15201</v>
      </c>
      <c r="I116">
        <f t="shared" si="32"/>
        <v>304</v>
      </c>
      <c r="J116" t="b">
        <v>0</v>
      </c>
      <c r="K116">
        <f t="shared" si="33"/>
        <v>37</v>
      </c>
      <c r="L116">
        <v>85</v>
      </c>
      <c r="M116">
        <v>38400</v>
      </c>
      <c r="N116">
        <f t="shared" si="47"/>
        <v>720</v>
      </c>
      <c r="O116">
        <f t="shared" si="48"/>
        <v>220</v>
      </c>
      <c r="P116">
        <f t="shared" si="48"/>
        <v>220</v>
      </c>
      <c r="Q116">
        <f t="shared" si="49"/>
        <v>2.1816615649929121</v>
      </c>
      <c r="R116">
        <f t="shared" si="50"/>
        <v>10</v>
      </c>
      <c r="S116">
        <f t="shared" si="34"/>
        <v>720</v>
      </c>
      <c r="T116">
        <f t="shared" si="35"/>
        <v>720</v>
      </c>
      <c r="U116">
        <f t="shared" si="36"/>
        <v>720</v>
      </c>
      <c r="V116">
        <f t="shared" si="37"/>
        <v>720</v>
      </c>
      <c r="W116">
        <f t="shared" si="38"/>
        <v>720</v>
      </c>
      <c r="X116">
        <f t="shared" si="39"/>
        <v>720</v>
      </c>
      <c r="Y116">
        <v>75</v>
      </c>
      <c r="Z116">
        <f t="shared" si="41"/>
        <v>2</v>
      </c>
      <c r="AA116">
        <v>80</v>
      </c>
      <c r="AB116">
        <v>70</v>
      </c>
      <c r="AC116">
        <f t="shared" si="42"/>
        <v>2</v>
      </c>
      <c r="AD116">
        <v>60</v>
      </c>
      <c r="AE116">
        <v>0.63</v>
      </c>
      <c r="AF116" t="str">
        <f t="shared" si="51"/>
        <v>B_01'Flr_02'A2</v>
      </c>
      <c r="AG116" t="str">
        <f>"R_" &amp; INDEX(Sched!A:AA, MATCH(ABT!$E116, SchedMark, 0), 20)</f>
        <v>R_1241.00</v>
      </c>
      <c r="AH116" t="str">
        <f t="shared" si="51"/>
        <v>B_01'Flr_02'A2</v>
      </c>
      <c r="AI116" t="str">
        <f t="shared" si="52"/>
        <v>VV-4-2-03</v>
      </c>
      <c r="AJ116" t="s">
        <v>1083</v>
      </c>
    </row>
    <row r="117" spans="1:36" x14ac:dyDescent="0.2">
      <c r="A117" s="109" t="s">
        <v>650</v>
      </c>
      <c r="B117" t="str">
        <f t="shared" si="43"/>
        <v>B_01'Flr_02'A2</v>
      </c>
      <c r="C117" t="str">
        <f t="shared" si="44"/>
        <v>VV-4-2-05</v>
      </c>
      <c r="D117" t="str">
        <f t="shared" si="45"/>
        <v>1030438</v>
      </c>
      <c r="E117" t="str">
        <f t="shared" si="46"/>
        <v>VV-4-2-05</v>
      </c>
      <c r="F117" t="s">
        <v>695</v>
      </c>
      <c r="G117" t="str">
        <f>INDEX(Sched!$J$213:$O$223, MATCH(ABT!$H117, Sched!$J$213:$J$223, 0), 6)</f>
        <v>15201_CB_DXR2M12P_US</v>
      </c>
      <c r="H117">
        <f t="shared" si="31"/>
        <v>15201</v>
      </c>
      <c r="I117">
        <f t="shared" si="32"/>
        <v>304</v>
      </c>
      <c r="J117" t="b">
        <v>0</v>
      </c>
      <c r="K117">
        <f t="shared" si="33"/>
        <v>38</v>
      </c>
      <c r="L117">
        <v>85</v>
      </c>
      <c r="M117">
        <v>38400</v>
      </c>
      <c r="N117">
        <f t="shared" si="47"/>
        <v>330</v>
      </c>
      <c r="O117">
        <f t="shared" si="48"/>
        <v>330</v>
      </c>
      <c r="P117">
        <f t="shared" si="48"/>
        <v>330</v>
      </c>
      <c r="Q117">
        <f t="shared" si="49"/>
        <v>0.78539816339744828</v>
      </c>
      <c r="R117">
        <f t="shared" si="50"/>
        <v>6</v>
      </c>
      <c r="S117">
        <f t="shared" si="34"/>
        <v>330</v>
      </c>
      <c r="T117">
        <f t="shared" si="35"/>
        <v>330</v>
      </c>
      <c r="U117">
        <f t="shared" si="36"/>
        <v>330</v>
      </c>
      <c r="V117">
        <f t="shared" si="37"/>
        <v>330</v>
      </c>
      <c r="W117">
        <f t="shared" si="38"/>
        <v>330</v>
      </c>
      <c r="X117">
        <f t="shared" si="39"/>
        <v>330</v>
      </c>
      <c r="Y117">
        <v>75</v>
      </c>
      <c r="Z117">
        <f t="shared" si="41"/>
        <v>2</v>
      </c>
      <c r="AA117">
        <v>80</v>
      </c>
      <c r="AB117">
        <v>70</v>
      </c>
      <c r="AC117">
        <f t="shared" si="42"/>
        <v>2</v>
      </c>
      <c r="AD117">
        <v>60</v>
      </c>
      <c r="AE117">
        <v>0.63</v>
      </c>
      <c r="AF117" t="str">
        <f t="shared" si="51"/>
        <v>B_01'Flr_02'A2</v>
      </c>
      <c r="AG117" t="str">
        <f>"R_" &amp; INDEX(Sched!A:AA, MATCH(ABT!$E117, SchedMark, 0), 20)</f>
        <v>R_1200.04A</v>
      </c>
      <c r="AH117" t="str">
        <f t="shared" si="51"/>
        <v>B_01'Flr_02'A2</v>
      </c>
      <c r="AI117" t="str">
        <f t="shared" si="52"/>
        <v>VV-4-2-05</v>
      </c>
      <c r="AJ117" t="s">
        <v>1084</v>
      </c>
    </row>
    <row r="118" spans="1:36" x14ac:dyDescent="0.2">
      <c r="A118" s="109" t="s">
        <v>651</v>
      </c>
      <c r="B118" t="str">
        <f t="shared" si="43"/>
        <v>B_01'Flr_02'A2</v>
      </c>
      <c r="C118" t="str">
        <f t="shared" si="44"/>
        <v>VV-4-2-10</v>
      </c>
      <c r="D118" t="str">
        <f t="shared" si="45"/>
        <v>1030439</v>
      </c>
      <c r="E118" t="str">
        <f t="shared" si="46"/>
        <v>VV-4-2-10</v>
      </c>
      <c r="F118" t="s">
        <v>695</v>
      </c>
      <c r="G118" t="str">
        <f>INDEX(Sched!$J$213:$O$223, MATCH(ABT!$H118, Sched!$J$213:$J$223, 0), 6)</f>
        <v>15201_CB_DXR2M12P_US</v>
      </c>
      <c r="H118">
        <f t="shared" si="31"/>
        <v>15201</v>
      </c>
      <c r="I118">
        <f t="shared" si="32"/>
        <v>304</v>
      </c>
      <c r="J118" t="b">
        <v>0</v>
      </c>
      <c r="K118">
        <f t="shared" si="33"/>
        <v>39</v>
      </c>
      <c r="L118">
        <v>85</v>
      </c>
      <c r="M118">
        <v>38400</v>
      </c>
      <c r="N118">
        <f t="shared" si="47"/>
        <v>220</v>
      </c>
      <c r="O118">
        <f t="shared" si="48"/>
        <v>80</v>
      </c>
      <c r="P118">
        <f t="shared" si="48"/>
        <v>80</v>
      </c>
      <c r="Q118">
        <f t="shared" si="49"/>
        <v>0.78539816339744828</v>
      </c>
      <c r="R118">
        <f t="shared" si="50"/>
        <v>6</v>
      </c>
      <c r="S118">
        <f t="shared" si="34"/>
        <v>220</v>
      </c>
      <c r="T118">
        <f t="shared" si="35"/>
        <v>220</v>
      </c>
      <c r="U118">
        <f t="shared" si="36"/>
        <v>220</v>
      </c>
      <c r="V118">
        <f t="shared" si="37"/>
        <v>220</v>
      </c>
      <c r="W118">
        <f t="shared" si="38"/>
        <v>220</v>
      </c>
      <c r="X118">
        <f t="shared" si="39"/>
        <v>220</v>
      </c>
      <c r="Y118">
        <v>75</v>
      </c>
      <c r="Z118">
        <f t="shared" si="41"/>
        <v>2</v>
      </c>
      <c r="AA118">
        <v>80</v>
      </c>
      <c r="AB118">
        <v>70</v>
      </c>
      <c r="AC118">
        <f t="shared" si="42"/>
        <v>2</v>
      </c>
      <c r="AD118">
        <v>60</v>
      </c>
      <c r="AE118">
        <v>0.63</v>
      </c>
      <c r="AF118" t="str">
        <f t="shared" si="51"/>
        <v>B_01'Flr_02'A2</v>
      </c>
      <c r="AG118" t="str">
        <f>"R_" &amp; INDEX(Sched!A:AA, MATCH(ABT!$E118, SchedMark, 0), 20)</f>
        <v>R_1220.03</v>
      </c>
      <c r="AH118" t="str">
        <f t="shared" si="51"/>
        <v>B_01'Flr_02'A2</v>
      </c>
      <c r="AI118" t="str">
        <f t="shared" si="52"/>
        <v>VV-4-2-10</v>
      </c>
      <c r="AJ118" t="s">
        <v>1085</v>
      </c>
    </row>
    <row r="119" spans="1:36" x14ac:dyDescent="0.2">
      <c r="A119" s="109" t="s">
        <v>652</v>
      </c>
      <c r="B119" t="str">
        <f t="shared" si="43"/>
        <v>B_01'Flr_02'A2</v>
      </c>
      <c r="C119" t="str">
        <f t="shared" si="44"/>
        <v>VV-4-2-11</v>
      </c>
      <c r="D119" t="str">
        <f t="shared" si="45"/>
        <v>1030440</v>
      </c>
      <c r="E119" t="str">
        <f t="shared" si="46"/>
        <v>VV-4-2-11</v>
      </c>
      <c r="F119" t="s">
        <v>695</v>
      </c>
      <c r="G119" t="str">
        <f>INDEX(Sched!$J$213:$O$223, MATCH(ABT!$H119, Sched!$J$213:$J$223, 0), 6)</f>
        <v>15201_CB_DXR2M12P_US</v>
      </c>
      <c r="H119">
        <f t="shared" si="31"/>
        <v>15201</v>
      </c>
      <c r="I119">
        <f t="shared" si="32"/>
        <v>304</v>
      </c>
      <c r="J119" t="b">
        <v>0</v>
      </c>
      <c r="K119">
        <f t="shared" si="33"/>
        <v>40</v>
      </c>
      <c r="L119">
        <v>85</v>
      </c>
      <c r="M119">
        <v>38400</v>
      </c>
      <c r="N119">
        <f t="shared" si="47"/>
        <v>155</v>
      </c>
      <c r="O119">
        <f t="shared" si="48"/>
        <v>80</v>
      </c>
      <c r="P119">
        <f t="shared" si="48"/>
        <v>80</v>
      </c>
      <c r="Q119">
        <f t="shared" si="49"/>
        <v>0.78539816339744828</v>
      </c>
      <c r="R119">
        <f t="shared" si="50"/>
        <v>6</v>
      </c>
      <c r="S119">
        <f t="shared" si="34"/>
        <v>155</v>
      </c>
      <c r="T119">
        <f t="shared" si="35"/>
        <v>155</v>
      </c>
      <c r="U119">
        <f t="shared" si="36"/>
        <v>155</v>
      </c>
      <c r="V119">
        <f t="shared" si="37"/>
        <v>155</v>
      </c>
      <c r="W119">
        <f t="shared" si="38"/>
        <v>155</v>
      </c>
      <c r="X119">
        <f t="shared" si="39"/>
        <v>155</v>
      </c>
      <c r="Y119">
        <v>75</v>
      </c>
      <c r="Z119">
        <f t="shared" si="41"/>
        <v>2</v>
      </c>
      <c r="AA119">
        <v>80</v>
      </c>
      <c r="AB119">
        <v>70</v>
      </c>
      <c r="AC119">
        <f t="shared" si="42"/>
        <v>2</v>
      </c>
      <c r="AD119">
        <v>60</v>
      </c>
      <c r="AE119">
        <v>0.63</v>
      </c>
      <c r="AF119" t="str">
        <f t="shared" si="51"/>
        <v>B_01'Flr_02'A2</v>
      </c>
      <c r="AG119" t="str">
        <f>"R_" &amp; INDEX(Sched!A:AA, MATCH(ABT!$E119, SchedMark, 0), 20)</f>
        <v>R_1218.02</v>
      </c>
      <c r="AH119" t="str">
        <f t="shared" si="51"/>
        <v>B_01'Flr_02'A2</v>
      </c>
      <c r="AI119" t="str">
        <f t="shared" si="52"/>
        <v>VV-4-2-11</v>
      </c>
      <c r="AJ119" t="s">
        <v>1086</v>
      </c>
    </row>
    <row r="120" spans="1:36" x14ac:dyDescent="0.2">
      <c r="A120" s="109" t="s">
        <v>653</v>
      </c>
      <c r="B120" t="str">
        <f t="shared" si="43"/>
        <v>B_01'Flr_02'A2</v>
      </c>
      <c r="C120" t="str">
        <f t="shared" si="44"/>
        <v>VV-4-2-12</v>
      </c>
      <c r="D120" t="str">
        <f t="shared" si="45"/>
        <v>1030441</v>
      </c>
      <c r="E120" t="str">
        <f t="shared" si="46"/>
        <v>VV-4-2-12</v>
      </c>
      <c r="F120" t="s">
        <v>695</v>
      </c>
      <c r="G120" t="str">
        <f>INDEX(Sched!$J$213:$O$223, MATCH(ABT!$H120, Sched!$J$213:$J$223, 0), 6)</f>
        <v>15201_CB_DXR2M12P_US</v>
      </c>
      <c r="H120">
        <f t="shared" si="31"/>
        <v>15201</v>
      </c>
      <c r="I120">
        <f t="shared" si="32"/>
        <v>304</v>
      </c>
      <c r="J120" t="b">
        <v>0</v>
      </c>
      <c r="K120">
        <f t="shared" si="33"/>
        <v>41</v>
      </c>
      <c r="L120">
        <v>85</v>
      </c>
      <c r="M120">
        <v>38400</v>
      </c>
      <c r="N120">
        <f t="shared" si="47"/>
        <v>125</v>
      </c>
      <c r="O120">
        <f t="shared" si="48"/>
        <v>80</v>
      </c>
      <c r="P120">
        <f t="shared" si="48"/>
        <v>80</v>
      </c>
      <c r="Q120">
        <f t="shared" si="49"/>
        <v>0.78539816339744828</v>
      </c>
      <c r="R120">
        <f t="shared" si="50"/>
        <v>6</v>
      </c>
      <c r="S120">
        <f t="shared" si="34"/>
        <v>125</v>
      </c>
      <c r="T120">
        <f t="shared" si="35"/>
        <v>125</v>
      </c>
      <c r="U120">
        <f t="shared" si="36"/>
        <v>125</v>
      </c>
      <c r="V120">
        <f t="shared" si="37"/>
        <v>125</v>
      </c>
      <c r="W120">
        <f t="shared" si="38"/>
        <v>125</v>
      </c>
      <c r="X120">
        <f t="shared" si="39"/>
        <v>125</v>
      </c>
      <c r="Y120">
        <v>75</v>
      </c>
      <c r="Z120">
        <f t="shared" si="41"/>
        <v>2</v>
      </c>
      <c r="AA120">
        <v>80</v>
      </c>
      <c r="AB120">
        <v>70</v>
      </c>
      <c r="AC120">
        <f t="shared" si="42"/>
        <v>2</v>
      </c>
      <c r="AD120">
        <v>60</v>
      </c>
      <c r="AE120">
        <v>0.63</v>
      </c>
      <c r="AF120" t="str">
        <f t="shared" si="51"/>
        <v>B_01'Flr_02'A2</v>
      </c>
      <c r="AG120" t="str">
        <f>"R_" &amp; INDEX(Sched!A:AA, MATCH(ABT!$E120, SchedMark, 0), 20)</f>
        <v>R_1220.04</v>
      </c>
      <c r="AH120" t="str">
        <f t="shared" si="51"/>
        <v>B_01'Flr_02'A2</v>
      </c>
      <c r="AI120" t="str">
        <f t="shared" si="52"/>
        <v>VV-4-2-12</v>
      </c>
      <c r="AJ120" t="s">
        <v>1087</v>
      </c>
    </row>
    <row r="121" spans="1:36" x14ac:dyDescent="0.2">
      <c r="A121" s="109" t="s">
        <v>654</v>
      </c>
      <c r="B121" t="str">
        <f t="shared" si="43"/>
        <v>B_01'Flr_02'A2</v>
      </c>
      <c r="C121" t="str">
        <f t="shared" si="44"/>
        <v>VV-4-2-14</v>
      </c>
      <c r="D121" t="str">
        <f t="shared" si="45"/>
        <v>1030442</v>
      </c>
      <c r="E121" t="str">
        <f t="shared" si="46"/>
        <v>VV-4-2-14</v>
      </c>
      <c r="F121" t="s">
        <v>695</v>
      </c>
      <c r="G121" t="str">
        <f>INDEX(Sched!$J$213:$O$223, MATCH(ABT!$H121, Sched!$J$213:$J$223, 0), 6)</f>
        <v>15201_CB_DXR2M12P_US</v>
      </c>
      <c r="H121">
        <f t="shared" si="31"/>
        <v>15201</v>
      </c>
      <c r="I121">
        <f t="shared" si="32"/>
        <v>304</v>
      </c>
      <c r="J121" t="b">
        <v>0</v>
      </c>
      <c r="K121">
        <f t="shared" si="33"/>
        <v>42</v>
      </c>
      <c r="L121">
        <v>85</v>
      </c>
      <c r="M121">
        <v>38400</v>
      </c>
      <c r="N121">
        <f t="shared" si="47"/>
        <v>420</v>
      </c>
      <c r="O121">
        <f t="shared" si="48"/>
        <v>420</v>
      </c>
      <c r="P121">
        <f t="shared" si="48"/>
        <v>420</v>
      </c>
      <c r="Q121">
        <f t="shared" si="49"/>
        <v>1.3962634015954636</v>
      </c>
      <c r="R121">
        <f t="shared" si="50"/>
        <v>8</v>
      </c>
      <c r="S121">
        <f t="shared" si="34"/>
        <v>420</v>
      </c>
      <c r="T121">
        <f t="shared" si="35"/>
        <v>420</v>
      </c>
      <c r="U121">
        <f t="shared" si="36"/>
        <v>420</v>
      </c>
      <c r="V121">
        <f t="shared" si="37"/>
        <v>420</v>
      </c>
      <c r="W121">
        <f t="shared" si="38"/>
        <v>420</v>
      </c>
      <c r="X121">
        <f t="shared" si="39"/>
        <v>420</v>
      </c>
      <c r="Y121">
        <v>75</v>
      </c>
      <c r="Z121">
        <f t="shared" si="41"/>
        <v>2</v>
      </c>
      <c r="AA121">
        <v>80</v>
      </c>
      <c r="AB121">
        <v>70</v>
      </c>
      <c r="AC121">
        <f t="shared" si="42"/>
        <v>2</v>
      </c>
      <c r="AD121">
        <v>60</v>
      </c>
      <c r="AE121">
        <v>0.63</v>
      </c>
      <c r="AF121" t="str">
        <f t="shared" si="51"/>
        <v>B_01'Flr_02'A2</v>
      </c>
      <c r="AG121" t="str">
        <f>"R_" &amp; INDEX(Sched!A:AA, MATCH(ABT!$E121, SchedMark, 0), 20)</f>
        <v>R_1200.03</v>
      </c>
      <c r="AH121" t="str">
        <f t="shared" si="51"/>
        <v>B_01'Flr_02'A2</v>
      </c>
      <c r="AI121" t="str">
        <f t="shared" si="52"/>
        <v>VV-4-2-14</v>
      </c>
      <c r="AJ121" s="10" t="s">
        <v>1088</v>
      </c>
    </row>
    <row r="122" spans="1:36" x14ac:dyDescent="0.2">
      <c r="A122" s="109" t="s">
        <v>655</v>
      </c>
      <c r="B122" t="str">
        <f t="shared" si="43"/>
        <v>B_01'Flr_02'A2</v>
      </c>
      <c r="C122" t="str">
        <f t="shared" si="44"/>
        <v>VV-4-2-13</v>
      </c>
      <c r="D122" t="str">
        <f t="shared" si="45"/>
        <v>1030447</v>
      </c>
      <c r="E122" t="str">
        <f t="shared" si="46"/>
        <v>VV-4-2-13</v>
      </c>
      <c r="F122" t="s">
        <v>695</v>
      </c>
      <c r="G122" t="str">
        <f>INDEX(Sched!$J$213:$O$223, MATCH(ABT!$H122, Sched!$J$213:$J$223, 0), 6)</f>
        <v>15201_CB_DXR2M12P_US</v>
      </c>
      <c r="H122">
        <f t="shared" si="31"/>
        <v>15201</v>
      </c>
      <c r="I122">
        <f t="shared" si="32"/>
        <v>304</v>
      </c>
      <c r="J122" t="b">
        <v>0</v>
      </c>
      <c r="K122">
        <f t="shared" si="33"/>
        <v>47</v>
      </c>
      <c r="L122">
        <v>85</v>
      </c>
      <c r="M122">
        <v>38400</v>
      </c>
      <c r="N122">
        <f t="shared" si="47"/>
        <v>150</v>
      </c>
      <c r="O122">
        <f t="shared" si="48"/>
        <v>80</v>
      </c>
      <c r="P122">
        <f t="shared" si="48"/>
        <v>80</v>
      </c>
      <c r="Q122">
        <f t="shared" si="49"/>
        <v>0.78539816339744828</v>
      </c>
      <c r="R122">
        <f t="shared" si="50"/>
        <v>6</v>
      </c>
      <c r="S122">
        <f t="shared" si="34"/>
        <v>150</v>
      </c>
      <c r="T122">
        <f t="shared" si="35"/>
        <v>150</v>
      </c>
      <c r="U122">
        <f t="shared" si="36"/>
        <v>150</v>
      </c>
      <c r="V122">
        <f t="shared" si="37"/>
        <v>150</v>
      </c>
      <c r="W122">
        <f t="shared" si="38"/>
        <v>150</v>
      </c>
      <c r="X122">
        <f t="shared" si="39"/>
        <v>150</v>
      </c>
      <c r="Y122">
        <v>75</v>
      </c>
      <c r="Z122">
        <f t="shared" si="41"/>
        <v>2</v>
      </c>
      <c r="AA122">
        <v>80</v>
      </c>
      <c r="AB122">
        <v>70</v>
      </c>
      <c r="AC122">
        <f t="shared" si="42"/>
        <v>2</v>
      </c>
      <c r="AD122">
        <v>60</v>
      </c>
      <c r="AE122">
        <v>0.63</v>
      </c>
      <c r="AF122" t="str">
        <f t="shared" si="51"/>
        <v>B_01'Flr_02'A2</v>
      </c>
      <c r="AG122" t="str">
        <f>"R_" &amp; INDEX(Sched!A:AA, MATCH(ABT!$E122, SchedMark, 0), 20)</f>
        <v>R_1229.00</v>
      </c>
      <c r="AH122" t="str">
        <f t="shared" si="51"/>
        <v>B_01'Flr_02'A2</v>
      </c>
      <c r="AI122" t="str">
        <f t="shared" si="52"/>
        <v>VV-4-2-13</v>
      </c>
      <c r="AJ122" t="s">
        <v>1089</v>
      </c>
    </row>
    <row r="123" spans="1:36" x14ac:dyDescent="0.2">
      <c r="A123" s="109" t="s">
        <v>656</v>
      </c>
      <c r="B123" t="str">
        <f t="shared" si="43"/>
        <v>B_01'Flr_03'B1</v>
      </c>
      <c r="C123" t="str">
        <f t="shared" si="44"/>
        <v>VV-3-3-18</v>
      </c>
      <c r="D123" t="str">
        <f t="shared" si="45"/>
        <v>1031001</v>
      </c>
      <c r="E123" t="str">
        <f t="shared" si="46"/>
        <v>VV-3-3-18</v>
      </c>
      <c r="F123" t="s">
        <v>695</v>
      </c>
      <c r="G123" t="str">
        <f>INDEX(Sched!$J$213:$O$223, MATCH(ABT!$H123, Sched!$J$213:$J$223, 0), 6)</f>
        <v>15201_CB_DXR2M12P_US</v>
      </c>
      <c r="H123">
        <f t="shared" si="31"/>
        <v>15201</v>
      </c>
      <c r="I123">
        <f t="shared" si="32"/>
        <v>310</v>
      </c>
      <c r="J123" t="b">
        <v>0</v>
      </c>
      <c r="K123">
        <f t="shared" si="33"/>
        <v>1</v>
      </c>
      <c r="L123">
        <v>85</v>
      </c>
      <c r="M123">
        <v>38400</v>
      </c>
      <c r="N123">
        <f t="shared" si="47"/>
        <v>510</v>
      </c>
      <c r="O123">
        <f t="shared" si="48"/>
        <v>510</v>
      </c>
      <c r="P123">
        <f t="shared" si="48"/>
        <v>510</v>
      </c>
      <c r="Q123">
        <f t="shared" si="49"/>
        <v>1.3962634015954636</v>
      </c>
      <c r="R123">
        <f t="shared" si="50"/>
        <v>8</v>
      </c>
      <c r="S123">
        <f t="shared" si="34"/>
        <v>510</v>
      </c>
      <c r="T123">
        <f t="shared" si="35"/>
        <v>510</v>
      </c>
      <c r="U123">
        <f t="shared" si="36"/>
        <v>510</v>
      </c>
      <c r="V123">
        <f t="shared" si="37"/>
        <v>510</v>
      </c>
      <c r="W123">
        <f t="shared" si="38"/>
        <v>510</v>
      </c>
      <c r="X123">
        <f t="shared" si="39"/>
        <v>510</v>
      </c>
      <c r="Y123">
        <v>75</v>
      </c>
      <c r="Z123">
        <f t="shared" si="41"/>
        <v>2</v>
      </c>
      <c r="AA123">
        <v>80</v>
      </c>
      <c r="AB123">
        <v>70</v>
      </c>
      <c r="AC123">
        <f t="shared" si="42"/>
        <v>2</v>
      </c>
      <c r="AD123">
        <v>60</v>
      </c>
      <c r="AE123">
        <v>0.63</v>
      </c>
      <c r="AF123" t="str">
        <f t="shared" si="51"/>
        <v>B_01'Flr_03'B1</v>
      </c>
      <c r="AG123" t="str">
        <f>"R_" &amp; INDEX(Sched!A:AA, MATCH(ABT!$E123, SchedMark, 0), 20)</f>
        <v>R_1300.02</v>
      </c>
      <c r="AH123" t="str">
        <f t="shared" si="51"/>
        <v>B_01'Flr_03'B1</v>
      </c>
      <c r="AI123" t="str">
        <f t="shared" si="52"/>
        <v>VV-3-3-18</v>
      </c>
      <c r="AJ123" t="s">
        <v>1090</v>
      </c>
    </row>
    <row r="124" spans="1:36" x14ac:dyDescent="0.2">
      <c r="A124" s="109" t="s">
        <v>657</v>
      </c>
      <c r="B124" t="str">
        <f t="shared" si="43"/>
        <v>B_01'Flr_03'B1</v>
      </c>
      <c r="C124" t="str">
        <f t="shared" si="44"/>
        <v>VV-3-3-17</v>
      </c>
      <c r="D124" t="str">
        <f t="shared" si="45"/>
        <v>1031002</v>
      </c>
      <c r="E124" t="str">
        <f t="shared" si="46"/>
        <v>VV-3-3-17</v>
      </c>
      <c r="F124" t="s">
        <v>695</v>
      </c>
      <c r="G124" t="str">
        <f>INDEX(Sched!$J$213:$O$223, MATCH(ABT!$H124, Sched!$J$213:$J$223, 0), 6)</f>
        <v>15201_CB_DXR2M12P_US</v>
      </c>
      <c r="H124">
        <f t="shared" si="31"/>
        <v>15201</v>
      </c>
      <c r="I124">
        <f t="shared" si="32"/>
        <v>310</v>
      </c>
      <c r="J124" t="b">
        <v>0</v>
      </c>
      <c r="K124">
        <f t="shared" si="33"/>
        <v>2</v>
      </c>
      <c r="L124">
        <v>85</v>
      </c>
      <c r="M124">
        <v>38400</v>
      </c>
      <c r="N124">
        <f t="shared" si="47"/>
        <v>180</v>
      </c>
      <c r="O124">
        <f t="shared" si="48"/>
        <v>80</v>
      </c>
      <c r="P124">
        <f t="shared" si="48"/>
        <v>80</v>
      </c>
      <c r="Q124">
        <f t="shared" si="49"/>
        <v>0.78539816339744828</v>
      </c>
      <c r="R124">
        <f t="shared" si="50"/>
        <v>6</v>
      </c>
      <c r="S124">
        <f t="shared" si="34"/>
        <v>180</v>
      </c>
      <c r="T124">
        <f t="shared" si="35"/>
        <v>180</v>
      </c>
      <c r="U124">
        <f t="shared" si="36"/>
        <v>180</v>
      </c>
      <c r="V124">
        <f t="shared" si="37"/>
        <v>180</v>
      </c>
      <c r="W124">
        <f t="shared" si="38"/>
        <v>180</v>
      </c>
      <c r="X124">
        <f t="shared" si="39"/>
        <v>180</v>
      </c>
      <c r="Y124">
        <v>75</v>
      </c>
      <c r="Z124">
        <f t="shared" si="41"/>
        <v>2</v>
      </c>
      <c r="AA124">
        <v>80</v>
      </c>
      <c r="AB124">
        <v>70</v>
      </c>
      <c r="AC124">
        <f t="shared" si="42"/>
        <v>2</v>
      </c>
      <c r="AD124">
        <v>60</v>
      </c>
      <c r="AE124">
        <v>0.63</v>
      </c>
      <c r="AF124" t="str">
        <f t="shared" si="51"/>
        <v>B_01'Flr_03'B1</v>
      </c>
      <c r="AG124" t="str">
        <f>"R_" &amp; INDEX(Sched!A:AA, MATCH(ABT!$E124, SchedMark, 0), 20)</f>
        <v>R_1306.00</v>
      </c>
      <c r="AH124" t="str">
        <f t="shared" si="51"/>
        <v>B_01'Flr_03'B1</v>
      </c>
      <c r="AI124" t="str">
        <f t="shared" si="52"/>
        <v>VV-3-3-17</v>
      </c>
      <c r="AJ124" t="s">
        <v>1091</v>
      </c>
    </row>
    <row r="125" spans="1:36" x14ac:dyDescent="0.2">
      <c r="A125" s="109" t="s">
        <v>658</v>
      </c>
      <c r="B125" t="str">
        <f t="shared" si="43"/>
        <v>B_01'Flr_03'B1</v>
      </c>
      <c r="C125" t="str">
        <f t="shared" si="44"/>
        <v>VV-3-3-16</v>
      </c>
      <c r="D125" t="str">
        <f t="shared" si="45"/>
        <v>1031003</v>
      </c>
      <c r="E125" t="str">
        <f t="shared" si="46"/>
        <v>VV-3-3-16</v>
      </c>
      <c r="F125" t="s">
        <v>695</v>
      </c>
      <c r="G125" t="str">
        <f>INDEX(Sched!$J$213:$O$223, MATCH(ABT!$H125, Sched!$J$213:$J$223, 0), 6)</f>
        <v>15201_CB_DXR2M12P_US</v>
      </c>
      <c r="H125">
        <f t="shared" si="31"/>
        <v>15201</v>
      </c>
      <c r="I125">
        <f t="shared" si="32"/>
        <v>310</v>
      </c>
      <c r="J125" t="b">
        <v>0</v>
      </c>
      <c r="K125">
        <f t="shared" si="33"/>
        <v>3</v>
      </c>
      <c r="L125">
        <v>85</v>
      </c>
      <c r="M125">
        <v>38400</v>
      </c>
      <c r="N125">
        <f t="shared" si="47"/>
        <v>180</v>
      </c>
      <c r="O125">
        <f t="shared" si="48"/>
        <v>80</v>
      </c>
      <c r="P125">
        <f t="shared" si="48"/>
        <v>80</v>
      </c>
      <c r="Q125">
        <f t="shared" si="49"/>
        <v>0.78539816339744828</v>
      </c>
      <c r="R125">
        <f t="shared" si="50"/>
        <v>6</v>
      </c>
      <c r="S125">
        <f t="shared" si="34"/>
        <v>180</v>
      </c>
      <c r="T125">
        <f t="shared" si="35"/>
        <v>180</v>
      </c>
      <c r="U125">
        <f t="shared" si="36"/>
        <v>180</v>
      </c>
      <c r="V125">
        <f t="shared" si="37"/>
        <v>180</v>
      </c>
      <c r="W125">
        <f t="shared" si="38"/>
        <v>180</v>
      </c>
      <c r="X125">
        <f t="shared" si="39"/>
        <v>180</v>
      </c>
      <c r="Y125">
        <v>75</v>
      </c>
      <c r="Z125">
        <f t="shared" si="41"/>
        <v>2</v>
      </c>
      <c r="AA125">
        <v>80</v>
      </c>
      <c r="AB125">
        <v>70</v>
      </c>
      <c r="AC125">
        <f t="shared" si="42"/>
        <v>2</v>
      </c>
      <c r="AD125">
        <v>60</v>
      </c>
      <c r="AE125">
        <v>0.63</v>
      </c>
      <c r="AF125" t="str">
        <f t="shared" si="51"/>
        <v>B_01'Flr_03'B1</v>
      </c>
      <c r="AG125" t="str">
        <f>"R_" &amp; INDEX(Sched!A:AA, MATCH(ABT!$E125, SchedMark, 0), 20)</f>
        <v>R_1308.00</v>
      </c>
      <c r="AH125" t="str">
        <f t="shared" si="51"/>
        <v>B_01'Flr_03'B1</v>
      </c>
      <c r="AI125" t="str">
        <f t="shared" si="52"/>
        <v>VV-3-3-16</v>
      </c>
      <c r="AJ125" t="s">
        <v>1092</v>
      </c>
    </row>
    <row r="126" spans="1:36" x14ac:dyDescent="0.2">
      <c r="A126" s="109" t="s">
        <v>659</v>
      </c>
      <c r="B126" t="str">
        <f t="shared" si="43"/>
        <v>B_01'Flr_03'B1</v>
      </c>
      <c r="C126" t="str">
        <f t="shared" si="44"/>
        <v>VV-3-3-15</v>
      </c>
      <c r="D126" t="str">
        <f t="shared" si="45"/>
        <v>1031004</v>
      </c>
      <c r="E126" t="str">
        <f t="shared" si="46"/>
        <v>VV-3-3-15</v>
      </c>
      <c r="F126" t="s">
        <v>695</v>
      </c>
      <c r="G126" t="str">
        <f>INDEX(Sched!$J$213:$O$223, MATCH(ABT!$H126, Sched!$J$213:$J$223, 0), 6)</f>
        <v>15201_CB_DXR2M12P_US</v>
      </c>
      <c r="H126">
        <f t="shared" si="31"/>
        <v>15201</v>
      </c>
      <c r="I126">
        <f t="shared" si="32"/>
        <v>310</v>
      </c>
      <c r="J126" t="b">
        <v>0</v>
      </c>
      <c r="K126">
        <f t="shared" si="33"/>
        <v>4</v>
      </c>
      <c r="L126">
        <v>85</v>
      </c>
      <c r="M126">
        <v>38400</v>
      </c>
      <c r="N126">
        <f t="shared" si="47"/>
        <v>180</v>
      </c>
      <c r="O126">
        <f t="shared" si="48"/>
        <v>80</v>
      </c>
      <c r="P126">
        <f t="shared" si="48"/>
        <v>80</v>
      </c>
      <c r="Q126">
        <f t="shared" si="49"/>
        <v>0.78539816339744828</v>
      </c>
      <c r="R126">
        <f t="shared" si="50"/>
        <v>6</v>
      </c>
      <c r="S126">
        <f t="shared" si="34"/>
        <v>180</v>
      </c>
      <c r="T126">
        <f t="shared" si="35"/>
        <v>180</v>
      </c>
      <c r="U126">
        <f t="shared" si="36"/>
        <v>180</v>
      </c>
      <c r="V126">
        <f t="shared" si="37"/>
        <v>180</v>
      </c>
      <c r="W126">
        <f t="shared" si="38"/>
        <v>180</v>
      </c>
      <c r="X126">
        <f t="shared" si="39"/>
        <v>180</v>
      </c>
      <c r="Y126">
        <v>75</v>
      </c>
      <c r="Z126">
        <f t="shared" si="41"/>
        <v>2</v>
      </c>
      <c r="AA126">
        <v>80</v>
      </c>
      <c r="AB126">
        <v>70</v>
      </c>
      <c r="AC126">
        <f t="shared" si="42"/>
        <v>2</v>
      </c>
      <c r="AD126">
        <v>60</v>
      </c>
      <c r="AE126">
        <v>0.63</v>
      </c>
      <c r="AF126" t="str">
        <f t="shared" si="51"/>
        <v>B_01'Flr_03'B1</v>
      </c>
      <c r="AG126" t="str">
        <f>"R_" &amp; INDEX(Sched!A:AA, MATCH(ABT!$E126, SchedMark, 0), 20)</f>
        <v>R_1307.03</v>
      </c>
      <c r="AH126" t="str">
        <f t="shared" si="51"/>
        <v>B_01'Flr_03'B1</v>
      </c>
      <c r="AI126" t="str">
        <f t="shared" si="52"/>
        <v>VV-3-3-15</v>
      </c>
      <c r="AJ126" t="s">
        <v>1093</v>
      </c>
    </row>
    <row r="127" spans="1:36" x14ac:dyDescent="0.2">
      <c r="A127" s="109" t="s">
        <v>660</v>
      </c>
      <c r="B127" t="str">
        <f t="shared" si="43"/>
        <v>B_01'Flr_03'B1</v>
      </c>
      <c r="C127" t="str">
        <f t="shared" si="44"/>
        <v>VV-3-3-14</v>
      </c>
      <c r="D127" t="str">
        <f t="shared" si="45"/>
        <v>1031005</v>
      </c>
      <c r="E127" t="str">
        <f t="shared" si="46"/>
        <v>VV-3-3-14</v>
      </c>
      <c r="F127" t="s">
        <v>695</v>
      </c>
      <c r="G127" t="str">
        <f>INDEX(Sched!$J$213:$O$223, MATCH(ABT!$H127, Sched!$J$213:$J$223, 0), 6)</f>
        <v>15201_CB_DXR2M12P_US</v>
      </c>
      <c r="H127">
        <f t="shared" si="31"/>
        <v>15201</v>
      </c>
      <c r="I127">
        <f t="shared" si="32"/>
        <v>310</v>
      </c>
      <c r="J127" t="b">
        <v>0</v>
      </c>
      <c r="K127">
        <f t="shared" si="33"/>
        <v>5</v>
      </c>
      <c r="L127">
        <v>85</v>
      </c>
      <c r="M127">
        <v>38400</v>
      </c>
      <c r="N127">
        <f t="shared" si="47"/>
        <v>480</v>
      </c>
      <c r="O127">
        <f t="shared" si="48"/>
        <v>140</v>
      </c>
      <c r="P127">
        <f t="shared" si="48"/>
        <v>140</v>
      </c>
      <c r="Q127">
        <f t="shared" si="49"/>
        <v>1.3962634015954636</v>
      </c>
      <c r="R127">
        <f t="shared" si="50"/>
        <v>8</v>
      </c>
      <c r="S127">
        <f t="shared" si="34"/>
        <v>480</v>
      </c>
      <c r="T127">
        <f t="shared" si="35"/>
        <v>480</v>
      </c>
      <c r="U127">
        <f t="shared" si="36"/>
        <v>480</v>
      </c>
      <c r="V127">
        <f t="shared" si="37"/>
        <v>480</v>
      </c>
      <c r="W127">
        <f t="shared" si="38"/>
        <v>480</v>
      </c>
      <c r="X127">
        <f t="shared" si="39"/>
        <v>480</v>
      </c>
      <c r="Y127">
        <v>75</v>
      </c>
      <c r="Z127">
        <f t="shared" si="41"/>
        <v>2</v>
      </c>
      <c r="AA127">
        <v>80</v>
      </c>
      <c r="AB127">
        <v>70</v>
      </c>
      <c r="AC127">
        <f t="shared" si="42"/>
        <v>2</v>
      </c>
      <c r="AD127">
        <v>60</v>
      </c>
      <c r="AE127">
        <v>0.63</v>
      </c>
      <c r="AF127" t="str">
        <f t="shared" si="51"/>
        <v>B_01'Flr_03'B1</v>
      </c>
      <c r="AG127" t="str">
        <f>"R_" &amp; INDEX(Sched!A:AA, MATCH(ABT!$E127, SchedMark, 0), 20)</f>
        <v>R_1309.00</v>
      </c>
      <c r="AH127" t="str">
        <f t="shared" si="51"/>
        <v>B_01'Flr_03'B1</v>
      </c>
      <c r="AI127" t="str">
        <f t="shared" si="52"/>
        <v>VV-3-3-14</v>
      </c>
      <c r="AJ127" t="s">
        <v>1094</v>
      </c>
    </row>
    <row r="128" spans="1:36" x14ac:dyDescent="0.2">
      <c r="A128" s="109" t="s">
        <v>661</v>
      </c>
      <c r="B128" t="str">
        <f t="shared" si="43"/>
        <v>B_01'Flr_03'B1</v>
      </c>
      <c r="C128" t="str">
        <f t="shared" si="44"/>
        <v>VV-3-3-13</v>
      </c>
      <c r="D128" t="str">
        <f t="shared" si="45"/>
        <v>1031006</v>
      </c>
      <c r="E128" t="str">
        <f t="shared" si="46"/>
        <v>VV-3-3-13</v>
      </c>
      <c r="F128" t="s">
        <v>695</v>
      </c>
      <c r="G128" t="str">
        <f>INDEX(Sched!$J$213:$O$223, MATCH(ABT!$H128, Sched!$J$213:$J$223, 0), 6)</f>
        <v>15201_CB_DXR2M12P_US</v>
      </c>
      <c r="H128">
        <f t="shared" si="31"/>
        <v>15201</v>
      </c>
      <c r="I128">
        <f t="shared" si="32"/>
        <v>310</v>
      </c>
      <c r="J128" t="b">
        <v>0</v>
      </c>
      <c r="K128">
        <f t="shared" si="33"/>
        <v>6</v>
      </c>
      <c r="L128">
        <v>85</v>
      </c>
      <c r="M128">
        <v>38400</v>
      </c>
      <c r="N128">
        <f t="shared" si="47"/>
        <v>570</v>
      </c>
      <c r="O128">
        <f t="shared" si="48"/>
        <v>140</v>
      </c>
      <c r="P128">
        <f t="shared" si="48"/>
        <v>140</v>
      </c>
      <c r="Q128">
        <f t="shared" si="49"/>
        <v>1.3962634015954636</v>
      </c>
      <c r="R128">
        <f t="shared" si="50"/>
        <v>8</v>
      </c>
      <c r="S128">
        <f t="shared" si="34"/>
        <v>570</v>
      </c>
      <c r="T128">
        <f t="shared" si="35"/>
        <v>570</v>
      </c>
      <c r="U128">
        <f t="shared" si="36"/>
        <v>570</v>
      </c>
      <c r="V128">
        <f t="shared" si="37"/>
        <v>570</v>
      </c>
      <c r="W128">
        <f t="shared" si="38"/>
        <v>570</v>
      </c>
      <c r="X128">
        <f t="shared" si="39"/>
        <v>570</v>
      </c>
      <c r="Y128">
        <v>75</v>
      </c>
      <c r="Z128">
        <f t="shared" si="41"/>
        <v>2</v>
      </c>
      <c r="AA128">
        <v>80</v>
      </c>
      <c r="AB128">
        <v>70</v>
      </c>
      <c r="AC128">
        <f t="shared" si="42"/>
        <v>2</v>
      </c>
      <c r="AD128">
        <v>60</v>
      </c>
      <c r="AE128">
        <v>0.63</v>
      </c>
      <c r="AF128" t="str">
        <f t="shared" si="51"/>
        <v>B_01'Flr_03'B1</v>
      </c>
      <c r="AG128" t="str">
        <f>"R_" &amp; INDEX(Sched!A:AA, MATCH(ABT!$E128, SchedMark, 0), 20)</f>
        <v>R_1310.00</v>
      </c>
      <c r="AH128" t="str">
        <f t="shared" si="51"/>
        <v>B_01'Flr_03'B1</v>
      </c>
      <c r="AI128" t="str">
        <f t="shared" si="52"/>
        <v>VV-3-3-13</v>
      </c>
      <c r="AJ128" t="s">
        <v>1095</v>
      </c>
    </row>
    <row r="129" spans="1:36" x14ac:dyDescent="0.2">
      <c r="A129" s="109" t="s">
        <v>662</v>
      </c>
      <c r="B129" t="str">
        <f t="shared" si="43"/>
        <v>B_01'Flr_03'B1</v>
      </c>
      <c r="C129" t="str">
        <f t="shared" si="44"/>
        <v>VV-3-3-12</v>
      </c>
      <c r="D129" t="str">
        <f t="shared" si="45"/>
        <v>1031007</v>
      </c>
      <c r="E129" t="str">
        <f t="shared" si="46"/>
        <v>VV-3-3-12</v>
      </c>
      <c r="F129" t="s">
        <v>695</v>
      </c>
      <c r="G129" t="str">
        <f>INDEX(Sched!$J$213:$O$223, MATCH(ABT!$H129, Sched!$J$213:$J$223, 0), 6)</f>
        <v>15201_CB_DXR2M12P_US</v>
      </c>
      <c r="H129">
        <f t="shared" si="31"/>
        <v>15201</v>
      </c>
      <c r="I129">
        <f t="shared" si="32"/>
        <v>310</v>
      </c>
      <c r="J129" t="b">
        <v>0</v>
      </c>
      <c r="K129">
        <f t="shared" si="33"/>
        <v>7</v>
      </c>
      <c r="L129">
        <v>85</v>
      </c>
      <c r="M129">
        <v>38400</v>
      </c>
      <c r="N129">
        <f t="shared" si="47"/>
        <v>480</v>
      </c>
      <c r="O129">
        <f t="shared" si="48"/>
        <v>140</v>
      </c>
      <c r="P129">
        <f t="shared" si="48"/>
        <v>140</v>
      </c>
      <c r="Q129">
        <f t="shared" si="49"/>
        <v>1.3962634015954636</v>
      </c>
      <c r="R129">
        <f t="shared" si="50"/>
        <v>8</v>
      </c>
      <c r="S129">
        <f t="shared" si="34"/>
        <v>480</v>
      </c>
      <c r="T129">
        <f t="shared" si="35"/>
        <v>480</v>
      </c>
      <c r="U129">
        <f t="shared" si="36"/>
        <v>480</v>
      </c>
      <c r="V129">
        <f t="shared" si="37"/>
        <v>480</v>
      </c>
      <c r="W129">
        <f t="shared" si="38"/>
        <v>480</v>
      </c>
      <c r="X129">
        <f t="shared" si="39"/>
        <v>480</v>
      </c>
      <c r="Y129">
        <v>75</v>
      </c>
      <c r="Z129">
        <f t="shared" si="41"/>
        <v>2</v>
      </c>
      <c r="AA129">
        <v>80</v>
      </c>
      <c r="AB129">
        <v>70</v>
      </c>
      <c r="AC129">
        <f t="shared" si="42"/>
        <v>2</v>
      </c>
      <c r="AD129">
        <v>60</v>
      </c>
      <c r="AE129">
        <v>0.63</v>
      </c>
      <c r="AF129" t="str">
        <f t="shared" si="51"/>
        <v>B_01'Flr_03'B1</v>
      </c>
      <c r="AG129" t="str">
        <f>"R_" &amp; INDEX(Sched!A:AA, MATCH(ABT!$E129, SchedMark, 0), 20)</f>
        <v>R_1311.00</v>
      </c>
      <c r="AH129" t="str">
        <f t="shared" si="51"/>
        <v>B_01'Flr_03'B1</v>
      </c>
      <c r="AI129" t="str">
        <f t="shared" si="52"/>
        <v>VV-3-3-12</v>
      </c>
      <c r="AJ129" t="s">
        <v>1096</v>
      </c>
    </row>
    <row r="130" spans="1:36" x14ac:dyDescent="0.2">
      <c r="A130" s="109" t="s">
        <v>663</v>
      </c>
      <c r="B130" t="str">
        <f t="shared" si="43"/>
        <v>B_01'Flr_03'B1</v>
      </c>
      <c r="C130" t="str">
        <f t="shared" si="44"/>
        <v>VV-3-3-11</v>
      </c>
      <c r="D130" t="str">
        <f t="shared" si="45"/>
        <v>1031008</v>
      </c>
      <c r="E130" t="str">
        <f t="shared" si="46"/>
        <v>VV-3-3-11</v>
      </c>
      <c r="F130" t="s">
        <v>695</v>
      </c>
      <c r="G130" t="str">
        <f>INDEX(Sched!$J$213:$O$223, MATCH(ABT!$H130, Sched!$J$213:$J$223, 0), 6)</f>
        <v>15201_CB_DXR2M12P_US</v>
      </c>
      <c r="H130">
        <f t="shared" ref="H130:H174" si="53">INDEX(Joined, MATCH($A130, SystemName, FALSE), 6)</f>
        <v>15201</v>
      </c>
      <c r="I130">
        <f t="shared" ref="I130:I174" si="54">INDEX(Joined, MATCH($A130, SystemName, FALSE), 4)</f>
        <v>310</v>
      </c>
      <c r="J130" t="b">
        <v>0</v>
      </c>
      <c r="K130">
        <f t="shared" ref="K130:K174" si="55">INDEX(Joined, MATCH($A130, SystemName, FALSE), 3)</f>
        <v>8</v>
      </c>
      <c r="L130">
        <v>85</v>
      </c>
      <c r="M130">
        <v>38400</v>
      </c>
      <c r="N130">
        <f t="shared" si="47"/>
        <v>630</v>
      </c>
      <c r="O130">
        <f t="shared" si="48"/>
        <v>140</v>
      </c>
      <c r="P130">
        <f t="shared" si="48"/>
        <v>140</v>
      </c>
      <c r="Q130">
        <f t="shared" si="49"/>
        <v>1.3962634015954636</v>
      </c>
      <c r="R130">
        <f t="shared" si="50"/>
        <v>8</v>
      </c>
      <c r="S130">
        <f t="shared" ref="S130:S174" si="56">INDEX(Schedule, MATCH($E130, SchedMark, 0), 5)</f>
        <v>630</v>
      </c>
      <c r="T130">
        <f t="shared" ref="T130:T174" si="57">INDEX(Schedule, MATCH($E130, SchedMark, 0), 6)</f>
        <v>630</v>
      </c>
      <c r="U130">
        <f t="shared" ref="U130:U174" si="58">INDEX(Schedule, MATCH($E130, SchedMark, 0), 5)</f>
        <v>630</v>
      </c>
      <c r="V130">
        <f t="shared" ref="V130:V174" si="59">INDEX(Schedule, MATCH($E130, SchedMark, 0), 6)</f>
        <v>630</v>
      </c>
      <c r="W130">
        <f t="shared" ref="W130:W174" si="60">INDEX(Schedule, MATCH($E130, SchedMark, 0), 5)</f>
        <v>630</v>
      </c>
      <c r="X130">
        <f t="shared" ref="X130:X174" si="61">INDEX(Schedule, MATCH($E130, SchedMark, 0), 6)</f>
        <v>630</v>
      </c>
      <c r="Y130">
        <v>75</v>
      </c>
      <c r="Z130">
        <f t="shared" si="41"/>
        <v>2</v>
      </c>
      <c r="AA130">
        <v>80</v>
      </c>
      <c r="AB130">
        <v>70</v>
      </c>
      <c r="AC130">
        <f t="shared" si="42"/>
        <v>2</v>
      </c>
      <c r="AD130">
        <v>60</v>
      </c>
      <c r="AE130">
        <v>0.63</v>
      </c>
      <c r="AF130" t="str">
        <f t="shared" si="51"/>
        <v>B_01'Flr_03'B1</v>
      </c>
      <c r="AG130" t="str">
        <f>"R_" &amp; INDEX(Sched!A:AA, MATCH(ABT!$E130, SchedMark, 0), 20)</f>
        <v>R_1313.00</v>
      </c>
      <c r="AH130" t="str">
        <f t="shared" si="51"/>
        <v>B_01'Flr_03'B1</v>
      </c>
      <c r="AI130" t="str">
        <f t="shared" ref="AI130:AI161" si="62">INDEX(Joined, MATCH($A130, SystemName, FALSE), 7)</f>
        <v>VV-3-3-11</v>
      </c>
      <c r="AJ130" t="s">
        <v>1097</v>
      </c>
    </row>
    <row r="131" spans="1:36" x14ac:dyDescent="0.2">
      <c r="A131" s="109" t="s">
        <v>664</v>
      </c>
      <c r="B131" t="str">
        <f t="shared" si="43"/>
        <v>B_01'Flr_03'B1</v>
      </c>
      <c r="C131" t="str">
        <f t="shared" si="44"/>
        <v>VV-3-3-09</v>
      </c>
      <c r="D131" t="str">
        <f t="shared" si="45"/>
        <v>1031009</v>
      </c>
      <c r="E131" t="str">
        <f t="shared" si="46"/>
        <v>VV-3-3-09</v>
      </c>
      <c r="F131" t="s">
        <v>695</v>
      </c>
      <c r="G131" t="str">
        <f>INDEX(Sched!$J$213:$O$223, MATCH(ABT!$H131, Sched!$J$213:$J$223, 0), 6)</f>
        <v>15201_CB_DXR2M12P_US</v>
      </c>
      <c r="H131">
        <f t="shared" si="53"/>
        <v>15201</v>
      </c>
      <c r="I131">
        <f t="shared" si="54"/>
        <v>310</v>
      </c>
      <c r="J131" t="b">
        <v>0</v>
      </c>
      <c r="K131">
        <f t="shared" si="55"/>
        <v>9</v>
      </c>
      <c r="L131">
        <v>85</v>
      </c>
      <c r="M131">
        <v>38400</v>
      </c>
      <c r="N131">
        <f t="shared" si="47"/>
        <v>185</v>
      </c>
      <c r="O131">
        <f t="shared" si="48"/>
        <v>80</v>
      </c>
      <c r="P131">
        <f t="shared" si="48"/>
        <v>80</v>
      </c>
      <c r="Q131">
        <f t="shared" si="49"/>
        <v>0.78539816339744828</v>
      </c>
      <c r="R131">
        <f t="shared" si="50"/>
        <v>6</v>
      </c>
      <c r="S131">
        <f t="shared" si="56"/>
        <v>185</v>
      </c>
      <c r="T131">
        <f t="shared" si="57"/>
        <v>185</v>
      </c>
      <c r="U131">
        <f t="shared" si="58"/>
        <v>185</v>
      </c>
      <c r="V131">
        <f t="shared" si="59"/>
        <v>185</v>
      </c>
      <c r="W131">
        <f t="shared" si="60"/>
        <v>185</v>
      </c>
      <c r="X131">
        <f t="shared" si="61"/>
        <v>185</v>
      </c>
      <c r="Y131">
        <v>75</v>
      </c>
      <c r="Z131">
        <f t="shared" ref="Z131:Z174" si="63">IF(OR($H131=15201, $H131=15202), 2, 0)</f>
        <v>2</v>
      </c>
      <c r="AA131">
        <v>80</v>
      </c>
      <c r="AB131">
        <v>70</v>
      </c>
      <c r="AC131">
        <f t="shared" ref="AC131:AC174" si="64">IF(OR($H131=15201, $H131=15202), 2, 0)</f>
        <v>2</v>
      </c>
      <c r="AD131">
        <v>60</v>
      </c>
      <c r="AE131">
        <v>0.63</v>
      </c>
      <c r="AF131" t="str">
        <f t="shared" si="51"/>
        <v>B_01'Flr_03'B1</v>
      </c>
      <c r="AG131" t="str">
        <f>"R_" &amp; INDEX(Sched!A:AA, MATCH(ABT!$E131, SchedMark, 0), 20)</f>
        <v>R_1315.02</v>
      </c>
      <c r="AH131" t="str">
        <f t="shared" si="51"/>
        <v>B_01'Flr_03'B1</v>
      </c>
      <c r="AI131" t="str">
        <f t="shared" si="62"/>
        <v>VV-3-3-09</v>
      </c>
      <c r="AJ131" t="s">
        <v>1098</v>
      </c>
    </row>
    <row r="132" spans="1:36" x14ac:dyDescent="0.2">
      <c r="A132" s="109" t="s">
        <v>665</v>
      </c>
      <c r="B132" t="str">
        <f t="shared" si="43"/>
        <v>B_01'Flr_03'B1</v>
      </c>
      <c r="C132" t="str">
        <f t="shared" si="44"/>
        <v>VV-3-3-08</v>
      </c>
      <c r="D132" t="str">
        <f t="shared" si="45"/>
        <v>1031010</v>
      </c>
      <c r="E132" t="str">
        <f t="shared" si="46"/>
        <v>VV-3-3-08</v>
      </c>
      <c r="F132" t="s">
        <v>695</v>
      </c>
      <c r="G132" t="str">
        <f>INDEX(Sched!$J$213:$O$223, MATCH(ABT!$H132, Sched!$J$213:$J$223, 0), 6)</f>
        <v>15201_CB_DXR2M12P_US</v>
      </c>
      <c r="H132">
        <f t="shared" si="53"/>
        <v>15201</v>
      </c>
      <c r="I132">
        <f t="shared" si="54"/>
        <v>310</v>
      </c>
      <c r="J132" t="b">
        <v>0</v>
      </c>
      <c r="K132">
        <f t="shared" si="55"/>
        <v>10</v>
      </c>
      <c r="L132">
        <v>85</v>
      </c>
      <c r="M132">
        <v>38400</v>
      </c>
      <c r="N132">
        <f t="shared" si="47"/>
        <v>85</v>
      </c>
      <c r="O132">
        <f t="shared" si="48"/>
        <v>80</v>
      </c>
      <c r="P132">
        <f t="shared" si="48"/>
        <v>80</v>
      </c>
      <c r="Q132">
        <f t="shared" si="49"/>
        <v>0.78539816339744828</v>
      </c>
      <c r="R132">
        <f t="shared" si="50"/>
        <v>6</v>
      </c>
      <c r="S132">
        <f t="shared" si="56"/>
        <v>85</v>
      </c>
      <c r="T132">
        <f t="shared" si="57"/>
        <v>85</v>
      </c>
      <c r="U132">
        <f t="shared" si="58"/>
        <v>85</v>
      </c>
      <c r="V132">
        <f t="shared" si="59"/>
        <v>85</v>
      </c>
      <c r="W132">
        <f t="shared" si="60"/>
        <v>85</v>
      </c>
      <c r="X132">
        <f t="shared" si="61"/>
        <v>85</v>
      </c>
      <c r="Y132">
        <v>75</v>
      </c>
      <c r="Z132">
        <f t="shared" si="63"/>
        <v>2</v>
      </c>
      <c r="AA132">
        <v>80</v>
      </c>
      <c r="AB132">
        <v>70</v>
      </c>
      <c r="AC132">
        <f t="shared" si="64"/>
        <v>2</v>
      </c>
      <c r="AD132">
        <v>60</v>
      </c>
      <c r="AE132">
        <v>0.63</v>
      </c>
      <c r="AF132" t="str">
        <f t="shared" si="51"/>
        <v>B_01'Flr_03'B1</v>
      </c>
      <c r="AG132" t="str">
        <f>"R_" &amp; INDEX(Sched!A:AA, MATCH(ABT!$E132, SchedMark, 0), 20)</f>
        <v>R_1315.04</v>
      </c>
      <c r="AH132" t="str">
        <f t="shared" si="51"/>
        <v>B_01'Flr_03'B1</v>
      </c>
      <c r="AI132" t="str">
        <f t="shared" si="62"/>
        <v>VV-3-3-08</v>
      </c>
      <c r="AJ132" t="s">
        <v>1099</v>
      </c>
    </row>
    <row r="133" spans="1:36" x14ac:dyDescent="0.2">
      <c r="A133" s="109" t="s">
        <v>666</v>
      </c>
      <c r="B133" t="str">
        <f t="shared" si="43"/>
        <v>B_01'Flr_03'B1</v>
      </c>
      <c r="C133" t="str">
        <f t="shared" si="44"/>
        <v>VV-3-3-07</v>
      </c>
      <c r="D133" t="str">
        <f t="shared" si="45"/>
        <v>1031011</v>
      </c>
      <c r="E133" t="str">
        <f t="shared" si="46"/>
        <v>VV-3-3-07</v>
      </c>
      <c r="F133" t="s">
        <v>695</v>
      </c>
      <c r="G133" t="str">
        <f>INDEX(Sched!$J$213:$O$223, MATCH(ABT!$H133, Sched!$J$213:$J$223, 0), 6)</f>
        <v>15201_CB_DXR2M12P_US</v>
      </c>
      <c r="H133">
        <f t="shared" si="53"/>
        <v>15201</v>
      </c>
      <c r="I133">
        <f t="shared" si="54"/>
        <v>310</v>
      </c>
      <c r="J133" t="b">
        <v>0</v>
      </c>
      <c r="K133">
        <f t="shared" si="55"/>
        <v>11</v>
      </c>
      <c r="L133">
        <v>85</v>
      </c>
      <c r="M133">
        <v>38400</v>
      </c>
      <c r="N133">
        <f t="shared" si="47"/>
        <v>330</v>
      </c>
      <c r="O133">
        <f t="shared" si="48"/>
        <v>80</v>
      </c>
      <c r="P133">
        <f t="shared" si="48"/>
        <v>80</v>
      </c>
      <c r="Q133">
        <f t="shared" si="49"/>
        <v>0.78539816339744828</v>
      </c>
      <c r="R133">
        <f t="shared" si="50"/>
        <v>6</v>
      </c>
      <c r="S133">
        <f t="shared" si="56"/>
        <v>330</v>
      </c>
      <c r="T133">
        <f t="shared" si="57"/>
        <v>330</v>
      </c>
      <c r="U133">
        <f t="shared" si="58"/>
        <v>330</v>
      </c>
      <c r="V133">
        <f t="shared" si="59"/>
        <v>330</v>
      </c>
      <c r="W133">
        <f t="shared" si="60"/>
        <v>330</v>
      </c>
      <c r="X133">
        <f t="shared" si="61"/>
        <v>330</v>
      </c>
      <c r="Y133">
        <v>75</v>
      </c>
      <c r="Z133">
        <f t="shared" si="63"/>
        <v>2</v>
      </c>
      <c r="AA133">
        <v>80</v>
      </c>
      <c r="AB133">
        <v>70</v>
      </c>
      <c r="AC133">
        <f t="shared" si="64"/>
        <v>2</v>
      </c>
      <c r="AD133">
        <v>60</v>
      </c>
      <c r="AE133">
        <v>0.63</v>
      </c>
      <c r="AF133" t="str">
        <f t="shared" si="51"/>
        <v>B_01'Flr_03'B1</v>
      </c>
      <c r="AG133" t="str">
        <f>"R_" &amp; INDEX(Sched!A:AA, MATCH(ABT!$E133, SchedMark, 0), 20)</f>
        <v>R_1315.00</v>
      </c>
      <c r="AH133" t="str">
        <f t="shared" si="51"/>
        <v>B_01'Flr_03'B1</v>
      </c>
      <c r="AI133" t="str">
        <f t="shared" si="62"/>
        <v>VV-3-3-07</v>
      </c>
      <c r="AJ133" t="s">
        <v>1100</v>
      </c>
    </row>
    <row r="134" spans="1:36" x14ac:dyDescent="0.2">
      <c r="A134" s="109" t="s">
        <v>667</v>
      </c>
      <c r="B134" t="str">
        <f t="shared" si="43"/>
        <v>B_01'Flr_03'B1</v>
      </c>
      <c r="C134" t="str">
        <f t="shared" si="44"/>
        <v>VV-3-3-06</v>
      </c>
      <c r="D134" t="str">
        <f t="shared" si="45"/>
        <v>1031012</v>
      </c>
      <c r="E134" t="str">
        <f t="shared" si="46"/>
        <v>VV-3-3-06</v>
      </c>
      <c r="F134" t="s">
        <v>695</v>
      </c>
      <c r="G134" t="str">
        <f>INDEX(Sched!$J$213:$O$223, MATCH(ABT!$H134, Sched!$J$213:$J$223, 0), 6)</f>
        <v>15201_CB_DXR2M12P_US</v>
      </c>
      <c r="H134">
        <f t="shared" si="53"/>
        <v>15201</v>
      </c>
      <c r="I134">
        <f t="shared" si="54"/>
        <v>310</v>
      </c>
      <c r="J134" t="b">
        <v>0</v>
      </c>
      <c r="K134">
        <f t="shared" si="55"/>
        <v>12</v>
      </c>
      <c r="L134">
        <v>85</v>
      </c>
      <c r="M134">
        <v>38400</v>
      </c>
      <c r="N134">
        <f t="shared" si="47"/>
        <v>100</v>
      </c>
      <c r="O134">
        <f t="shared" si="48"/>
        <v>80</v>
      </c>
      <c r="P134">
        <f t="shared" si="48"/>
        <v>80</v>
      </c>
      <c r="Q134">
        <f t="shared" si="49"/>
        <v>0.78539816339744828</v>
      </c>
      <c r="R134">
        <f t="shared" si="50"/>
        <v>6</v>
      </c>
      <c r="S134">
        <f t="shared" si="56"/>
        <v>100</v>
      </c>
      <c r="T134">
        <f t="shared" si="57"/>
        <v>100</v>
      </c>
      <c r="U134">
        <f t="shared" si="58"/>
        <v>100</v>
      </c>
      <c r="V134">
        <f t="shared" si="59"/>
        <v>100</v>
      </c>
      <c r="W134">
        <f t="shared" si="60"/>
        <v>100</v>
      </c>
      <c r="X134">
        <f t="shared" si="61"/>
        <v>100</v>
      </c>
      <c r="Y134">
        <v>75</v>
      </c>
      <c r="Z134">
        <f t="shared" si="63"/>
        <v>2</v>
      </c>
      <c r="AA134">
        <v>80</v>
      </c>
      <c r="AB134">
        <v>70</v>
      </c>
      <c r="AC134">
        <f t="shared" si="64"/>
        <v>2</v>
      </c>
      <c r="AD134">
        <v>60</v>
      </c>
      <c r="AE134">
        <v>0.63</v>
      </c>
      <c r="AF134" t="str">
        <f t="shared" si="51"/>
        <v>B_01'Flr_03'B1</v>
      </c>
      <c r="AG134" t="str">
        <f>"R_" &amp; INDEX(Sched!A:AA, MATCH(ABT!$E134, SchedMark, 0), 20)</f>
        <v>R_1317.09</v>
      </c>
      <c r="AH134" t="str">
        <f t="shared" si="51"/>
        <v>B_01'Flr_03'B1</v>
      </c>
      <c r="AI134" t="str">
        <f t="shared" si="62"/>
        <v>VV-3-3-06</v>
      </c>
      <c r="AJ134" t="s">
        <v>1101</v>
      </c>
    </row>
    <row r="135" spans="1:36" x14ac:dyDescent="0.2">
      <c r="A135" s="109" t="s">
        <v>668</v>
      </c>
      <c r="B135" t="str">
        <f t="shared" si="43"/>
        <v>B_01'Flr_03'B1</v>
      </c>
      <c r="C135" t="str">
        <f t="shared" si="44"/>
        <v>VV-3-3-05</v>
      </c>
      <c r="D135" t="str">
        <f t="shared" si="45"/>
        <v>1031013</v>
      </c>
      <c r="E135" t="str">
        <f t="shared" si="46"/>
        <v>VV-3-3-05</v>
      </c>
      <c r="F135" t="s">
        <v>695</v>
      </c>
      <c r="G135" t="str">
        <f>INDEX(Sched!$J$213:$O$223, MATCH(ABT!$H135, Sched!$J$213:$J$223, 0), 6)</f>
        <v>15201_CB_DXR2M12P_US</v>
      </c>
      <c r="H135">
        <f t="shared" si="53"/>
        <v>15201</v>
      </c>
      <c r="I135">
        <f t="shared" si="54"/>
        <v>310</v>
      </c>
      <c r="J135" t="b">
        <v>0</v>
      </c>
      <c r="K135">
        <f t="shared" si="55"/>
        <v>13</v>
      </c>
      <c r="L135">
        <v>85</v>
      </c>
      <c r="M135">
        <v>38400</v>
      </c>
      <c r="N135">
        <f t="shared" si="47"/>
        <v>900</v>
      </c>
      <c r="O135">
        <f t="shared" si="48"/>
        <v>140</v>
      </c>
      <c r="P135">
        <f t="shared" si="48"/>
        <v>140</v>
      </c>
      <c r="Q135">
        <f t="shared" si="49"/>
        <v>2.1816615649929121</v>
      </c>
      <c r="R135">
        <f t="shared" si="50"/>
        <v>10</v>
      </c>
      <c r="S135">
        <f t="shared" si="56"/>
        <v>900</v>
      </c>
      <c r="T135">
        <f t="shared" si="57"/>
        <v>900</v>
      </c>
      <c r="U135">
        <f t="shared" si="58"/>
        <v>900</v>
      </c>
      <c r="V135">
        <f t="shared" si="59"/>
        <v>900</v>
      </c>
      <c r="W135">
        <f t="shared" si="60"/>
        <v>900</v>
      </c>
      <c r="X135">
        <f t="shared" si="61"/>
        <v>900</v>
      </c>
      <c r="Y135">
        <v>75</v>
      </c>
      <c r="Z135">
        <f t="shared" si="63"/>
        <v>2</v>
      </c>
      <c r="AA135">
        <v>80</v>
      </c>
      <c r="AB135">
        <v>70</v>
      </c>
      <c r="AC135">
        <f t="shared" si="64"/>
        <v>2</v>
      </c>
      <c r="AD135">
        <v>60</v>
      </c>
      <c r="AE135">
        <v>0.63</v>
      </c>
      <c r="AF135" t="str">
        <f t="shared" si="51"/>
        <v>B_01'Flr_03'B1</v>
      </c>
      <c r="AG135" t="str">
        <f>"R_" &amp; INDEX(Sched!A:AA, MATCH(ABT!$E135, SchedMark, 0), 20)</f>
        <v>R_1317.00A</v>
      </c>
      <c r="AH135" t="str">
        <f t="shared" si="51"/>
        <v>B_01'Flr_03'B1</v>
      </c>
      <c r="AI135" t="str">
        <f t="shared" si="62"/>
        <v>VV-3-3-05</v>
      </c>
      <c r="AJ135" t="s">
        <v>1102</v>
      </c>
    </row>
    <row r="136" spans="1:36" x14ac:dyDescent="0.2">
      <c r="A136" s="109" t="s">
        <v>669</v>
      </c>
      <c r="B136" t="str">
        <f t="shared" ref="B136:B171" si="65">"B_01'" &amp; "Flr_0" &amp; INDEX(Joined, MATCH(A136, SystemName, FALSE), 13) &amp; "'" &amp; INDEX(Joined, MATCH(A136, SystemName, FALSE), 12)</f>
        <v>B_01'Flr_03'A2</v>
      </c>
      <c r="C136" t="str">
        <f t="shared" ref="C136:C171" si="66">INDEX(Joined, MATCH(A136, SystemName, FALSE), 7)</f>
        <v>VV-4-3-20</v>
      </c>
      <c r="D136" t="str">
        <f t="shared" ref="D136:D171" si="67">INDEX(Joined, MATCH(A136, SystemName, FALSE), 5)</f>
        <v>1031017</v>
      </c>
      <c r="E136" t="str">
        <f t="shared" ref="E136:E171" si="68">INDEX(Joined, MATCH(A136, SystemName, FALSE), 7)</f>
        <v>VV-4-3-20</v>
      </c>
      <c r="F136" t="s">
        <v>695</v>
      </c>
      <c r="G136" t="str">
        <f>INDEX(Sched!$J$213:$O$223, MATCH(ABT!$H136, Sched!$J$213:$J$223, 0), 6)</f>
        <v>15201_CB_DXR2M12P_US</v>
      </c>
      <c r="H136">
        <f t="shared" si="53"/>
        <v>15201</v>
      </c>
      <c r="I136">
        <f t="shared" si="54"/>
        <v>310</v>
      </c>
      <c r="J136" t="b">
        <v>0</v>
      </c>
      <c r="K136">
        <f t="shared" si="55"/>
        <v>17</v>
      </c>
      <c r="L136">
        <v>85</v>
      </c>
      <c r="M136">
        <v>38400</v>
      </c>
      <c r="N136">
        <f t="shared" si="47"/>
        <v>100</v>
      </c>
      <c r="O136">
        <f t="shared" si="48"/>
        <v>80</v>
      </c>
      <c r="P136">
        <f t="shared" si="48"/>
        <v>80</v>
      </c>
      <c r="Q136">
        <f t="shared" si="49"/>
        <v>0.78539816339744828</v>
      </c>
      <c r="R136">
        <f t="shared" si="50"/>
        <v>6</v>
      </c>
      <c r="S136">
        <f t="shared" si="56"/>
        <v>100</v>
      </c>
      <c r="T136">
        <f t="shared" si="57"/>
        <v>100</v>
      </c>
      <c r="U136">
        <f t="shared" si="58"/>
        <v>100</v>
      </c>
      <c r="V136">
        <f t="shared" si="59"/>
        <v>100</v>
      </c>
      <c r="W136">
        <f t="shared" si="60"/>
        <v>100</v>
      </c>
      <c r="X136">
        <f t="shared" si="61"/>
        <v>100</v>
      </c>
      <c r="Y136">
        <v>75</v>
      </c>
      <c r="Z136">
        <f t="shared" si="63"/>
        <v>2</v>
      </c>
      <c r="AA136">
        <v>80</v>
      </c>
      <c r="AB136">
        <v>70</v>
      </c>
      <c r="AC136">
        <f t="shared" si="64"/>
        <v>2</v>
      </c>
      <c r="AD136">
        <v>60</v>
      </c>
      <c r="AE136">
        <v>0.63</v>
      </c>
      <c r="AF136" t="str">
        <f t="shared" si="51"/>
        <v>B_01'Flr_03'A2</v>
      </c>
      <c r="AG136" t="str">
        <f>"R_" &amp; INDEX(Sched!A:AA, MATCH(ABT!$E136, SchedMark, 0), 20)</f>
        <v>R_1328.01</v>
      </c>
      <c r="AH136" t="str">
        <f t="shared" si="51"/>
        <v>B_01'Flr_03'A2</v>
      </c>
      <c r="AI136" t="str">
        <f t="shared" si="62"/>
        <v>VV-4-3-20</v>
      </c>
      <c r="AJ136" t="s">
        <v>1103</v>
      </c>
    </row>
    <row r="137" spans="1:36" x14ac:dyDescent="0.2">
      <c r="A137" s="109" t="s">
        <v>775</v>
      </c>
      <c r="B137" t="str">
        <f t="shared" si="65"/>
        <v>B_01'Flr_03'A2</v>
      </c>
      <c r="C137" t="str">
        <f t="shared" si="66"/>
        <v>VV-4-3-19</v>
      </c>
      <c r="D137" t="str">
        <f t="shared" si="67"/>
        <v>1031018</v>
      </c>
      <c r="E137" t="str">
        <f t="shared" si="68"/>
        <v>VV-4-3-19</v>
      </c>
      <c r="F137" t="s">
        <v>695</v>
      </c>
      <c r="G137" t="str">
        <f>INDEX(Sched!$J$213:$O$223, MATCH(ABT!$H137, Sched!$J$213:$J$223, 0), 6)</f>
        <v>15201_CB_DXR2M12P_US</v>
      </c>
      <c r="H137">
        <f t="shared" si="53"/>
        <v>15201</v>
      </c>
      <c r="I137">
        <f t="shared" si="54"/>
        <v>310</v>
      </c>
      <c r="J137" t="b">
        <v>0</v>
      </c>
      <c r="K137">
        <f t="shared" si="55"/>
        <v>18</v>
      </c>
      <c r="L137">
        <v>85</v>
      </c>
      <c r="M137">
        <v>38400</v>
      </c>
      <c r="N137">
        <f t="shared" si="47"/>
        <v>140</v>
      </c>
      <c r="O137">
        <f t="shared" si="48"/>
        <v>80</v>
      </c>
      <c r="P137">
        <f t="shared" si="48"/>
        <v>80</v>
      </c>
      <c r="Q137">
        <f t="shared" si="49"/>
        <v>0.78539816339744828</v>
      </c>
      <c r="R137">
        <f t="shared" si="50"/>
        <v>6</v>
      </c>
      <c r="S137">
        <f t="shared" si="56"/>
        <v>140</v>
      </c>
      <c r="T137">
        <f t="shared" si="57"/>
        <v>140</v>
      </c>
      <c r="U137">
        <f t="shared" si="58"/>
        <v>140</v>
      </c>
      <c r="V137">
        <f t="shared" si="59"/>
        <v>140</v>
      </c>
      <c r="W137">
        <f t="shared" si="60"/>
        <v>140</v>
      </c>
      <c r="X137">
        <f t="shared" si="61"/>
        <v>140</v>
      </c>
      <c r="Y137">
        <v>75</v>
      </c>
      <c r="Z137">
        <f t="shared" si="63"/>
        <v>2</v>
      </c>
      <c r="AA137">
        <v>80</v>
      </c>
      <c r="AB137">
        <v>70</v>
      </c>
      <c r="AC137">
        <f t="shared" si="64"/>
        <v>2</v>
      </c>
      <c r="AD137">
        <v>60</v>
      </c>
      <c r="AE137">
        <v>0.63</v>
      </c>
      <c r="AF137" t="str">
        <f t="shared" si="51"/>
        <v>B_01'Flr_03'A2</v>
      </c>
      <c r="AG137" t="str">
        <f>"R_" &amp; INDEX(Sched!A:AA, MATCH(ABT!$E137, SchedMark, 0), 20)</f>
        <v>R_1328.00</v>
      </c>
      <c r="AH137" t="str">
        <f t="shared" si="51"/>
        <v>B_01'Flr_03'A2</v>
      </c>
      <c r="AI137" t="str">
        <f t="shared" si="62"/>
        <v>VV-4-3-19</v>
      </c>
      <c r="AJ137" t="s">
        <v>1104</v>
      </c>
    </row>
    <row r="138" spans="1:36" x14ac:dyDescent="0.2">
      <c r="A138" s="109" t="s">
        <v>670</v>
      </c>
      <c r="B138" t="str">
        <f t="shared" si="65"/>
        <v>B_01'Flr_03'A2</v>
      </c>
      <c r="C138" t="str">
        <f t="shared" si="66"/>
        <v>VV-4-3-17</v>
      </c>
      <c r="D138" t="str">
        <f t="shared" si="67"/>
        <v>1031020</v>
      </c>
      <c r="E138" t="str">
        <f t="shared" si="68"/>
        <v>VV-4-3-17</v>
      </c>
      <c r="F138" t="s">
        <v>695</v>
      </c>
      <c r="G138" t="str">
        <f>INDEX(Sched!$J$213:$O$223, MATCH(ABT!$H138, Sched!$J$213:$J$223, 0), 6)</f>
        <v>15201_CB_DXR2M12P_US</v>
      </c>
      <c r="H138">
        <f t="shared" si="53"/>
        <v>15201</v>
      </c>
      <c r="I138">
        <f t="shared" si="54"/>
        <v>310</v>
      </c>
      <c r="J138" t="b">
        <v>0</v>
      </c>
      <c r="K138">
        <f t="shared" si="55"/>
        <v>20</v>
      </c>
      <c r="L138">
        <v>85</v>
      </c>
      <c r="M138">
        <v>38400</v>
      </c>
      <c r="N138">
        <f t="shared" si="47"/>
        <v>615</v>
      </c>
      <c r="O138">
        <f t="shared" si="48"/>
        <v>80</v>
      </c>
      <c r="P138">
        <f t="shared" si="48"/>
        <v>80</v>
      </c>
      <c r="Q138">
        <f t="shared" si="49"/>
        <v>1.3962634015954636</v>
      </c>
      <c r="R138">
        <f t="shared" si="50"/>
        <v>8</v>
      </c>
      <c r="S138">
        <f t="shared" si="56"/>
        <v>615</v>
      </c>
      <c r="T138">
        <f t="shared" si="57"/>
        <v>615</v>
      </c>
      <c r="U138">
        <f t="shared" si="58"/>
        <v>615</v>
      </c>
      <c r="V138">
        <f t="shared" si="59"/>
        <v>615</v>
      </c>
      <c r="W138">
        <f t="shared" si="60"/>
        <v>615</v>
      </c>
      <c r="X138">
        <f t="shared" si="61"/>
        <v>615</v>
      </c>
      <c r="Y138">
        <v>75</v>
      </c>
      <c r="Z138">
        <f t="shared" si="63"/>
        <v>2</v>
      </c>
      <c r="AA138">
        <v>80</v>
      </c>
      <c r="AB138">
        <v>70</v>
      </c>
      <c r="AC138">
        <f t="shared" si="64"/>
        <v>2</v>
      </c>
      <c r="AD138">
        <v>60</v>
      </c>
      <c r="AE138">
        <v>0.63</v>
      </c>
      <c r="AF138" t="str">
        <f t="shared" si="51"/>
        <v>B_01'Flr_03'A2</v>
      </c>
      <c r="AG138" t="str">
        <f>"R_" &amp; INDEX(Sched!A:AA, MATCH(ABT!$E138, SchedMark, 0), 20)</f>
        <v>R_1326.05</v>
      </c>
      <c r="AH138" t="str">
        <f t="shared" si="51"/>
        <v>B_01'Flr_03'A2</v>
      </c>
      <c r="AI138" t="str">
        <f t="shared" si="62"/>
        <v>VV-4-3-17</v>
      </c>
      <c r="AJ138" t="s">
        <v>1105</v>
      </c>
    </row>
    <row r="139" spans="1:36" x14ac:dyDescent="0.2">
      <c r="A139" s="109" t="s">
        <v>671</v>
      </c>
      <c r="B139" t="str">
        <f t="shared" si="65"/>
        <v>B_01'Flr_03'A2</v>
      </c>
      <c r="C139" t="str">
        <f t="shared" si="66"/>
        <v>VV-4-3-16</v>
      </c>
      <c r="D139" t="str">
        <f t="shared" si="67"/>
        <v>1031021</v>
      </c>
      <c r="E139" t="str">
        <f t="shared" si="68"/>
        <v>VV-4-3-16</v>
      </c>
      <c r="F139" t="s">
        <v>695</v>
      </c>
      <c r="G139" t="str">
        <f>INDEX(Sched!$J$213:$O$223, MATCH(ABT!$H139, Sched!$J$213:$J$223, 0), 6)</f>
        <v>15201_CB_DXR2M12P_US</v>
      </c>
      <c r="H139">
        <f t="shared" si="53"/>
        <v>15201</v>
      </c>
      <c r="I139">
        <f t="shared" si="54"/>
        <v>310</v>
      </c>
      <c r="J139" t="b">
        <v>0</v>
      </c>
      <c r="K139">
        <f t="shared" si="55"/>
        <v>21</v>
      </c>
      <c r="L139">
        <v>85</v>
      </c>
      <c r="M139">
        <v>38400</v>
      </c>
      <c r="N139">
        <f t="shared" si="47"/>
        <v>140</v>
      </c>
      <c r="O139">
        <f t="shared" si="48"/>
        <v>80</v>
      </c>
      <c r="P139">
        <f t="shared" si="48"/>
        <v>80</v>
      </c>
      <c r="Q139">
        <f t="shared" si="49"/>
        <v>0.78539816339744828</v>
      </c>
      <c r="R139">
        <f t="shared" si="50"/>
        <v>6</v>
      </c>
      <c r="S139">
        <f t="shared" si="56"/>
        <v>140</v>
      </c>
      <c r="T139">
        <f t="shared" si="57"/>
        <v>140</v>
      </c>
      <c r="U139">
        <f t="shared" si="58"/>
        <v>140</v>
      </c>
      <c r="V139">
        <f t="shared" si="59"/>
        <v>140</v>
      </c>
      <c r="W139">
        <f t="shared" si="60"/>
        <v>140</v>
      </c>
      <c r="X139">
        <f t="shared" si="61"/>
        <v>140</v>
      </c>
      <c r="Y139">
        <v>75</v>
      </c>
      <c r="Z139">
        <f t="shared" si="63"/>
        <v>2</v>
      </c>
      <c r="AA139">
        <v>80</v>
      </c>
      <c r="AB139">
        <v>70</v>
      </c>
      <c r="AC139">
        <f t="shared" si="64"/>
        <v>2</v>
      </c>
      <c r="AD139">
        <v>60</v>
      </c>
      <c r="AE139">
        <v>0.63</v>
      </c>
      <c r="AF139" t="str">
        <f t="shared" si="51"/>
        <v>B_01'Flr_03'A2</v>
      </c>
      <c r="AG139" t="str">
        <f>"R_" &amp; INDEX(Sched!A:AA, MATCH(ABT!$E139, SchedMark, 0), 20)</f>
        <v>R_1333.06</v>
      </c>
      <c r="AH139" t="str">
        <f t="shared" si="51"/>
        <v>B_01'Flr_03'A2</v>
      </c>
      <c r="AI139" t="str">
        <f t="shared" si="62"/>
        <v>VV-4-3-16</v>
      </c>
      <c r="AJ139" t="s">
        <v>1106</v>
      </c>
    </row>
    <row r="140" spans="1:36" x14ac:dyDescent="0.2">
      <c r="A140" s="109" t="s">
        <v>672</v>
      </c>
      <c r="B140" t="str">
        <f t="shared" si="65"/>
        <v>B_01'Flr_03'A2</v>
      </c>
      <c r="C140" t="str">
        <f t="shared" si="66"/>
        <v>VV-4-3-15</v>
      </c>
      <c r="D140" t="str">
        <f t="shared" si="67"/>
        <v>1031022</v>
      </c>
      <c r="E140" t="str">
        <f t="shared" si="68"/>
        <v>VV-4-3-15</v>
      </c>
      <c r="F140" t="s">
        <v>695</v>
      </c>
      <c r="G140" t="str">
        <f>INDEX(Sched!$J$213:$O$223, MATCH(ABT!$H140, Sched!$J$213:$J$223, 0), 6)</f>
        <v>15201_CB_DXR2M12P_US</v>
      </c>
      <c r="H140">
        <f t="shared" si="53"/>
        <v>15201</v>
      </c>
      <c r="I140">
        <f t="shared" si="54"/>
        <v>310</v>
      </c>
      <c r="J140" t="b">
        <v>0</v>
      </c>
      <c r="K140">
        <f t="shared" si="55"/>
        <v>22</v>
      </c>
      <c r="L140">
        <v>85</v>
      </c>
      <c r="M140">
        <v>38400</v>
      </c>
      <c r="N140">
        <f t="shared" si="47"/>
        <v>600</v>
      </c>
      <c r="O140">
        <f t="shared" si="48"/>
        <v>600</v>
      </c>
      <c r="P140">
        <f t="shared" si="48"/>
        <v>600</v>
      </c>
      <c r="Q140">
        <f t="shared" si="49"/>
        <v>1.3962634015954636</v>
      </c>
      <c r="R140">
        <f t="shared" si="50"/>
        <v>8</v>
      </c>
      <c r="S140">
        <f t="shared" si="56"/>
        <v>600</v>
      </c>
      <c r="T140">
        <f t="shared" si="57"/>
        <v>600</v>
      </c>
      <c r="U140">
        <f t="shared" si="58"/>
        <v>600</v>
      </c>
      <c r="V140">
        <f t="shared" si="59"/>
        <v>600</v>
      </c>
      <c r="W140">
        <f t="shared" si="60"/>
        <v>600</v>
      </c>
      <c r="X140">
        <f t="shared" si="61"/>
        <v>600</v>
      </c>
      <c r="Y140">
        <v>75</v>
      </c>
      <c r="Z140">
        <f t="shared" si="63"/>
        <v>2</v>
      </c>
      <c r="AA140">
        <v>80</v>
      </c>
      <c r="AB140">
        <v>70</v>
      </c>
      <c r="AC140">
        <f t="shared" si="64"/>
        <v>2</v>
      </c>
      <c r="AD140">
        <v>60</v>
      </c>
      <c r="AE140">
        <v>0.63</v>
      </c>
      <c r="AF140" t="str">
        <f t="shared" si="51"/>
        <v>B_01'Flr_03'A2</v>
      </c>
      <c r="AG140" t="str">
        <f>"R_" &amp; INDEX(Sched!A:AA, MATCH(ABT!$E140, SchedMark, 0), 20)</f>
        <v>R_1300.04</v>
      </c>
      <c r="AH140" t="str">
        <f t="shared" si="51"/>
        <v>B_01'Flr_03'A2</v>
      </c>
      <c r="AI140" t="str">
        <f t="shared" si="62"/>
        <v>VV-4-3-15</v>
      </c>
      <c r="AJ140" t="s">
        <v>1107</v>
      </c>
    </row>
    <row r="141" spans="1:36" x14ac:dyDescent="0.2">
      <c r="A141" s="109" t="s">
        <v>673</v>
      </c>
      <c r="B141" t="str">
        <f t="shared" si="65"/>
        <v>B_01'Flr_03'B2</v>
      </c>
      <c r="C141" t="str">
        <f t="shared" si="66"/>
        <v>VV-4-3-06</v>
      </c>
      <c r="D141" t="str">
        <f t="shared" si="67"/>
        <v>1031023</v>
      </c>
      <c r="E141" t="str">
        <f t="shared" si="68"/>
        <v>VV-4-3-06</v>
      </c>
      <c r="F141" t="s">
        <v>695</v>
      </c>
      <c r="G141" t="str">
        <f>INDEX(Sched!$J$213:$O$223, MATCH(ABT!$H141, Sched!$J$213:$J$223, 0), 6)</f>
        <v>15201_CB_DXR2M12P_US</v>
      </c>
      <c r="H141">
        <f t="shared" si="53"/>
        <v>15201</v>
      </c>
      <c r="I141">
        <f t="shared" si="54"/>
        <v>310</v>
      </c>
      <c r="J141" t="b">
        <v>0</v>
      </c>
      <c r="K141">
        <f t="shared" si="55"/>
        <v>23</v>
      </c>
      <c r="L141">
        <v>85</v>
      </c>
      <c r="M141">
        <v>38400</v>
      </c>
      <c r="N141">
        <f t="shared" si="47"/>
        <v>570</v>
      </c>
      <c r="O141">
        <f t="shared" si="48"/>
        <v>140</v>
      </c>
      <c r="P141">
        <f t="shared" si="48"/>
        <v>140</v>
      </c>
      <c r="Q141">
        <f t="shared" si="49"/>
        <v>1.3962634015954636</v>
      </c>
      <c r="R141">
        <f t="shared" si="50"/>
        <v>8</v>
      </c>
      <c r="S141">
        <f t="shared" si="56"/>
        <v>570</v>
      </c>
      <c r="T141">
        <f t="shared" si="57"/>
        <v>570</v>
      </c>
      <c r="U141">
        <f t="shared" si="58"/>
        <v>570</v>
      </c>
      <c r="V141">
        <f t="shared" si="59"/>
        <v>570</v>
      </c>
      <c r="W141">
        <f t="shared" si="60"/>
        <v>570</v>
      </c>
      <c r="X141">
        <f t="shared" si="61"/>
        <v>570</v>
      </c>
      <c r="Y141">
        <v>75</v>
      </c>
      <c r="Z141">
        <f t="shared" si="63"/>
        <v>2</v>
      </c>
      <c r="AA141">
        <v>80</v>
      </c>
      <c r="AB141">
        <v>70</v>
      </c>
      <c r="AC141">
        <f t="shared" si="64"/>
        <v>2</v>
      </c>
      <c r="AD141">
        <v>60</v>
      </c>
      <c r="AE141">
        <v>0.63</v>
      </c>
      <c r="AF141" t="str">
        <f t="shared" si="51"/>
        <v>B_01'Flr_03'B2</v>
      </c>
      <c r="AG141" t="str">
        <f>"R_" &amp; INDEX(Sched!A:AA, MATCH(ABT!$E141, SchedMark, 0), 20)</f>
        <v>R_1337.00</v>
      </c>
      <c r="AH141" t="str">
        <f t="shared" si="51"/>
        <v>B_01'Flr_03'B2</v>
      </c>
      <c r="AI141" t="str">
        <f t="shared" si="62"/>
        <v>VV-4-3-06</v>
      </c>
      <c r="AJ141" t="s">
        <v>1108</v>
      </c>
    </row>
    <row r="142" spans="1:36" x14ac:dyDescent="0.2">
      <c r="A142" s="109" t="s">
        <v>674</v>
      </c>
      <c r="B142" t="str">
        <f t="shared" si="65"/>
        <v>B_01'Flr_03'A2</v>
      </c>
      <c r="C142" t="str">
        <f t="shared" si="66"/>
        <v>VV-4-3-05</v>
      </c>
      <c r="D142" t="str">
        <f t="shared" si="67"/>
        <v>1031024</v>
      </c>
      <c r="E142" t="str">
        <f t="shared" si="68"/>
        <v>VV-4-3-05</v>
      </c>
      <c r="F142" t="s">
        <v>695</v>
      </c>
      <c r="G142" t="str">
        <f>INDEX(Sched!$J$213:$O$223, MATCH(ABT!$H142, Sched!$J$213:$J$223, 0), 6)</f>
        <v>15201_CB_DXR2M12P_US</v>
      </c>
      <c r="H142">
        <f t="shared" si="53"/>
        <v>15201</v>
      </c>
      <c r="I142">
        <f t="shared" si="54"/>
        <v>310</v>
      </c>
      <c r="J142" t="b">
        <v>0</v>
      </c>
      <c r="K142">
        <f t="shared" si="55"/>
        <v>24</v>
      </c>
      <c r="L142">
        <v>85</v>
      </c>
      <c r="M142">
        <v>38400</v>
      </c>
      <c r="N142">
        <f t="shared" si="47"/>
        <v>760</v>
      </c>
      <c r="O142">
        <f t="shared" si="48"/>
        <v>220</v>
      </c>
      <c r="P142">
        <f t="shared" si="48"/>
        <v>220</v>
      </c>
      <c r="Q142">
        <f t="shared" si="49"/>
        <v>2.1816615649929121</v>
      </c>
      <c r="R142">
        <f t="shared" si="50"/>
        <v>10</v>
      </c>
      <c r="S142">
        <f t="shared" si="56"/>
        <v>760</v>
      </c>
      <c r="T142">
        <f t="shared" si="57"/>
        <v>760</v>
      </c>
      <c r="U142">
        <f t="shared" si="58"/>
        <v>760</v>
      </c>
      <c r="V142">
        <f t="shared" si="59"/>
        <v>760</v>
      </c>
      <c r="W142">
        <f t="shared" si="60"/>
        <v>760</v>
      </c>
      <c r="X142">
        <f t="shared" si="61"/>
        <v>760</v>
      </c>
      <c r="Y142">
        <v>75</v>
      </c>
      <c r="Z142">
        <f t="shared" si="63"/>
        <v>2</v>
      </c>
      <c r="AA142">
        <v>80</v>
      </c>
      <c r="AB142">
        <v>70</v>
      </c>
      <c r="AC142">
        <f t="shared" si="64"/>
        <v>2</v>
      </c>
      <c r="AD142">
        <v>60</v>
      </c>
      <c r="AE142">
        <v>0.63</v>
      </c>
      <c r="AF142" t="str">
        <f t="shared" si="51"/>
        <v>B_01'Flr_03'A2</v>
      </c>
      <c r="AG142" t="str">
        <f>"R_" &amp; INDEX(Sched!A:AA, MATCH(ABT!$E142, SchedMark, 0), 20)</f>
        <v>R_1335.00</v>
      </c>
      <c r="AH142" t="str">
        <f t="shared" si="51"/>
        <v>B_01'Flr_03'A2</v>
      </c>
      <c r="AI142" t="str">
        <f t="shared" si="62"/>
        <v>VV-4-3-05</v>
      </c>
      <c r="AJ142" t="s">
        <v>1109</v>
      </c>
    </row>
    <row r="143" spans="1:36" x14ac:dyDescent="0.2">
      <c r="A143" s="109" t="s">
        <v>675</v>
      </c>
      <c r="B143" t="str">
        <f t="shared" si="65"/>
        <v>B_01'Flr_03'A2</v>
      </c>
      <c r="C143" t="str">
        <f t="shared" si="66"/>
        <v>VV-4-3-02</v>
      </c>
      <c r="D143" t="str">
        <f t="shared" si="67"/>
        <v>1031025</v>
      </c>
      <c r="E143" t="str">
        <f t="shared" si="68"/>
        <v>VV-4-3-02</v>
      </c>
      <c r="F143" t="s">
        <v>695</v>
      </c>
      <c r="G143" t="str">
        <f>INDEX(Sched!$J$213:$O$223, MATCH(ABT!$H143, Sched!$J$213:$J$223, 0), 6)</f>
        <v>15201_CB_DXR2M12P_US</v>
      </c>
      <c r="H143">
        <f t="shared" si="53"/>
        <v>15201</v>
      </c>
      <c r="I143">
        <f t="shared" si="54"/>
        <v>310</v>
      </c>
      <c r="J143" t="b">
        <v>0</v>
      </c>
      <c r="K143">
        <f t="shared" si="55"/>
        <v>25</v>
      </c>
      <c r="L143">
        <v>85</v>
      </c>
      <c r="M143">
        <v>38400</v>
      </c>
      <c r="N143">
        <f t="shared" si="47"/>
        <v>135</v>
      </c>
      <c r="O143">
        <f t="shared" si="48"/>
        <v>80</v>
      </c>
      <c r="P143">
        <f t="shared" si="48"/>
        <v>80</v>
      </c>
      <c r="Q143">
        <f t="shared" si="49"/>
        <v>0.78539816339744828</v>
      </c>
      <c r="R143">
        <f t="shared" si="50"/>
        <v>6</v>
      </c>
      <c r="S143">
        <f t="shared" si="56"/>
        <v>135</v>
      </c>
      <c r="T143">
        <f t="shared" si="57"/>
        <v>135</v>
      </c>
      <c r="U143">
        <f t="shared" si="58"/>
        <v>135</v>
      </c>
      <c r="V143">
        <f t="shared" si="59"/>
        <v>135</v>
      </c>
      <c r="W143">
        <f t="shared" si="60"/>
        <v>135</v>
      </c>
      <c r="X143">
        <f t="shared" si="61"/>
        <v>135</v>
      </c>
      <c r="Y143">
        <v>75</v>
      </c>
      <c r="Z143">
        <f t="shared" si="63"/>
        <v>2</v>
      </c>
      <c r="AA143">
        <v>80</v>
      </c>
      <c r="AB143">
        <v>70</v>
      </c>
      <c r="AC143">
        <f t="shared" si="64"/>
        <v>2</v>
      </c>
      <c r="AD143">
        <v>60</v>
      </c>
      <c r="AE143">
        <v>0.63</v>
      </c>
      <c r="AF143" t="str">
        <f t="shared" si="51"/>
        <v>B_01'Flr_03'A2</v>
      </c>
      <c r="AG143" t="str">
        <f>"R_" &amp; INDEX(Sched!A:AA, MATCH(ABT!$E143, SchedMark, 0), 20)</f>
        <v>R_1333.00</v>
      </c>
      <c r="AH143" t="str">
        <f t="shared" si="51"/>
        <v>B_01'Flr_03'A2</v>
      </c>
      <c r="AI143" t="str">
        <f t="shared" si="62"/>
        <v>VV-4-3-02</v>
      </c>
      <c r="AJ143" t="s">
        <v>1110</v>
      </c>
    </row>
    <row r="144" spans="1:36" x14ac:dyDescent="0.2">
      <c r="A144" s="109" t="s">
        <v>676</v>
      </c>
      <c r="B144" t="str">
        <f t="shared" si="65"/>
        <v>B_01'Flr_03'A2</v>
      </c>
      <c r="C144" t="str">
        <f t="shared" si="66"/>
        <v>VV-4-3-21</v>
      </c>
      <c r="D144" t="str">
        <f t="shared" si="67"/>
        <v>1031027</v>
      </c>
      <c r="E144" t="str">
        <f t="shared" si="68"/>
        <v>VV-4-3-21</v>
      </c>
      <c r="F144" t="s">
        <v>695</v>
      </c>
      <c r="G144" t="str">
        <f>INDEX(Sched!$J$213:$O$223, MATCH(ABT!$H144, Sched!$J$213:$J$223, 0), 6)</f>
        <v>15201_CB_DXR2M12P_US</v>
      </c>
      <c r="H144">
        <f t="shared" si="53"/>
        <v>15201</v>
      </c>
      <c r="I144">
        <f t="shared" si="54"/>
        <v>310</v>
      </c>
      <c r="J144" t="b">
        <v>0</v>
      </c>
      <c r="K144">
        <f t="shared" si="55"/>
        <v>27</v>
      </c>
      <c r="L144">
        <v>85</v>
      </c>
      <c r="M144">
        <v>38400</v>
      </c>
      <c r="N144">
        <f t="shared" si="47"/>
        <v>665</v>
      </c>
      <c r="O144">
        <f t="shared" si="48"/>
        <v>140</v>
      </c>
      <c r="P144">
        <f t="shared" si="48"/>
        <v>140</v>
      </c>
      <c r="Q144">
        <f t="shared" si="49"/>
        <v>1.3962634015954636</v>
      </c>
      <c r="R144">
        <f t="shared" si="50"/>
        <v>8</v>
      </c>
      <c r="S144">
        <f t="shared" si="56"/>
        <v>665</v>
      </c>
      <c r="T144">
        <f t="shared" si="57"/>
        <v>665</v>
      </c>
      <c r="U144">
        <f t="shared" si="58"/>
        <v>665</v>
      </c>
      <c r="V144">
        <f t="shared" si="59"/>
        <v>665</v>
      </c>
      <c r="W144">
        <f t="shared" si="60"/>
        <v>665</v>
      </c>
      <c r="X144">
        <f t="shared" si="61"/>
        <v>665</v>
      </c>
      <c r="Y144">
        <v>75</v>
      </c>
      <c r="Z144">
        <f t="shared" si="63"/>
        <v>2</v>
      </c>
      <c r="AA144">
        <v>80</v>
      </c>
      <c r="AB144">
        <v>70</v>
      </c>
      <c r="AC144">
        <f t="shared" si="64"/>
        <v>2</v>
      </c>
      <c r="AD144">
        <v>60</v>
      </c>
      <c r="AE144">
        <v>0.63</v>
      </c>
      <c r="AF144" t="str">
        <f t="shared" si="51"/>
        <v>B_01'Flr_03'A2</v>
      </c>
      <c r="AG144" t="str">
        <f>"R_" &amp; INDEX(Sched!A:AA, MATCH(ABT!$E144, SchedMark, 0), 20)</f>
        <v>R_1300.03</v>
      </c>
      <c r="AH144" t="str">
        <f t="shared" si="51"/>
        <v>B_01'Flr_03'A2</v>
      </c>
      <c r="AI144" t="str">
        <f t="shared" si="62"/>
        <v>VV-4-3-21</v>
      </c>
      <c r="AJ144" t="s">
        <v>1111</v>
      </c>
    </row>
    <row r="145" spans="1:36" x14ac:dyDescent="0.2">
      <c r="A145" s="109" t="s">
        <v>677</v>
      </c>
      <c r="B145" t="str">
        <f t="shared" si="65"/>
        <v>B_01'Flr_03'B2</v>
      </c>
      <c r="C145" t="str">
        <f t="shared" si="66"/>
        <v>VV-4-3-14</v>
      </c>
      <c r="D145" t="str">
        <f t="shared" si="67"/>
        <v>1031028</v>
      </c>
      <c r="E145" t="str">
        <f t="shared" si="68"/>
        <v>VV-4-3-14</v>
      </c>
      <c r="F145" t="s">
        <v>695</v>
      </c>
      <c r="G145" t="str">
        <f>INDEX(Sched!$J$213:$O$223, MATCH(ABT!$H145, Sched!$J$213:$J$223, 0), 6)</f>
        <v>15201_CB_DXR2M12P_US</v>
      </c>
      <c r="H145">
        <f t="shared" si="53"/>
        <v>15201</v>
      </c>
      <c r="I145">
        <f t="shared" si="54"/>
        <v>310</v>
      </c>
      <c r="J145" t="b">
        <v>0</v>
      </c>
      <c r="K145">
        <f t="shared" si="55"/>
        <v>28</v>
      </c>
      <c r="L145">
        <v>85</v>
      </c>
      <c r="M145">
        <v>38400</v>
      </c>
      <c r="N145">
        <f t="shared" si="47"/>
        <v>210</v>
      </c>
      <c r="O145">
        <f t="shared" si="48"/>
        <v>80</v>
      </c>
      <c r="P145">
        <f t="shared" si="48"/>
        <v>80</v>
      </c>
      <c r="Q145">
        <f t="shared" si="49"/>
        <v>0.78539816339744828</v>
      </c>
      <c r="R145">
        <f t="shared" si="50"/>
        <v>6</v>
      </c>
      <c r="S145">
        <f t="shared" si="56"/>
        <v>210</v>
      </c>
      <c r="T145">
        <f t="shared" si="57"/>
        <v>210</v>
      </c>
      <c r="U145">
        <f t="shared" si="58"/>
        <v>210</v>
      </c>
      <c r="V145">
        <f t="shared" si="59"/>
        <v>210</v>
      </c>
      <c r="W145">
        <f t="shared" si="60"/>
        <v>210</v>
      </c>
      <c r="X145">
        <f t="shared" si="61"/>
        <v>210</v>
      </c>
      <c r="Y145">
        <v>75</v>
      </c>
      <c r="Z145">
        <f t="shared" si="63"/>
        <v>2</v>
      </c>
      <c r="AA145">
        <v>80</v>
      </c>
      <c r="AB145">
        <v>70</v>
      </c>
      <c r="AC145">
        <f t="shared" si="64"/>
        <v>2</v>
      </c>
      <c r="AD145">
        <v>60</v>
      </c>
      <c r="AE145">
        <v>0.63</v>
      </c>
      <c r="AF145" t="str">
        <f t="shared" si="51"/>
        <v>B_01'Flr_03'B2</v>
      </c>
      <c r="AG145" t="str">
        <f>"R_" &amp; INDEX(Sched!A:AA, MATCH(ABT!$E145, SchedMark, 0), 20)</f>
        <v>R_1307.01</v>
      </c>
      <c r="AH145" t="str">
        <f t="shared" si="51"/>
        <v>B_01'Flr_03'B2</v>
      </c>
      <c r="AI145" t="str">
        <f t="shared" si="62"/>
        <v>VV-4-3-14</v>
      </c>
      <c r="AJ145" t="s">
        <v>1112</v>
      </c>
    </row>
    <row r="146" spans="1:36" x14ac:dyDescent="0.2">
      <c r="A146" s="109" t="s">
        <v>678</v>
      </c>
      <c r="B146" t="str">
        <f t="shared" si="65"/>
        <v>B_01'Flr_03'B2</v>
      </c>
      <c r="C146" t="str">
        <f t="shared" si="66"/>
        <v>VV-4-3-13</v>
      </c>
      <c r="D146" t="str">
        <f t="shared" si="67"/>
        <v>1031029</v>
      </c>
      <c r="E146" t="str">
        <f t="shared" si="68"/>
        <v>VV-4-3-13</v>
      </c>
      <c r="F146" t="s">
        <v>695</v>
      </c>
      <c r="G146" t="str">
        <f>INDEX(Sched!$J$213:$O$223, MATCH(ABT!$H146, Sched!$J$213:$J$223, 0), 6)</f>
        <v>15201_CB_DXR2M12P_US</v>
      </c>
      <c r="H146">
        <f t="shared" si="53"/>
        <v>15201</v>
      </c>
      <c r="I146">
        <f t="shared" si="54"/>
        <v>310</v>
      </c>
      <c r="J146" t="b">
        <v>0</v>
      </c>
      <c r="K146">
        <f t="shared" si="55"/>
        <v>29</v>
      </c>
      <c r="L146">
        <v>85</v>
      </c>
      <c r="M146">
        <v>38400</v>
      </c>
      <c r="N146">
        <f t="shared" ref="N146:N174" si="69">INDEX(Schedule, MATCH($E146, SchedMark, 0), 6)</f>
        <v>340</v>
      </c>
      <c r="O146">
        <f t="shared" ref="O146:P172" si="70">INDEX(Schedule, MATCH($E146, SchedMark, 0), 7)</f>
        <v>80</v>
      </c>
      <c r="P146">
        <f t="shared" si="70"/>
        <v>80</v>
      </c>
      <c r="Q146">
        <f t="shared" ref="Q146:Q174" si="71">INDEX(Schedule, MATCH($E146, SchedMark, 0), 8)^2*PI()/144</f>
        <v>0.78539816339744828</v>
      </c>
      <c r="R146">
        <f t="shared" ref="R146:R174" si="72">INDEX(Schedule, MATCH($E146, SchedMark, 0), 8)</f>
        <v>6</v>
      </c>
      <c r="S146">
        <f t="shared" si="56"/>
        <v>340</v>
      </c>
      <c r="T146">
        <f t="shared" si="57"/>
        <v>340</v>
      </c>
      <c r="U146">
        <f t="shared" si="58"/>
        <v>340</v>
      </c>
      <c r="V146">
        <f t="shared" si="59"/>
        <v>340</v>
      </c>
      <c r="W146">
        <f t="shared" si="60"/>
        <v>340</v>
      </c>
      <c r="X146">
        <f t="shared" si="61"/>
        <v>340</v>
      </c>
      <c r="Y146">
        <v>75</v>
      </c>
      <c r="Z146">
        <f t="shared" si="63"/>
        <v>2</v>
      </c>
      <c r="AA146">
        <v>80</v>
      </c>
      <c r="AB146">
        <v>70</v>
      </c>
      <c r="AC146">
        <f t="shared" si="64"/>
        <v>2</v>
      </c>
      <c r="AD146">
        <v>60</v>
      </c>
      <c r="AE146">
        <v>0.63</v>
      </c>
      <c r="AF146" t="str">
        <f t="shared" ref="AF146:AH172" si="73">"B_01'" &amp; "Flr_0" &amp; INDEX(Joined, MATCH($A146, SystemName, FALSE), 13) &amp; "'" &amp; INDEX(Joined, MATCH($A146, SystemName, FALSE), 12)</f>
        <v>B_01'Flr_03'B2</v>
      </c>
      <c r="AG146" t="str">
        <f>"R_" &amp; INDEX(Sched!A:AA, MATCH(ABT!$E146, SchedMark, 0), 20)</f>
        <v>R_1307.00</v>
      </c>
      <c r="AH146" t="str">
        <f t="shared" si="73"/>
        <v>B_01'Flr_03'B2</v>
      </c>
      <c r="AI146" t="str">
        <f t="shared" si="62"/>
        <v>VV-4-3-13</v>
      </c>
      <c r="AJ146" t="s">
        <v>1113</v>
      </c>
    </row>
    <row r="147" spans="1:36" x14ac:dyDescent="0.2">
      <c r="A147" s="109" t="s">
        <v>679</v>
      </c>
      <c r="B147" t="str">
        <f t="shared" si="65"/>
        <v>B_01'Flr_03'B2</v>
      </c>
      <c r="C147" t="str">
        <f t="shared" si="66"/>
        <v>VV-4-3-12</v>
      </c>
      <c r="D147" t="str">
        <f t="shared" si="67"/>
        <v>1031030</v>
      </c>
      <c r="E147" t="str">
        <f t="shared" si="68"/>
        <v>VV-4-3-12</v>
      </c>
      <c r="F147" t="s">
        <v>695</v>
      </c>
      <c r="G147" t="str">
        <f>INDEX(Sched!$J$213:$O$223, MATCH(ABT!$H147, Sched!$J$213:$J$223, 0), 6)</f>
        <v>15201_CB_DXR2M12P_US</v>
      </c>
      <c r="H147">
        <f t="shared" si="53"/>
        <v>15201</v>
      </c>
      <c r="I147">
        <f t="shared" si="54"/>
        <v>310</v>
      </c>
      <c r="J147" t="b">
        <v>0</v>
      </c>
      <c r="K147">
        <f t="shared" si="55"/>
        <v>30</v>
      </c>
      <c r="L147">
        <v>85</v>
      </c>
      <c r="M147">
        <v>38400</v>
      </c>
      <c r="N147">
        <f t="shared" si="69"/>
        <v>330</v>
      </c>
      <c r="O147">
        <f t="shared" si="70"/>
        <v>80</v>
      </c>
      <c r="P147">
        <f t="shared" si="70"/>
        <v>80</v>
      </c>
      <c r="Q147">
        <f t="shared" si="71"/>
        <v>0.78539816339744828</v>
      </c>
      <c r="R147">
        <f t="shared" si="72"/>
        <v>6</v>
      </c>
      <c r="S147">
        <f t="shared" si="56"/>
        <v>330</v>
      </c>
      <c r="T147">
        <f t="shared" si="57"/>
        <v>330</v>
      </c>
      <c r="U147">
        <f t="shared" si="58"/>
        <v>330</v>
      </c>
      <c r="V147">
        <f t="shared" si="59"/>
        <v>330</v>
      </c>
      <c r="W147">
        <f t="shared" si="60"/>
        <v>330</v>
      </c>
      <c r="X147">
        <f t="shared" si="61"/>
        <v>330</v>
      </c>
      <c r="Y147">
        <v>75</v>
      </c>
      <c r="Z147">
        <f t="shared" si="63"/>
        <v>2</v>
      </c>
      <c r="AA147">
        <v>80</v>
      </c>
      <c r="AB147">
        <v>70</v>
      </c>
      <c r="AC147">
        <f t="shared" si="64"/>
        <v>2</v>
      </c>
      <c r="AD147">
        <v>60</v>
      </c>
      <c r="AE147">
        <v>0.63</v>
      </c>
      <c r="AF147" t="str">
        <f t="shared" si="73"/>
        <v>B_01'Flr_03'B2</v>
      </c>
      <c r="AG147" t="str">
        <f>"R_" &amp; INDEX(Sched!A:AA, MATCH(ABT!$E147, SchedMark, 0), 20)</f>
        <v>R_1304.00</v>
      </c>
      <c r="AH147" t="str">
        <f t="shared" si="73"/>
        <v>B_01'Flr_03'B2</v>
      </c>
      <c r="AI147" t="str">
        <f t="shared" si="62"/>
        <v>VV-4-3-12</v>
      </c>
      <c r="AJ147" t="s">
        <v>1114</v>
      </c>
    </row>
    <row r="148" spans="1:36" x14ac:dyDescent="0.2">
      <c r="A148" s="109" t="s">
        <v>680</v>
      </c>
      <c r="B148" t="str">
        <f t="shared" si="65"/>
        <v>B_01'Flr_03'B2</v>
      </c>
      <c r="C148" t="str">
        <f t="shared" si="66"/>
        <v>VV-4-3-11</v>
      </c>
      <c r="D148" t="str">
        <f t="shared" si="67"/>
        <v>1031031</v>
      </c>
      <c r="E148" t="str">
        <f t="shared" si="68"/>
        <v>VV-4-3-11</v>
      </c>
      <c r="F148" t="s">
        <v>695</v>
      </c>
      <c r="G148" t="str">
        <f>INDEX(Sched!$J$213:$O$223, MATCH(ABT!$H148, Sched!$J$213:$J$223, 0), 6)</f>
        <v>15201_CB_DXR2M12P_US</v>
      </c>
      <c r="H148">
        <f t="shared" si="53"/>
        <v>15201</v>
      </c>
      <c r="I148">
        <f t="shared" si="54"/>
        <v>310</v>
      </c>
      <c r="J148" t="b">
        <v>0</v>
      </c>
      <c r="K148">
        <f t="shared" si="55"/>
        <v>31</v>
      </c>
      <c r="L148">
        <v>85</v>
      </c>
      <c r="M148">
        <v>38400</v>
      </c>
      <c r="N148">
        <f t="shared" si="69"/>
        <v>500</v>
      </c>
      <c r="O148">
        <f t="shared" si="70"/>
        <v>140</v>
      </c>
      <c r="P148">
        <f t="shared" si="70"/>
        <v>140</v>
      </c>
      <c r="Q148">
        <f t="shared" si="71"/>
        <v>1.3962634015954636</v>
      </c>
      <c r="R148">
        <f t="shared" si="72"/>
        <v>8</v>
      </c>
      <c r="S148">
        <f t="shared" si="56"/>
        <v>500</v>
      </c>
      <c r="T148">
        <f t="shared" si="57"/>
        <v>500</v>
      </c>
      <c r="U148">
        <f t="shared" si="58"/>
        <v>500</v>
      </c>
      <c r="V148">
        <f t="shared" si="59"/>
        <v>500</v>
      </c>
      <c r="W148">
        <f t="shared" si="60"/>
        <v>500</v>
      </c>
      <c r="X148">
        <f t="shared" si="61"/>
        <v>500</v>
      </c>
      <c r="Y148">
        <v>75</v>
      </c>
      <c r="Z148">
        <f t="shared" si="63"/>
        <v>2</v>
      </c>
      <c r="AA148">
        <v>80</v>
      </c>
      <c r="AB148">
        <v>70</v>
      </c>
      <c r="AC148">
        <f t="shared" si="64"/>
        <v>2</v>
      </c>
      <c r="AD148">
        <v>60</v>
      </c>
      <c r="AE148">
        <v>0.63</v>
      </c>
      <c r="AF148" t="str">
        <f t="shared" si="73"/>
        <v>B_01'Flr_03'B2</v>
      </c>
      <c r="AG148" t="str">
        <f>"R_" &amp; INDEX(Sched!A:AA, MATCH(ABT!$E148, SchedMark, 0), 20)</f>
        <v>R_1305.00</v>
      </c>
      <c r="AH148" t="str">
        <f t="shared" si="73"/>
        <v>B_01'Flr_03'B2</v>
      </c>
      <c r="AI148" t="str">
        <f t="shared" si="62"/>
        <v>VV-4-3-11</v>
      </c>
      <c r="AJ148" t="s">
        <v>1115</v>
      </c>
    </row>
    <row r="149" spans="1:36" x14ac:dyDescent="0.2">
      <c r="A149" s="109" t="s">
        <v>681</v>
      </c>
      <c r="B149" t="str">
        <f t="shared" si="65"/>
        <v>B_01'Flr_03'B2</v>
      </c>
      <c r="C149" t="str">
        <f t="shared" si="66"/>
        <v>VV-4-3-10</v>
      </c>
      <c r="D149" t="str">
        <f t="shared" si="67"/>
        <v>1031032</v>
      </c>
      <c r="E149" t="str">
        <f t="shared" si="68"/>
        <v>VV-4-3-10</v>
      </c>
      <c r="F149" t="s">
        <v>695</v>
      </c>
      <c r="G149" t="str">
        <f>INDEX(Sched!$J$213:$O$223, MATCH(ABT!$H149, Sched!$J$213:$J$223, 0), 6)</f>
        <v>15201_CB_DXR2M12P_US</v>
      </c>
      <c r="H149">
        <f t="shared" si="53"/>
        <v>15201</v>
      </c>
      <c r="I149">
        <f t="shared" si="54"/>
        <v>310</v>
      </c>
      <c r="J149" t="b">
        <v>0</v>
      </c>
      <c r="K149">
        <f t="shared" si="55"/>
        <v>32</v>
      </c>
      <c r="L149">
        <v>85</v>
      </c>
      <c r="M149">
        <v>38400</v>
      </c>
      <c r="N149">
        <f t="shared" si="69"/>
        <v>170</v>
      </c>
      <c r="O149">
        <f t="shared" si="70"/>
        <v>80</v>
      </c>
      <c r="P149">
        <f t="shared" si="70"/>
        <v>80</v>
      </c>
      <c r="Q149">
        <f t="shared" si="71"/>
        <v>0.78539816339744828</v>
      </c>
      <c r="R149">
        <f t="shared" si="72"/>
        <v>6</v>
      </c>
      <c r="S149">
        <f t="shared" si="56"/>
        <v>170</v>
      </c>
      <c r="T149">
        <f t="shared" si="57"/>
        <v>170</v>
      </c>
      <c r="U149">
        <f t="shared" si="58"/>
        <v>170</v>
      </c>
      <c r="V149">
        <f t="shared" si="59"/>
        <v>170</v>
      </c>
      <c r="W149">
        <f t="shared" si="60"/>
        <v>170</v>
      </c>
      <c r="X149">
        <f t="shared" si="61"/>
        <v>170</v>
      </c>
      <c r="Y149">
        <v>75</v>
      </c>
      <c r="Z149">
        <f t="shared" si="63"/>
        <v>2</v>
      </c>
      <c r="AA149">
        <v>80</v>
      </c>
      <c r="AB149">
        <v>70</v>
      </c>
      <c r="AC149">
        <f t="shared" si="64"/>
        <v>2</v>
      </c>
      <c r="AD149">
        <v>60</v>
      </c>
      <c r="AE149">
        <v>0.63</v>
      </c>
      <c r="AF149" t="str">
        <f t="shared" si="73"/>
        <v>B_01'Flr_03'B2</v>
      </c>
      <c r="AG149" t="str">
        <f>"R_" &amp; INDEX(Sched!A:AA, MATCH(ABT!$E149, SchedMark, 0), 20)</f>
        <v>R_1302.04</v>
      </c>
      <c r="AH149" t="str">
        <f t="shared" si="73"/>
        <v>B_01'Flr_03'B2</v>
      </c>
      <c r="AI149" t="str">
        <f t="shared" si="62"/>
        <v>VV-4-3-10</v>
      </c>
      <c r="AJ149" t="s">
        <v>1116</v>
      </c>
    </row>
    <row r="150" spans="1:36" x14ac:dyDescent="0.2">
      <c r="A150" s="109" t="s">
        <v>682</v>
      </c>
      <c r="B150" t="str">
        <f t="shared" si="65"/>
        <v>B_01'Flr_03'B2</v>
      </c>
      <c r="C150" t="str">
        <f t="shared" si="66"/>
        <v>VV-4-3-09</v>
      </c>
      <c r="D150" t="str">
        <f t="shared" si="67"/>
        <v>1031033</v>
      </c>
      <c r="E150" t="str">
        <f t="shared" si="68"/>
        <v>VV-4-3-09</v>
      </c>
      <c r="F150" t="s">
        <v>695</v>
      </c>
      <c r="G150" t="str">
        <f>INDEX(Sched!$J$213:$O$223, MATCH(ABT!$H150, Sched!$J$213:$J$223, 0), 6)</f>
        <v>15201_CB_DXR2M12P_US</v>
      </c>
      <c r="H150">
        <f t="shared" si="53"/>
        <v>15201</v>
      </c>
      <c r="I150">
        <f t="shared" si="54"/>
        <v>310</v>
      </c>
      <c r="J150" t="b">
        <v>0</v>
      </c>
      <c r="K150">
        <f t="shared" si="55"/>
        <v>33</v>
      </c>
      <c r="L150">
        <v>85</v>
      </c>
      <c r="M150">
        <v>38400</v>
      </c>
      <c r="N150">
        <f t="shared" si="69"/>
        <v>200</v>
      </c>
      <c r="O150">
        <f t="shared" si="70"/>
        <v>80</v>
      </c>
      <c r="P150">
        <f t="shared" si="70"/>
        <v>80</v>
      </c>
      <c r="Q150">
        <f t="shared" si="71"/>
        <v>0.78539816339744828</v>
      </c>
      <c r="R150">
        <f t="shared" si="72"/>
        <v>6</v>
      </c>
      <c r="S150">
        <f t="shared" si="56"/>
        <v>200</v>
      </c>
      <c r="T150">
        <f t="shared" si="57"/>
        <v>200</v>
      </c>
      <c r="U150">
        <f t="shared" si="58"/>
        <v>200</v>
      </c>
      <c r="V150">
        <f t="shared" si="59"/>
        <v>200</v>
      </c>
      <c r="W150">
        <f t="shared" si="60"/>
        <v>200</v>
      </c>
      <c r="X150">
        <f t="shared" si="61"/>
        <v>200</v>
      </c>
      <c r="Y150">
        <v>75</v>
      </c>
      <c r="Z150">
        <f t="shared" si="63"/>
        <v>2</v>
      </c>
      <c r="AA150">
        <v>80</v>
      </c>
      <c r="AB150">
        <v>70</v>
      </c>
      <c r="AC150">
        <f t="shared" si="64"/>
        <v>2</v>
      </c>
      <c r="AD150">
        <v>60</v>
      </c>
      <c r="AE150">
        <v>0.63</v>
      </c>
      <c r="AF150" t="str">
        <f t="shared" si="73"/>
        <v>B_01'Flr_03'B2</v>
      </c>
      <c r="AG150" t="str">
        <f>"R_" &amp; INDEX(Sched!A:AA, MATCH(ABT!$E150, SchedMark, 0), 20)</f>
        <v>R_1302.00</v>
      </c>
      <c r="AH150" t="str">
        <f t="shared" si="73"/>
        <v>B_01'Flr_03'B2</v>
      </c>
      <c r="AI150" t="str">
        <f t="shared" si="62"/>
        <v>VV-4-3-09</v>
      </c>
      <c r="AJ150" t="s">
        <v>1117</v>
      </c>
    </row>
    <row r="151" spans="1:36" x14ac:dyDescent="0.2">
      <c r="A151" s="109" t="s">
        <v>683</v>
      </c>
      <c r="B151" t="str">
        <f t="shared" si="65"/>
        <v>B_01'Flr_03'B2</v>
      </c>
      <c r="C151" t="str">
        <f t="shared" si="66"/>
        <v>VV-4-3-08</v>
      </c>
      <c r="D151" t="str">
        <f t="shared" si="67"/>
        <v>1031034</v>
      </c>
      <c r="E151" t="str">
        <f t="shared" si="68"/>
        <v>VV-4-3-08</v>
      </c>
      <c r="F151" t="s">
        <v>695</v>
      </c>
      <c r="G151" t="str">
        <f>INDEX(Sched!$J$213:$O$223, MATCH(ABT!$H151, Sched!$J$213:$J$223, 0), 6)</f>
        <v>15201_CB_DXR2M12P_US</v>
      </c>
      <c r="H151">
        <f t="shared" si="53"/>
        <v>15201</v>
      </c>
      <c r="I151">
        <f t="shared" si="54"/>
        <v>310</v>
      </c>
      <c r="J151" t="b">
        <v>0</v>
      </c>
      <c r="K151">
        <f t="shared" si="55"/>
        <v>34</v>
      </c>
      <c r="L151">
        <v>85</v>
      </c>
      <c r="M151">
        <v>38400</v>
      </c>
      <c r="N151">
        <f t="shared" si="69"/>
        <v>660</v>
      </c>
      <c r="O151">
        <f t="shared" si="70"/>
        <v>140</v>
      </c>
      <c r="P151">
        <f t="shared" si="70"/>
        <v>140</v>
      </c>
      <c r="Q151">
        <f t="shared" si="71"/>
        <v>1.3962634015954636</v>
      </c>
      <c r="R151">
        <f t="shared" si="72"/>
        <v>8</v>
      </c>
      <c r="S151">
        <f t="shared" si="56"/>
        <v>660</v>
      </c>
      <c r="T151">
        <f t="shared" si="57"/>
        <v>660</v>
      </c>
      <c r="U151">
        <f t="shared" si="58"/>
        <v>660</v>
      </c>
      <c r="V151">
        <f t="shared" si="59"/>
        <v>660</v>
      </c>
      <c r="W151">
        <f t="shared" si="60"/>
        <v>660</v>
      </c>
      <c r="X151">
        <f t="shared" si="61"/>
        <v>660</v>
      </c>
      <c r="Y151">
        <v>75</v>
      </c>
      <c r="Z151">
        <f t="shared" si="63"/>
        <v>2</v>
      </c>
      <c r="AA151">
        <v>80</v>
      </c>
      <c r="AB151">
        <v>70</v>
      </c>
      <c r="AC151">
        <f t="shared" si="64"/>
        <v>2</v>
      </c>
      <c r="AD151">
        <v>60</v>
      </c>
      <c r="AE151">
        <v>0.63</v>
      </c>
      <c r="AF151" t="str">
        <f t="shared" si="73"/>
        <v>B_01'Flr_03'B2</v>
      </c>
      <c r="AG151" t="str">
        <f>"R_" &amp; INDEX(Sched!A:AA, MATCH(ABT!$E151, SchedMark, 0), 20)</f>
        <v>R_1303.00</v>
      </c>
      <c r="AH151" t="str">
        <f t="shared" si="73"/>
        <v>B_01'Flr_03'B2</v>
      </c>
      <c r="AI151" t="str">
        <f t="shared" si="62"/>
        <v>VV-4-3-08</v>
      </c>
      <c r="AJ151" t="s">
        <v>1118</v>
      </c>
    </row>
    <row r="152" spans="1:36" x14ac:dyDescent="0.2">
      <c r="A152" s="109" t="s">
        <v>684</v>
      </c>
      <c r="B152" t="str">
        <f t="shared" si="65"/>
        <v>B_01'Flr_03'B2</v>
      </c>
      <c r="C152" t="str">
        <f t="shared" si="66"/>
        <v>VV-4-3-07</v>
      </c>
      <c r="D152" t="str">
        <f t="shared" si="67"/>
        <v>1031035</v>
      </c>
      <c r="E152" t="str">
        <f t="shared" si="68"/>
        <v>VV-4-3-07</v>
      </c>
      <c r="F152" t="s">
        <v>695</v>
      </c>
      <c r="G152" t="str">
        <f>INDEX(Sched!$J$213:$O$223, MATCH(ABT!$H152, Sched!$J$213:$J$223, 0), 6)</f>
        <v>15201_CB_DXR2M12P_US</v>
      </c>
      <c r="H152">
        <f t="shared" si="53"/>
        <v>15201</v>
      </c>
      <c r="I152">
        <f t="shared" si="54"/>
        <v>310</v>
      </c>
      <c r="J152" t="b">
        <v>0</v>
      </c>
      <c r="K152">
        <f t="shared" si="55"/>
        <v>35</v>
      </c>
      <c r="L152">
        <v>85</v>
      </c>
      <c r="M152">
        <v>38400</v>
      </c>
      <c r="N152">
        <f t="shared" si="69"/>
        <v>570</v>
      </c>
      <c r="O152">
        <f t="shared" si="70"/>
        <v>140</v>
      </c>
      <c r="P152">
        <f t="shared" si="70"/>
        <v>140</v>
      </c>
      <c r="Q152">
        <f t="shared" si="71"/>
        <v>1.3962634015954636</v>
      </c>
      <c r="R152">
        <f t="shared" si="72"/>
        <v>8</v>
      </c>
      <c r="S152">
        <f t="shared" si="56"/>
        <v>570</v>
      </c>
      <c r="T152">
        <f t="shared" si="57"/>
        <v>570</v>
      </c>
      <c r="U152">
        <f t="shared" si="58"/>
        <v>570</v>
      </c>
      <c r="V152">
        <f t="shared" si="59"/>
        <v>570</v>
      </c>
      <c r="W152">
        <f t="shared" si="60"/>
        <v>570</v>
      </c>
      <c r="X152">
        <f t="shared" si="61"/>
        <v>570</v>
      </c>
      <c r="Y152">
        <v>75</v>
      </c>
      <c r="Z152">
        <f t="shared" si="63"/>
        <v>2</v>
      </c>
      <c r="AA152">
        <v>80</v>
      </c>
      <c r="AB152">
        <v>70</v>
      </c>
      <c r="AC152">
        <f t="shared" si="64"/>
        <v>2</v>
      </c>
      <c r="AD152">
        <v>60</v>
      </c>
      <c r="AE152">
        <v>0.63</v>
      </c>
      <c r="AF152" t="str">
        <f t="shared" si="73"/>
        <v>B_01'Flr_03'B2</v>
      </c>
      <c r="AG152" t="str">
        <f>"R_" &amp; INDEX(Sched!A:AA, MATCH(ABT!$E152, SchedMark, 0), 20)</f>
        <v>R_1301.00</v>
      </c>
      <c r="AH152" t="str">
        <f t="shared" si="73"/>
        <v>B_01'Flr_03'B2</v>
      </c>
      <c r="AI152" t="str">
        <f t="shared" si="62"/>
        <v>VV-4-3-07</v>
      </c>
      <c r="AJ152" s="10" t="s">
        <v>1119</v>
      </c>
    </row>
    <row r="153" spans="1:36" x14ac:dyDescent="0.2">
      <c r="A153" s="109" t="s">
        <v>685</v>
      </c>
      <c r="B153" t="str">
        <f t="shared" si="65"/>
        <v>B_01'Flr_03'A2</v>
      </c>
      <c r="C153" t="str">
        <f t="shared" si="66"/>
        <v>VV-4-3-04</v>
      </c>
      <c r="D153" t="str">
        <f t="shared" si="67"/>
        <v>1031036</v>
      </c>
      <c r="E153" t="str">
        <f t="shared" si="68"/>
        <v>VV-4-3-04</v>
      </c>
      <c r="F153" t="s">
        <v>695</v>
      </c>
      <c r="G153" t="str">
        <f>INDEX(Sched!$J$213:$O$223, MATCH(ABT!$H153, Sched!$J$213:$J$223, 0), 6)</f>
        <v>15201_CB_DXR2M12P_US</v>
      </c>
      <c r="H153">
        <f t="shared" si="53"/>
        <v>15201</v>
      </c>
      <c r="I153">
        <f t="shared" si="54"/>
        <v>310</v>
      </c>
      <c r="J153" t="b">
        <v>0</v>
      </c>
      <c r="K153">
        <f t="shared" si="55"/>
        <v>36</v>
      </c>
      <c r="L153">
        <v>85</v>
      </c>
      <c r="M153">
        <v>38400</v>
      </c>
      <c r="N153">
        <f t="shared" si="69"/>
        <v>160</v>
      </c>
      <c r="O153">
        <f t="shared" si="70"/>
        <v>80</v>
      </c>
      <c r="P153">
        <f t="shared" si="70"/>
        <v>80</v>
      </c>
      <c r="Q153">
        <f t="shared" si="71"/>
        <v>0.78539816339744828</v>
      </c>
      <c r="R153">
        <f t="shared" si="72"/>
        <v>6</v>
      </c>
      <c r="S153">
        <f t="shared" si="56"/>
        <v>160</v>
      </c>
      <c r="T153">
        <f t="shared" si="57"/>
        <v>160</v>
      </c>
      <c r="U153">
        <f t="shared" si="58"/>
        <v>160</v>
      </c>
      <c r="V153">
        <f t="shared" si="59"/>
        <v>160</v>
      </c>
      <c r="W153">
        <f t="shared" si="60"/>
        <v>160</v>
      </c>
      <c r="X153">
        <f t="shared" si="61"/>
        <v>160</v>
      </c>
      <c r="Y153">
        <v>75</v>
      </c>
      <c r="Z153">
        <f t="shared" si="63"/>
        <v>2</v>
      </c>
      <c r="AA153">
        <v>80</v>
      </c>
      <c r="AB153">
        <v>70</v>
      </c>
      <c r="AC153">
        <f t="shared" si="64"/>
        <v>2</v>
      </c>
      <c r="AD153">
        <v>60</v>
      </c>
      <c r="AE153">
        <v>0.63</v>
      </c>
      <c r="AF153" t="str">
        <f t="shared" si="73"/>
        <v>B_01'Flr_03'A2</v>
      </c>
      <c r="AG153" t="str">
        <f>"R_" &amp; INDEX(Sched!A:AA, MATCH(ABT!$E153, SchedMark, 0), 20)</f>
        <v>R_1333.05</v>
      </c>
      <c r="AH153" t="str">
        <f t="shared" si="73"/>
        <v>B_01'Flr_03'A2</v>
      </c>
      <c r="AI153" t="str">
        <f t="shared" si="62"/>
        <v>VV-4-3-04</v>
      </c>
      <c r="AJ153" t="s">
        <v>1120</v>
      </c>
    </row>
    <row r="154" spans="1:36" x14ac:dyDescent="0.2">
      <c r="A154" s="109" t="s">
        <v>686</v>
      </c>
      <c r="B154" t="str">
        <f t="shared" si="65"/>
        <v>B_01'Flr_03'A2</v>
      </c>
      <c r="C154" t="str">
        <f t="shared" si="66"/>
        <v>VV-4-3-03</v>
      </c>
      <c r="D154" t="str">
        <f t="shared" si="67"/>
        <v>1031037</v>
      </c>
      <c r="E154" t="str">
        <f t="shared" si="68"/>
        <v>VV-4-3-03</v>
      </c>
      <c r="F154" t="s">
        <v>695</v>
      </c>
      <c r="G154" t="str">
        <f>INDEX(Sched!$J$213:$O$223, MATCH(ABT!$H154, Sched!$J$213:$J$223, 0), 6)</f>
        <v>15201_CB_DXR2M12P_US</v>
      </c>
      <c r="H154">
        <f t="shared" si="53"/>
        <v>15201</v>
      </c>
      <c r="I154">
        <f t="shared" si="54"/>
        <v>310</v>
      </c>
      <c r="J154" t="b">
        <v>0</v>
      </c>
      <c r="K154">
        <f t="shared" si="55"/>
        <v>37</v>
      </c>
      <c r="L154">
        <v>85</v>
      </c>
      <c r="M154">
        <v>38400</v>
      </c>
      <c r="N154">
        <f t="shared" si="69"/>
        <v>115</v>
      </c>
      <c r="O154">
        <f t="shared" si="70"/>
        <v>115</v>
      </c>
      <c r="P154">
        <f t="shared" si="70"/>
        <v>115</v>
      </c>
      <c r="Q154">
        <f t="shared" si="71"/>
        <v>0.78539816339744828</v>
      </c>
      <c r="R154">
        <f t="shared" si="72"/>
        <v>6</v>
      </c>
      <c r="S154">
        <f t="shared" si="56"/>
        <v>115</v>
      </c>
      <c r="T154">
        <f t="shared" si="57"/>
        <v>115</v>
      </c>
      <c r="U154">
        <f t="shared" si="58"/>
        <v>115</v>
      </c>
      <c r="V154">
        <f t="shared" si="59"/>
        <v>115</v>
      </c>
      <c r="W154">
        <f t="shared" si="60"/>
        <v>115</v>
      </c>
      <c r="X154">
        <f t="shared" si="61"/>
        <v>115</v>
      </c>
      <c r="Y154">
        <v>75</v>
      </c>
      <c r="Z154">
        <f t="shared" si="63"/>
        <v>2</v>
      </c>
      <c r="AA154">
        <v>80</v>
      </c>
      <c r="AB154">
        <v>70</v>
      </c>
      <c r="AC154">
        <f t="shared" si="64"/>
        <v>2</v>
      </c>
      <c r="AD154">
        <v>60</v>
      </c>
      <c r="AE154">
        <v>0.63</v>
      </c>
      <c r="AF154" t="str">
        <f t="shared" si="73"/>
        <v>B_01'Flr_03'A2</v>
      </c>
      <c r="AG154" t="str">
        <f>"R_" &amp; INDEX(Sched!A:AA, MATCH(ABT!$E154, SchedMark, 0), 20)</f>
        <v>R_1333.02</v>
      </c>
      <c r="AH154" t="str">
        <f t="shared" si="73"/>
        <v>B_01'Flr_03'A2</v>
      </c>
      <c r="AI154" t="str">
        <f t="shared" si="62"/>
        <v>VV-4-3-03</v>
      </c>
      <c r="AJ154" t="s">
        <v>1121</v>
      </c>
    </row>
    <row r="155" spans="1:36" x14ac:dyDescent="0.2">
      <c r="A155" s="109" t="s">
        <v>687</v>
      </c>
      <c r="B155" t="str">
        <f t="shared" si="65"/>
        <v>B_01'Flr_03'A2</v>
      </c>
      <c r="C155" t="str">
        <f t="shared" si="66"/>
        <v>VV-4-3-01</v>
      </c>
      <c r="D155" t="str">
        <f t="shared" si="67"/>
        <v>1031038</v>
      </c>
      <c r="E155" t="str">
        <f t="shared" si="68"/>
        <v>VV-4-3-01</v>
      </c>
      <c r="F155" t="s">
        <v>695</v>
      </c>
      <c r="G155" t="str">
        <f>INDEX(Sched!$J$213:$O$223, MATCH(ABT!$H155, Sched!$J$213:$J$223, 0), 6)</f>
        <v>15201_CB_DXR2M12P_US</v>
      </c>
      <c r="H155">
        <f t="shared" si="53"/>
        <v>15201</v>
      </c>
      <c r="I155">
        <f t="shared" si="54"/>
        <v>310</v>
      </c>
      <c r="J155" t="b">
        <v>0</v>
      </c>
      <c r="K155">
        <f t="shared" si="55"/>
        <v>38</v>
      </c>
      <c r="L155">
        <v>85</v>
      </c>
      <c r="M155">
        <v>38400</v>
      </c>
      <c r="N155">
        <f t="shared" si="69"/>
        <v>600</v>
      </c>
      <c r="O155">
        <f t="shared" si="70"/>
        <v>140</v>
      </c>
      <c r="P155">
        <f t="shared" si="70"/>
        <v>140</v>
      </c>
      <c r="Q155">
        <f t="shared" si="71"/>
        <v>1.3962634015954636</v>
      </c>
      <c r="R155">
        <f t="shared" si="72"/>
        <v>8</v>
      </c>
      <c r="S155">
        <f t="shared" si="56"/>
        <v>600</v>
      </c>
      <c r="T155">
        <f t="shared" si="57"/>
        <v>600</v>
      </c>
      <c r="U155">
        <f t="shared" si="58"/>
        <v>600</v>
      </c>
      <c r="V155">
        <f t="shared" si="59"/>
        <v>600</v>
      </c>
      <c r="W155">
        <f t="shared" si="60"/>
        <v>600</v>
      </c>
      <c r="X155">
        <f t="shared" si="61"/>
        <v>600</v>
      </c>
      <c r="Y155">
        <v>75</v>
      </c>
      <c r="Z155">
        <f t="shared" si="63"/>
        <v>2</v>
      </c>
      <c r="AA155">
        <v>80</v>
      </c>
      <c r="AB155">
        <v>70</v>
      </c>
      <c r="AC155">
        <f t="shared" si="64"/>
        <v>2</v>
      </c>
      <c r="AD155">
        <v>60</v>
      </c>
      <c r="AE155">
        <v>0.63</v>
      </c>
      <c r="AF155" t="str">
        <f t="shared" si="73"/>
        <v>B_01'Flr_03'A2</v>
      </c>
      <c r="AG155" t="str">
        <f>"R_" &amp; INDEX(Sched!A:AA, MATCH(ABT!$E155, SchedMark, 0), 20)</f>
        <v>R_1331.00</v>
      </c>
      <c r="AH155" t="str">
        <f t="shared" si="73"/>
        <v>B_01'Flr_03'A2</v>
      </c>
      <c r="AI155" t="str">
        <f t="shared" si="62"/>
        <v>VV-4-3-01</v>
      </c>
      <c r="AJ155" t="s">
        <v>1122</v>
      </c>
    </row>
    <row r="156" spans="1:36" x14ac:dyDescent="0.2">
      <c r="A156" s="109" t="s">
        <v>688</v>
      </c>
      <c r="B156" t="str">
        <f t="shared" si="65"/>
        <v>B_01'Flr_03'A1</v>
      </c>
      <c r="C156" t="str">
        <f t="shared" si="66"/>
        <v>VV-3-3-19</v>
      </c>
      <c r="D156" t="str">
        <f t="shared" si="67"/>
        <v>1031043</v>
      </c>
      <c r="E156" t="str">
        <f t="shared" si="68"/>
        <v>VV-3-3-19</v>
      </c>
      <c r="F156" t="s">
        <v>695</v>
      </c>
      <c r="G156" t="str">
        <f>INDEX(Sched!$J$213:$O$223, MATCH(ABT!$H156, Sched!$J$213:$J$223, 0), 6)</f>
        <v>15201_CB_DXR2M12P_US</v>
      </c>
      <c r="H156">
        <f t="shared" si="53"/>
        <v>15201</v>
      </c>
      <c r="I156">
        <f t="shared" si="54"/>
        <v>310</v>
      </c>
      <c r="J156" t="b">
        <v>0</v>
      </c>
      <c r="K156">
        <f t="shared" si="55"/>
        <v>43</v>
      </c>
      <c r="L156">
        <v>85</v>
      </c>
      <c r="M156">
        <v>38400</v>
      </c>
      <c r="N156">
        <f t="shared" si="69"/>
        <v>500</v>
      </c>
      <c r="O156">
        <f t="shared" si="70"/>
        <v>500</v>
      </c>
      <c r="P156">
        <f t="shared" si="70"/>
        <v>500</v>
      </c>
      <c r="Q156">
        <f t="shared" si="71"/>
        <v>1.3962634015954636</v>
      </c>
      <c r="R156">
        <f t="shared" si="72"/>
        <v>8</v>
      </c>
      <c r="S156">
        <f t="shared" si="56"/>
        <v>500</v>
      </c>
      <c r="T156">
        <f t="shared" si="57"/>
        <v>500</v>
      </c>
      <c r="U156">
        <f t="shared" si="58"/>
        <v>500</v>
      </c>
      <c r="V156">
        <f t="shared" si="59"/>
        <v>500</v>
      </c>
      <c r="W156">
        <f t="shared" si="60"/>
        <v>500</v>
      </c>
      <c r="X156">
        <f t="shared" si="61"/>
        <v>500</v>
      </c>
      <c r="Y156">
        <v>75</v>
      </c>
      <c r="Z156">
        <f t="shared" si="63"/>
        <v>2</v>
      </c>
      <c r="AA156">
        <v>80</v>
      </c>
      <c r="AB156">
        <v>70</v>
      </c>
      <c r="AC156">
        <f t="shared" si="64"/>
        <v>2</v>
      </c>
      <c r="AD156">
        <v>60</v>
      </c>
      <c r="AE156">
        <v>0.63</v>
      </c>
      <c r="AF156" t="str">
        <f t="shared" si="73"/>
        <v>B_01'Flr_03'A1</v>
      </c>
      <c r="AG156" t="str">
        <f>"R_" &amp; INDEX(Sched!A:AA, MATCH(ABT!$E156, SchedMark, 0), 20)</f>
        <v>R_1300.06</v>
      </c>
      <c r="AH156" t="str">
        <f t="shared" si="73"/>
        <v>B_01'Flr_03'A1</v>
      </c>
      <c r="AI156" t="str">
        <f t="shared" si="62"/>
        <v>VV-3-3-19</v>
      </c>
      <c r="AJ156" t="s">
        <v>1123</v>
      </c>
    </row>
    <row r="157" spans="1:36" x14ac:dyDescent="0.2">
      <c r="A157" s="109" t="s">
        <v>689</v>
      </c>
      <c r="B157" t="str">
        <f t="shared" si="65"/>
        <v>B_01'Flr_03'A</v>
      </c>
      <c r="C157" t="str">
        <f t="shared" si="66"/>
        <v>VV-4-3-22</v>
      </c>
      <c r="D157" t="str">
        <f t="shared" si="67"/>
        <v>1031044</v>
      </c>
      <c r="E157" t="str">
        <f t="shared" si="68"/>
        <v>VV-4-3-22</v>
      </c>
      <c r="F157" t="s">
        <v>695</v>
      </c>
      <c r="G157" t="str">
        <f>INDEX(Sched!$J$213:$O$223, MATCH(ABT!$H157, Sched!$J$213:$J$223, 0), 6)</f>
        <v>15201_CB_DXR2M12P_US</v>
      </c>
      <c r="H157">
        <f t="shared" si="53"/>
        <v>15201</v>
      </c>
      <c r="I157">
        <f t="shared" si="54"/>
        <v>310</v>
      </c>
      <c r="J157" t="b">
        <v>0</v>
      </c>
      <c r="K157">
        <f t="shared" si="55"/>
        <v>44</v>
      </c>
      <c r="L157">
        <v>85</v>
      </c>
      <c r="M157">
        <v>38400</v>
      </c>
      <c r="N157">
        <f t="shared" si="69"/>
        <v>100</v>
      </c>
      <c r="O157">
        <f t="shared" si="70"/>
        <v>80</v>
      </c>
      <c r="P157">
        <f t="shared" si="70"/>
        <v>80</v>
      </c>
      <c r="Q157">
        <f t="shared" si="71"/>
        <v>0.78539816339744828</v>
      </c>
      <c r="R157">
        <f t="shared" si="72"/>
        <v>6</v>
      </c>
      <c r="S157">
        <f t="shared" si="56"/>
        <v>100</v>
      </c>
      <c r="T157">
        <f t="shared" si="57"/>
        <v>100</v>
      </c>
      <c r="U157">
        <f t="shared" si="58"/>
        <v>100</v>
      </c>
      <c r="V157">
        <f t="shared" si="59"/>
        <v>100</v>
      </c>
      <c r="W157">
        <f t="shared" si="60"/>
        <v>100</v>
      </c>
      <c r="X157">
        <f t="shared" si="61"/>
        <v>100</v>
      </c>
      <c r="Y157">
        <v>75</v>
      </c>
      <c r="Z157">
        <f t="shared" si="63"/>
        <v>2</v>
      </c>
      <c r="AA157">
        <v>80</v>
      </c>
      <c r="AB157">
        <v>70</v>
      </c>
      <c r="AC157">
        <f t="shared" si="64"/>
        <v>2</v>
      </c>
      <c r="AD157">
        <v>60</v>
      </c>
      <c r="AE157">
        <v>0.63</v>
      </c>
      <c r="AF157" t="str">
        <f t="shared" si="73"/>
        <v>B_01'Flr_03'A</v>
      </c>
      <c r="AG157" t="str">
        <f>"R_" &amp; INDEX(Sched!A:AA, MATCH(ABT!$E157, SchedMark, 0), 20)</f>
        <v>R_1325.02</v>
      </c>
      <c r="AH157" t="str">
        <f t="shared" si="73"/>
        <v>B_01'Flr_03'A</v>
      </c>
      <c r="AI157" t="str">
        <f t="shared" si="62"/>
        <v>VV-4-3-22</v>
      </c>
      <c r="AJ157" t="s">
        <v>1124</v>
      </c>
    </row>
    <row r="158" spans="1:36" x14ac:dyDescent="0.2">
      <c r="A158" s="109" t="s">
        <v>690</v>
      </c>
      <c r="B158" t="str">
        <f t="shared" si="65"/>
        <v>B_01'Flr_03'A1</v>
      </c>
      <c r="C158" t="str">
        <f t="shared" si="66"/>
        <v>VV-3-3-10</v>
      </c>
      <c r="D158" t="str">
        <f t="shared" si="67"/>
        <v>1031045</v>
      </c>
      <c r="E158" t="str">
        <f t="shared" si="68"/>
        <v>VV-3-3-10</v>
      </c>
      <c r="F158" t="s">
        <v>695</v>
      </c>
      <c r="G158" t="str">
        <f>INDEX(Sched!$J$213:$O$223, MATCH(ABT!$H158, Sched!$J$213:$J$223, 0), 6)</f>
        <v>15201_CB_DXR2M12P_US</v>
      </c>
      <c r="H158">
        <f t="shared" si="53"/>
        <v>15201</v>
      </c>
      <c r="I158">
        <f t="shared" si="54"/>
        <v>310</v>
      </c>
      <c r="J158" t="b">
        <v>0</v>
      </c>
      <c r="K158">
        <f t="shared" si="55"/>
        <v>45</v>
      </c>
      <c r="L158">
        <v>85</v>
      </c>
      <c r="M158">
        <v>38400</v>
      </c>
      <c r="N158">
        <f t="shared" si="69"/>
        <v>600</v>
      </c>
      <c r="O158">
        <f t="shared" si="70"/>
        <v>600</v>
      </c>
      <c r="P158">
        <f t="shared" si="70"/>
        <v>600</v>
      </c>
      <c r="Q158">
        <f t="shared" si="71"/>
        <v>1.3962634015954636</v>
      </c>
      <c r="R158">
        <f t="shared" si="72"/>
        <v>8</v>
      </c>
      <c r="S158">
        <f t="shared" si="56"/>
        <v>600</v>
      </c>
      <c r="T158">
        <f t="shared" si="57"/>
        <v>600</v>
      </c>
      <c r="U158">
        <f t="shared" si="58"/>
        <v>600</v>
      </c>
      <c r="V158">
        <f t="shared" si="59"/>
        <v>600</v>
      </c>
      <c r="W158">
        <f t="shared" si="60"/>
        <v>600</v>
      </c>
      <c r="X158">
        <f t="shared" si="61"/>
        <v>600</v>
      </c>
      <c r="Y158">
        <v>75</v>
      </c>
      <c r="Z158">
        <f t="shared" si="63"/>
        <v>2</v>
      </c>
      <c r="AA158">
        <v>80</v>
      </c>
      <c r="AB158">
        <v>70</v>
      </c>
      <c r="AC158">
        <f t="shared" si="64"/>
        <v>2</v>
      </c>
      <c r="AD158">
        <v>60</v>
      </c>
      <c r="AE158">
        <v>0.63</v>
      </c>
      <c r="AF158" t="str">
        <f t="shared" si="73"/>
        <v>B_01'Flr_03'A1</v>
      </c>
      <c r="AG158" t="str">
        <f>"R_" &amp; INDEX(Sched!A:AA, MATCH(ABT!$E158, SchedMark, 0), 20)</f>
        <v>R_1300.02</v>
      </c>
      <c r="AH158" t="str">
        <f t="shared" si="73"/>
        <v>B_01'Flr_03'A1</v>
      </c>
      <c r="AI158" t="str">
        <f t="shared" si="62"/>
        <v>VV-3-3-10</v>
      </c>
      <c r="AJ158" t="s">
        <v>1125</v>
      </c>
    </row>
    <row r="159" spans="1:36" x14ac:dyDescent="0.2">
      <c r="A159" s="109" t="s">
        <v>691</v>
      </c>
      <c r="B159" t="str">
        <f t="shared" si="65"/>
        <v>B_01'Flr_03'A1</v>
      </c>
      <c r="C159" t="str">
        <f t="shared" si="66"/>
        <v>VV-3-3-04</v>
      </c>
      <c r="D159" t="str">
        <f t="shared" si="67"/>
        <v>1031046</v>
      </c>
      <c r="E159" t="str">
        <f t="shared" si="68"/>
        <v>VV-3-3-04</v>
      </c>
      <c r="F159" t="s">
        <v>695</v>
      </c>
      <c r="G159" t="str">
        <f>INDEX(Sched!$J$213:$O$223, MATCH(ABT!$H159, Sched!$J$213:$J$223, 0), 6)</f>
        <v>15201_CB_DXR2M12P_US</v>
      </c>
      <c r="H159">
        <f t="shared" si="53"/>
        <v>15201</v>
      </c>
      <c r="I159">
        <f t="shared" si="54"/>
        <v>310</v>
      </c>
      <c r="J159" t="b">
        <v>0</v>
      </c>
      <c r="K159">
        <f t="shared" si="55"/>
        <v>46</v>
      </c>
      <c r="L159">
        <v>85</v>
      </c>
      <c r="M159">
        <v>38400</v>
      </c>
      <c r="N159">
        <f t="shared" si="69"/>
        <v>100</v>
      </c>
      <c r="O159">
        <f t="shared" si="70"/>
        <v>80</v>
      </c>
      <c r="P159">
        <f t="shared" si="70"/>
        <v>80</v>
      </c>
      <c r="Q159">
        <f t="shared" si="71"/>
        <v>0.78539816339744828</v>
      </c>
      <c r="R159">
        <f t="shared" si="72"/>
        <v>6</v>
      </c>
      <c r="S159">
        <f t="shared" si="56"/>
        <v>100</v>
      </c>
      <c r="T159">
        <f t="shared" si="57"/>
        <v>100</v>
      </c>
      <c r="U159">
        <f t="shared" si="58"/>
        <v>100</v>
      </c>
      <c r="V159">
        <f t="shared" si="59"/>
        <v>100</v>
      </c>
      <c r="W159">
        <f t="shared" si="60"/>
        <v>100</v>
      </c>
      <c r="X159">
        <f t="shared" si="61"/>
        <v>100</v>
      </c>
      <c r="Y159">
        <v>75</v>
      </c>
      <c r="Z159">
        <f t="shared" si="63"/>
        <v>2</v>
      </c>
      <c r="AA159">
        <v>80</v>
      </c>
      <c r="AB159">
        <v>70</v>
      </c>
      <c r="AC159">
        <f t="shared" si="64"/>
        <v>2</v>
      </c>
      <c r="AD159">
        <v>60</v>
      </c>
      <c r="AE159">
        <v>0.63</v>
      </c>
      <c r="AF159" t="str">
        <f t="shared" si="73"/>
        <v>B_01'Flr_03'A1</v>
      </c>
      <c r="AG159" t="str">
        <f>"R_" &amp; INDEX(Sched!A:AA, MATCH(ABT!$E159, SchedMark, 0), 20)</f>
        <v>R_1317.07</v>
      </c>
      <c r="AH159" t="str">
        <f t="shared" si="73"/>
        <v>B_01'Flr_03'A1</v>
      </c>
      <c r="AI159" t="str">
        <f t="shared" si="62"/>
        <v>VV-3-3-04</v>
      </c>
      <c r="AJ159" t="s">
        <v>1126</v>
      </c>
    </row>
    <row r="160" spans="1:36" x14ac:dyDescent="0.2">
      <c r="A160" s="109" t="s">
        <v>692</v>
      </c>
      <c r="B160" t="str">
        <f t="shared" si="65"/>
        <v>B_01'Flr_03'A1</v>
      </c>
      <c r="C160" t="str">
        <f t="shared" si="66"/>
        <v>VV-3-3-03</v>
      </c>
      <c r="D160" t="str">
        <f t="shared" si="67"/>
        <v>1031047</v>
      </c>
      <c r="E160" t="str">
        <f t="shared" si="68"/>
        <v>VV-3-3-03</v>
      </c>
      <c r="F160" t="s">
        <v>695</v>
      </c>
      <c r="G160" t="str">
        <f>INDEX(Sched!$J$213:$O$223, MATCH(ABT!$H160, Sched!$J$213:$J$223, 0), 6)</f>
        <v>15201_CB_DXR2M12P_US</v>
      </c>
      <c r="H160">
        <f t="shared" si="53"/>
        <v>15201</v>
      </c>
      <c r="I160">
        <f t="shared" si="54"/>
        <v>310</v>
      </c>
      <c r="J160" t="b">
        <v>0</v>
      </c>
      <c r="K160">
        <f t="shared" si="55"/>
        <v>47</v>
      </c>
      <c r="L160">
        <v>85</v>
      </c>
      <c r="M160">
        <v>38400</v>
      </c>
      <c r="N160">
        <f t="shared" si="69"/>
        <v>150</v>
      </c>
      <c r="O160">
        <f t="shared" si="70"/>
        <v>80</v>
      </c>
      <c r="P160">
        <f t="shared" si="70"/>
        <v>80</v>
      </c>
      <c r="Q160">
        <f t="shared" si="71"/>
        <v>0.78539816339744828</v>
      </c>
      <c r="R160">
        <f t="shared" si="72"/>
        <v>6</v>
      </c>
      <c r="S160">
        <f t="shared" si="56"/>
        <v>150</v>
      </c>
      <c r="T160">
        <f t="shared" si="57"/>
        <v>150</v>
      </c>
      <c r="U160">
        <f t="shared" si="58"/>
        <v>150</v>
      </c>
      <c r="V160">
        <f t="shared" si="59"/>
        <v>150</v>
      </c>
      <c r="W160">
        <f t="shared" si="60"/>
        <v>150</v>
      </c>
      <c r="X160">
        <f t="shared" si="61"/>
        <v>150</v>
      </c>
      <c r="Y160">
        <v>75</v>
      </c>
      <c r="Z160">
        <f t="shared" si="63"/>
        <v>2</v>
      </c>
      <c r="AA160">
        <v>80</v>
      </c>
      <c r="AB160">
        <v>70</v>
      </c>
      <c r="AC160">
        <f t="shared" si="64"/>
        <v>2</v>
      </c>
      <c r="AD160">
        <v>60</v>
      </c>
      <c r="AE160">
        <v>0.63</v>
      </c>
      <c r="AF160" t="str">
        <f t="shared" si="73"/>
        <v>B_01'Flr_03'A1</v>
      </c>
      <c r="AG160" t="str">
        <f>"R_" &amp; INDEX(Sched!A:AA, MATCH(ABT!$E160, SchedMark, 0), 20)</f>
        <v>R_1317.03</v>
      </c>
      <c r="AH160" t="str">
        <f t="shared" si="73"/>
        <v>B_01'Flr_03'A1</v>
      </c>
      <c r="AI160" t="str">
        <f t="shared" si="62"/>
        <v>VV-3-3-03</v>
      </c>
      <c r="AJ160" t="s">
        <v>1127</v>
      </c>
    </row>
    <row r="161" spans="1:36" x14ac:dyDescent="0.2">
      <c r="A161" s="109" t="s">
        <v>693</v>
      </c>
      <c r="B161" t="str">
        <f t="shared" si="65"/>
        <v>B_01'Flr_03'A1</v>
      </c>
      <c r="C161" t="str">
        <f t="shared" si="66"/>
        <v>VV-3-3-02</v>
      </c>
      <c r="D161" t="str">
        <f t="shared" si="67"/>
        <v>1031048</v>
      </c>
      <c r="E161" t="str">
        <f t="shared" si="68"/>
        <v>VV-3-3-02</v>
      </c>
      <c r="F161" t="s">
        <v>695</v>
      </c>
      <c r="G161" t="str">
        <f>INDEX(Sched!$J$213:$O$223, MATCH(ABT!$H161, Sched!$J$213:$J$223, 0), 6)</f>
        <v>15201_CB_DXR2M12P_US</v>
      </c>
      <c r="H161">
        <f t="shared" si="53"/>
        <v>15201</v>
      </c>
      <c r="I161">
        <f t="shared" si="54"/>
        <v>310</v>
      </c>
      <c r="J161" t="b">
        <v>0</v>
      </c>
      <c r="K161">
        <f t="shared" si="55"/>
        <v>48</v>
      </c>
      <c r="L161">
        <v>85</v>
      </c>
      <c r="M161">
        <v>38400</v>
      </c>
      <c r="N161">
        <f t="shared" si="69"/>
        <v>75</v>
      </c>
      <c r="O161">
        <f t="shared" si="70"/>
        <v>80</v>
      </c>
      <c r="P161">
        <f t="shared" si="70"/>
        <v>80</v>
      </c>
      <c r="Q161">
        <f t="shared" si="71"/>
        <v>0.78539816339744828</v>
      </c>
      <c r="R161">
        <f t="shared" si="72"/>
        <v>6</v>
      </c>
      <c r="S161">
        <f t="shared" si="56"/>
        <v>75</v>
      </c>
      <c r="T161">
        <f t="shared" si="57"/>
        <v>75</v>
      </c>
      <c r="U161">
        <f t="shared" si="58"/>
        <v>75</v>
      </c>
      <c r="V161">
        <f t="shared" si="59"/>
        <v>75</v>
      </c>
      <c r="W161">
        <f t="shared" si="60"/>
        <v>75</v>
      </c>
      <c r="X161">
        <f t="shared" si="61"/>
        <v>75</v>
      </c>
      <c r="Y161">
        <v>75</v>
      </c>
      <c r="Z161">
        <f t="shared" si="63"/>
        <v>2</v>
      </c>
      <c r="AA161">
        <v>80</v>
      </c>
      <c r="AB161">
        <v>70</v>
      </c>
      <c r="AC161">
        <f t="shared" si="64"/>
        <v>2</v>
      </c>
      <c r="AD161">
        <v>60</v>
      </c>
      <c r="AE161">
        <v>0.63</v>
      </c>
      <c r="AF161" t="str">
        <f t="shared" si="73"/>
        <v>B_01'Flr_03'A1</v>
      </c>
      <c r="AG161" t="str">
        <f>"R_" &amp; INDEX(Sched!A:AA, MATCH(ABT!$E161, SchedMark, 0), 20)</f>
        <v>R_1317.02</v>
      </c>
      <c r="AH161" t="str">
        <f t="shared" si="73"/>
        <v>B_01'Flr_03'A1</v>
      </c>
      <c r="AI161" t="str">
        <f t="shared" si="62"/>
        <v>VV-3-3-02</v>
      </c>
      <c r="AJ161" t="s">
        <v>1128</v>
      </c>
    </row>
    <row r="162" spans="1:36" x14ac:dyDescent="0.2">
      <c r="A162" s="109" t="s">
        <v>694</v>
      </c>
      <c r="B162" t="str">
        <f t="shared" si="65"/>
        <v>B_01'Flr_03'A1</v>
      </c>
      <c r="C162" t="str">
        <f t="shared" si="66"/>
        <v>VV-3-3-01</v>
      </c>
      <c r="D162" t="str">
        <f t="shared" si="67"/>
        <v>1031049</v>
      </c>
      <c r="E162" t="str">
        <f t="shared" si="68"/>
        <v>VV-3-3-01</v>
      </c>
      <c r="F162" t="s">
        <v>695</v>
      </c>
      <c r="G162" t="str">
        <f>INDEX(Sched!$J$213:$O$223, MATCH(ABT!$H162, Sched!$J$213:$J$223, 0), 6)</f>
        <v>15201_CB_DXR2M12P_US</v>
      </c>
      <c r="H162">
        <f t="shared" si="53"/>
        <v>15201</v>
      </c>
      <c r="I162">
        <f t="shared" si="54"/>
        <v>310</v>
      </c>
      <c r="J162" t="b">
        <v>0</v>
      </c>
      <c r="K162">
        <f t="shared" si="55"/>
        <v>49</v>
      </c>
      <c r="L162">
        <v>85</v>
      </c>
      <c r="M162">
        <v>38400</v>
      </c>
      <c r="N162">
        <f t="shared" si="69"/>
        <v>660</v>
      </c>
      <c r="O162">
        <f t="shared" si="70"/>
        <v>140</v>
      </c>
      <c r="P162">
        <f t="shared" si="70"/>
        <v>140</v>
      </c>
      <c r="Q162">
        <f t="shared" si="71"/>
        <v>1.3962634015954636</v>
      </c>
      <c r="R162">
        <f t="shared" si="72"/>
        <v>8</v>
      </c>
      <c r="S162">
        <f t="shared" si="56"/>
        <v>660</v>
      </c>
      <c r="T162">
        <f t="shared" si="57"/>
        <v>660</v>
      </c>
      <c r="U162">
        <f t="shared" si="58"/>
        <v>660</v>
      </c>
      <c r="V162">
        <f t="shared" si="59"/>
        <v>660</v>
      </c>
      <c r="W162">
        <f t="shared" si="60"/>
        <v>660</v>
      </c>
      <c r="X162">
        <f t="shared" si="61"/>
        <v>660</v>
      </c>
      <c r="Y162">
        <v>75</v>
      </c>
      <c r="Z162">
        <f t="shared" si="63"/>
        <v>2</v>
      </c>
      <c r="AA162">
        <v>80</v>
      </c>
      <c r="AB162">
        <v>70</v>
      </c>
      <c r="AC162">
        <f t="shared" si="64"/>
        <v>2</v>
      </c>
      <c r="AD162">
        <v>60</v>
      </c>
      <c r="AE162">
        <v>0.63</v>
      </c>
      <c r="AF162" t="str">
        <f t="shared" si="73"/>
        <v>B_01'Flr_03'A1</v>
      </c>
      <c r="AG162" t="str">
        <f>"R_" &amp; INDEX(Sched!A:AA, MATCH(ABT!$E162, SchedMark, 0), 20)</f>
        <v>R_1319.00</v>
      </c>
      <c r="AH162" t="str">
        <f t="shared" si="73"/>
        <v>B_01'Flr_03'A1</v>
      </c>
      <c r="AI162" t="str">
        <f t="shared" ref="AI162:AI174" si="74">INDEX(Joined, MATCH($A162, SystemName, FALSE), 7)</f>
        <v>VV-3-3-01</v>
      </c>
      <c r="AJ162" t="s">
        <v>1129</v>
      </c>
    </row>
    <row r="163" spans="1:36" x14ac:dyDescent="0.2">
      <c r="A163" s="112" t="s">
        <v>804</v>
      </c>
      <c r="B163" t="str">
        <f t="shared" ref="B163" si="75">"B_01'" &amp; "Flr_0" &amp; INDEX(Joined, MATCH(A163, SystemName, FALSE), 13) &amp; "'" &amp; INDEX(Joined, MATCH(A163, SystemName, FALSE), 12)</f>
        <v>B_01'Flr_01'A1</v>
      </c>
      <c r="C163" t="str">
        <f t="shared" ref="C163" si="76">INDEX(Joined, MATCH(A163, SystemName, FALSE), 7)</f>
        <v>VV-3-1-02</v>
      </c>
      <c r="D163" t="str">
        <f t="shared" ref="D163" si="77">INDEX(Joined, MATCH(A163, SystemName, FALSE), 5)</f>
        <v>1030214</v>
      </c>
      <c r="E163" t="str">
        <f t="shared" ref="E163" si="78">INDEX(Joined, MATCH(A163, SystemName, FALSE), 7)</f>
        <v>VV-3-1-02</v>
      </c>
      <c r="F163" t="s">
        <v>695</v>
      </c>
      <c r="G163" t="str">
        <f>INDEX(Sched!$J$213:$O$223, MATCH(ABT!$H163, Sched!$J$213:$J$223, 0), 6)</f>
        <v>15202_CB_DXR2M12P_US</v>
      </c>
      <c r="H163">
        <f t="shared" si="53"/>
        <v>15202</v>
      </c>
      <c r="I163">
        <f t="shared" si="54"/>
        <v>302</v>
      </c>
      <c r="J163" t="b">
        <v>0</v>
      </c>
      <c r="K163">
        <f t="shared" si="55"/>
        <v>14</v>
      </c>
      <c r="L163">
        <v>85</v>
      </c>
      <c r="M163">
        <v>38400</v>
      </c>
      <c r="N163">
        <f t="shared" si="69"/>
        <v>840</v>
      </c>
      <c r="O163">
        <f t="shared" si="70"/>
        <v>220</v>
      </c>
      <c r="P163">
        <f t="shared" si="70"/>
        <v>220</v>
      </c>
      <c r="Q163">
        <f t="shared" si="71"/>
        <v>2.1816615649929121</v>
      </c>
      <c r="R163">
        <f t="shared" si="72"/>
        <v>10</v>
      </c>
      <c r="S163">
        <f t="shared" si="56"/>
        <v>840</v>
      </c>
      <c r="T163">
        <f t="shared" si="57"/>
        <v>840</v>
      </c>
      <c r="U163">
        <f t="shared" si="58"/>
        <v>840</v>
      </c>
      <c r="V163">
        <f t="shared" si="59"/>
        <v>840</v>
      </c>
      <c r="W163">
        <f t="shared" si="60"/>
        <v>840</v>
      </c>
      <c r="X163">
        <f t="shared" si="61"/>
        <v>840</v>
      </c>
      <c r="Y163">
        <v>75</v>
      </c>
      <c r="Z163">
        <f t="shared" si="63"/>
        <v>2</v>
      </c>
      <c r="AA163">
        <v>80</v>
      </c>
      <c r="AB163">
        <v>70</v>
      </c>
      <c r="AC163">
        <f t="shared" si="64"/>
        <v>2</v>
      </c>
      <c r="AD163">
        <v>60</v>
      </c>
      <c r="AE163">
        <v>0.63</v>
      </c>
      <c r="AF163" t="str">
        <f t="shared" si="73"/>
        <v>B_01'Flr_01'A1</v>
      </c>
      <c r="AG163" t="str">
        <f>"R_" &amp; INDEX(Sched!A:AA, MATCH(ABT!$E163, SchedMark, 0), 20)</f>
        <v>R_1114.00</v>
      </c>
      <c r="AH163" t="str">
        <f t="shared" si="73"/>
        <v>B_01'Flr_01'A1</v>
      </c>
      <c r="AI163" t="str">
        <f t="shared" si="74"/>
        <v>VV-3-1-02</v>
      </c>
      <c r="AJ163" t="s">
        <v>875</v>
      </c>
    </row>
    <row r="164" spans="1:36" x14ac:dyDescent="0.2">
      <c r="A164" s="112" t="s">
        <v>1140</v>
      </c>
      <c r="B164" t="str">
        <f t="shared" ref="B164" si="79">"B_01'" &amp; "Flr_0" &amp; INDEX(Joined, MATCH(A164, SystemName, FALSE), 13) &amp; "'" &amp; INDEX(Joined, MATCH(A164, SystemName, FALSE), 12)</f>
        <v>B_01'Flr_01'A2</v>
      </c>
      <c r="C164" t="str">
        <f t="shared" ref="C164" si="80">INDEX(Joined, MATCH(A164, SystemName, FALSE), 7)</f>
        <v>VV-4-1-02</v>
      </c>
      <c r="D164" t="str">
        <f t="shared" ref="D164" si="81">INDEX(Joined, MATCH(A164, SystemName, FALSE), 5)</f>
        <v>1030235</v>
      </c>
      <c r="E164" t="str">
        <f t="shared" ref="E164" si="82">INDEX(Joined, MATCH(A164, SystemName, FALSE), 7)</f>
        <v>VV-4-1-02</v>
      </c>
      <c r="F164" t="s">
        <v>695</v>
      </c>
      <c r="G164" t="str">
        <f>INDEX(Sched!$J$213:$O$223, MATCH(ABT!$H164, Sched!$J$213:$J$223, 0), 6)</f>
        <v>15202_CB_DXR2M12P_US</v>
      </c>
      <c r="H164">
        <f t="shared" si="53"/>
        <v>15202</v>
      </c>
      <c r="I164">
        <f t="shared" si="54"/>
        <v>302</v>
      </c>
      <c r="J164" t="b">
        <v>0</v>
      </c>
      <c r="K164">
        <f t="shared" si="55"/>
        <v>35</v>
      </c>
      <c r="L164">
        <v>85</v>
      </c>
      <c r="M164">
        <v>38400</v>
      </c>
      <c r="N164">
        <f t="shared" si="69"/>
        <v>840</v>
      </c>
      <c r="O164">
        <f t="shared" si="70"/>
        <v>220</v>
      </c>
      <c r="P164">
        <f t="shared" si="70"/>
        <v>220</v>
      </c>
      <c r="Q164">
        <f t="shared" si="71"/>
        <v>2.1816615649929121</v>
      </c>
      <c r="R164">
        <f t="shared" si="72"/>
        <v>10</v>
      </c>
      <c r="S164">
        <f t="shared" si="56"/>
        <v>840</v>
      </c>
      <c r="T164">
        <f t="shared" si="57"/>
        <v>840</v>
      </c>
      <c r="U164">
        <f t="shared" si="58"/>
        <v>840</v>
      </c>
      <c r="V164">
        <f t="shared" si="59"/>
        <v>840</v>
      </c>
      <c r="W164">
        <f t="shared" si="60"/>
        <v>840</v>
      </c>
      <c r="X164">
        <f t="shared" si="61"/>
        <v>840</v>
      </c>
      <c r="Y164">
        <v>75</v>
      </c>
      <c r="Z164">
        <f t="shared" si="63"/>
        <v>2</v>
      </c>
      <c r="AA164">
        <v>80</v>
      </c>
      <c r="AB164">
        <v>70</v>
      </c>
      <c r="AC164">
        <f t="shared" si="64"/>
        <v>2</v>
      </c>
      <c r="AD164">
        <v>60</v>
      </c>
      <c r="AE164">
        <v>0.63</v>
      </c>
      <c r="AF164" t="str">
        <f t="shared" si="73"/>
        <v>B_01'Flr_01'A2</v>
      </c>
      <c r="AG164" t="str">
        <f>"R_" &amp; INDEX(Sched!A:AA, MATCH(ABT!$E164, SchedMark, 0), 20)</f>
        <v>R_1117.00</v>
      </c>
      <c r="AH164" t="str">
        <f t="shared" si="73"/>
        <v>B_01'Flr_01'A2</v>
      </c>
      <c r="AI164" t="str">
        <f t="shared" si="74"/>
        <v>VV-4-1-02</v>
      </c>
    </row>
    <row r="165" spans="1:36" x14ac:dyDescent="0.2">
      <c r="A165" s="108" t="s">
        <v>803</v>
      </c>
      <c r="B165" t="str">
        <f t="shared" si="65"/>
        <v>B_01'Flr_01'A1</v>
      </c>
      <c r="C165" t="str">
        <f t="shared" si="66"/>
        <v>VVE-3-1-01</v>
      </c>
      <c r="D165" t="str">
        <f t="shared" si="67"/>
        <v>1030220</v>
      </c>
      <c r="E165" t="str">
        <f t="shared" si="68"/>
        <v>VVE-3-1-01</v>
      </c>
      <c r="F165" t="s">
        <v>695</v>
      </c>
      <c r="G165" t="str">
        <f>INDEX(Sched!$J$213:$O$223, MATCH(ABT!$H165, Sched!$J$213:$J$223, 0), 6)</f>
        <v>15801_VAV_DXR2M12P_US</v>
      </c>
      <c r="H165">
        <f t="shared" si="53"/>
        <v>15801</v>
      </c>
      <c r="I165">
        <f t="shared" si="54"/>
        <v>302</v>
      </c>
      <c r="J165" t="b">
        <v>0</v>
      </c>
      <c r="K165">
        <f t="shared" si="55"/>
        <v>20</v>
      </c>
      <c r="L165">
        <v>85</v>
      </c>
      <c r="M165">
        <v>38400</v>
      </c>
      <c r="N165">
        <f t="shared" si="69"/>
        <v>1540</v>
      </c>
      <c r="O165">
        <f t="shared" si="70"/>
        <v>1235</v>
      </c>
      <c r="P165">
        <f t="shared" si="70"/>
        <v>1235</v>
      </c>
      <c r="Q165">
        <f t="shared" si="71"/>
        <v>3.1415926535897931</v>
      </c>
      <c r="R165">
        <f t="shared" si="72"/>
        <v>12</v>
      </c>
      <c r="S165">
        <f t="shared" si="56"/>
        <v>1540</v>
      </c>
      <c r="T165">
        <f t="shared" si="57"/>
        <v>1540</v>
      </c>
      <c r="U165">
        <f t="shared" si="58"/>
        <v>1540</v>
      </c>
      <c r="V165">
        <f t="shared" si="59"/>
        <v>1540</v>
      </c>
      <c r="W165">
        <f t="shared" si="60"/>
        <v>1540</v>
      </c>
      <c r="X165">
        <f t="shared" si="61"/>
        <v>1540</v>
      </c>
      <c r="Y165">
        <v>75</v>
      </c>
      <c r="Z165">
        <f t="shared" si="63"/>
        <v>0</v>
      </c>
      <c r="AA165">
        <v>80</v>
      </c>
      <c r="AB165">
        <v>70</v>
      </c>
      <c r="AC165">
        <f t="shared" si="64"/>
        <v>0</v>
      </c>
      <c r="AD165">
        <v>60</v>
      </c>
      <c r="AE165">
        <v>0.63</v>
      </c>
      <c r="AF165" t="str">
        <f t="shared" si="73"/>
        <v>B_01'Flr_01'A1</v>
      </c>
      <c r="AG165" t="str">
        <f>"R_" &amp; INDEX(Sched!A:AA, MATCH(ABT!$E165, SchedMark, 0), 20)</f>
        <v>R_1111.00</v>
      </c>
      <c r="AH165" t="str">
        <f t="shared" si="73"/>
        <v>B_01'Flr_01'A1</v>
      </c>
      <c r="AI165" t="str">
        <f t="shared" si="74"/>
        <v>VVE-3-1-01</v>
      </c>
      <c r="AJ165" t="s">
        <v>1130</v>
      </c>
    </row>
    <row r="166" spans="1:36" x14ac:dyDescent="0.2">
      <c r="A166" s="108" t="s">
        <v>967</v>
      </c>
      <c r="B166" t="str">
        <f t="shared" si="65"/>
        <v>B_01'Flr_01'A1</v>
      </c>
      <c r="C166" t="str">
        <f t="shared" si="66"/>
        <v>VVE-3-1-02</v>
      </c>
      <c r="D166" t="str">
        <f t="shared" si="67"/>
        <v>1030221</v>
      </c>
      <c r="E166" t="str">
        <f t="shared" si="68"/>
        <v>VVE-3-1-02</v>
      </c>
      <c r="F166" t="s">
        <v>695</v>
      </c>
      <c r="G166" t="str">
        <f>INDEX(Sched!$J$213:$O$223, MATCH(ABT!$H166, Sched!$J$213:$J$223, 0), 6)</f>
        <v>15801_VAV_DXR2M12P_US</v>
      </c>
      <c r="H166">
        <f t="shared" si="53"/>
        <v>15801</v>
      </c>
      <c r="I166">
        <f t="shared" si="54"/>
        <v>302</v>
      </c>
      <c r="J166" t="b">
        <v>0</v>
      </c>
      <c r="K166">
        <f t="shared" si="55"/>
        <v>21</v>
      </c>
      <c r="L166">
        <v>85</v>
      </c>
      <c r="M166">
        <v>38400</v>
      </c>
      <c r="N166">
        <f t="shared" si="69"/>
        <v>825</v>
      </c>
      <c r="O166">
        <f t="shared" si="70"/>
        <v>750</v>
      </c>
      <c r="P166">
        <f t="shared" si="70"/>
        <v>750</v>
      </c>
      <c r="Q166">
        <f t="shared" si="71"/>
        <v>2.1816615649929121</v>
      </c>
      <c r="R166">
        <f t="shared" si="72"/>
        <v>10</v>
      </c>
      <c r="S166">
        <f t="shared" si="56"/>
        <v>825</v>
      </c>
      <c r="T166">
        <f t="shared" si="57"/>
        <v>825</v>
      </c>
      <c r="U166">
        <f t="shared" si="58"/>
        <v>825</v>
      </c>
      <c r="V166">
        <f t="shared" si="59"/>
        <v>825</v>
      </c>
      <c r="W166">
        <f t="shared" si="60"/>
        <v>825</v>
      </c>
      <c r="X166">
        <f t="shared" si="61"/>
        <v>825</v>
      </c>
      <c r="Y166">
        <v>75</v>
      </c>
      <c r="Z166">
        <f t="shared" si="63"/>
        <v>0</v>
      </c>
      <c r="AA166">
        <v>80</v>
      </c>
      <c r="AB166">
        <v>70</v>
      </c>
      <c r="AC166">
        <f t="shared" si="64"/>
        <v>0</v>
      </c>
      <c r="AD166">
        <v>60</v>
      </c>
      <c r="AE166">
        <v>0.63</v>
      </c>
      <c r="AF166" t="str">
        <f t="shared" si="73"/>
        <v>B_01'Flr_01'A1</v>
      </c>
      <c r="AG166" t="str">
        <f>"R_" &amp; INDEX(Sched!A:AA, MATCH(ABT!$E166, SchedMark, 0), 20)</f>
        <v>R_1100.03</v>
      </c>
      <c r="AH166" t="str">
        <f t="shared" si="73"/>
        <v>B_01'Flr_01'A1</v>
      </c>
      <c r="AI166" t="str">
        <f t="shared" si="74"/>
        <v>VVE-3-1-02</v>
      </c>
      <c r="AJ166" t="s">
        <v>1131</v>
      </c>
    </row>
    <row r="167" spans="1:36" x14ac:dyDescent="0.2">
      <c r="A167" s="108" t="s">
        <v>968</v>
      </c>
      <c r="B167" t="str">
        <f t="shared" si="65"/>
        <v>B_01'Flr_02'A1</v>
      </c>
      <c r="C167" t="str">
        <f t="shared" si="66"/>
        <v>VVE-3-2-01</v>
      </c>
      <c r="D167" t="str">
        <f t="shared" si="67"/>
        <v>1030421</v>
      </c>
      <c r="E167" t="str">
        <f t="shared" si="68"/>
        <v>VVE-3-2-01</v>
      </c>
      <c r="F167" t="s">
        <v>695</v>
      </c>
      <c r="G167" t="str">
        <f>INDEX(Sched!$J$213:$O$223, MATCH(ABT!$H167, Sched!$J$213:$J$223, 0), 6)</f>
        <v>15801_VAV_DXR2M12P_US</v>
      </c>
      <c r="H167">
        <f t="shared" si="53"/>
        <v>15801</v>
      </c>
      <c r="I167">
        <f t="shared" si="54"/>
        <v>304</v>
      </c>
      <c r="J167" t="b">
        <v>0</v>
      </c>
      <c r="K167">
        <f t="shared" si="55"/>
        <v>21</v>
      </c>
      <c r="L167">
        <v>85</v>
      </c>
      <c r="M167">
        <v>38400</v>
      </c>
      <c r="N167">
        <f t="shared" si="69"/>
        <v>950</v>
      </c>
      <c r="O167">
        <f t="shared" si="70"/>
        <v>750</v>
      </c>
      <c r="P167">
        <f t="shared" si="70"/>
        <v>750</v>
      </c>
      <c r="Q167">
        <f t="shared" si="71"/>
        <v>2.1816615649929121</v>
      </c>
      <c r="R167">
        <f t="shared" si="72"/>
        <v>10</v>
      </c>
      <c r="S167">
        <f t="shared" si="56"/>
        <v>950</v>
      </c>
      <c r="T167">
        <f t="shared" si="57"/>
        <v>950</v>
      </c>
      <c r="U167">
        <f t="shared" si="58"/>
        <v>950</v>
      </c>
      <c r="V167">
        <f t="shared" si="59"/>
        <v>950</v>
      </c>
      <c r="W167">
        <f t="shared" si="60"/>
        <v>950</v>
      </c>
      <c r="X167">
        <f t="shared" si="61"/>
        <v>950</v>
      </c>
      <c r="Y167">
        <v>75</v>
      </c>
      <c r="Z167">
        <f t="shared" si="63"/>
        <v>0</v>
      </c>
      <c r="AA167">
        <v>80</v>
      </c>
      <c r="AB167">
        <v>70</v>
      </c>
      <c r="AC167">
        <f t="shared" si="64"/>
        <v>0</v>
      </c>
      <c r="AD167">
        <v>60</v>
      </c>
      <c r="AE167">
        <v>0.63</v>
      </c>
      <c r="AF167" t="str">
        <f t="shared" si="73"/>
        <v>B_01'Flr_02'A1</v>
      </c>
      <c r="AG167" t="str">
        <f>"R_" &amp; INDEX(Sched!A:AA, MATCH(ABT!$E167, SchedMark, 0), 20)</f>
        <v>R_1200.03</v>
      </c>
      <c r="AH167" t="str">
        <f t="shared" si="73"/>
        <v>B_01'Flr_02'A1</v>
      </c>
      <c r="AI167" t="str">
        <f t="shared" si="74"/>
        <v>VVE-3-2-01</v>
      </c>
      <c r="AJ167" t="s">
        <v>1132</v>
      </c>
    </row>
    <row r="168" spans="1:36" x14ac:dyDescent="0.2">
      <c r="A168" s="108" t="s">
        <v>969</v>
      </c>
      <c r="B168" t="str">
        <f t="shared" si="65"/>
        <v>B_01'Flr_01'A2</v>
      </c>
      <c r="C168" t="str">
        <f t="shared" si="66"/>
        <v>VVE-4-1-01</v>
      </c>
      <c r="D168" t="str">
        <f t="shared" si="67"/>
        <v>1030240</v>
      </c>
      <c r="E168" t="str">
        <f t="shared" si="68"/>
        <v>VVE-4-1-01</v>
      </c>
      <c r="F168" t="s">
        <v>695</v>
      </c>
      <c r="G168" t="str">
        <f>INDEX(Sched!$J$213:$O$223, MATCH(ABT!$H168, Sched!$J$213:$J$223, 0), 6)</f>
        <v>15801_VAV_DXR2M12P_US</v>
      </c>
      <c r="H168">
        <f t="shared" si="53"/>
        <v>15801</v>
      </c>
      <c r="I168">
        <f t="shared" si="54"/>
        <v>302</v>
      </c>
      <c r="J168" t="b">
        <v>0</v>
      </c>
      <c r="K168">
        <f t="shared" si="55"/>
        <v>40</v>
      </c>
      <c r="L168">
        <v>85</v>
      </c>
      <c r="M168">
        <v>38400</v>
      </c>
      <c r="N168">
        <f t="shared" si="69"/>
        <v>145</v>
      </c>
      <c r="O168">
        <f t="shared" si="70"/>
        <v>100</v>
      </c>
      <c r="P168">
        <f t="shared" si="70"/>
        <v>100</v>
      </c>
      <c r="Q168">
        <f t="shared" si="71"/>
        <v>0.78539816339744828</v>
      </c>
      <c r="R168">
        <f t="shared" si="72"/>
        <v>6</v>
      </c>
      <c r="S168">
        <f t="shared" si="56"/>
        <v>145</v>
      </c>
      <c r="T168">
        <f t="shared" si="57"/>
        <v>145</v>
      </c>
      <c r="U168">
        <f t="shared" si="58"/>
        <v>145</v>
      </c>
      <c r="V168">
        <f t="shared" si="59"/>
        <v>145</v>
      </c>
      <c r="W168">
        <f t="shared" si="60"/>
        <v>145</v>
      </c>
      <c r="X168">
        <f t="shared" si="61"/>
        <v>145</v>
      </c>
      <c r="Y168">
        <v>75</v>
      </c>
      <c r="Z168">
        <f t="shared" si="63"/>
        <v>0</v>
      </c>
      <c r="AA168">
        <v>80</v>
      </c>
      <c r="AB168">
        <v>70</v>
      </c>
      <c r="AC168">
        <f t="shared" si="64"/>
        <v>0</v>
      </c>
      <c r="AD168">
        <v>60</v>
      </c>
      <c r="AE168">
        <v>0.63</v>
      </c>
      <c r="AF168" t="str">
        <f t="shared" si="73"/>
        <v>B_01'Flr_01'A2</v>
      </c>
      <c r="AG168" t="str">
        <f>"R_" &amp; INDEX(Sched!A:AA, MATCH(ABT!$E168, SchedMark, 0), 20)</f>
        <v>R_1100.03</v>
      </c>
      <c r="AH168" t="str">
        <f t="shared" si="73"/>
        <v>B_01'Flr_01'A2</v>
      </c>
      <c r="AI168" t="str">
        <f t="shared" si="74"/>
        <v>VVE-4-1-01</v>
      </c>
      <c r="AJ168" t="s">
        <v>1133</v>
      </c>
    </row>
    <row r="169" spans="1:36" x14ac:dyDescent="0.2">
      <c r="A169" s="108" t="s">
        <v>970</v>
      </c>
      <c r="B169" t="str">
        <f t="shared" si="65"/>
        <v>B_01'Flr_02'A2</v>
      </c>
      <c r="C169" t="str">
        <f t="shared" si="66"/>
        <v>VVE-4-2-01</v>
      </c>
      <c r="D169" t="str">
        <f t="shared" si="67"/>
        <v>1030443</v>
      </c>
      <c r="E169" t="str">
        <f t="shared" si="68"/>
        <v>VVE-4-2-01</v>
      </c>
      <c r="F169" t="s">
        <v>695</v>
      </c>
      <c r="G169" t="str">
        <f>INDEX(Sched!$J$213:$O$223, MATCH(ABT!$H169, Sched!$J$213:$J$223, 0), 6)</f>
        <v>15801_VAV_DXR2M12P_US</v>
      </c>
      <c r="H169">
        <f t="shared" si="53"/>
        <v>15801</v>
      </c>
      <c r="I169">
        <f t="shared" si="54"/>
        <v>304</v>
      </c>
      <c r="J169" t="b">
        <v>0</v>
      </c>
      <c r="K169">
        <f t="shared" si="55"/>
        <v>43</v>
      </c>
      <c r="L169">
        <v>85</v>
      </c>
      <c r="M169">
        <v>38400</v>
      </c>
      <c r="N169">
        <f t="shared" si="69"/>
        <v>155</v>
      </c>
      <c r="O169">
        <f t="shared" si="70"/>
        <v>155</v>
      </c>
      <c r="P169">
        <f t="shared" si="70"/>
        <v>155</v>
      </c>
      <c r="Q169">
        <f t="shared" si="71"/>
        <v>0.78539816339744828</v>
      </c>
      <c r="R169">
        <f t="shared" si="72"/>
        <v>6</v>
      </c>
      <c r="S169">
        <f t="shared" si="56"/>
        <v>155</v>
      </c>
      <c r="T169">
        <f t="shared" si="57"/>
        <v>155</v>
      </c>
      <c r="U169">
        <f t="shared" si="58"/>
        <v>155</v>
      </c>
      <c r="V169">
        <f t="shared" si="59"/>
        <v>155</v>
      </c>
      <c r="W169">
        <f t="shared" si="60"/>
        <v>155</v>
      </c>
      <c r="X169">
        <f t="shared" si="61"/>
        <v>155</v>
      </c>
      <c r="Y169">
        <v>75</v>
      </c>
      <c r="Z169">
        <f t="shared" si="63"/>
        <v>0</v>
      </c>
      <c r="AA169">
        <v>80</v>
      </c>
      <c r="AB169">
        <v>70</v>
      </c>
      <c r="AC169">
        <f t="shared" si="64"/>
        <v>0</v>
      </c>
      <c r="AD169">
        <v>60</v>
      </c>
      <c r="AE169">
        <v>0.63</v>
      </c>
      <c r="AF169" t="str">
        <f t="shared" si="73"/>
        <v>B_01'Flr_02'A2</v>
      </c>
      <c r="AG169" t="str">
        <f>"R_" &amp; INDEX(Sched!A:AA, MATCH(ABT!$E169, SchedMark, 0), 20)</f>
        <v>R_1200.03</v>
      </c>
      <c r="AH169" t="str">
        <f t="shared" si="73"/>
        <v>B_01'Flr_02'A2</v>
      </c>
      <c r="AI169" t="str">
        <f t="shared" si="74"/>
        <v>VVE-4-2-01</v>
      </c>
      <c r="AJ169" t="s">
        <v>873</v>
      </c>
    </row>
    <row r="170" spans="1:36" x14ac:dyDescent="0.2">
      <c r="A170" s="108" t="s">
        <v>971</v>
      </c>
      <c r="B170" t="str">
        <f t="shared" si="65"/>
        <v>B_01'Flr_03'A2</v>
      </c>
      <c r="C170" t="str">
        <f t="shared" si="66"/>
        <v>VVE-4-3-01</v>
      </c>
      <c r="D170" t="str">
        <f t="shared" si="67"/>
        <v>1031026</v>
      </c>
      <c r="E170" t="str">
        <f t="shared" si="68"/>
        <v>VVE-4-3-01</v>
      </c>
      <c r="F170" t="s">
        <v>695</v>
      </c>
      <c r="G170" t="str">
        <f>INDEX(Sched!$J$213:$O$223, MATCH(ABT!$H170, Sched!$J$213:$J$223, 0), 6)</f>
        <v>15801_VAV_DXR2M12P_US</v>
      </c>
      <c r="H170">
        <f t="shared" si="53"/>
        <v>15801</v>
      </c>
      <c r="I170">
        <f t="shared" si="54"/>
        <v>310</v>
      </c>
      <c r="J170" t="b">
        <v>0</v>
      </c>
      <c r="K170">
        <f t="shared" si="55"/>
        <v>26</v>
      </c>
      <c r="L170">
        <v>85</v>
      </c>
      <c r="M170">
        <v>38400</v>
      </c>
      <c r="N170">
        <f t="shared" si="69"/>
        <v>290</v>
      </c>
      <c r="O170">
        <f t="shared" si="70"/>
        <v>180</v>
      </c>
      <c r="P170">
        <f t="shared" si="70"/>
        <v>180</v>
      </c>
      <c r="Q170">
        <f t="shared" si="71"/>
        <v>0.78539816339744828</v>
      </c>
      <c r="R170">
        <f t="shared" si="72"/>
        <v>6</v>
      </c>
      <c r="S170">
        <f t="shared" si="56"/>
        <v>290</v>
      </c>
      <c r="T170">
        <f t="shared" si="57"/>
        <v>290</v>
      </c>
      <c r="U170">
        <f t="shared" si="58"/>
        <v>290</v>
      </c>
      <c r="V170">
        <f t="shared" si="59"/>
        <v>290</v>
      </c>
      <c r="W170">
        <f t="shared" si="60"/>
        <v>290</v>
      </c>
      <c r="X170">
        <f t="shared" si="61"/>
        <v>290</v>
      </c>
      <c r="Y170">
        <v>75</v>
      </c>
      <c r="Z170">
        <f t="shared" si="63"/>
        <v>0</v>
      </c>
      <c r="AA170">
        <v>80</v>
      </c>
      <c r="AB170">
        <v>70</v>
      </c>
      <c r="AC170">
        <f t="shared" si="64"/>
        <v>0</v>
      </c>
      <c r="AD170">
        <v>60</v>
      </c>
      <c r="AE170">
        <v>0.63</v>
      </c>
      <c r="AF170" t="str">
        <f t="shared" si="73"/>
        <v>B_01'Flr_03'A2</v>
      </c>
      <c r="AG170" t="str">
        <f>"R_" &amp; INDEX(Sched!A:AA, MATCH(ABT!$E170, SchedMark, 0), 20)</f>
        <v>R_1300.03</v>
      </c>
      <c r="AH170" t="str">
        <f t="shared" si="73"/>
        <v>B_01'Flr_03'A2</v>
      </c>
      <c r="AI170" t="str">
        <f t="shared" si="74"/>
        <v>VVE-4-3-01</v>
      </c>
      <c r="AJ170" t="s">
        <v>1134</v>
      </c>
    </row>
    <row r="171" spans="1:36" x14ac:dyDescent="0.2">
      <c r="A171" s="108" t="s">
        <v>972</v>
      </c>
      <c r="B171" t="str">
        <f t="shared" si="65"/>
        <v>B_01'Flr_03'A1</v>
      </c>
      <c r="C171" t="str">
        <f t="shared" si="66"/>
        <v>VVE-3-3-01</v>
      </c>
      <c r="D171" t="str">
        <f t="shared" si="67"/>
        <v>1031042</v>
      </c>
      <c r="E171" t="str">
        <f t="shared" si="68"/>
        <v>VVE-3-3-01</v>
      </c>
      <c r="F171" t="s">
        <v>695</v>
      </c>
      <c r="G171" t="str">
        <f>INDEX(Sched!$J$213:$O$223, MATCH(ABT!$H171, Sched!$J$213:$J$223, 0), 6)</f>
        <v>15801_VAV_DXR2M12P_US</v>
      </c>
      <c r="H171">
        <f t="shared" si="53"/>
        <v>15801</v>
      </c>
      <c r="I171">
        <f t="shared" si="54"/>
        <v>310</v>
      </c>
      <c r="J171" t="b">
        <v>0</v>
      </c>
      <c r="K171">
        <f t="shared" si="55"/>
        <v>42</v>
      </c>
      <c r="L171">
        <v>85</v>
      </c>
      <c r="M171">
        <v>38400</v>
      </c>
      <c r="N171">
        <f t="shared" si="69"/>
        <v>950</v>
      </c>
      <c r="O171">
        <f t="shared" si="70"/>
        <v>750</v>
      </c>
      <c r="P171">
        <f t="shared" si="70"/>
        <v>750</v>
      </c>
      <c r="Q171">
        <f t="shared" si="71"/>
        <v>2.1816615649929121</v>
      </c>
      <c r="R171">
        <f t="shared" si="72"/>
        <v>10</v>
      </c>
      <c r="S171">
        <f t="shared" si="56"/>
        <v>950</v>
      </c>
      <c r="T171">
        <f t="shared" si="57"/>
        <v>950</v>
      </c>
      <c r="U171">
        <f t="shared" si="58"/>
        <v>950</v>
      </c>
      <c r="V171">
        <f t="shared" si="59"/>
        <v>950</v>
      </c>
      <c r="W171">
        <f t="shared" si="60"/>
        <v>950</v>
      </c>
      <c r="X171">
        <f t="shared" si="61"/>
        <v>950</v>
      </c>
      <c r="Y171">
        <v>75</v>
      </c>
      <c r="Z171">
        <f t="shared" si="63"/>
        <v>0</v>
      </c>
      <c r="AA171">
        <v>80</v>
      </c>
      <c r="AB171">
        <v>70</v>
      </c>
      <c r="AC171">
        <f t="shared" si="64"/>
        <v>0</v>
      </c>
      <c r="AD171">
        <v>60</v>
      </c>
      <c r="AE171">
        <v>0.63</v>
      </c>
      <c r="AF171" t="str">
        <f t="shared" si="73"/>
        <v>B_01'Flr_03'A1</v>
      </c>
      <c r="AG171" t="str">
        <f>"R_" &amp; INDEX(Sched!A:AA, MATCH(ABT!$E171, SchedMark, 0), 20)</f>
        <v>R_1300.06</v>
      </c>
      <c r="AH171" t="str">
        <f t="shared" si="73"/>
        <v>B_01'Flr_03'A1</v>
      </c>
      <c r="AI171" t="str">
        <f t="shared" si="74"/>
        <v>VVE-3-3-01</v>
      </c>
      <c r="AJ171" t="s">
        <v>1135</v>
      </c>
    </row>
    <row r="172" spans="1:36" x14ac:dyDescent="0.2">
      <c r="A172" t="s">
        <v>1137</v>
      </c>
      <c r="B172" t="str">
        <f t="shared" ref="B172:B173" si="83">"B_01'" &amp; "Flr_0" &amp; INDEX(Joined, MATCH(A172, SystemName, FALSE), 13) &amp; "'" &amp; INDEX(Joined, MATCH(A172, SystemName, FALSE), 12)</f>
        <v>B_01'Flr_00'A1</v>
      </c>
      <c r="C172" t="str">
        <f t="shared" ref="C172:C173" si="84">INDEX(Joined, MATCH(A172, SystemName, FALSE), 7)</f>
        <v>FCU-0-1</v>
      </c>
      <c r="D172" t="str">
        <f t="shared" ref="D172:D173" si="85">INDEX(Joined, MATCH(A172, SystemName, FALSE), 5)</f>
        <v>1030112</v>
      </c>
      <c r="E172" t="str">
        <f t="shared" ref="E172:E173" si="86">INDEX(Joined, MATCH(A172, SystemName, FALSE), 7)</f>
        <v>FCU-0-1</v>
      </c>
      <c r="F172" t="s">
        <v>695</v>
      </c>
      <c r="G172" t="str">
        <f>INDEX(Sched!$J$213:$O$223, MATCH(ABT!$H172, Sched!$J$213:$J$223, 0), 6)</f>
        <v>15501_Fan_Coil_DXR2M18_US</v>
      </c>
      <c r="H172">
        <f t="shared" si="53"/>
        <v>15501</v>
      </c>
      <c r="I172">
        <f t="shared" si="54"/>
        <v>301</v>
      </c>
      <c r="J172" t="b">
        <v>0</v>
      </c>
      <c r="K172">
        <f t="shared" si="55"/>
        <v>12</v>
      </c>
      <c r="L172">
        <v>85</v>
      </c>
      <c r="M172">
        <v>38400</v>
      </c>
      <c r="N172">
        <f t="shared" si="69"/>
        <v>0</v>
      </c>
      <c r="O172">
        <f t="shared" si="70"/>
        <v>0</v>
      </c>
      <c r="P172">
        <f t="shared" si="70"/>
        <v>0</v>
      </c>
      <c r="Q172">
        <f t="shared" si="71"/>
        <v>0</v>
      </c>
      <c r="R172">
        <f t="shared" si="72"/>
        <v>0</v>
      </c>
      <c r="S172">
        <f t="shared" si="56"/>
        <v>0</v>
      </c>
      <c r="T172">
        <f t="shared" si="57"/>
        <v>0</v>
      </c>
      <c r="U172">
        <f t="shared" si="58"/>
        <v>0</v>
      </c>
      <c r="V172">
        <f t="shared" si="59"/>
        <v>0</v>
      </c>
      <c r="W172">
        <f t="shared" si="60"/>
        <v>0</v>
      </c>
      <c r="X172">
        <f t="shared" si="61"/>
        <v>0</v>
      </c>
      <c r="Y172">
        <v>75</v>
      </c>
      <c r="Z172">
        <f t="shared" si="63"/>
        <v>0</v>
      </c>
      <c r="AA172">
        <v>80</v>
      </c>
      <c r="AB172">
        <v>70</v>
      </c>
      <c r="AC172">
        <f t="shared" si="64"/>
        <v>0</v>
      </c>
      <c r="AD172">
        <v>60</v>
      </c>
      <c r="AE172">
        <v>0.63</v>
      </c>
      <c r="AF172" t="str">
        <f t="shared" si="73"/>
        <v>B_01'Flr_00'A1</v>
      </c>
      <c r="AG172" t="str">
        <f>"R_" &amp; INDEX(Sched!A:AA, MATCH(ABT!$E172, SchedMark, 0), 20)</f>
        <v>R_</v>
      </c>
      <c r="AH172" t="str">
        <f t="shared" si="73"/>
        <v>B_01'Flr_00'A1</v>
      </c>
      <c r="AI172" t="str">
        <f t="shared" si="74"/>
        <v>FCU-0-1</v>
      </c>
    </row>
    <row r="173" spans="1:36" x14ac:dyDescent="0.2">
      <c r="A173" t="s">
        <v>1138</v>
      </c>
      <c r="B173" t="str">
        <f t="shared" si="83"/>
        <v>B_01'Flr_00'A2, MECH ROOM 1002.01</v>
      </c>
      <c r="C173" t="str">
        <f t="shared" si="84"/>
        <v>FCU-0-3</v>
      </c>
      <c r="D173" t="str">
        <f t="shared" si="85"/>
        <v>1030325</v>
      </c>
      <c r="E173" t="str">
        <f t="shared" si="86"/>
        <v>FCU-0-3</v>
      </c>
      <c r="F173" t="s">
        <v>695</v>
      </c>
      <c r="G173" t="str">
        <f>INDEX(Sched!$J$213:$O$223, MATCH(ABT!$H173, Sched!$J$213:$J$223, 0), 6)</f>
        <v>15501_Fan_Coil_DXR2M18_US</v>
      </c>
      <c r="H173">
        <f t="shared" si="53"/>
        <v>15502</v>
      </c>
      <c r="I173">
        <f t="shared" si="54"/>
        <v>303</v>
      </c>
      <c r="J173" t="b">
        <v>0</v>
      </c>
      <c r="K173">
        <f t="shared" si="55"/>
        <v>25</v>
      </c>
      <c r="L173">
        <v>85</v>
      </c>
      <c r="M173">
        <v>38400</v>
      </c>
      <c r="N173">
        <f t="shared" si="69"/>
        <v>0</v>
      </c>
      <c r="O173">
        <f t="shared" ref="O173:P174" si="87">INDEX(Schedule, MATCH($E173, SchedMark, 0), 7)</f>
        <v>0</v>
      </c>
      <c r="P173">
        <f t="shared" si="87"/>
        <v>0</v>
      </c>
      <c r="Q173">
        <f t="shared" si="71"/>
        <v>0</v>
      </c>
      <c r="R173">
        <f t="shared" si="72"/>
        <v>0</v>
      </c>
      <c r="S173">
        <f t="shared" si="56"/>
        <v>0</v>
      </c>
      <c r="T173">
        <f t="shared" si="57"/>
        <v>0</v>
      </c>
      <c r="U173">
        <f t="shared" si="58"/>
        <v>0</v>
      </c>
      <c r="V173">
        <f t="shared" si="59"/>
        <v>0</v>
      </c>
      <c r="W173">
        <f t="shared" si="60"/>
        <v>0</v>
      </c>
      <c r="X173">
        <f t="shared" si="61"/>
        <v>0</v>
      </c>
      <c r="Y173">
        <v>75</v>
      </c>
      <c r="Z173">
        <f t="shared" si="63"/>
        <v>0</v>
      </c>
      <c r="AA173">
        <v>80</v>
      </c>
      <c r="AB173">
        <v>70</v>
      </c>
      <c r="AC173">
        <f t="shared" si="64"/>
        <v>0</v>
      </c>
      <c r="AD173">
        <v>60</v>
      </c>
      <c r="AE173">
        <v>0.63</v>
      </c>
      <c r="AF173" t="str">
        <f t="shared" ref="AF173:AH174" si="88">"B_01'" &amp; "Flr_0" &amp; INDEX(Joined, MATCH($A173, SystemName, FALSE), 13) &amp; "'" &amp; INDEX(Joined, MATCH($A173, SystemName, FALSE), 12)</f>
        <v>B_01'Flr_00'A2, MECH ROOM 1002.01</v>
      </c>
      <c r="AG173" t="str">
        <f>"R_" &amp; INDEX(Sched!A:AA, MATCH(ABT!$E173, SchedMark, 0), 20)</f>
        <v>R_</v>
      </c>
      <c r="AH173" t="str">
        <f t="shared" si="88"/>
        <v>B_01'Flr_00'A2, MECH ROOM 1002.01</v>
      </c>
      <c r="AI173" t="str">
        <f t="shared" si="74"/>
        <v>FCU-0-3</v>
      </c>
      <c r="AJ173" s="9"/>
    </row>
    <row r="174" spans="1:36" x14ac:dyDescent="0.2">
      <c r="A174" s="4" t="s">
        <v>1139</v>
      </c>
      <c r="B174" t="str">
        <f t="shared" ref="B174" si="89">"B_01'" &amp; "Flr_0" &amp; INDEX(Joined, MATCH(A174, SystemName, FALSE), 13) &amp; "'" &amp; INDEX(Joined, MATCH(A174, SystemName, FALSE), 12)</f>
        <v>B_01'Flr_00'A1</v>
      </c>
      <c r="C174" t="str">
        <f t="shared" ref="C174" si="90">INDEX(Joined, MATCH(A174, SystemName, FALSE), 7)</f>
        <v>VV-3-0-13</v>
      </c>
      <c r="D174" t="str">
        <f t="shared" ref="D174" si="91">INDEX(Joined, MATCH(A174, SystemName, FALSE), 5)</f>
        <v>1030124</v>
      </c>
      <c r="E174" t="str">
        <f t="shared" ref="E174" si="92">INDEX(Joined, MATCH(A174, SystemName, FALSE), 7)</f>
        <v>VV-3-0-13</v>
      </c>
      <c r="F174" t="s">
        <v>695</v>
      </c>
      <c r="G174" t="str">
        <f>INDEX(Sched!$J$213:$O$223, MATCH(ABT!$H174, Sched!$J$213:$J$223, 0), 6)</f>
        <v>15004_</v>
      </c>
      <c r="H174">
        <f t="shared" si="53"/>
        <v>15004</v>
      </c>
      <c r="I174">
        <f t="shared" si="54"/>
        <v>301</v>
      </c>
      <c r="J174" t="b">
        <v>0</v>
      </c>
      <c r="K174">
        <f t="shared" si="55"/>
        <v>24</v>
      </c>
      <c r="L174">
        <v>85</v>
      </c>
      <c r="M174">
        <v>38400</v>
      </c>
      <c r="N174">
        <f t="shared" si="69"/>
        <v>200</v>
      </c>
      <c r="O174">
        <f t="shared" si="87"/>
        <v>80</v>
      </c>
      <c r="P174">
        <f t="shared" si="87"/>
        <v>80</v>
      </c>
      <c r="Q174">
        <f t="shared" si="71"/>
        <v>0.78539816339744828</v>
      </c>
      <c r="R174">
        <f t="shared" si="72"/>
        <v>6</v>
      </c>
      <c r="S174">
        <f t="shared" si="56"/>
        <v>200</v>
      </c>
      <c r="T174">
        <f t="shared" si="57"/>
        <v>200</v>
      </c>
      <c r="U174">
        <f t="shared" si="58"/>
        <v>200</v>
      </c>
      <c r="V174">
        <f t="shared" si="59"/>
        <v>200</v>
      </c>
      <c r="W174">
        <f t="shared" si="60"/>
        <v>200</v>
      </c>
      <c r="X174">
        <f t="shared" si="61"/>
        <v>200</v>
      </c>
      <c r="Y174">
        <v>75</v>
      </c>
      <c r="Z174">
        <f t="shared" si="63"/>
        <v>0</v>
      </c>
      <c r="AA174">
        <v>80</v>
      </c>
      <c r="AB174">
        <v>70</v>
      </c>
      <c r="AC174">
        <f t="shared" si="64"/>
        <v>0</v>
      </c>
      <c r="AD174">
        <v>60</v>
      </c>
      <c r="AE174">
        <v>0.63</v>
      </c>
      <c r="AF174" t="str">
        <f t="shared" si="88"/>
        <v>B_01'Flr_00'A1</v>
      </c>
      <c r="AG174" t="str">
        <f>"R_" &amp; INDEX(Sched!A:AA, MATCH(ABT!$E174, SchedMark, 0), 20)</f>
        <v>R_1007.03</v>
      </c>
      <c r="AH174" t="str">
        <f t="shared" si="88"/>
        <v>B_01'Flr_00'A1</v>
      </c>
      <c r="AI174" t="str">
        <f t="shared" si="74"/>
        <v>VV-3-0-13</v>
      </c>
    </row>
    <row r="176" spans="1:36" x14ac:dyDescent="0.2">
      <c r="B176" t="s">
        <v>843</v>
      </c>
      <c r="C176" t="s">
        <v>543</v>
      </c>
      <c r="D176" t="s">
        <v>844</v>
      </c>
      <c r="E176" t="s">
        <v>845</v>
      </c>
      <c r="F176" t="s">
        <v>1136</v>
      </c>
    </row>
    <row r="177" spans="2:6" x14ac:dyDescent="0.2">
      <c r="B177">
        <v>15001</v>
      </c>
      <c r="C177" t="s">
        <v>846</v>
      </c>
      <c r="D177">
        <v>605</v>
      </c>
      <c r="E177" s="21">
        <f t="shared" ref="E177:E186" si="93">COUNTIF(H:H, B177)</f>
        <v>16</v>
      </c>
      <c r="F177">
        <v>16</v>
      </c>
    </row>
    <row r="178" spans="2:6" x14ac:dyDescent="0.2">
      <c r="B178">
        <v>15002</v>
      </c>
      <c r="C178" t="s">
        <v>847</v>
      </c>
      <c r="D178">
        <v>606</v>
      </c>
      <c r="E178" s="21">
        <f t="shared" si="93"/>
        <v>9</v>
      </c>
      <c r="F178">
        <v>9</v>
      </c>
    </row>
    <row r="179" spans="2:6" x14ac:dyDescent="0.2">
      <c r="B179">
        <v>15003</v>
      </c>
      <c r="C179" t="s">
        <v>848</v>
      </c>
      <c r="D179">
        <v>607</v>
      </c>
      <c r="E179" s="21">
        <f t="shared" si="93"/>
        <v>15</v>
      </c>
      <c r="F179">
        <v>15</v>
      </c>
    </row>
    <row r="180" spans="2:6" x14ac:dyDescent="0.2">
      <c r="B180">
        <v>15201</v>
      </c>
      <c r="C180" t="s">
        <v>849</v>
      </c>
      <c r="D180">
        <v>601</v>
      </c>
      <c r="E180" s="21">
        <f t="shared" si="93"/>
        <v>121</v>
      </c>
      <c r="F180">
        <v>121</v>
      </c>
    </row>
    <row r="181" spans="2:6" x14ac:dyDescent="0.2">
      <c r="B181">
        <v>15401</v>
      </c>
      <c r="C181" t="s">
        <v>850</v>
      </c>
      <c r="D181">
        <v>609</v>
      </c>
      <c r="E181" s="21">
        <f t="shared" si="93"/>
        <v>0</v>
      </c>
      <c r="F181">
        <v>16</v>
      </c>
    </row>
    <row r="182" spans="2:6" x14ac:dyDescent="0.2">
      <c r="B182">
        <v>15501</v>
      </c>
      <c r="C182" t="s">
        <v>262</v>
      </c>
      <c r="D182">
        <v>107</v>
      </c>
      <c r="E182" s="21">
        <f t="shared" si="93"/>
        <v>1</v>
      </c>
      <c r="F182">
        <v>1</v>
      </c>
    </row>
    <row r="183" spans="2:6" x14ac:dyDescent="0.2">
      <c r="B183">
        <v>15502</v>
      </c>
      <c r="C183" t="s">
        <v>264</v>
      </c>
      <c r="D183">
        <v>108</v>
      </c>
      <c r="E183" s="21">
        <f t="shared" si="93"/>
        <v>1</v>
      </c>
      <c r="F183">
        <v>1</v>
      </c>
    </row>
    <row r="184" spans="2:6" x14ac:dyDescent="0.2">
      <c r="B184">
        <v>15801</v>
      </c>
      <c r="C184" t="s">
        <v>851</v>
      </c>
      <c r="D184">
        <v>610</v>
      </c>
      <c r="E184" s="21">
        <f t="shared" si="93"/>
        <v>7</v>
      </c>
      <c r="F184">
        <v>7</v>
      </c>
    </row>
    <row r="185" spans="2:6" x14ac:dyDescent="0.2">
      <c r="B185">
        <v>15202</v>
      </c>
      <c r="C185" t="s">
        <v>852</v>
      </c>
      <c r="D185">
        <v>604</v>
      </c>
      <c r="E185" s="21">
        <f t="shared" si="93"/>
        <v>2</v>
      </c>
      <c r="F185">
        <v>2</v>
      </c>
    </row>
    <row r="186" spans="2:6" x14ac:dyDescent="0.2">
      <c r="B186">
        <v>15004</v>
      </c>
      <c r="C186" t="s">
        <v>853</v>
      </c>
      <c r="D186">
        <v>603</v>
      </c>
      <c r="E186" s="21">
        <f t="shared" si="93"/>
        <v>1</v>
      </c>
      <c r="F186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2C5EC-0A8F-4FAD-9704-D22C09CA7811}">
  <dimension ref="A1:AB245"/>
  <sheetViews>
    <sheetView tabSelected="1" topLeftCell="C193" zoomScaleNormal="100" workbookViewId="0">
      <selection activeCell="P210" sqref="P210"/>
    </sheetView>
  </sheetViews>
  <sheetFormatPr defaultColWidth="21.5703125" defaultRowHeight="12.75" x14ac:dyDescent="0.2"/>
  <cols>
    <col min="1" max="1" width="10.85546875" style="21" customWidth="1"/>
    <col min="2" max="2" width="6" style="21" customWidth="1"/>
    <col min="3" max="3" width="8.42578125" style="21" customWidth="1"/>
    <col min="4" max="4" width="16.42578125" style="21" customWidth="1"/>
    <col min="5" max="5" width="11" style="21" customWidth="1"/>
    <col min="6" max="6" width="8.85546875" style="21" customWidth="1"/>
    <col min="7" max="7" width="7" style="21" customWidth="1"/>
    <col min="8" max="8" width="8.85546875" style="21" customWidth="1"/>
    <col min="9" max="9" width="4.5703125" style="21" customWidth="1"/>
    <col min="10" max="10" width="14.28515625" style="21" customWidth="1"/>
    <col min="11" max="11" width="23.42578125" style="21" customWidth="1"/>
    <col min="12" max="12" width="7.5703125" style="21" customWidth="1"/>
    <col min="13" max="13" width="7" style="21" customWidth="1"/>
    <col min="14" max="14" width="16.7109375" style="21" customWidth="1"/>
    <col min="15" max="15" width="16.140625" style="21" customWidth="1"/>
    <col min="16" max="16" width="4.5703125" style="21" customWidth="1"/>
    <col min="17" max="17" width="9.5703125" style="21" customWidth="1"/>
    <col min="18" max="18" width="8.42578125" style="21" customWidth="1"/>
    <col min="19" max="19" width="6" style="21" bestFit="1" customWidth="1"/>
    <col min="20" max="20" width="8.85546875" style="21" customWidth="1"/>
    <col min="21" max="21" width="8.85546875" style="21" bestFit="1" customWidth="1"/>
    <col min="22" max="22" width="6.28515625" style="21" bestFit="1" customWidth="1"/>
    <col min="23" max="24" width="11.140625" style="21" bestFit="1" customWidth="1"/>
    <col min="25" max="26" width="9.5703125" style="21" bestFit="1" customWidth="1"/>
    <col min="27" max="27" width="10.140625" style="21" bestFit="1" customWidth="1"/>
    <col min="28" max="28" width="10" style="21" customWidth="1"/>
    <col min="29" max="29" width="6" style="21" bestFit="1" customWidth="1"/>
    <col min="30" max="16384" width="21.5703125" style="21"/>
  </cols>
  <sheetData>
    <row r="1" spans="1:28" ht="26.25" customHeight="1" x14ac:dyDescent="0.2">
      <c r="A1" s="11" t="s">
        <v>699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3"/>
    </row>
    <row r="2" spans="1:28" ht="12.75" customHeight="1" thickBot="1" x14ac:dyDescent="0.25">
      <c r="A2" s="22" t="s">
        <v>700</v>
      </c>
      <c r="B2" s="22" t="s">
        <v>701</v>
      </c>
      <c r="C2" s="23" t="s">
        <v>702</v>
      </c>
      <c r="D2" s="23" t="s">
        <v>703</v>
      </c>
      <c r="E2" s="14" t="s">
        <v>704</v>
      </c>
      <c r="F2" s="15"/>
      <c r="G2" s="24" t="s">
        <v>705</v>
      </c>
      <c r="H2" s="24" t="s">
        <v>706</v>
      </c>
      <c r="I2" s="16" t="s">
        <v>707</v>
      </c>
      <c r="J2" s="11" t="s">
        <v>708</v>
      </c>
      <c r="K2" s="12"/>
      <c r="L2" s="12"/>
      <c r="M2" s="12"/>
      <c r="N2" s="12"/>
      <c r="O2" s="12"/>
      <c r="P2" s="12"/>
      <c r="Q2" s="13"/>
      <c r="R2" s="22" t="s">
        <v>709</v>
      </c>
    </row>
    <row r="3" spans="1:28" x14ac:dyDescent="0.2">
      <c r="A3" s="25"/>
      <c r="B3" s="25"/>
      <c r="C3" s="26"/>
      <c r="D3" s="26"/>
      <c r="E3" s="17" t="s">
        <v>710</v>
      </c>
      <c r="F3" s="17" t="s">
        <v>711</v>
      </c>
      <c r="G3" s="27"/>
      <c r="H3" s="27"/>
      <c r="I3" s="18"/>
      <c r="J3" s="19" t="s">
        <v>712</v>
      </c>
      <c r="K3" s="17" t="s">
        <v>713</v>
      </c>
      <c r="L3" s="17" t="s">
        <v>714</v>
      </c>
      <c r="M3" s="19" t="s">
        <v>715</v>
      </c>
      <c r="N3" s="17" t="s">
        <v>716</v>
      </c>
      <c r="O3" s="17" t="s">
        <v>717</v>
      </c>
      <c r="P3" s="19" t="s">
        <v>718</v>
      </c>
      <c r="Q3" s="20" t="s">
        <v>719</v>
      </c>
      <c r="R3" s="45"/>
      <c r="S3" s="75" t="s">
        <v>817</v>
      </c>
      <c r="T3" s="104" t="s">
        <v>816</v>
      </c>
      <c r="U3" s="76" t="s">
        <v>831</v>
      </c>
      <c r="V3" s="77"/>
      <c r="W3" s="55" t="s">
        <v>832</v>
      </c>
      <c r="X3" s="55" t="s">
        <v>833</v>
      </c>
      <c r="Y3" s="55" t="s">
        <v>822</v>
      </c>
      <c r="Z3" s="55" t="s">
        <v>823</v>
      </c>
      <c r="AA3" s="56" t="s">
        <v>834</v>
      </c>
    </row>
    <row r="4" spans="1:28" x14ac:dyDescent="0.2">
      <c r="A4" s="28" t="s">
        <v>395</v>
      </c>
      <c r="B4" s="29" t="s">
        <v>720</v>
      </c>
      <c r="C4" s="28" t="s">
        <v>721</v>
      </c>
      <c r="D4" s="28" t="s">
        <v>722</v>
      </c>
      <c r="E4" s="30">
        <v>425</v>
      </c>
      <c r="F4" s="30">
        <v>425</v>
      </c>
      <c r="G4" s="30">
        <v>80</v>
      </c>
      <c r="H4" s="30">
        <v>8</v>
      </c>
      <c r="I4" s="31">
        <v>0.25</v>
      </c>
      <c r="J4" s="30">
        <v>425</v>
      </c>
      <c r="K4" s="30">
        <v>55</v>
      </c>
      <c r="L4" s="30">
        <v>90</v>
      </c>
      <c r="M4" s="30">
        <v>16</v>
      </c>
      <c r="N4" s="30">
        <v>140</v>
      </c>
      <c r="O4" s="30">
        <v>120</v>
      </c>
      <c r="P4" s="32">
        <v>1.6</v>
      </c>
      <c r="Q4" s="33">
        <v>1</v>
      </c>
      <c r="R4" s="65"/>
      <c r="S4" s="48" t="s">
        <v>824</v>
      </c>
      <c r="T4" s="98">
        <v>1007.01</v>
      </c>
      <c r="U4" s="48" t="s">
        <v>824</v>
      </c>
      <c r="V4" s="48" t="s">
        <v>829</v>
      </c>
      <c r="W4" s="48" t="b">
        <f t="shared" ref="W4:W15" si="0">AND(V4 = "TS", $P4 &gt; 0)</f>
        <v>0</v>
      </c>
      <c r="X4" s="48" t="b">
        <f t="shared" ref="X4:X15" si="1">AND(V4= "TS,H", $P4 &gt; 0)</f>
        <v>1</v>
      </c>
      <c r="Y4" s="48" t="b">
        <f>AND(W4 = "TS", $P4 &gt; 0)</f>
        <v>0</v>
      </c>
      <c r="Z4" s="48" t="b">
        <f>AND(W4= "TS,H", $P4 &gt; 0)</f>
        <v>0</v>
      </c>
      <c r="AA4" s="58">
        <f>IF(W4, FALSE, IF(X4, 15201, IF(Y4, FALSE, FALSE)))</f>
        <v>15201</v>
      </c>
    </row>
    <row r="5" spans="1:28" x14ac:dyDescent="0.2">
      <c r="A5" s="28" t="s">
        <v>396</v>
      </c>
      <c r="B5" s="29" t="s">
        <v>720</v>
      </c>
      <c r="C5" s="28" t="s">
        <v>721</v>
      </c>
      <c r="D5" s="28" t="s">
        <v>722</v>
      </c>
      <c r="E5" s="30">
        <v>355</v>
      </c>
      <c r="F5" s="30">
        <v>355</v>
      </c>
      <c r="G5" s="30">
        <v>355</v>
      </c>
      <c r="H5" s="30">
        <v>6</v>
      </c>
      <c r="I5" s="31">
        <v>0.25</v>
      </c>
      <c r="J5" s="30">
        <v>355</v>
      </c>
      <c r="K5" s="30">
        <v>55</v>
      </c>
      <c r="L5" s="30">
        <v>90</v>
      </c>
      <c r="M5" s="32">
        <v>13.5</v>
      </c>
      <c r="N5" s="30">
        <v>140</v>
      </c>
      <c r="O5" s="30">
        <v>120</v>
      </c>
      <c r="P5" s="32">
        <v>1.3</v>
      </c>
      <c r="Q5" s="33">
        <v>1</v>
      </c>
      <c r="R5" s="65"/>
      <c r="S5" s="48" t="s">
        <v>824</v>
      </c>
      <c r="T5" s="98">
        <v>1007.04</v>
      </c>
      <c r="U5" s="48" t="s">
        <v>824</v>
      </c>
      <c r="V5" s="48" t="s">
        <v>829</v>
      </c>
      <c r="W5" s="48" t="b">
        <f t="shared" si="0"/>
        <v>0</v>
      </c>
      <c r="X5" s="48" t="b">
        <f t="shared" si="1"/>
        <v>1</v>
      </c>
      <c r="Y5" s="48" t="b">
        <f t="shared" ref="Y5:Y15" si="2">AND(W5 = "TS", $P5 &gt; 0)</f>
        <v>0</v>
      </c>
      <c r="Z5" s="48" t="b">
        <f t="shared" ref="Z5:Z15" si="3">AND(W5= "TS,H", $P5 &gt; 0)</f>
        <v>0</v>
      </c>
      <c r="AA5" s="58">
        <f t="shared" ref="AA5:AA15" si="4">IF(W5, FALSE, IF(X5, 15201, IF(Y5, FALSE, FALSE)))</f>
        <v>15201</v>
      </c>
    </row>
    <row r="6" spans="1:28" x14ac:dyDescent="0.2">
      <c r="A6" s="28" t="s">
        <v>397</v>
      </c>
      <c r="B6" s="29" t="s">
        <v>720</v>
      </c>
      <c r="C6" s="28" t="s">
        <v>721</v>
      </c>
      <c r="D6" s="28" t="s">
        <v>722</v>
      </c>
      <c r="E6" s="30">
        <v>80</v>
      </c>
      <c r="F6" s="30">
        <v>80</v>
      </c>
      <c r="G6" s="30">
        <v>80</v>
      </c>
      <c r="H6" s="30">
        <v>6</v>
      </c>
      <c r="I6" s="31">
        <v>0.25</v>
      </c>
      <c r="J6" s="30">
        <v>80</v>
      </c>
      <c r="K6" s="30">
        <v>55</v>
      </c>
      <c r="L6" s="30">
        <v>90</v>
      </c>
      <c r="M6" s="30">
        <v>3</v>
      </c>
      <c r="N6" s="30">
        <v>140</v>
      </c>
      <c r="O6" s="30">
        <v>120</v>
      </c>
      <c r="P6" s="32">
        <v>0.3</v>
      </c>
      <c r="Q6" s="33">
        <v>1</v>
      </c>
      <c r="R6" s="65"/>
      <c r="S6" s="48" t="s">
        <v>824</v>
      </c>
      <c r="T6" s="98" t="s">
        <v>878</v>
      </c>
      <c r="U6" s="48" t="s">
        <v>827</v>
      </c>
      <c r="V6" s="48" t="s">
        <v>829</v>
      </c>
      <c r="W6" s="48" t="b">
        <f t="shared" si="0"/>
        <v>0</v>
      </c>
      <c r="X6" s="48" t="b">
        <f t="shared" si="1"/>
        <v>1</v>
      </c>
      <c r="Y6" s="48" t="b">
        <f t="shared" si="2"/>
        <v>0</v>
      </c>
      <c r="Z6" s="48" t="b">
        <f t="shared" si="3"/>
        <v>0</v>
      </c>
      <c r="AA6" s="58">
        <f t="shared" si="4"/>
        <v>15201</v>
      </c>
    </row>
    <row r="7" spans="1:28" x14ac:dyDescent="0.2">
      <c r="A7" s="28" t="s">
        <v>398</v>
      </c>
      <c r="B7" s="29" t="s">
        <v>720</v>
      </c>
      <c r="C7" s="28" t="s">
        <v>721</v>
      </c>
      <c r="D7" s="28" t="s">
        <v>722</v>
      </c>
      <c r="E7" s="30">
        <v>215</v>
      </c>
      <c r="F7" s="30">
        <v>215</v>
      </c>
      <c r="G7" s="30">
        <v>80</v>
      </c>
      <c r="H7" s="30">
        <v>6</v>
      </c>
      <c r="I7" s="31">
        <v>0.25</v>
      </c>
      <c r="J7" s="30">
        <v>215</v>
      </c>
      <c r="K7" s="30">
        <v>55</v>
      </c>
      <c r="L7" s="30">
        <v>90</v>
      </c>
      <c r="M7" s="30">
        <v>8</v>
      </c>
      <c r="N7" s="30">
        <v>140</v>
      </c>
      <c r="O7" s="30">
        <v>120</v>
      </c>
      <c r="P7" s="32">
        <v>0.8</v>
      </c>
      <c r="Q7" s="33">
        <v>1</v>
      </c>
      <c r="R7" s="65"/>
      <c r="S7" s="48" t="s">
        <v>824</v>
      </c>
      <c r="T7" s="98">
        <v>1006.02</v>
      </c>
      <c r="U7" s="48" t="s">
        <v>824</v>
      </c>
      <c r="V7" s="48" t="s">
        <v>829</v>
      </c>
      <c r="W7" s="48" t="b">
        <f t="shared" si="0"/>
        <v>0</v>
      </c>
      <c r="X7" s="48" t="b">
        <f t="shared" si="1"/>
        <v>1</v>
      </c>
      <c r="Y7" s="48" t="b">
        <f t="shared" si="2"/>
        <v>0</v>
      </c>
      <c r="Z7" s="48" t="b">
        <f t="shared" si="3"/>
        <v>0</v>
      </c>
      <c r="AA7" s="58">
        <f t="shared" si="4"/>
        <v>15201</v>
      </c>
    </row>
    <row r="8" spans="1:28" x14ac:dyDescent="0.2">
      <c r="A8" s="28" t="s">
        <v>399</v>
      </c>
      <c r="B8" s="29" t="s">
        <v>720</v>
      </c>
      <c r="C8" s="28" t="s">
        <v>721</v>
      </c>
      <c r="D8" s="28" t="s">
        <v>722</v>
      </c>
      <c r="E8" s="30">
        <v>100</v>
      </c>
      <c r="F8" s="34">
        <v>100</v>
      </c>
      <c r="G8" s="30">
        <v>80</v>
      </c>
      <c r="H8" s="34">
        <v>6</v>
      </c>
      <c r="I8" s="31">
        <v>0.25</v>
      </c>
      <c r="J8" s="30">
        <v>100</v>
      </c>
      <c r="K8" s="30">
        <v>55</v>
      </c>
      <c r="L8" s="30">
        <v>90</v>
      </c>
      <c r="M8" s="30">
        <v>4</v>
      </c>
      <c r="N8" s="30">
        <v>140</v>
      </c>
      <c r="O8" s="30">
        <v>120</v>
      </c>
      <c r="P8" s="32">
        <v>0.4</v>
      </c>
      <c r="Q8" s="33">
        <v>1</v>
      </c>
      <c r="R8" s="65"/>
      <c r="S8" s="48" t="s">
        <v>824</v>
      </c>
      <c r="T8" s="98">
        <v>1006.04</v>
      </c>
      <c r="U8" s="48" t="s">
        <v>824</v>
      </c>
      <c r="V8" s="48" t="s">
        <v>829</v>
      </c>
      <c r="W8" s="48" t="b">
        <f t="shared" si="0"/>
        <v>0</v>
      </c>
      <c r="X8" s="48" t="b">
        <f t="shared" si="1"/>
        <v>1</v>
      </c>
      <c r="Y8" s="48" t="b">
        <f t="shared" si="2"/>
        <v>0</v>
      </c>
      <c r="Z8" s="48" t="b">
        <f t="shared" si="3"/>
        <v>0</v>
      </c>
      <c r="AA8" s="58">
        <f t="shared" si="4"/>
        <v>15201</v>
      </c>
    </row>
    <row r="9" spans="1:28" x14ac:dyDescent="0.2">
      <c r="A9" s="28" t="s">
        <v>400</v>
      </c>
      <c r="B9" s="29" t="s">
        <v>720</v>
      </c>
      <c r="C9" s="28" t="s">
        <v>721</v>
      </c>
      <c r="D9" s="28" t="s">
        <v>722</v>
      </c>
      <c r="E9" s="30">
        <v>500</v>
      </c>
      <c r="F9" s="30">
        <v>500</v>
      </c>
      <c r="G9" s="30">
        <v>750</v>
      </c>
      <c r="H9" s="30">
        <v>8</v>
      </c>
      <c r="I9" s="31">
        <v>0.25</v>
      </c>
      <c r="J9" s="30">
        <v>500</v>
      </c>
      <c r="K9" s="30">
        <v>55</v>
      </c>
      <c r="L9" s="30">
        <v>90</v>
      </c>
      <c r="M9" s="30">
        <v>19</v>
      </c>
      <c r="N9" s="30">
        <v>140</v>
      </c>
      <c r="O9" s="30">
        <v>120</v>
      </c>
      <c r="P9" s="32">
        <v>1.9</v>
      </c>
      <c r="Q9" s="33">
        <v>1</v>
      </c>
      <c r="R9" s="65"/>
      <c r="S9" s="48" t="s">
        <v>824</v>
      </c>
      <c r="T9" s="98">
        <v>1000.06</v>
      </c>
      <c r="U9" s="48" t="s">
        <v>824</v>
      </c>
      <c r="V9" s="48" t="s">
        <v>829</v>
      </c>
      <c r="W9" s="48" t="b">
        <f t="shared" si="0"/>
        <v>0</v>
      </c>
      <c r="X9" s="48" t="b">
        <f t="shared" si="1"/>
        <v>1</v>
      </c>
      <c r="Y9" s="48" t="b">
        <f t="shared" si="2"/>
        <v>0</v>
      </c>
      <c r="Z9" s="48" t="b">
        <f t="shared" si="3"/>
        <v>0</v>
      </c>
      <c r="AA9" s="58">
        <f t="shared" si="4"/>
        <v>15201</v>
      </c>
    </row>
    <row r="10" spans="1:28" x14ac:dyDescent="0.2">
      <c r="A10" s="28" t="s">
        <v>401</v>
      </c>
      <c r="B10" s="29" t="s">
        <v>720</v>
      </c>
      <c r="C10" s="28" t="s">
        <v>721</v>
      </c>
      <c r="D10" s="28" t="s">
        <v>722</v>
      </c>
      <c r="E10" s="30">
        <v>710</v>
      </c>
      <c r="F10" s="30">
        <v>710</v>
      </c>
      <c r="G10" s="30">
        <v>710</v>
      </c>
      <c r="H10" s="30">
        <v>10</v>
      </c>
      <c r="I10" s="31">
        <v>0.25</v>
      </c>
      <c r="J10" s="30">
        <v>710</v>
      </c>
      <c r="K10" s="30">
        <v>55</v>
      </c>
      <c r="L10" s="30">
        <v>90</v>
      </c>
      <c r="M10" s="30">
        <v>27</v>
      </c>
      <c r="N10" s="30">
        <v>140</v>
      </c>
      <c r="O10" s="30">
        <v>120</v>
      </c>
      <c r="P10" s="32">
        <v>2.7</v>
      </c>
      <c r="Q10" s="33">
        <v>1</v>
      </c>
      <c r="R10" s="65"/>
      <c r="S10" s="48" t="s">
        <v>824</v>
      </c>
      <c r="T10" s="98">
        <v>1005.08</v>
      </c>
      <c r="U10" s="48" t="s">
        <v>824</v>
      </c>
      <c r="V10" s="48" t="s">
        <v>829</v>
      </c>
      <c r="W10" s="48" t="b">
        <f t="shared" si="0"/>
        <v>0</v>
      </c>
      <c r="X10" s="48" t="b">
        <f t="shared" si="1"/>
        <v>1</v>
      </c>
      <c r="Y10" s="48" t="b">
        <f t="shared" si="2"/>
        <v>0</v>
      </c>
      <c r="Z10" s="48" t="b">
        <f t="shared" si="3"/>
        <v>0</v>
      </c>
      <c r="AA10" s="58">
        <f t="shared" si="4"/>
        <v>15201</v>
      </c>
    </row>
    <row r="11" spans="1:28" x14ac:dyDescent="0.2">
      <c r="A11" s="28" t="s">
        <v>402</v>
      </c>
      <c r="B11" s="29" t="s">
        <v>720</v>
      </c>
      <c r="C11" s="28" t="s">
        <v>721</v>
      </c>
      <c r="D11" s="28" t="s">
        <v>722</v>
      </c>
      <c r="E11" s="30">
        <v>100</v>
      </c>
      <c r="F11" s="30">
        <v>100</v>
      </c>
      <c r="G11" s="30">
        <v>80</v>
      </c>
      <c r="H11" s="30">
        <v>6</v>
      </c>
      <c r="I11" s="31">
        <v>0.25</v>
      </c>
      <c r="J11" s="30">
        <v>100</v>
      </c>
      <c r="K11" s="30">
        <v>55</v>
      </c>
      <c r="L11" s="30">
        <v>90</v>
      </c>
      <c r="M11" s="30">
        <v>4</v>
      </c>
      <c r="N11" s="30">
        <v>140</v>
      </c>
      <c r="O11" s="30">
        <v>120</v>
      </c>
      <c r="P11" s="32">
        <v>0.4</v>
      </c>
      <c r="Q11" s="33">
        <v>1</v>
      </c>
      <c r="R11" s="65"/>
      <c r="S11" s="48" t="s">
        <v>824</v>
      </c>
      <c r="T11" s="98">
        <v>1005.06</v>
      </c>
      <c r="U11" s="48" t="s">
        <v>824</v>
      </c>
      <c r="V11" s="48" t="s">
        <v>829</v>
      </c>
      <c r="W11" s="48" t="b">
        <f t="shared" si="0"/>
        <v>0</v>
      </c>
      <c r="X11" s="48" t="b">
        <f t="shared" si="1"/>
        <v>1</v>
      </c>
      <c r="Y11" s="48" t="b">
        <f t="shared" si="2"/>
        <v>0</v>
      </c>
      <c r="Z11" s="48" t="b">
        <f t="shared" si="3"/>
        <v>0</v>
      </c>
      <c r="AA11" s="58">
        <f t="shared" si="4"/>
        <v>15201</v>
      </c>
    </row>
    <row r="12" spans="1:28" x14ac:dyDescent="0.2">
      <c r="A12" s="28" t="s">
        <v>403</v>
      </c>
      <c r="B12" s="29" t="s">
        <v>720</v>
      </c>
      <c r="C12" s="28" t="s">
        <v>721</v>
      </c>
      <c r="D12" s="28" t="s">
        <v>722</v>
      </c>
      <c r="E12" s="30">
        <v>165</v>
      </c>
      <c r="F12" s="30">
        <v>165</v>
      </c>
      <c r="G12" s="30">
        <v>80</v>
      </c>
      <c r="H12" s="30">
        <v>6</v>
      </c>
      <c r="I12" s="31">
        <v>0.25</v>
      </c>
      <c r="J12" s="30">
        <v>165</v>
      </c>
      <c r="K12" s="30">
        <v>55</v>
      </c>
      <c r="L12" s="30">
        <v>90</v>
      </c>
      <c r="M12" s="32">
        <v>6.5</v>
      </c>
      <c r="N12" s="30">
        <v>140</v>
      </c>
      <c r="O12" s="30">
        <v>120</v>
      </c>
      <c r="P12" s="32">
        <v>0.6</v>
      </c>
      <c r="Q12" s="33">
        <v>1</v>
      </c>
      <c r="R12" s="65"/>
      <c r="S12" s="48" t="s">
        <v>824</v>
      </c>
      <c r="T12" s="98">
        <v>1005.07</v>
      </c>
      <c r="U12" s="48" t="s">
        <v>824</v>
      </c>
      <c r="V12" s="48" t="s">
        <v>829</v>
      </c>
      <c r="W12" s="48" t="b">
        <f t="shared" si="0"/>
        <v>0</v>
      </c>
      <c r="X12" s="48" t="b">
        <f t="shared" si="1"/>
        <v>1</v>
      </c>
      <c r="Y12" s="48" t="b">
        <f t="shared" si="2"/>
        <v>0</v>
      </c>
      <c r="Z12" s="48" t="b">
        <f t="shared" si="3"/>
        <v>0</v>
      </c>
      <c r="AA12" s="58">
        <f t="shared" si="4"/>
        <v>15201</v>
      </c>
    </row>
    <row r="13" spans="1:28" x14ac:dyDescent="0.2">
      <c r="A13" s="28" t="s">
        <v>404</v>
      </c>
      <c r="B13" s="29" t="s">
        <v>720</v>
      </c>
      <c r="C13" s="28" t="s">
        <v>721</v>
      </c>
      <c r="D13" s="28" t="s">
        <v>722</v>
      </c>
      <c r="E13" s="30">
        <v>165</v>
      </c>
      <c r="F13" s="30">
        <v>165</v>
      </c>
      <c r="G13" s="30">
        <v>80</v>
      </c>
      <c r="H13" s="30">
        <v>6</v>
      </c>
      <c r="I13" s="31">
        <v>0.25</v>
      </c>
      <c r="J13" s="30">
        <v>165</v>
      </c>
      <c r="K13" s="30">
        <v>55</v>
      </c>
      <c r="L13" s="30">
        <v>90</v>
      </c>
      <c r="M13" s="32">
        <v>6.5</v>
      </c>
      <c r="N13" s="30">
        <v>140</v>
      </c>
      <c r="O13" s="30">
        <v>120</v>
      </c>
      <c r="P13" s="32">
        <v>0.6</v>
      </c>
      <c r="Q13" s="33">
        <v>1</v>
      </c>
      <c r="R13" s="65"/>
      <c r="S13" s="48" t="s">
        <v>827</v>
      </c>
      <c r="T13" s="98">
        <v>1005.02</v>
      </c>
      <c r="U13" s="48" t="s">
        <v>824</v>
      </c>
      <c r="V13" s="48" t="s">
        <v>829</v>
      </c>
      <c r="W13" s="48" t="b">
        <f t="shared" si="0"/>
        <v>0</v>
      </c>
      <c r="X13" s="48" t="b">
        <f t="shared" si="1"/>
        <v>1</v>
      </c>
      <c r="Y13" s="48" t="b">
        <f t="shared" si="2"/>
        <v>0</v>
      </c>
      <c r="Z13" s="48" t="b">
        <f t="shared" si="3"/>
        <v>0</v>
      </c>
      <c r="AA13" s="58">
        <f t="shared" si="4"/>
        <v>15201</v>
      </c>
    </row>
    <row r="14" spans="1:28" x14ac:dyDescent="0.2">
      <c r="A14" s="28" t="s">
        <v>405</v>
      </c>
      <c r="B14" s="29" t="s">
        <v>720</v>
      </c>
      <c r="C14" s="28" t="s">
        <v>721</v>
      </c>
      <c r="D14" s="28" t="s">
        <v>722</v>
      </c>
      <c r="E14" s="30">
        <v>195</v>
      </c>
      <c r="F14" s="30">
        <v>195</v>
      </c>
      <c r="G14" s="30">
        <v>80</v>
      </c>
      <c r="H14" s="30">
        <v>6</v>
      </c>
      <c r="I14" s="31">
        <v>0.25</v>
      </c>
      <c r="J14" s="30">
        <v>195</v>
      </c>
      <c r="K14" s="30">
        <v>55</v>
      </c>
      <c r="L14" s="30">
        <v>90</v>
      </c>
      <c r="M14" s="32">
        <v>7.5</v>
      </c>
      <c r="N14" s="30">
        <v>140</v>
      </c>
      <c r="O14" s="30">
        <v>120</v>
      </c>
      <c r="P14" s="32">
        <v>0.7</v>
      </c>
      <c r="Q14" s="33">
        <v>1</v>
      </c>
      <c r="R14" s="65"/>
      <c r="S14" s="48" t="s">
        <v>824</v>
      </c>
      <c r="T14" s="98" t="s">
        <v>879</v>
      </c>
      <c r="U14" s="48" t="s">
        <v>824</v>
      </c>
      <c r="V14" s="48" t="s">
        <v>829</v>
      </c>
      <c r="W14" s="48" t="b">
        <f t="shared" si="0"/>
        <v>0</v>
      </c>
      <c r="X14" s="48" t="b">
        <f t="shared" si="1"/>
        <v>1</v>
      </c>
      <c r="Y14" s="48" t="b">
        <f t="shared" si="2"/>
        <v>0</v>
      </c>
      <c r="Z14" s="48" t="b">
        <f t="shared" si="3"/>
        <v>0</v>
      </c>
      <c r="AA14" s="58">
        <f t="shared" si="4"/>
        <v>15201</v>
      </c>
    </row>
    <row r="15" spans="1:28" x14ac:dyDescent="0.2">
      <c r="A15" s="28" t="s">
        <v>406</v>
      </c>
      <c r="B15" s="29" t="s">
        <v>720</v>
      </c>
      <c r="C15" s="28" t="s">
        <v>721</v>
      </c>
      <c r="D15" s="28" t="s">
        <v>722</v>
      </c>
      <c r="E15" s="30">
        <v>255</v>
      </c>
      <c r="F15" s="30">
        <v>255</v>
      </c>
      <c r="G15" s="30">
        <v>80</v>
      </c>
      <c r="H15" s="30">
        <v>6</v>
      </c>
      <c r="I15" s="31">
        <v>0.25</v>
      </c>
      <c r="J15" s="30">
        <v>255</v>
      </c>
      <c r="K15" s="30">
        <v>55</v>
      </c>
      <c r="L15" s="30">
        <v>90</v>
      </c>
      <c r="M15" s="32">
        <v>9.5</v>
      </c>
      <c r="N15" s="30">
        <v>140</v>
      </c>
      <c r="O15" s="30">
        <v>120</v>
      </c>
      <c r="P15" s="32">
        <v>1</v>
      </c>
      <c r="Q15" s="33">
        <v>1</v>
      </c>
      <c r="R15" s="65"/>
      <c r="S15" s="48" t="s">
        <v>824</v>
      </c>
      <c r="T15" s="98">
        <v>1011.04</v>
      </c>
      <c r="U15" s="48" t="s">
        <v>824</v>
      </c>
      <c r="V15" s="48" t="s">
        <v>829</v>
      </c>
      <c r="W15" s="48" t="b">
        <f t="shared" si="0"/>
        <v>0</v>
      </c>
      <c r="X15" s="48" t="b">
        <f t="shared" si="1"/>
        <v>1</v>
      </c>
      <c r="Y15" s="48" t="b">
        <f t="shared" si="2"/>
        <v>0</v>
      </c>
      <c r="Z15" s="48" t="b">
        <f t="shared" si="3"/>
        <v>0</v>
      </c>
      <c r="AA15" s="58">
        <f t="shared" si="4"/>
        <v>15201</v>
      </c>
    </row>
    <row r="16" spans="1:28" x14ac:dyDescent="0.2">
      <c r="A16" s="28" t="s">
        <v>407</v>
      </c>
      <c r="B16" s="29" t="s">
        <v>720</v>
      </c>
      <c r="C16" s="28" t="s">
        <v>721</v>
      </c>
      <c r="D16" s="28" t="s">
        <v>722</v>
      </c>
      <c r="E16" s="30">
        <v>200</v>
      </c>
      <c r="F16" s="30">
        <v>200</v>
      </c>
      <c r="G16" s="30">
        <v>80</v>
      </c>
      <c r="H16" s="30">
        <v>6</v>
      </c>
      <c r="I16" s="31">
        <v>0.25</v>
      </c>
      <c r="J16" s="30">
        <v>200</v>
      </c>
      <c r="K16" s="30">
        <v>55</v>
      </c>
      <c r="L16" s="30">
        <v>90</v>
      </c>
      <c r="M16" s="32">
        <v>7.5</v>
      </c>
      <c r="N16" s="30">
        <v>140</v>
      </c>
      <c r="O16" s="30">
        <v>120</v>
      </c>
      <c r="P16" s="32">
        <v>0.8</v>
      </c>
      <c r="Q16" s="33">
        <v>1</v>
      </c>
      <c r="R16" s="65"/>
      <c r="S16" s="68" t="s">
        <v>824</v>
      </c>
      <c r="T16" s="98">
        <v>1007.03</v>
      </c>
      <c r="U16" s="68" t="s">
        <v>824</v>
      </c>
      <c r="V16" s="68" t="s">
        <v>836</v>
      </c>
      <c r="W16" s="48"/>
      <c r="X16" s="48"/>
      <c r="Y16" s="48"/>
      <c r="Z16" s="48"/>
      <c r="AA16" s="58">
        <v>15004</v>
      </c>
      <c r="AB16" s="68" t="s">
        <v>837</v>
      </c>
    </row>
    <row r="17" spans="1:28" x14ac:dyDescent="0.2">
      <c r="A17" s="28" t="s">
        <v>408</v>
      </c>
      <c r="B17" s="29" t="s">
        <v>720</v>
      </c>
      <c r="C17" s="28" t="s">
        <v>721</v>
      </c>
      <c r="D17" s="28" t="s">
        <v>723</v>
      </c>
      <c r="E17" s="30">
        <v>345</v>
      </c>
      <c r="F17" s="30">
        <v>345</v>
      </c>
      <c r="G17" s="30">
        <v>80</v>
      </c>
      <c r="H17" s="30">
        <v>6</v>
      </c>
      <c r="I17" s="31">
        <v>0.25</v>
      </c>
      <c r="J17" s="30">
        <v>345</v>
      </c>
      <c r="K17" s="30">
        <v>55</v>
      </c>
      <c r="L17" s="30">
        <v>90</v>
      </c>
      <c r="M17" s="30">
        <v>13</v>
      </c>
      <c r="N17" s="30">
        <v>140</v>
      </c>
      <c r="O17" s="30">
        <v>120</v>
      </c>
      <c r="P17" s="32">
        <v>1.3</v>
      </c>
      <c r="Q17" s="33">
        <v>1</v>
      </c>
      <c r="R17" s="65"/>
      <c r="S17" s="48" t="s">
        <v>824</v>
      </c>
      <c r="T17" s="98">
        <v>1003.08</v>
      </c>
      <c r="U17" s="48" t="s">
        <v>824</v>
      </c>
      <c r="V17" s="48" t="s">
        <v>829</v>
      </c>
      <c r="W17" s="48" t="b">
        <f t="shared" ref="W17:W27" si="5">AND(V17 = "TS", $P17 &gt; 0)</f>
        <v>0</v>
      </c>
      <c r="X17" s="48" t="b">
        <f t="shared" ref="X17:X27" si="6">AND(V17= "TS,H", $P17 &gt; 0)</f>
        <v>1</v>
      </c>
      <c r="Y17" s="48" t="b">
        <f t="shared" ref="Y17:Y27" si="7">AND(W17 = "TS", $P17 &gt; 0)</f>
        <v>0</v>
      </c>
      <c r="Z17" s="48" t="b">
        <f t="shared" ref="Z17:Z27" si="8">AND(W17= "TS,H", $P17 &gt; 0)</f>
        <v>0</v>
      </c>
      <c r="AA17" s="58">
        <f t="shared" ref="AA17:AA27" si="9">IF(W17, FALSE, IF(X17, 15201, IF(Y17, FALSE, FALSE)))</f>
        <v>15201</v>
      </c>
      <c r="AB17" s="48"/>
    </row>
    <row r="18" spans="1:28" x14ac:dyDescent="0.2">
      <c r="A18" s="28" t="s">
        <v>409</v>
      </c>
      <c r="B18" s="29" t="s">
        <v>720</v>
      </c>
      <c r="C18" s="28" t="s">
        <v>721</v>
      </c>
      <c r="D18" s="28" t="s">
        <v>723</v>
      </c>
      <c r="E18" s="30">
        <v>450</v>
      </c>
      <c r="F18" s="30">
        <v>450</v>
      </c>
      <c r="G18" s="30">
        <v>140</v>
      </c>
      <c r="H18" s="30">
        <v>8</v>
      </c>
      <c r="I18" s="31">
        <v>0.25</v>
      </c>
      <c r="J18" s="30">
        <v>450</v>
      </c>
      <c r="K18" s="30">
        <v>55</v>
      </c>
      <c r="L18" s="30">
        <v>90</v>
      </c>
      <c r="M18" s="30">
        <v>17</v>
      </c>
      <c r="N18" s="30">
        <v>140</v>
      </c>
      <c r="O18" s="30">
        <v>120</v>
      </c>
      <c r="P18" s="32">
        <v>1.7</v>
      </c>
      <c r="Q18" s="33">
        <v>1</v>
      </c>
      <c r="R18" s="65"/>
      <c r="S18" s="48" t="s">
        <v>824</v>
      </c>
      <c r="T18" s="98">
        <v>1003.09</v>
      </c>
      <c r="U18" s="48" t="s">
        <v>824</v>
      </c>
      <c r="V18" s="48" t="s">
        <v>829</v>
      </c>
      <c r="W18" s="48" t="b">
        <f t="shared" si="5"/>
        <v>0</v>
      </c>
      <c r="X18" s="48" t="b">
        <f t="shared" si="6"/>
        <v>1</v>
      </c>
      <c r="Y18" s="48" t="b">
        <f t="shared" si="7"/>
        <v>0</v>
      </c>
      <c r="Z18" s="48" t="b">
        <f t="shared" si="8"/>
        <v>0</v>
      </c>
      <c r="AA18" s="58">
        <f t="shared" si="9"/>
        <v>15201</v>
      </c>
      <c r="AB18" s="48"/>
    </row>
    <row r="19" spans="1:28" x14ac:dyDescent="0.2">
      <c r="A19" s="28" t="s">
        <v>410</v>
      </c>
      <c r="B19" s="29" t="s">
        <v>720</v>
      </c>
      <c r="C19" s="28" t="s">
        <v>721</v>
      </c>
      <c r="D19" s="28" t="s">
        <v>723</v>
      </c>
      <c r="E19" s="30">
        <v>170</v>
      </c>
      <c r="F19" s="30">
        <v>170</v>
      </c>
      <c r="G19" s="30">
        <v>80</v>
      </c>
      <c r="H19" s="30">
        <v>6</v>
      </c>
      <c r="I19" s="31">
        <v>0.25</v>
      </c>
      <c r="J19" s="30">
        <v>170</v>
      </c>
      <c r="K19" s="30">
        <v>55</v>
      </c>
      <c r="L19" s="30">
        <v>90</v>
      </c>
      <c r="M19" s="32">
        <v>6.5</v>
      </c>
      <c r="N19" s="30">
        <v>140</v>
      </c>
      <c r="O19" s="30">
        <v>120</v>
      </c>
      <c r="P19" s="32">
        <v>0.6</v>
      </c>
      <c r="Q19" s="33">
        <v>1</v>
      </c>
      <c r="R19" s="65"/>
      <c r="S19" s="48" t="s">
        <v>824</v>
      </c>
      <c r="T19" s="98">
        <v>1003.06</v>
      </c>
      <c r="U19" s="48" t="s">
        <v>824</v>
      </c>
      <c r="V19" s="48" t="s">
        <v>829</v>
      </c>
      <c r="W19" s="48" t="b">
        <f t="shared" si="5"/>
        <v>0</v>
      </c>
      <c r="X19" s="48" t="b">
        <f t="shared" si="6"/>
        <v>1</v>
      </c>
      <c r="Y19" s="48" t="b">
        <f t="shared" si="7"/>
        <v>0</v>
      </c>
      <c r="Z19" s="48" t="b">
        <f t="shared" si="8"/>
        <v>0</v>
      </c>
      <c r="AA19" s="58">
        <f t="shared" si="9"/>
        <v>15201</v>
      </c>
      <c r="AB19" s="48"/>
    </row>
    <row r="20" spans="1:28" x14ac:dyDescent="0.2">
      <c r="A20" s="28" t="s">
        <v>411</v>
      </c>
      <c r="B20" s="29" t="s">
        <v>720</v>
      </c>
      <c r="C20" s="28" t="s">
        <v>721</v>
      </c>
      <c r="D20" s="28" t="s">
        <v>723</v>
      </c>
      <c r="E20" s="34">
        <v>505</v>
      </c>
      <c r="F20" s="34">
        <v>505</v>
      </c>
      <c r="G20" s="30">
        <v>140</v>
      </c>
      <c r="H20" s="30">
        <v>8</v>
      </c>
      <c r="I20" s="31">
        <v>0.25</v>
      </c>
      <c r="J20" s="34">
        <v>505</v>
      </c>
      <c r="K20" s="30">
        <v>55</v>
      </c>
      <c r="L20" s="30">
        <v>90</v>
      </c>
      <c r="M20" s="34">
        <v>19</v>
      </c>
      <c r="N20" s="30">
        <v>140</v>
      </c>
      <c r="O20" s="30">
        <v>120</v>
      </c>
      <c r="P20" s="34">
        <v>1.9</v>
      </c>
      <c r="Q20" s="33">
        <v>1</v>
      </c>
      <c r="R20" s="65"/>
      <c r="S20" s="48" t="s">
        <v>824</v>
      </c>
      <c r="T20" s="98">
        <v>1003.08</v>
      </c>
      <c r="U20" s="48" t="s">
        <v>824</v>
      </c>
      <c r="V20" s="48" t="s">
        <v>829</v>
      </c>
      <c r="W20" s="48" t="b">
        <f t="shared" si="5"/>
        <v>0</v>
      </c>
      <c r="X20" s="48" t="b">
        <f t="shared" si="6"/>
        <v>1</v>
      </c>
      <c r="Y20" s="48" t="b">
        <f t="shared" si="7"/>
        <v>0</v>
      </c>
      <c r="Z20" s="48" t="b">
        <f t="shared" si="8"/>
        <v>0</v>
      </c>
      <c r="AA20" s="58">
        <f t="shared" si="9"/>
        <v>15201</v>
      </c>
      <c r="AB20" s="48"/>
    </row>
    <row r="21" spans="1:28" x14ac:dyDescent="0.2">
      <c r="A21" s="28" t="s">
        <v>412</v>
      </c>
      <c r="B21" s="29" t="s">
        <v>720</v>
      </c>
      <c r="C21" s="28" t="s">
        <v>721</v>
      </c>
      <c r="D21" s="28" t="s">
        <v>723</v>
      </c>
      <c r="E21" s="30">
        <v>200</v>
      </c>
      <c r="F21" s="30">
        <v>200</v>
      </c>
      <c r="G21" s="30">
        <v>80</v>
      </c>
      <c r="H21" s="30">
        <v>6</v>
      </c>
      <c r="I21" s="31">
        <v>0.25</v>
      </c>
      <c r="J21" s="30">
        <v>200</v>
      </c>
      <c r="K21" s="30">
        <v>55</v>
      </c>
      <c r="L21" s="30">
        <v>90</v>
      </c>
      <c r="M21" s="32">
        <v>7.5</v>
      </c>
      <c r="N21" s="30">
        <v>140</v>
      </c>
      <c r="O21" s="30">
        <v>120</v>
      </c>
      <c r="P21" s="32">
        <v>0.8</v>
      </c>
      <c r="Q21" s="33">
        <v>1</v>
      </c>
      <c r="R21" s="65"/>
      <c r="S21" s="48" t="s">
        <v>824</v>
      </c>
      <c r="T21" s="98">
        <v>1003.03</v>
      </c>
      <c r="U21" s="48" t="s">
        <v>824</v>
      </c>
      <c r="V21" s="48" t="s">
        <v>829</v>
      </c>
      <c r="W21" s="48" t="b">
        <f t="shared" si="5"/>
        <v>0</v>
      </c>
      <c r="X21" s="48" t="b">
        <f t="shared" si="6"/>
        <v>1</v>
      </c>
      <c r="Y21" s="48" t="b">
        <f t="shared" si="7"/>
        <v>0</v>
      </c>
      <c r="Z21" s="48" t="b">
        <f t="shared" si="8"/>
        <v>0</v>
      </c>
      <c r="AA21" s="58">
        <f t="shared" si="9"/>
        <v>15201</v>
      </c>
      <c r="AB21" s="48"/>
    </row>
    <row r="22" spans="1:28" x14ac:dyDescent="0.2">
      <c r="A22" s="28" t="s">
        <v>413</v>
      </c>
      <c r="B22" s="29" t="s">
        <v>720</v>
      </c>
      <c r="C22" s="28" t="s">
        <v>721</v>
      </c>
      <c r="D22" s="28" t="s">
        <v>723</v>
      </c>
      <c r="E22" s="30">
        <v>475</v>
      </c>
      <c r="F22" s="30">
        <v>475</v>
      </c>
      <c r="G22" s="30">
        <v>175</v>
      </c>
      <c r="H22" s="30">
        <v>8</v>
      </c>
      <c r="I22" s="31">
        <v>0.25</v>
      </c>
      <c r="J22" s="30">
        <v>475</v>
      </c>
      <c r="K22" s="30">
        <v>55</v>
      </c>
      <c r="L22" s="30">
        <v>90</v>
      </c>
      <c r="M22" s="30">
        <v>18</v>
      </c>
      <c r="N22" s="30">
        <v>140</v>
      </c>
      <c r="O22" s="30">
        <v>120</v>
      </c>
      <c r="P22" s="32">
        <v>1.8</v>
      </c>
      <c r="Q22" s="33">
        <v>1</v>
      </c>
      <c r="R22" s="65"/>
      <c r="S22" s="48" t="s">
        <v>824</v>
      </c>
      <c r="T22" s="98">
        <v>1000.01</v>
      </c>
      <c r="U22" s="48" t="s">
        <v>827</v>
      </c>
      <c r="V22" s="48" t="s">
        <v>829</v>
      </c>
      <c r="W22" s="48" t="b">
        <f t="shared" si="5"/>
        <v>0</v>
      </c>
      <c r="X22" s="48" t="b">
        <f t="shared" si="6"/>
        <v>1</v>
      </c>
      <c r="Y22" s="48" t="b">
        <f t="shared" si="7"/>
        <v>0</v>
      </c>
      <c r="Z22" s="48" t="b">
        <f t="shared" si="8"/>
        <v>0</v>
      </c>
      <c r="AA22" s="58">
        <f t="shared" si="9"/>
        <v>15201</v>
      </c>
      <c r="AB22" s="48"/>
    </row>
    <row r="23" spans="1:28" x14ac:dyDescent="0.2">
      <c r="A23" s="28" t="s">
        <v>414</v>
      </c>
      <c r="B23" s="29" t="s">
        <v>720</v>
      </c>
      <c r="C23" s="28" t="s">
        <v>721</v>
      </c>
      <c r="D23" s="28" t="s">
        <v>723</v>
      </c>
      <c r="E23" s="30">
        <v>660</v>
      </c>
      <c r="F23" s="30">
        <v>660</v>
      </c>
      <c r="G23" s="30">
        <v>140</v>
      </c>
      <c r="H23" s="30">
        <v>8</v>
      </c>
      <c r="I23" s="31">
        <v>0.25</v>
      </c>
      <c r="J23" s="30">
        <v>660</v>
      </c>
      <c r="K23" s="30">
        <v>55</v>
      </c>
      <c r="L23" s="30">
        <v>90</v>
      </c>
      <c r="M23" s="30">
        <v>25</v>
      </c>
      <c r="N23" s="30">
        <v>140</v>
      </c>
      <c r="O23" s="30">
        <v>120</v>
      </c>
      <c r="P23" s="32">
        <v>2.5</v>
      </c>
      <c r="Q23" s="33">
        <v>1</v>
      </c>
      <c r="R23" s="65"/>
      <c r="S23" s="48" t="s">
        <v>824</v>
      </c>
      <c r="T23" s="98">
        <v>1000.03</v>
      </c>
      <c r="U23" s="48" t="s">
        <v>824</v>
      </c>
      <c r="V23" s="48" t="s">
        <v>829</v>
      </c>
      <c r="W23" s="48" t="b">
        <f t="shared" si="5"/>
        <v>0</v>
      </c>
      <c r="X23" s="48" t="b">
        <f t="shared" si="6"/>
        <v>1</v>
      </c>
      <c r="Y23" s="48" t="b">
        <f t="shared" si="7"/>
        <v>0</v>
      </c>
      <c r="Z23" s="48" t="b">
        <f t="shared" si="8"/>
        <v>0</v>
      </c>
      <c r="AA23" s="58">
        <f t="shared" si="9"/>
        <v>15201</v>
      </c>
      <c r="AB23" s="48"/>
    </row>
    <row r="24" spans="1:28" x14ac:dyDescent="0.2">
      <c r="A24" s="28" t="s">
        <v>415</v>
      </c>
      <c r="B24" s="29" t="s">
        <v>720</v>
      </c>
      <c r="C24" s="28" t="s">
        <v>721</v>
      </c>
      <c r="D24" s="28" t="s">
        <v>723</v>
      </c>
      <c r="E24" s="30">
        <v>135</v>
      </c>
      <c r="F24" s="30">
        <v>135</v>
      </c>
      <c r="G24" s="34">
        <v>80</v>
      </c>
      <c r="H24" s="30">
        <v>6</v>
      </c>
      <c r="I24" s="31">
        <v>0.25</v>
      </c>
      <c r="J24" s="30">
        <v>135</v>
      </c>
      <c r="K24" s="34">
        <v>55</v>
      </c>
      <c r="L24" s="30">
        <v>90</v>
      </c>
      <c r="M24" s="30">
        <v>5</v>
      </c>
      <c r="N24" s="34">
        <v>140</v>
      </c>
      <c r="O24" s="30">
        <v>120</v>
      </c>
      <c r="P24" s="32">
        <v>0.5</v>
      </c>
      <c r="Q24" s="29">
        <v>1</v>
      </c>
      <c r="R24" s="65"/>
      <c r="S24" s="48" t="s">
        <v>824</v>
      </c>
      <c r="T24" s="98">
        <v>1003.16</v>
      </c>
      <c r="U24" s="48" t="s">
        <v>824</v>
      </c>
      <c r="V24" s="48" t="s">
        <v>829</v>
      </c>
      <c r="W24" s="48" t="b">
        <f t="shared" si="5"/>
        <v>0</v>
      </c>
      <c r="X24" s="48" t="b">
        <f t="shared" si="6"/>
        <v>1</v>
      </c>
      <c r="Y24" s="48" t="b">
        <f t="shared" si="7"/>
        <v>0</v>
      </c>
      <c r="Z24" s="48" t="b">
        <f t="shared" si="8"/>
        <v>0</v>
      </c>
      <c r="AA24" s="58">
        <f t="shared" si="9"/>
        <v>15201</v>
      </c>
      <c r="AB24" s="48"/>
    </row>
    <row r="25" spans="1:28" x14ac:dyDescent="0.2">
      <c r="A25" s="28" t="s">
        <v>416</v>
      </c>
      <c r="B25" s="29" t="s">
        <v>720</v>
      </c>
      <c r="C25" s="28" t="s">
        <v>721</v>
      </c>
      <c r="D25" s="28" t="s">
        <v>723</v>
      </c>
      <c r="E25" s="30">
        <v>175</v>
      </c>
      <c r="F25" s="30">
        <v>175</v>
      </c>
      <c r="G25" s="30">
        <v>80</v>
      </c>
      <c r="H25" s="30">
        <v>6</v>
      </c>
      <c r="I25" s="31">
        <v>0.25</v>
      </c>
      <c r="J25" s="30">
        <v>175</v>
      </c>
      <c r="K25" s="30">
        <v>55</v>
      </c>
      <c r="L25" s="30">
        <v>90</v>
      </c>
      <c r="M25" s="32">
        <v>6.5</v>
      </c>
      <c r="N25" s="30">
        <v>140</v>
      </c>
      <c r="O25" s="30">
        <v>120</v>
      </c>
      <c r="P25" s="32">
        <v>0.7</v>
      </c>
      <c r="Q25" s="33">
        <v>1</v>
      </c>
      <c r="R25" s="65"/>
      <c r="S25" s="48" t="s">
        <v>824</v>
      </c>
      <c r="T25" s="98">
        <v>1003.23</v>
      </c>
      <c r="U25" s="48" t="s">
        <v>824</v>
      </c>
      <c r="V25" s="48" t="s">
        <v>829</v>
      </c>
      <c r="W25" s="48" t="b">
        <f t="shared" si="5"/>
        <v>0</v>
      </c>
      <c r="X25" s="48" t="b">
        <f t="shared" si="6"/>
        <v>1</v>
      </c>
      <c r="Y25" s="48" t="b">
        <f t="shared" si="7"/>
        <v>0</v>
      </c>
      <c r="Z25" s="48" t="b">
        <f t="shared" si="8"/>
        <v>0</v>
      </c>
      <c r="AA25" s="58">
        <f t="shared" si="9"/>
        <v>15201</v>
      </c>
      <c r="AB25" s="48"/>
    </row>
    <row r="26" spans="1:28" x14ac:dyDescent="0.2">
      <c r="A26" s="28" t="s">
        <v>417</v>
      </c>
      <c r="B26" s="29" t="s">
        <v>720</v>
      </c>
      <c r="C26" s="28" t="s">
        <v>721</v>
      </c>
      <c r="D26" s="28" t="s">
        <v>723</v>
      </c>
      <c r="E26" s="30">
        <v>125</v>
      </c>
      <c r="F26" s="30">
        <v>125</v>
      </c>
      <c r="G26" s="30">
        <v>80</v>
      </c>
      <c r="H26" s="30">
        <v>6</v>
      </c>
      <c r="I26" s="31">
        <v>0.25</v>
      </c>
      <c r="J26" s="30">
        <v>125</v>
      </c>
      <c r="K26" s="30">
        <v>55</v>
      </c>
      <c r="L26" s="30">
        <v>90</v>
      </c>
      <c r="M26" s="32">
        <v>4.5</v>
      </c>
      <c r="N26" s="30">
        <v>140</v>
      </c>
      <c r="O26" s="30">
        <v>120</v>
      </c>
      <c r="P26" s="32">
        <v>0.5</v>
      </c>
      <c r="Q26" s="33">
        <v>1</v>
      </c>
      <c r="R26" s="65"/>
      <c r="S26" s="48" t="s">
        <v>824</v>
      </c>
      <c r="T26" s="98">
        <v>1003.18</v>
      </c>
      <c r="U26" s="48" t="s">
        <v>824</v>
      </c>
      <c r="V26" s="48" t="s">
        <v>829</v>
      </c>
      <c r="W26" s="48" t="b">
        <f t="shared" si="5"/>
        <v>0</v>
      </c>
      <c r="X26" s="48" t="b">
        <f t="shared" si="6"/>
        <v>1</v>
      </c>
      <c r="Y26" s="48" t="b">
        <f t="shared" si="7"/>
        <v>0</v>
      </c>
      <c r="Z26" s="48" t="b">
        <f t="shared" si="8"/>
        <v>0</v>
      </c>
      <c r="AA26" s="58">
        <f t="shared" si="9"/>
        <v>15201</v>
      </c>
      <c r="AB26" s="48"/>
    </row>
    <row r="27" spans="1:28" x14ac:dyDescent="0.2">
      <c r="A27" s="28" t="s">
        <v>418</v>
      </c>
      <c r="B27" s="29" t="s">
        <v>724</v>
      </c>
      <c r="C27" s="28" t="s">
        <v>721</v>
      </c>
      <c r="D27" s="28" t="s">
        <v>722</v>
      </c>
      <c r="E27" s="30">
        <v>540</v>
      </c>
      <c r="F27" s="30">
        <v>540</v>
      </c>
      <c r="G27" s="30">
        <v>140</v>
      </c>
      <c r="H27" s="30">
        <v>8</v>
      </c>
      <c r="I27" s="31">
        <v>0.25</v>
      </c>
      <c r="J27" s="30">
        <v>540</v>
      </c>
      <c r="K27" s="30">
        <v>55</v>
      </c>
      <c r="L27" s="30">
        <v>90</v>
      </c>
      <c r="M27" s="32">
        <v>20.5</v>
      </c>
      <c r="N27" s="30">
        <v>140</v>
      </c>
      <c r="O27" s="30">
        <v>120</v>
      </c>
      <c r="P27" s="32">
        <v>2.1</v>
      </c>
      <c r="Q27" s="33">
        <v>1</v>
      </c>
      <c r="R27" s="65"/>
      <c r="S27" s="48" t="s">
        <v>824</v>
      </c>
      <c r="T27" s="98" t="s">
        <v>880</v>
      </c>
      <c r="U27" s="48" t="s">
        <v>824</v>
      </c>
      <c r="V27" s="48" t="s">
        <v>829</v>
      </c>
      <c r="W27" s="48" t="b">
        <f t="shared" si="5"/>
        <v>0</v>
      </c>
      <c r="X27" s="48" t="b">
        <f t="shared" si="6"/>
        <v>1</v>
      </c>
      <c r="Y27" s="48" t="b">
        <f t="shared" si="7"/>
        <v>0</v>
      </c>
      <c r="Z27" s="48" t="b">
        <f t="shared" si="8"/>
        <v>0</v>
      </c>
      <c r="AA27" s="58">
        <f t="shared" si="9"/>
        <v>15201</v>
      </c>
      <c r="AB27" s="48"/>
    </row>
    <row r="28" spans="1:28" x14ac:dyDescent="0.2">
      <c r="A28" s="28" t="s">
        <v>419</v>
      </c>
      <c r="B28" s="29" t="s">
        <v>724</v>
      </c>
      <c r="C28" s="28" t="s">
        <v>721</v>
      </c>
      <c r="D28" s="28" t="s">
        <v>722</v>
      </c>
      <c r="E28" s="30">
        <v>840</v>
      </c>
      <c r="F28" s="30">
        <v>840</v>
      </c>
      <c r="G28" s="30">
        <v>220</v>
      </c>
      <c r="H28" s="30">
        <v>10</v>
      </c>
      <c r="I28" s="31">
        <v>0.25</v>
      </c>
      <c r="J28" s="30">
        <v>840</v>
      </c>
      <c r="K28" s="30">
        <v>55</v>
      </c>
      <c r="L28" s="30">
        <v>90</v>
      </c>
      <c r="M28" s="30">
        <v>32</v>
      </c>
      <c r="N28" s="30">
        <v>140</v>
      </c>
      <c r="O28" s="30">
        <v>120</v>
      </c>
      <c r="P28" s="32">
        <v>3.2</v>
      </c>
      <c r="Q28" s="33">
        <v>1</v>
      </c>
      <c r="R28" s="65"/>
      <c r="S28" s="68" t="s">
        <v>824</v>
      </c>
      <c r="T28" s="98" t="s">
        <v>881</v>
      </c>
      <c r="U28" s="68" t="s">
        <v>824</v>
      </c>
      <c r="V28" s="68" t="s">
        <v>835</v>
      </c>
      <c r="W28" s="48"/>
      <c r="X28" s="48"/>
      <c r="Y28" s="48"/>
      <c r="Z28" s="48"/>
      <c r="AA28" s="70">
        <v>15202</v>
      </c>
      <c r="AB28" s="68" t="s">
        <v>800</v>
      </c>
    </row>
    <row r="29" spans="1:28" x14ac:dyDescent="0.2">
      <c r="A29" s="28" t="s">
        <v>420</v>
      </c>
      <c r="B29" s="29" t="s">
        <v>724</v>
      </c>
      <c r="C29" s="28" t="s">
        <v>721</v>
      </c>
      <c r="D29" s="28" t="s">
        <v>722</v>
      </c>
      <c r="E29" s="30">
        <v>450</v>
      </c>
      <c r="F29" s="30">
        <v>450</v>
      </c>
      <c r="G29" s="30">
        <v>140</v>
      </c>
      <c r="H29" s="30">
        <v>8</v>
      </c>
      <c r="I29" s="31">
        <v>0.25</v>
      </c>
      <c r="J29" s="30">
        <v>450</v>
      </c>
      <c r="K29" s="30">
        <v>55</v>
      </c>
      <c r="L29" s="30">
        <v>90</v>
      </c>
      <c r="M29" s="30">
        <v>17</v>
      </c>
      <c r="N29" s="30">
        <v>140</v>
      </c>
      <c r="O29" s="30">
        <v>120</v>
      </c>
      <c r="P29" s="32">
        <v>1.7</v>
      </c>
      <c r="Q29" s="33">
        <v>1</v>
      </c>
      <c r="R29" s="65"/>
      <c r="S29" s="48" t="s">
        <v>824</v>
      </c>
      <c r="T29" s="98">
        <v>1114.01</v>
      </c>
      <c r="U29" s="48" t="s">
        <v>824</v>
      </c>
      <c r="V29" s="48" t="s">
        <v>829</v>
      </c>
      <c r="W29" s="48" t="b">
        <f t="shared" ref="W29:W40" si="10">AND(V29 = "TS", $P29 &gt; 0)</f>
        <v>0</v>
      </c>
      <c r="X29" s="48" t="b">
        <f t="shared" ref="X29:X40" si="11">AND(V29= "TS,H", $P29 &gt; 0)</f>
        <v>1</v>
      </c>
      <c r="Y29" s="48" t="b">
        <f t="shared" ref="Y29:Y40" si="12">AND(W29 = "TS", $P29 &gt; 0)</f>
        <v>0</v>
      </c>
      <c r="Z29" s="48" t="b">
        <f t="shared" ref="Z29:Z40" si="13">AND(W29= "TS,H", $P29 &gt; 0)</f>
        <v>0</v>
      </c>
      <c r="AA29" s="58">
        <f t="shared" ref="AA29:AA40" si="14">IF(W29, FALSE, IF(X29, 15201, IF(Y29, FALSE, FALSE)))</f>
        <v>15201</v>
      </c>
      <c r="AB29" s="48"/>
    </row>
    <row r="30" spans="1:28" x14ac:dyDescent="0.2">
      <c r="A30" s="28" t="s">
        <v>421</v>
      </c>
      <c r="B30" s="29" t="s">
        <v>724</v>
      </c>
      <c r="C30" s="28" t="s">
        <v>721</v>
      </c>
      <c r="D30" s="28" t="s">
        <v>722</v>
      </c>
      <c r="E30" s="30">
        <v>630</v>
      </c>
      <c r="F30" s="30">
        <v>630</v>
      </c>
      <c r="G30" s="30">
        <v>630</v>
      </c>
      <c r="H30" s="30">
        <v>8</v>
      </c>
      <c r="I30" s="31">
        <v>0.25</v>
      </c>
      <c r="J30" s="30">
        <v>630</v>
      </c>
      <c r="K30" s="30">
        <v>55</v>
      </c>
      <c r="L30" s="30">
        <v>90</v>
      </c>
      <c r="M30" s="30">
        <v>24</v>
      </c>
      <c r="N30" s="30">
        <v>140</v>
      </c>
      <c r="O30" s="30">
        <v>120</v>
      </c>
      <c r="P30" s="32">
        <v>2.4</v>
      </c>
      <c r="Q30" s="33">
        <v>1</v>
      </c>
      <c r="R30" s="65"/>
      <c r="S30" s="48" t="s">
        <v>824</v>
      </c>
      <c r="T30" s="98">
        <v>1100.03</v>
      </c>
      <c r="U30" s="48" t="s">
        <v>827</v>
      </c>
      <c r="V30" s="48" t="s">
        <v>829</v>
      </c>
      <c r="W30" s="48" t="b">
        <f t="shared" si="10"/>
        <v>0</v>
      </c>
      <c r="X30" s="48" t="b">
        <f t="shared" si="11"/>
        <v>1</v>
      </c>
      <c r="Y30" s="48" t="b">
        <f t="shared" si="12"/>
        <v>0</v>
      </c>
      <c r="Z30" s="48" t="b">
        <f t="shared" si="13"/>
        <v>0</v>
      </c>
      <c r="AA30" s="58">
        <f t="shared" si="14"/>
        <v>15201</v>
      </c>
      <c r="AB30" s="48"/>
    </row>
    <row r="31" spans="1:28" x14ac:dyDescent="0.2">
      <c r="A31" s="28" t="s">
        <v>422</v>
      </c>
      <c r="B31" s="29" t="s">
        <v>724</v>
      </c>
      <c r="C31" s="28" t="s">
        <v>721</v>
      </c>
      <c r="D31" s="28" t="s">
        <v>722</v>
      </c>
      <c r="E31" s="30">
        <v>560</v>
      </c>
      <c r="F31" s="30">
        <v>560</v>
      </c>
      <c r="G31" s="30">
        <v>140</v>
      </c>
      <c r="H31" s="30">
        <v>8</v>
      </c>
      <c r="I31" s="31">
        <v>0.25</v>
      </c>
      <c r="J31" s="30">
        <v>560</v>
      </c>
      <c r="K31" s="30">
        <v>55</v>
      </c>
      <c r="L31" s="30">
        <v>90</v>
      </c>
      <c r="M31" s="32">
        <v>21.5</v>
      </c>
      <c r="N31" s="30">
        <v>140</v>
      </c>
      <c r="O31" s="30">
        <v>120</v>
      </c>
      <c r="P31" s="32">
        <v>2.1</v>
      </c>
      <c r="Q31" s="33">
        <v>1</v>
      </c>
      <c r="R31" s="65"/>
      <c r="S31" s="48" t="s">
        <v>824</v>
      </c>
      <c r="T31" s="98" t="s">
        <v>916</v>
      </c>
      <c r="U31" s="48" t="s">
        <v>824</v>
      </c>
      <c r="V31" s="48" t="s">
        <v>829</v>
      </c>
      <c r="W31" s="48" t="b">
        <f t="shared" si="10"/>
        <v>0</v>
      </c>
      <c r="X31" s="48" t="b">
        <f t="shared" si="11"/>
        <v>1</v>
      </c>
      <c r="Y31" s="48" t="b">
        <f t="shared" si="12"/>
        <v>0</v>
      </c>
      <c r="Z31" s="48" t="b">
        <f t="shared" si="13"/>
        <v>0</v>
      </c>
      <c r="AA31" s="58">
        <f t="shared" si="14"/>
        <v>15201</v>
      </c>
      <c r="AB31" s="48"/>
    </row>
    <row r="32" spans="1:28" x14ac:dyDescent="0.2">
      <c r="A32" s="28" t="s">
        <v>423</v>
      </c>
      <c r="B32" s="29" t="s">
        <v>724</v>
      </c>
      <c r="C32" s="28" t="s">
        <v>721</v>
      </c>
      <c r="D32" s="28" t="s">
        <v>722</v>
      </c>
      <c r="E32" s="30">
        <v>560</v>
      </c>
      <c r="F32" s="30">
        <v>560</v>
      </c>
      <c r="G32" s="30">
        <v>140</v>
      </c>
      <c r="H32" s="30">
        <v>8</v>
      </c>
      <c r="I32" s="31">
        <v>0.25</v>
      </c>
      <c r="J32" s="30">
        <v>560</v>
      </c>
      <c r="K32" s="30">
        <v>55</v>
      </c>
      <c r="L32" s="30">
        <v>90</v>
      </c>
      <c r="M32" s="32">
        <v>21.5</v>
      </c>
      <c r="N32" s="30">
        <v>140</v>
      </c>
      <c r="O32" s="30">
        <v>120</v>
      </c>
      <c r="P32" s="32">
        <v>2.1</v>
      </c>
      <c r="Q32" s="33">
        <v>1</v>
      </c>
      <c r="R32" s="65"/>
      <c r="S32" s="48" t="s">
        <v>824</v>
      </c>
      <c r="T32" s="98" t="s">
        <v>929</v>
      </c>
      <c r="U32" s="48" t="s">
        <v>824</v>
      </c>
      <c r="V32" s="48" t="s">
        <v>829</v>
      </c>
      <c r="W32" s="48" t="b">
        <f t="shared" si="10"/>
        <v>0</v>
      </c>
      <c r="X32" s="48" t="b">
        <f t="shared" si="11"/>
        <v>1</v>
      </c>
      <c r="Y32" s="48" t="b">
        <f t="shared" si="12"/>
        <v>0</v>
      </c>
      <c r="Z32" s="48" t="b">
        <f t="shared" si="13"/>
        <v>0</v>
      </c>
      <c r="AA32" s="58">
        <f t="shared" si="14"/>
        <v>15201</v>
      </c>
      <c r="AB32" s="48"/>
    </row>
    <row r="33" spans="1:28" x14ac:dyDescent="0.2">
      <c r="A33" s="28" t="s">
        <v>424</v>
      </c>
      <c r="B33" s="29" t="s">
        <v>724</v>
      </c>
      <c r="C33" s="28" t="s">
        <v>721</v>
      </c>
      <c r="D33" s="28" t="s">
        <v>722</v>
      </c>
      <c r="E33" s="30">
        <v>570</v>
      </c>
      <c r="F33" s="30">
        <v>570</v>
      </c>
      <c r="G33" s="30">
        <v>140</v>
      </c>
      <c r="H33" s="30">
        <v>8</v>
      </c>
      <c r="I33" s="31">
        <v>0.25</v>
      </c>
      <c r="J33" s="30">
        <v>570</v>
      </c>
      <c r="K33" s="30">
        <v>55</v>
      </c>
      <c r="L33" s="30">
        <v>90</v>
      </c>
      <c r="M33" s="32">
        <v>21.5</v>
      </c>
      <c r="N33" s="30">
        <v>140</v>
      </c>
      <c r="O33" s="30">
        <v>120</v>
      </c>
      <c r="P33" s="32">
        <v>2.2000000000000002</v>
      </c>
      <c r="Q33" s="33">
        <v>1</v>
      </c>
      <c r="R33" s="65"/>
      <c r="S33" s="48" t="s">
        <v>824</v>
      </c>
      <c r="T33" s="98" t="s">
        <v>928</v>
      </c>
      <c r="U33" s="48" t="s">
        <v>824</v>
      </c>
      <c r="V33" s="48" t="s">
        <v>829</v>
      </c>
      <c r="W33" s="48" t="b">
        <f t="shared" si="10"/>
        <v>0</v>
      </c>
      <c r="X33" s="48" t="b">
        <f t="shared" si="11"/>
        <v>1</v>
      </c>
      <c r="Y33" s="48" t="b">
        <f t="shared" si="12"/>
        <v>0</v>
      </c>
      <c r="Z33" s="48" t="b">
        <f t="shared" si="13"/>
        <v>0</v>
      </c>
      <c r="AA33" s="58">
        <f t="shared" si="14"/>
        <v>15201</v>
      </c>
      <c r="AB33" s="48"/>
    </row>
    <row r="34" spans="1:28" x14ac:dyDescent="0.2">
      <c r="A34" s="28" t="s">
        <v>425</v>
      </c>
      <c r="B34" s="29" t="s">
        <v>724</v>
      </c>
      <c r="C34" s="28" t="s">
        <v>721</v>
      </c>
      <c r="D34" s="28" t="s">
        <v>722</v>
      </c>
      <c r="E34" s="30">
        <v>150</v>
      </c>
      <c r="F34" s="30">
        <v>150</v>
      </c>
      <c r="G34" s="30">
        <v>150</v>
      </c>
      <c r="H34" s="30">
        <v>6</v>
      </c>
      <c r="I34" s="31">
        <v>0.25</v>
      </c>
      <c r="J34" s="30">
        <v>150</v>
      </c>
      <c r="K34" s="30">
        <v>55</v>
      </c>
      <c r="L34" s="30">
        <v>90</v>
      </c>
      <c r="M34" s="32">
        <v>5.5</v>
      </c>
      <c r="N34" s="30">
        <v>140</v>
      </c>
      <c r="O34" s="30">
        <v>120</v>
      </c>
      <c r="P34" s="32">
        <v>0.6</v>
      </c>
      <c r="Q34" s="33">
        <v>1</v>
      </c>
      <c r="R34" s="65"/>
      <c r="S34" s="48" t="s">
        <v>827</v>
      </c>
      <c r="T34" s="98">
        <v>1100.02</v>
      </c>
      <c r="U34" s="48" t="s">
        <v>827</v>
      </c>
      <c r="V34" s="48" t="s">
        <v>829</v>
      </c>
      <c r="W34" s="48" t="b">
        <f t="shared" si="10"/>
        <v>0</v>
      </c>
      <c r="X34" s="48" t="b">
        <f t="shared" si="11"/>
        <v>1</v>
      </c>
      <c r="Y34" s="48" t="b">
        <f t="shared" si="12"/>
        <v>0</v>
      </c>
      <c r="Z34" s="48" t="b">
        <f t="shared" si="13"/>
        <v>0</v>
      </c>
      <c r="AA34" s="58">
        <f t="shared" si="14"/>
        <v>15201</v>
      </c>
      <c r="AB34" s="48"/>
    </row>
    <row r="35" spans="1:28" x14ac:dyDescent="0.2">
      <c r="A35" s="28" t="s">
        <v>426</v>
      </c>
      <c r="B35" s="29" t="s">
        <v>724</v>
      </c>
      <c r="C35" s="28" t="s">
        <v>721</v>
      </c>
      <c r="D35" s="28" t="s">
        <v>722</v>
      </c>
      <c r="E35" s="30">
        <v>630</v>
      </c>
      <c r="F35" s="30">
        <v>630</v>
      </c>
      <c r="G35" s="30">
        <v>140</v>
      </c>
      <c r="H35" s="30">
        <v>8</v>
      </c>
      <c r="I35" s="31">
        <v>0.25</v>
      </c>
      <c r="J35" s="30">
        <v>630</v>
      </c>
      <c r="K35" s="30">
        <v>55</v>
      </c>
      <c r="L35" s="30">
        <v>90</v>
      </c>
      <c r="M35" s="30">
        <v>24</v>
      </c>
      <c r="N35" s="30">
        <v>140</v>
      </c>
      <c r="O35" s="30">
        <v>120</v>
      </c>
      <c r="P35" s="32">
        <v>2.4</v>
      </c>
      <c r="Q35" s="33">
        <v>1</v>
      </c>
      <c r="R35" s="65"/>
      <c r="S35" s="48" t="s">
        <v>824</v>
      </c>
      <c r="T35" s="98" t="s">
        <v>927</v>
      </c>
      <c r="U35" s="48" t="s">
        <v>824</v>
      </c>
      <c r="V35" s="48" t="s">
        <v>829</v>
      </c>
      <c r="W35" s="48" t="b">
        <f t="shared" si="10"/>
        <v>0</v>
      </c>
      <c r="X35" s="48" t="b">
        <f t="shared" si="11"/>
        <v>1</v>
      </c>
      <c r="Y35" s="48" t="b">
        <f t="shared" si="12"/>
        <v>0</v>
      </c>
      <c r="Z35" s="48" t="b">
        <f t="shared" si="13"/>
        <v>0</v>
      </c>
      <c r="AA35" s="58">
        <f t="shared" si="14"/>
        <v>15201</v>
      </c>
      <c r="AB35" s="48"/>
    </row>
    <row r="36" spans="1:28" x14ac:dyDescent="0.2">
      <c r="A36" s="28" t="s">
        <v>427</v>
      </c>
      <c r="B36" s="29" t="s">
        <v>724</v>
      </c>
      <c r="C36" s="28" t="s">
        <v>721</v>
      </c>
      <c r="D36" s="28" t="s">
        <v>722</v>
      </c>
      <c r="E36" s="30">
        <v>560</v>
      </c>
      <c r="F36" s="30">
        <v>560</v>
      </c>
      <c r="G36" s="30">
        <v>140</v>
      </c>
      <c r="H36" s="30">
        <v>8</v>
      </c>
      <c r="I36" s="31">
        <v>0.25</v>
      </c>
      <c r="J36" s="30">
        <v>560</v>
      </c>
      <c r="K36" s="30">
        <v>55</v>
      </c>
      <c r="L36" s="30">
        <v>90</v>
      </c>
      <c r="M36" s="32">
        <v>21.5</v>
      </c>
      <c r="N36" s="30">
        <v>140</v>
      </c>
      <c r="O36" s="30">
        <v>120</v>
      </c>
      <c r="P36" s="32">
        <v>2.1</v>
      </c>
      <c r="Q36" s="33">
        <v>1</v>
      </c>
      <c r="R36" s="65"/>
      <c r="S36" s="48" t="s">
        <v>824</v>
      </c>
      <c r="T36" s="98" t="s">
        <v>926</v>
      </c>
      <c r="U36" s="48" t="s">
        <v>824</v>
      </c>
      <c r="V36" s="48" t="s">
        <v>829</v>
      </c>
      <c r="W36" s="48" t="b">
        <f t="shared" si="10"/>
        <v>0</v>
      </c>
      <c r="X36" s="48" t="b">
        <f t="shared" si="11"/>
        <v>1</v>
      </c>
      <c r="Y36" s="48" t="b">
        <f t="shared" si="12"/>
        <v>0</v>
      </c>
      <c r="Z36" s="48" t="b">
        <f t="shared" si="13"/>
        <v>0</v>
      </c>
      <c r="AA36" s="58">
        <f t="shared" si="14"/>
        <v>15201</v>
      </c>
      <c r="AB36" s="48"/>
    </row>
    <row r="37" spans="1:28" x14ac:dyDescent="0.2">
      <c r="A37" s="28" t="s">
        <v>428</v>
      </c>
      <c r="B37" s="29" t="s">
        <v>724</v>
      </c>
      <c r="C37" s="28" t="s">
        <v>721</v>
      </c>
      <c r="D37" s="28" t="s">
        <v>722</v>
      </c>
      <c r="E37" s="30">
        <v>130</v>
      </c>
      <c r="F37" s="30">
        <v>130</v>
      </c>
      <c r="G37" s="30">
        <v>80</v>
      </c>
      <c r="H37" s="30">
        <v>6</v>
      </c>
      <c r="I37" s="31">
        <v>0.25</v>
      </c>
      <c r="J37" s="30">
        <v>130</v>
      </c>
      <c r="K37" s="30">
        <v>55</v>
      </c>
      <c r="L37" s="30">
        <v>90</v>
      </c>
      <c r="M37" s="30">
        <v>5</v>
      </c>
      <c r="N37" s="30">
        <v>140</v>
      </c>
      <c r="O37" s="30">
        <v>120</v>
      </c>
      <c r="P37" s="32">
        <v>0.5</v>
      </c>
      <c r="Q37" s="33">
        <v>1</v>
      </c>
      <c r="R37" s="65"/>
      <c r="S37" s="48" t="s">
        <v>824</v>
      </c>
      <c r="T37" s="98" t="s">
        <v>925</v>
      </c>
      <c r="U37" s="48" t="s">
        <v>824</v>
      </c>
      <c r="V37" s="48" t="s">
        <v>829</v>
      </c>
      <c r="W37" s="48" t="b">
        <f t="shared" si="10"/>
        <v>0</v>
      </c>
      <c r="X37" s="48" t="b">
        <f t="shared" si="11"/>
        <v>1</v>
      </c>
      <c r="Y37" s="48" t="b">
        <f t="shared" si="12"/>
        <v>0</v>
      </c>
      <c r="Z37" s="48" t="b">
        <f t="shared" si="13"/>
        <v>0</v>
      </c>
      <c r="AA37" s="58">
        <f t="shared" si="14"/>
        <v>15201</v>
      </c>
      <c r="AB37" s="48"/>
    </row>
    <row r="38" spans="1:28" x14ac:dyDescent="0.2">
      <c r="A38" s="28" t="s">
        <v>429</v>
      </c>
      <c r="B38" s="29" t="s">
        <v>724</v>
      </c>
      <c r="C38" s="28" t="s">
        <v>721</v>
      </c>
      <c r="D38" s="28" t="s">
        <v>722</v>
      </c>
      <c r="E38" s="30">
        <v>320</v>
      </c>
      <c r="F38" s="30">
        <v>320</v>
      </c>
      <c r="G38" s="30">
        <v>80</v>
      </c>
      <c r="H38" s="30">
        <v>6</v>
      </c>
      <c r="I38" s="31">
        <v>0.25</v>
      </c>
      <c r="J38" s="30">
        <v>320</v>
      </c>
      <c r="K38" s="30">
        <v>55</v>
      </c>
      <c r="L38" s="30">
        <v>90</v>
      </c>
      <c r="M38" s="30">
        <v>12</v>
      </c>
      <c r="N38" s="30">
        <v>140</v>
      </c>
      <c r="O38" s="30">
        <v>120</v>
      </c>
      <c r="P38" s="32">
        <v>1.2</v>
      </c>
      <c r="Q38" s="33">
        <v>1</v>
      </c>
      <c r="R38" s="65"/>
      <c r="S38" s="48" t="s">
        <v>824</v>
      </c>
      <c r="T38" s="98">
        <v>1115.01</v>
      </c>
      <c r="U38" s="48" t="s">
        <v>824</v>
      </c>
      <c r="V38" s="48" t="s">
        <v>829</v>
      </c>
      <c r="W38" s="48" t="b">
        <f t="shared" si="10"/>
        <v>0</v>
      </c>
      <c r="X38" s="48" t="b">
        <f t="shared" si="11"/>
        <v>1</v>
      </c>
      <c r="Y38" s="48" t="b">
        <f t="shared" si="12"/>
        <v>0</v>
      </c>
      <c r="Z38" s="48" t="b">
        <f t="shared" si="13"/>
        <v>0</v>
      </c>
      <c r="AA38" s="58">
        <f t="shared" si="14"/>
        <v>15201</v>
      </c>
      <c r="AB38" s="48"/>
    </row>
    <row r="39" spans="1:28" x14ac:dyDescent="0.2">
      <c r="A39" s="28" t="s">
        <v>430</v>
      </c>
      <c r="B39" s="29" t="s">
        <v>724</v>
      </c>
      <c r="C39" s="28" t="s">
        <v>721</v>
      </c>
      <c r="D39" s="28" t="s">
        <v>722</v>
      </c>
      <c r="E39" s="30">
        <v>590</v>
      </c>
      <c r="F39" s="30">
        <v>590</v>
      </c>
      <c r="G39" s="30">
        <v>500</v>
      </c>
      <c r="H39" s="30">
        <v>8</v>
      </c>
      <c r="I39" s="31">
        <v>0.25</v>
      </c>
      <c r="J39" s="30">
        <v>590</v>
      </c>
      <c r="K39" s="30">
        <v>55</v>
      </c>
      <c r="L39" s="30">
        <v>90</v>
      </c>
      <c r="M39" s="32">
        <v>22.5</v>
      </c>
      <c r="N39" s="30">
        <v>140</v>
      </c>
      <c r="O39" s="30">
        <v>120</v>
      </c>
      <c r="P39" s="32">
        <v>2.2000000000000002</v>
      </c>
      <c r="Q39" s="33">
        <v>1</v>
      </c>
      <c r="R39" s="65"/>
      <c r="S39" s="48" t="s">
        <v>824</v>
      </c>
      <c r="T39" s="98">
        <v>1100.06</v>
      </c>
      <c r="U39" s="48" t="s">
        <v>824</v>
      </c>
      <c r="V39" s="48" t="s">
        <v>829</v>
      </c>
      <c r="W39" s="48" t="b">
        <f t="shared" si="10"/>
        <v>0</v>
      </c>
      <c r="X39" s="48" t="b">
        <f t="shared" si="11"/>
        <v>1</v>
      </c>
      <c r="Y39" s="48" t="b">
        <f t="shared" si="12"/>
        <v>0</v>
      </c>
      <c r="Z39" s="48" t="b">
        <f t="shared" si="13"/>
        <v>0</v>
      </c>
      <c r="AA39" s="58">
        <f t="shared" si="14"/>
        <v>15201</v>
      </c>
      <c r="AB39" s="48"/>
    </row>
    <row r="40" spans="1:28" x14ac:dyDescent="0.2">
      <c r="A40" s="28" t="s">
        <v>431</v>
      </c>
      <c r="B40" s="29" t="s">
        <v>724</v>
      </c>
      <c r="C40" s="28" t="s">
        <v>721</v>
      </c>
      <c r="D40" s="28" t="s">
        <v>723</v>
      </c>
      <c r="E40" s="30">
        <v>540</v>
      </c>
      <c r="F40" s="30">
        <v>540</v>
      </c>
      <c r="G40" s="30">
        <v>140</v>
      </c>
      <c r="H40" s="30">
        <v>8</v>
      </c>
      <c r="I40" s="31">
        <v>0.25</v>
      </c>
      <c r="J40" s="30">
        <v>540</v>
      </c>
      <c r="K40" s="30">
        <v>55</v>
      </c>
      <c r="L40" s="30">
        <v>90</v>
      </c>
      <c r="M40" s="32">
        <v>20.5</v>
      </c>
      <c r="N40" s="30">
        <v>140</v>
      </c>
      <c r="O40" s="30">
        <v>120</v>
      </c>
      <c r="P40" s="32">
        <v>2.1</v>
      </c>
      <c r="Q40" s="33">
        <v>1</v>
      </c>
      <c r="R40" s="65"/>
      <c r="S40" s="48" t="s">
        <v>824</v>
      </c>
      <c r="T40" s="98" t="s">
        <v>920</v>
      </c>
      <c r="U40" s="48" t="s">
        <v>824</v>
      </c>
      <c r="V40" s="48" t="s">
        <v>829</v>
      </c>
      <c r="W40" s="48" t="b">
        <f t="shared" si="10"/>
        <v>0</v>
      </c>
      <c r="X40" s="48" t="b">
        <f t="shared" si="11"/>
        <v>1</v>
      </c>
      <c r="Y40" s="48" t="b">
        <f t="shared" si="12"/>
        <v>0</v>
      </c>
      <c r="Z40" s="48" t="b">
        <f t="shared" si="13"/>
        <v>0</v>
      </c>
      <c r="AA40" s="58">
        <f t="shared" si="14"/>
        <v>15201</v>
      </c>
      <c r="AB40" s="48"/>
    </row>
    <row r="41" spans="1:28" x14ac:dyDescent="0.2">
      <c r="A41" s="28" t="s">
        <v>432</v>
      </c>
      <c r="B41" s="29" t="s">
        <v>724</v>
      </c>
      <c r="C41" s="28" t="s">
        <v>721</v>
      </c>
      <c r="D41" s="28" t="s">
        <v>723</v>
      </c>
      <c r="E41" s="30">
        <v>840</v>
      </c>
      <c r="F41" s="30">
        <v>840</v>
      </c>
      <c r="G41" s="30">
        <v>220</v>
      </c>
      <c r="H41" s="30">
        <v>10</v>
      </c>
      <c r="I41" s="31">
        <v>0.25</v>
      </c>
      <c r="J41" s="30">
        <v>840</v>
      </c>
      <c r="K41" s="30">
        <v>55</v>
      </c>
      <c r="L41" s="30">
        <v>90</v>
      </c>
      <c r="M41" s="30">
        <v>32</v>
      </c>
      <c r="N41" s="30">
        <v>140</v>
      </c>
      <c r="O41" s="30">
        <v>120</v>
      </c>
      <c r="P41" s="32">
        <v>3.2</v>
      </c>
      <c r="Q41" s="33">
        <v>1</v>
      </c>
      <c r="R41" s="65"/>
      <c r="S41" s="68" t="s">
        <v>824</v>
      </c>
      <c r="T41" s="99" t="s">
        <v>924</v>
      </c>
      <c r="U41" s="68" t="s">
        <v>824</v>
      </c>
      <c r="V41" s="68" t="s">
        <v>835</v>
      </c>
      <c r="W41" s="48"/>
      <c r="X41" s="48"/>
      <c r="Y41" s="48"/>
      <c r="Z41" s="48"/>
      <c r="AA41" s="70">
        <v>15202</v>
      </c>
      <c r="AB41" s="68" t="s">
        <v>838</v>
      </c>
    </row>
    <row r="42" spans="1:28" x14ac:dyDescent="0.2">
      <c r="A42" s="28" t="s">
        <v>433</v>
      </c>
      <c r="B42" s="29" t="s">
        <v>724</v>
      </c>
      <c r="C42" s="28" t="s">
        <v>721</v>
      </c>
      <c r="D42" s="28" t="s">
        <v>723</v>
      </c>
      <c r="E42" s="30">
        <v>180</v>
      </c>
      <c r="F42" s="30">
        <v>180</v>
      </c>
      <c r="G42" s="30">
        <v>80</v>
      </c>
      <c r="H42" s="30">
        <v>6</v>
      </c>
      <c r="I42" s="31">
        <v>0.25</v>
      </c>
      <c r="J42" s="30">
        <v>180</v>
      </c>
      <c r="K42" s="30">
        <v>55</v>
      </c>
      <c r="L42" s="30">
        <v>90</v>
      </c>
      <c r="M42" s="30">
        <v>7</v>
      </c>
      <c r="N42" s="30">
        <v>140</v>
      </c>
      <c r="O42" s="30">
        <v>120</v>
      </c>
      <c r="P42" s="32">
        <v>0.7</v>
      </c>
      <c r="Q42" s="33">
        <v>1</v>
      </c>
      <c r="R42" s="65"/>
      <c r="S42" s="48" t="s">
        <v>824</v>
      </c>
      <c r="T42" s="98">
        <v>1117.01</v>
      </c>
      <c r="U42" s="48" t="s">
        <v>824</v>
      </c>
      <c r="V42" s="48" t="s">
        <v>829</v>
      </c>
      <c r="W42" s="48" t="b">
        <f t="shared" ref="W42:W52" si="15">AND(V42 = "TS", $P42 &gt; 0)</f>
        <v>0</v>
      </c>
      <c r="X42" s="48" t="b">
        <f t="shared" ref="X42:X52" si="16">AND(V42= "TS,H", $P42 &gt; 0)</f>
        <v>1</v>
      </c>
      <c r="Y42" s="48" t="b">
        <f t="shared" ref="Y42:Y52" si="17">AND(W42 = "TS", $P42 &gt; 0)</f>
        <v>0</v>
      </c>
      <c r="Z42" s="48" t="b">
        <f t="shared" ref="Z42:Z52" si="18">AND(W42= "TS,H", $P42 &gt; 0)</f>
        <v>0</v>
      </c>
      <c r="AA42" s="58">
        <f t="shared" ref="AA42:AA52" si="19">IF(W42, FALSE, IF(X42, 15201, IF(Y42, FALSE, FALSE)))</f>
        <v>15201</v>
      </c>
    </row>
    <row r="43" spans="1:28" x14ac:dyDescent="0.2">
      <c r="A43" s="28" t="s">
        <v>434</v>
      </c>
      <c r="B43" s="29" t="s">
        <v>724</v>
      </c>
      <c r="C43" s="28" t="s">
        <v>721</v>
      </c>
      <c r="D43" s="28" t="s">
        <v>723</v>
      </c>
      <c r="E43" s="30">
        <v>125</v>
      </c>
      <c r="F43" s="30">
        <v>125</v>
      </c>
      <c r="G43" s="30">
        <v>80</v>
      </c>
      <c r="H43" s="30">
        <v>6</v>
      </c>
      <c r="I43" s="31">
        <v>0.25</v>
      </c>
      <c r="J43" s="30">
        <v>125</v>
      </c>
      <c r="K43" s="30">
        <v>55</v>
      </c>
      <c r="L43" s="30">
        <v>90</v>
      </c>
      <c r="M43" s="32">
        <v>4.5</v>
      </c>
      <c r="N43" s="30">
        <v>140</v>
      </c>
      <c r="O43" s="30">
        <v>120</v>
      </c>
      <c r="P43" s="32">
        <v>0.5</v>
      </c>
      <c r="Q43" s="33">
        <v>1</v>
      </c>
      <c r="R43" s="65"/>
      <c r="S43" s="48" t="s">
        <v>824</v>
      </c>
      <c r="T43" s="98" t="s">
        <v>923</v>
      </c>
      <c r="U43" s="48" t="s">
        <v>824</v>
      </c>
      <c r="V43" s="48" t="s">
        <v>829</v>
      </c>
      <c r="W43" s="48" t="b">
        <f t="shared" si="15"/>
        <v>0</v>
      </c>
      <c r="X43" s="48" t="b">
        <f t="shared" si="16"/>
        <v>1</v>
      </c>
      <c r="Y43" s="48" t="b">
        <f t="shared" si="17"/>
        <v>0</v>
      </c>
      <c r="Z43" s="48" t="b">
        <f t="shared" si="18"/>
        <v>0</v>
      </c>
      <c r="AA43" s="58">
        <f t="shared" si="19"/>
        <v>15201</v>
      </c>
    </row>
    <row r="44" spans="1:28" x14ac:dyDescent="0.2">
      <c r="A44" s="28" t="s">
        <v>435</v>
      </c>
      <c r="B44" s="29" t="s">
        <v>724</v>
      </c>
      <c r="C44" s="28" t="s">
        <v>721</v>
      </c>
      <c r="D44" s="28" t="s">
        <v>723</v>
      </c>
      <c r="E44" s="30">
        <v>560</v>
      </c>
      <c r="F44" s="30">
        <v>560</v>
      </c>
      <c r="G44" s="30">
        <v>140</v>
      </c>
      <c r="H44" s="30">
        <v>8</v>
      </c>
      <c r="I44" s="31">
        <v>0.25</v>
      </c>
      <c r="J44" s="30">
        <v>560</v>
      </c>
      <c r="K44" s="30">
        <v>55</v>
      </c>
      <c r="L44" s="30">
        <v>90</v>
      </c>
      <c r="M44" s="32">
        <v>21.5</v>
      </c>
      <c r="N44" s="30">
        <v>140</v>
      </c>
      <c r="O44" s="30">
        <v>120</v>
      </c>
      <c r="P44" s="32">
        <v>2.1</v>
      </c>
      <c r="Q44" s="33">
        <v>1</v>
      </c>
      <c r="R44" s="65"/>
      <c r="S44" s="48" t="s">
        <v>824</v>
      </c>
      <c r="T44" s="98" t="s">
        <v>922</v>
      </c>
      <c r="U44" s="48" t="s">
        <v>824</v>
      </c>
      <c r="V44" s="48" t="s">
        <v>829</v>
      </c>
      <c r="W44" s="48" t="b">
        <f t="shared" si="15"/>
        <v>0</v>
      </c>
      <c r="X44" s="48" t="b">
        <f t="shared" si="16"/>
        <v>1</v>
      </c>
      <c r="Y44" s="48" t="b">
        <f t="shared" si="17"/>
        <v>0</v>
      </c>
      <c r="Z44" s="48" t="b">
        <f t="shared" si="18"/>
        <v>0</v>
      </c>
      <c r="AA44" s="58">
        <f t="shared" si="19"/>
        <v>15201</v>
      </c>
    </row>
    <row r="45" spans="1:28" x14ac:dyDescent="0.2">
      <c r="A45" s="28" t="s">
        <v>436</v>
      </c>
      <c r="B45" s="29" t="s">
        <v>724</v>
      </c>
      <c r="C45" s="28" t="s">
        <v>721</v>
      </c>
      <c r="D45" s="28" t="s">
        <v>723</v>
      </c>
      <c r="E45" s="30">
        <v>560</v>
      </c>
      <c r="F45" s="30">
        <v>560</v>
      </c>
      <c r="G45" s="30">
        <v>140</v>
      </c>
      <c r="H45" s="30">
        <v>8</v>
      </c>
      <c r="I45" s="31">
        <v>0.25</v>
      </c>
      <c r="J45" s="30">
        <v>560</v>
      </c>
      <c r="K45" s="30">
        <v>55</v>
      </c>
      <c r="L45" s="30">
        <v>90</v>
      </c>
      <c r="M45" s="32">
        <v>21.5</v>
      </c>
      <c r="N45" s="30">
        <v>140</v>
      </c>
      <c r="O45" s="30">
        <v>120</v>
      </c>
      <c r="P45" s="32">
        <v>2.1</v>
      </c>
      <c r="Q45" s="33">
        <v>1</v>
      </c>
      <c r="R45" s="65"/>
      <c r="S45" s="48" t="s">
        <v>824</v>
      </c>
      <c r="T45" s="98" t="s">
        <v>921</v>
      </c>
      <c r="U45" s="48" t="s">
        <v>824</v>
      </c>
      <c r="V45" s="48" t="s">
        <v>829</v>
      </c>
      <c r="W45" s="48" t="b">
        <f t="shared" si="15"/>
        <v>0</v>
      </c>
      <c r="X45" s="48" t="b">
        <f t="shared" si="16"/>
        <v>1</v>
      </c>
      <c r="Y45" s="48" t="b">
        <f t="shared" si="17"/>
        <v>0</v>
      </c>
      <c r="Z45" s="48" t="b">
        <f t="shared" si="18"/>
        <v>0</v>
      </c>
      <c r="AA45" s="58">
        <f t="shared" si="19"/>
        <v>15201</v>
      </c>
    </row>
    <row r="46" spans="1:28" x14ac:dyDescent="0.2">
      <c r="A46" s="28" t="s">
        <v>437</v>
      </c>
      <c r="B46" s="29" t="s">
        <v>724</v>
      </c>
      <c r="C46" s="28" t="s">
        <v>721</v>
      </c>
      <c r="D46" s="28" t="s">
        <v>723</v>
      </c>
      <c r="E46" s="30">
        <v>570</v>
      </c>
      <c r="F46" s="30">
        <v>570</v>
      </c>
      <c r="G46" s="30">
        <v>140</v>
      </c>
      <c r="H46" s="30">
        <v>8</v>
      </c>
      <c r="I46" s="31">
        <v>0.25</v>
      </c>
      <c r="J46" s="30">
        <v>570</v>
      </c>
      <c r="K46" s="30">
        <v>55</v>
      </c>
      <c r="L46" s="30">
        <v>90</v>
      </c>
      <c r="M46" s="32">
        <v>21.5</v>
      </c>
      <c r="N46" s="30">
        <v>140</v>
      </c>
      <c r="O46" s="30">
        <v>120</v>
      </c>
      <c r="P46" s="32">
        <v>2.2000000000000002</v>
      </c>
      <c r="Q46" s="33">
        <v>1</v>
      </c>
      <c r="R46" s="65"/>
      <c r="S46" s="48" t="s">
        <v>824</v>
      </c>
      <c r="T46" s="98" t="s">
        <v>920</v>
      </c>
      <c r="U46" s="48" t="s">
        <v>824</v>
      </c>
      <c r="V46" s="48" t="s">
        <v>829</v>
      </c>
      <c r="W46" s="48" t="b">
        <f t="shared" si="15"/>
        <v>0</v>
      </c>
      <c r="X46" s="48" t="b">
        <f t="shared" si="16"/>
        <v>1</v>
      </c>
      <c r="Y46" s="48" t="b">
        <f t="shared" si="17"/>
        <v>0</v>
      </c>
      <c r="Z46" s="48" t="b">
        <f t="shared" si="18"/>
        <v>0</v>
      </c>
      <c r="AA46" s="58">
        <f t="shared" si="19"/>
        <v>15201</v>
      </c>
    </row>
    <row r="47" spans="1:28" x14ac:dyDescent="0.2">
      <c r="A47" s="28" t="s">
        <v>438</v>
      </c>
      <c r="B47" s="29" t="s">
        <v>724</v>
      </c>
      <c r="C47" s="28" t="s">
        <v>721</v>
      </c>
      <c r="D47" s="28" t="s">
        <v>723</v>
      </c>
      <c r="E47" s="30">
        <v>150</v>
      </c>
      <c r="F47" s="30">
        <v>150</v>
      </c>
      <c r="G47" s="30">
        <v>150</v>
      </c>
      <c r="H47" s="30">
        <v>6</v>
      </c>
      <c r="I47" s="31">
        <v>0.25</v>
      </c>
      <c r="J47" s="30">
        <v>150</v>
      </c>
      <c r="K47" s="30">
        <v>55</v>
      </c>
      <c r="L47" s="30">
        <v>90</v>
      </c>
      <c r="M47" s="32">
        <v>5.5</v>
      </c>
      <c r="N47" s="30">
        <v>140</v>
      </c>
      <c r="O47" s="30">
        <v>120</v>
      </c>
      <c r="P47" s="32">
        <v>0.6</v>
      </c>
      <c r="Q47" s="33">
        <v>1</v>
      </c>
      <c r="R47" s="65"/>
      <c r="S47" s="48" t="s">
        <v>824</v>
      </c>
      <c r="T47" s="98">
        <v>1100.04</v>
      </c>
      <c r="U47" s="48" t="s">
        <v>839</v>
      </c>
      <c r="V47" s="48" t="s">
        <v>829</v>
      </c>
      <c r="W47" s="48" t="b">
        <f t="shared" si="15"/>
        <v>0</v>
      </c>
      <c r="X47" s="48" t="b">
        <f t="shared" si="16"/>
        <v>1</v>
      </c>
      <c r="Y47" s="48" t="b">
        <f t="shared" si="17"/>
        <v>0</v>
      </c>
      <c r="Z47" s="48" t="b">
        <f t="shared" si="18"/>
        <v>0</v>
      </c>
      <c r="AA47" s="58">
        <f t="shared" si="19"/>
        <v>15201</v>
      </c>
    </row>
    <row r="48" spans="1:28" x14ac:dyDescent="0.2">
      <c r="A48" s="28" t="s">
        <v>439</v>
      </c>
      <c r="B48" s="29" t="s">
        <v>724</v>
      </c>
      <c r="C48" s="28" t="s">
        <v>721</v>
      </c>
      <c r="D48" s="28" t="s">
        <v>723</v>
      </c>
      <c r="E48" s="30">
        <v>570</v>
      </c>
      <c r="F48" s="30">
        <v>570</v>
      </c>
      <c r="G48" s="30">
        <v>140</v>
      </c>
      <c r="H48" s="30">
        <v>8</v>
      </c>
      <c r="I48" s="31">
        <v>0.25</v>
      </c>
      <c r="J48" s="30">
        <v>570</v>
      </c>
      <c r="K48" s="30">
        <v>55</v>
      </c>
      <c r="L48" s="30">
        <v>90</v>
      </c>
      <c r="M48" s="32">
        <v>21.5</v>
      </c>
      <c r="N48" s="30">
        <v>140</v>
      </c>
      <c r="O48" s="30">
        <v>120</v>
      </c>
      <c r="P48" s="32">
        <v>2.2000000000000002</v>
      </c>
      <c r="Q48" s="33">
        <v>1</v>
      </c>
      <c r="R48" s="65"/>
      <c r="S48" s="48" t="s">
        <v>824</v>
      </c>
      <c r="T48" s="98" t="s">
        <v>919</v>
      </c>
      <c r="U48" s="48" t="s">
        <v>824</v>
      </c>
      <c r="V48" s="48" t="s">
        <v>829</v>
      </c>
      <c r="W48" s="48" t="b">
        <f t="shared" si="15"/>
        <v>0</v>
      </c>
      <c r="X48" s="48" t="b">
        <f t="shared" si="16"/>
        <v>1</v>
      </c>
      <c r="Y48" s="48" t="b">
        <f t="shared" si="17"/>
        <v>0</v>
      </c>
      <c r="Z48" s="48" t="b">
        <f t="shared" si="18"/>
        <v>0</v>
      </c>
      <c r="AA48" s="58">
        <f t="shared" si="19"/>
        <v>15201</v>
      </c>
    </row>
    <row r="49" spans="1:27" x14ac:dyDescent="0.2">
      <c r="A49" s="28" t="s">
        <v>440</v>
      </c>
      <c r="B49" s="29" t="s">
        <v>724</v>
      </c>
      <c r="C49" s="28" t="s">
        <v>721</v>
      </c>
      <c r="D49" s="28" t="s">
        <v>723</v>
      </c>
      <c r="E49" s="30">
        <v>560</v>
      </c>
      <c r="F49" s="30">
        <v>560</v>
      </c>
      <c r="G49" s="30">
        <v>140</v>
      </c>
      <c r="H49" s="30">
        <v>8</v>
      </c>
      <c r="I49" s="31">
        <v>0.25</v>
      </c>
      <c r="J49" s="30">
        <v>560</v>
      </c>
      <c r="K49" s="30">
        <v>55</v>
      </c>
      <c r="L49" s="30">
        <v>90</v>
      </c>
      <c r="M49" s="32">
        <v>21.5</v>
      </c>
      <c r="N49" s="30">
        <v>140</v>
      </c>
      <c r="O49" s="30">
        <v>120</v>
      </c>
      <c r="P49" s="32">
        <v>2.1</v>
      </c>
      <c r="Q49" s="33">
        <v>1</v>
      </c>
      <c r="R49" s="65"/>
      <c r="S49" s="48" t="s">
        <v>824</v>
      </c>
      <c r="T49" s="98" t="s">
        <v>918</v>
      </c>
      <c r="U49" s="48" t="s">
        <v>824</v>
      </c>
      <c r="V49" s="48" t="s">
        <v>829</v>
      </c>
      <c r="W49" s="48" t="b">
        <f t="shared" si="15"/>
        <v>0</v>
      </c>
      <c r="X49" s="48" t="b">
        <f t="shared" si="16"/>
        <v>1</v>
      </c>
      <c r="Y49" s="48" t="b">
        <f t="shared" si="17"/>
        <v>0</v>
      </c>
      <c r="Z49" s="48" t="b">
        <f t="shared" si="18"/>
        <v>0</v>
      </c>
      <c r="AA49" s="58">
        <f t="shared" si="19"/>
        <v>15201</v>
      </c>
    </row>
    <row r="50" spans="1:27" x14ac:dyDescent="0.2">
      <c r="A50" s="28" t="s">
        <v>441</v>
      </c>
      <c r="B50" s="29" t="s">
        <v>724</v>
      </c>
      <c r="C50" s="28" t="s">
        <v>721</v>
      </c>
      <c r="D50" s="28" t="s">
        <v>723</v>
      </c>
      <c r="E50" s="30">
        <v>120</v>
      </c>
      <c r="F50" s="30">
        <v>120</v>
      </c>
      <c r="G50" s="30">
        <v>80</v>
      </c>
      <c r="H50" s="30">
        <v>6</v>
      </c>
      <c r="I50" s="31">
        <v>0.25</v>
      </c>
      <c r="J50" s="30">
        <v>120</v>
      </c>
      <c r="K50" s="30">
        <v>55</v>
      </c>
      <c r="L50" s="30">
        <v>90</v>
      </c>
      <c r="M50" s="32">
        <v>4.5</v>
      </c>
      <c r="N50" s="30">
        <v>140</v>
      </c>
      <c r="O50" s="30">
        <v>120</v>
      </c>
      <c r="P50" s="32">
        <v>0.5</v>
      </c>
      <c r="Q50" s="33">
        <v>1</v>
      </c>
      <c r="R50" s="65"/>
      <c r="S50" s="48" t="s">
        <v>824</v>
      </c>
      <c r="T50" s="98" t="s">
        <v>917</v>
      </c>
      <c r="U50" s="48" t="s">
        <v>824</v>
      </c>
      <c r="V50" s="48" t="s">
        <v>829</v>
      </c>
      <c r="W50" s="48" t="b">
        <f t="shared" si="15"/>
        <v>0</v>
      </c>
      <c r="X50" s="48" t="b">
        <f t="shared" si="16"/>
        <v>1</v>
      </c>
      <c r="Y50" s="48" t="b">
        <f t="shared" si="17"/>
        <v>0</v>
      </c>
      <c r="Z50" s="48" t="b">
        <f t="shared" si="18"/>
        <v>0</v>
      </c>
      <c r="AA50" s="58">
        <f t="shared" si="19"/>
        <v>15201</v>
      </c>
    </row>
    <row r="51" spans="1:27" x14ac:dyDescent="0.2">
      <c r="A51" s="28" t="s">
        <v>442</v>
      </c>
      <c r="B51" s="29" t="s">
        <v>724</v>
      </c>
      <c r="C51" s="28" t="s">
        <v>721</v>
      </c>
      <c r="D51" s="28" t="s">
        <v>723</v>
      </c>
      <c r="E51" s="30">
        <v>240</v>
      </c>
      <c r="F51" s="30">
        <v>240</v>
      </c>
      <c r="G51" s="30">
        <v>240</v>
      </c>
      <c r="H51" s="30">
        <v>6</v>
      </c>
      <c r="I51" s="31">
        <v>0.25</v>
      </c>
      <c r="J51" s="30">
        <v>240</v>
      </c>
      <c r="K51" s="30">
        <v>55</v>
      </c>
      <c r="L51" s="30">
        <v>90</v>
      </c>
      <c r="M51" s="30">
        <v>9</v>
      </c>
      <c r="N51" s="30">
        <v>140</v>
      </c>
      <c r="O51" s="30">
        <v>120</v>
      </c>
      <c r="P51" s="32">
        <v>0.9</v>
      </c>
      <c r="Q51" s="33">
        <v>1</v>
      </c>
      <c r="R51" s="65"/>
      <c r="S51" s="48" t="s">
        <v>824</v>
      </c>
      <c r="T51" s="98">
        <v>1100.01</v>
      </c>
      <c r="U51" s="48" t="s">
        <v>839</v>
      </c>
      <c r="V51" s="48" t="s">
        <v>829</v>
      </c>
      <c r="W51" s="48" t="b">
        <f t="shared" si="15"/>
        <v>0</v>
      </c>
      <c r="X51" s="48" t="b">
        <f t="shared" si="16"/>
        <v>1</v>
      </c>
      <c r="Y51" s="48" t="b">
        <f t="shared" si="17"/>
        <v>0</v>
      </c>
      <c r="Z51" s="48" t="b">
        <f t="shared" si="18"/>
        <v>0</v>
      </c>
      <c r="AA51" s="58">
        <f t="shared" si="19"/>
        <v>15201</v>
      </c>
    </row>
    <row r="52" spans="1:27" x14ac:dyDescent="0.2">
      <c r="A52" s="28" t="s">
        <v>443</v>
      </c>
      <c r="B52" s="29" t="s">
        <v>724</v>
      </c>
      <c r="C52" s="28" t="s">
        <v>721</v>
      </c>
      <c r="D52" s="28" t="s">
        <v>723</v>
      </c>
      <c r="E52" s="30">
        <v>205</v>
      </c>
      <c r="F52" s="30">
        <v>205</v>
      </c>
      <c r="G52" s="30">
        <v>80</v>
      </c>
      <c r="H52" s="30">
        <v>6</v>
      </c>
      <c r="I52" s="31">
        <v>0.25</v>
      </c>
      <c r="J52" s="30">
        <v>205</v>
      </c>
      <c r="K52" s="30">
        <v>55</v>
      </c>
      <c r="L52" s="30">
        <v>90</v>
      </c>
      <c r="M52" s="30">
        <v>8</v>
      </c>
      <c r="N52" s="30">
        <v>140</v>
      </c>
      <c r="O52" s="30">
        <v>120</v>
      </c>
      <c r="P52" s="32">
        <v>0.8</v>
      </c>
      <c r="Q52" s="33">
        <v>1</v>
      </c>
      <c r="R52" s="65"/>
      <c r="S52" s="48" t="s">
        <v>824</v>
      </c>
      <c r="T52" s="98">
        <v>1118.01</v>
      </c>
      <c r="U52" s="48" t="s">
        <v>824</v>
      </c>
      <c r="V52" s="48" t="s">
        <v>829</v>
      </c>
      <c r="W52" s="48" t="b">
        <f t="shared" si="15"/>
        <v>0</v>
      </c>
      <c r="X52" s="48" t="b">
        <f t="shared" si="16"/>
        <v>1</v>
      </c>
      <c r="Y52" s="48" t="b">
        <f t="shared" si="17"/>
        <v>0</v>
      </c>
      <c r="Z52" s="48" t="b">
        <f t="shared" si="18"/>
        <v>0</v>
      </c>
      <c r="AA52" s="58">
        <f t="shared" si="19"/>
        <v>15201</v>
      </c>
    </row>
    <row r="53" spans="1:27" x14ac:dyDescent="0.2">
      <c r="A53" s="35" t="s">
        <v>725</v>
      </c>
      <c r="B53" s="29" t="s">
        <v>724</v>
      </c>
      <c r="C53" s="28" t="s">
        <v>721</v>
      </c>
      <c r="D53" s="28" t="s">
        <v>722</v>
      </c>
      <c r="E53" s="30">
        <v>1540</v>
      </c>
      <c r="F53" s="30">
        <v>1540</v>
      </c>
      <c r="G53" s="30">
        <v>1235</v>
      </c>
      <c r="H53" s="30">
        <v>12</v>
      </c>
      <c r="I53" s="32">
        <v>0.1</v>
      </c>
      <c r="J53" s="34"/>
      <c r="K53" s="34"/>
      <c r="L53" s="34"/>
      <c r="M53" s="34"/>
      <c r="N53" s="34"/>
      <c r="O53" s="34"/>
      <c r="P53" s="34"/>
      <c r="Q53" s="29"/>
      <c r="R53" s="66" t="s">
        <v>726</v>
      </c>
      <c r="S53" s="51"/>
      <c r="T53" s="105" t="s">
        <v>916</v>
      </c>
      <c r="U53" s="51"/>
      <c r="V53" s="51"/>
      <c r="W53" s="51"/>
      <c r="X53" s="51"/>
      <c r="Y53" s="51"/>
      <c r="Z53" s="51"/>
      <c r="AA53" s="71">
        <v>15801</v>
      </c>
    </row>
    <row r="54" spans="1:27" x14ac:dyDescent="0.2">
      <c r="A54" s="35" t="s">
        <v>535</v>
      </c>
      <c r="B54" s="29" t="s">
        <v>724</v>
      </c>
      <c r="C54" s="28" t="s">
        <v>721</v>
      </c>
      <c r="D54" s="28" t="s">
        <v>722</v>
      </c>
      <c r="E54" s="30">
        <v>825</v>
      </c>
      <c r="F54" s="30">
        <v>825</v>
      </c>
      <c r="G54" s="30">
        <v>750</v>
      </c>
      <c r="H54" s="30">
        <v>10</v>
      </c>
      <c r="I54" s="32">
        <v>0.1</v>
      </c>
      <c r="J54" s="34"/>
      <c r="K54" s="34"/>
      <c r="L54" s="34"/>
      <c r="M54" s="34"/>
      <c r="N54" s="34"/>
      <c r="O54" s="34"/>
      <c r="P54" s="34"/>
      <c r="Q54" s="29"/>
      <c r="R54" s="66" t="s">
        <v>726</v>
      </c>
      <c r="S54" s="51"/>
      <c r="T54" s="100">
        <v>1100.03</v>
      </c>
      <c r="U54" s="51"/>
      <c r="V54" s="51"/>
      <c r="W54" s="51"/>
      <c r="X54" s="51"/>
      <c r="Y54" s="51"/>
      <c r="Z54" s="51"/>
      <c r="AA54" s="71">
        <v>15801</v>
      </c>
    </row>
    <row r="55" spans="1:27" x14ac:dyDescent="0.2">
      <c r="A55" s="35" t="s">
        <v>536</v>
      </c>
      <c r="B55" s="29" t="s">
        <v>724</v>
      </c>
      <c r="C55" s="28" t="s">
        <v>721</v>
      </c>
      <c r="D55" s="28" t="s">
        <v>723</v>
      </c>
      <c r="E55" s="30">
        <v>145</v>
      </c>
      <c r="F55" s="30">
        <v>145</v>
      </c>
      <c r="G55" s="30">
        <v>100</v>
      </c>
      <c r="H55" s="30">
        <v>6</v>
      </c>
      <c r="I55" s="32">
        <v>0.1</v>
      </c>
      <c r="J55" s="34"/>
      <c r="K55" s="34"/>
      <c r="L55" s="34"/>
      <c r="M55" s="34"/>
      <c r="N55" s="34"/>
      <c r="O55" s="34"/>
      <c r="P55" s="34"/>
      <c r="Q55" s="29"/>
      <c r="R55" s="66" t="s">
        <v>726</v>
      </c>
      <c r="S55" s="51"/>
      <c r="T55" s="100">
        <v>1100.03</v>
      </c>
      <c r="U55" s="51"/>
      <c r="V55" s="51"/>
      <c r="W55" s="51"/>
      <c r="X55" s="51"/>
      <c r="Y55" s="51"/>
      <c r="Z55" s="51"/>
      <c r="AA55" s="71">
        <v>15801</v>
      </c>
    </row>
    <row r="56" spans="1:27" x14ac:dyDescent="0.2">
      <c r="A56" s="28" t="s">
        <v>444</v>
      </c>
      <c r="B56" s="29" t="s">
        <v>727</v>
      </c>
      <c r="C56" s="28" t="s">
        <v>721</v>
      </c>
      <c r="D56" s="28" t="s">
        <v>722</v>
      </c>
      <c r="E56" s="30">
        <v>570</v>
      </c>
      <c r="F56" s="30">
        <v>570</v>
      </c>
      <c r="G56" s="30">
        <v>140</v>
      </c>
      <c r="H56" s="30">
        <v>8</v>
      </c>
      <c r="I56" s="31">
        <v>0.25</v>
      </c>
      <c r="J56" s="30">
        <v>570</v>
      </c>
      <c r="K56" s="30">
        <v>55</v>
      </c>
      <c r="L56" s="30">
        <v>90</v>
      </c>
      <c r="M56" s="32">
        <v>21.5</v>
      </c>
      <c r="N56" s="30">
        <v>140</v>
      </c>
      <c r="O56" s="30">
        <v>120</v>
      </c>
      <c r="P56" s="32">
        <v>2.2000000000000002</v>
      </c>
      <c r="Q56" s="33">
        <v>1</v>
      </c>
      <c r="R56" s="65"/>
      <c r="S56" s="48" t="s">
        <v>827</v>
      </c>
      <c r="T56" s="98" t="s">
        <v>882</v>
      </c>
      <c r="U56" s="48" t="s">
        <v>824</v>
      </c>
      <c r="V56" s="48" t="s">
        <v>829</v>
      </c>
      <c r="W56" s="48" t="b">
        <f t="shared" ref="W56:W90" si="20">AND(V56 = "TS", $P56 &gt; 0)</f>
        <v>0</v>
      </c>
      <c r="X56" s="48" t="b">
        <f t="shared" ref="X56:X90" si="21">AND(V56= "TS,H", $P56 &gt; 0)</f>
        <v>1</v>
      </c>
      <c r="Y56" s="48" t="b">
        <f t="shared" ref="Y56:Y90" si="22">AND(W56 = "TS", $P56 &gt; 0)</f>
        <v>0</v>
      </c>
      <c r="Z56" s="48" t="b">
        <f t="shared" ref="Z56:Z90" si="23">AND(W56= "TS,H", $P56 &gt; 0)</f>
        <v>0</v>
      </c>
      <c r="AA56" s="58">
        <f t="shared" ref="AA56:AA90" si="24">IF(W56, FALSE, IF(X56, 15201, IF(Y56, FALSE, FALSE)))</f>
        <v>15201</v>
      </c>
    </row>
    <row r="57" spans="1:27" x14ac:dyDescent="0.2">
      <c r="A57" s="28" t="s">
        <v>445</v>
      </c>
      <c r="B57" s="29" t="s">
        <v>727</v>
      </c>
      <c r="C57" s="28" t="s">
        <v>721</v>
      </c>
      <c r="D57" s="28" t="s">
        <v>722</v>
      </c>
      <c r="E57" s="30">
        <v>80</v>
      </c>
      <c r="F57" s="30">
        <v>80</v>
      </c>
      <c r="G57" s="30">
        <v>80</v>
      </c>
      <c r="H57" s="30">
        <v>6</v>
      </c>
      <c r="I57" s="31">
        <v>0.25</v>
      </c>
      <c r="J57" s="30">
        <v>80</v>
      </c>
      <c r="K57" s="30">
        <v>55</v>
      </c>
      <c r="L57" s="30">
        <v>90</v>
      </c>
      <c r="M57" s="30">
        <v>3</v>
      </c>
      <c r="N57" s="30">
        <v>140</v>
      </c>
      <c r="O57" s="30">
        <v>120</v>
      </c>
      <c r="P57" s="32">
        <v>0.3</v>
      </c>
      <c r="Q57" s="33">
        <v>1</v>
      </c>
      <c r="R57" s="65"/>
      <c r="S57" s="48" t="s">
        <v>824</v>
      </c>
      <c r="T57" s="98">
        <v>1213.02</v>
      </c>
      <c r="U57" s="48" t="s">
        <v>824</v>
      </c>
      <c r="V57" s="48" t="s">
        <v>829</v>
      </c>
      <c r="W57" s="48" t="b">
        <f t="shared" si="20"/>
        <v>0</v>
      </c>
      <c r="X57" s="48" t="b">
        <f t="shared" si="21"/>
        <v>1</v>
      </c>
      <c r="Y57" s="48" t="b">
        <f t="shared" si="22"/>
        <v>0</v>
      </c>
      <c r="Z57" s="48" t="b">
        <f t="shared" si="23"/>
        <v>0</v>
      </c>
      <c r="AA57" s="58">
        <f t="shared" si="24"/>
        <v>15201</v>
      </c>
    </row>
    <row r="58" spans="1:27" x14ac:dyDescent="0.2">
      <c r="A58" s="28" t="s">
        <v>446</v>
      </c>
      <c r="B58" s="29" t="s">
        <v>727</v>
      </c>
      <c r="C58" s="28" t="s">
        <v>721</v>
      </c>
      <c r="D58" s="28" t="s">
        <v>722</v>
      </c>
      <c r="E58" s="30">
        <v>150</v>
      </c>
      <c r="F58" s="30">
        <v>150</v>
      </c>
      <c r="G58" s="30">
        <v>80</v>
      </c>
      <c r="H58" s="30">
        <v>6</v>
      </c>
      <c r="I58" s="31">
        <v>0.25</v>
      </c>
      <c r="J58" s="30">
        <v>150</v>
      </c>
      <c r="K58" s="30">
        <v>55</v>
      </c>
      <c r="L58" s="30">
        <v>90</v>
      </c>
      <c r="M58" s="32">
        <v>5.5</v>
      </c>
      <c r="N58" s="30">
        <v>140</v>
      </c>
      <c r="O58" s="30">
        <v>120</v>
      </c>
      <c r="P58" s="32">
        <v>0.6</v>
      </c>
      <c r="Q58" s="33">
        <v>1</v>
      </c>
      <c r="R58" s="65"/>
      <c r="S58" s="48" t="s">
        <v>824</v>
      </c>
      <c r="T58" s="98">
        <v>1213.04</v>
      </c>
      <c r="U58" s="48" t="s">
        <v>824</v>
      </c>
      <c r="V58" s="48" t="s">
        <v>829</v>
      </c>
      <c r="W58" s="48" t="b">
        <f t="shared" si="20"/>
        <v>0</v>
      </c>
      <c r="X58" s="48" t="b">
        <f t="shared" si="21"/>
        <v>1</v>
      </c>
      <c r="Y58" s="48" t="b">
        <f t="shared" si="22"/>
        <v>0</v>
      </c>
      <c r="Z58" s="48" t="b">
        <f t="shared" si="23"/>
        <v>0</v>
      </c>
      <c r="AA58" s="58">
        <f t="shared" si="24"/>
        <v>15201</v>
      </c>
    </row>
    <row r="59" spans="1:27" x14ac:dyDescent="0.2">
      <c r="A59" s="28" t="s">
        <v>447</v>
      </c>
      <c r="B59" s="29" t="s">
        <v>727</v>
      </c>
      <c r="C59" s="28" t="s">
        <v>721</v>
      </c>
      <c r="D59" s="28" t="s">
        <v>722</v>
      </c>
      <c r="E59" s="30">
        <v>100</v>
      </c>
      <c r="F59" s="30">
        <v>100</v>
      </c>
      <c r="G59" s="30">
        <v>80</v>
      </c>
      <c r="H59" s="30">
        <v>6</v>
      </c>
      <c r="I59" s="31">
        <v>0.25</v>
      </c>
      <c r="J59" s="30">
        <v>100</v>
      </c>
      <c r="K59" s="30">
        <v>55</v>
      </c>
      <c r="L59" s="30">
        <v>90</v>
      </c>
      <c r="M59" s="30">
        <v>4</v>
      </c>
      <c r="N59" s="30">
        <v>140</v>
      </c>
      <c r="O59" s="30">
        <v>120</v>
      </c>
      <c r="P59" s="32">
        <v>0.4</v>
      </c>
      <c r="Q59" s="33">
        <v>1</v>
      </c>
      <c r="R59" s="65"/>
      <c r="S59" s="48" t="s">
        <v>824</v>
      </c>
      <c r="T59" s="98">
        <v>1213.07</v>
      </c>
      <c r="U59" s="48" t="s">
        <v>824</v>
      </c>
      <c r="V59" s="48" t="s">
        <v>829</v>
      </c>
      <c r="W59" s="48" t="b">
        <f t="shared" si="20"/>
        <v>0</v>
      </c>
      <c r="X59" s="48" t="b">
        <f t="shared" si="21"/>
        <v>1</v>
      </c>
      <c r="Y59" s="48" t="b">
        <f t="shared" si="22"/>
        <v>0</v>
      </c>
      <c r="Z59" s="48" t="b">
        <f t="shared" si="23"/>
        <v>0</v>
      </c>
      <c r="AA59" s="58">
        <f t="shared" si="24"/>
        <v>15201</v>
      </c>
    </row>
    <row r="60" spans="1:27" x14ac:dyDescent="0.2">
      <c r="A60" s="28" t="s">
        <v>448</v>
      </c>
      <c r="B60" s="29" t="s">
        <v>727</v>
      </c>
      <c r="C60" s="28" t="s">
        <v>721</v>
      </c>
      <c r="D60" s="28" t="s">
        <v>722</v>
      </c>
      <c r="E60" s="30">
        <v>840</v>
      </c>
      <c r="F60" s="30">
        <v>840</v>
      </c>
      <c r="G60" s="30">
        <v>220</v>
      </c>
      <c r="H60" s="30">
        <v>10</v>
      </c>
      <c r="I60" s="31">
        <v>0.25</v>
      </c>
      <c r="J60" s="30">
        <v>840</v>
      </c>
      <c r="K60" s="30">
        <v>55</v>
      </c>
      <c r="L60" s="30">
        <v>90</v>
      </c>
      <c r="M60" s="30">
        <v>32</v>
      </c>
      <c r="N60" s="30">
        <v>140</v>
      </c>
      <c r="O60" s="30">
        <v>120</v>
      </c>
      <c r="P60" s="32">
        <v>3.2</v>
      </c>
      <c r="Q60" s="33">
        <v>1</v>
      </c>
      <c r="R60" s="65"/>
      <c r="S60" s="48" t="s">
        <v>824</v>
      </c>
      <c r="T60" s="98" t="s">
        <v>865</v>
      </c>
      <c r="U60" s="48" t="s">
        <v>824</v>
      </c>
      <c r="V60" s="48" t="s">
        <v>829</v>
      </c>
      <c r="W60" s="48" t="b">
        <f t="shared" si="20"/>
        <v>0</v>
      </c>
      <c r="X60" s="48" t="b">
        <f t="shared" si="21"/>
        <v>1</v>
      </c>
      <c r="Y60" s="48" t="b">
        <f t="shared" si="22"/>
        <v>0</v>
      </c>
      <c r="Z60" s="48" t="b">
        <f t="shared" si="23"/>
        <v>0</v>
      </c>
      <c r="AA60" s="58">
        <f t="shared" si="24"/>
        <v>15201</v>
      </c>
    </row>
    <row r="61" spans="1:27" x14ac:dyDescent="0.2">
      <c r="A61" s="28" t="s">
        <v>449</v>
      </c>
      <c r="B61" s="29" t="s">
        <v>727</v>
      </c>
      <c r="C61" s="28" t="s">
        <v>721</v>
      </c>
      <c r="D61" s="28" t="s">
        <v>722</v>
      </c>
      <c r="E61" s="30">
        <v>100</v>
      </c>
      <c r="F61" s="30">
        <v>100</v>
      </c>
      <c r="G61" s="30">
        <v>80</v>
      </c>
      <c r="H61" s="30">
        <v>6</v>
      </c>
      <c r="I61" s="31">
        <v>0.25</v>
      </c>
      <c r="J61" s="30">
        <v>100</v>
      </c>
      <c r="K61" s="30">
        <v>55</v>
      </c>
      <c r="L61" s="30">
        <v>90</v>
      </c>
      <c r="M61" s="30">
        <v>4</v>
      </c>
      <c r="N61" s="30">
        <v>140</v>
      </c>
      <c r="O61" s="30">
        <v>120</v>
      </c>
      <c r="P61" s="32">
        <v>0.4</v>
      </c>
      <c r="Q61" s="33">
        <v>1</v>
      </c>
      <c r="R61" s="65"/>
      <c r="S61" s="48" t="s">
        <v>824</v>
      </c>
      <c r="T61" s="98">
        <v>1213.08</v>
      </c>
      <c r="U61" s="48" t="s">
        <v>824</v>
      </c>
      <c r="V61" s="48" t="s">
        <v>829</v>
      </c>
      <c r="W61" s="48" t="b">
        <f t="shared" si="20"/>
        <v>0</v>
      </c>
      <c r="X61" s="48" t="b">
        <f t="shared" si="21"/>
        <v>1</v>
      </c>
      <c r="Y61" s="48" t="b">
        <f t="shared" si="22"/>
        <v>0</v>
      </c>
      <c r="Z61" s="48" t="b">
        <f t="shared" si="23"/>
        <v>0</v>
      </c>
      <c r="AA61" s="58">
        <f t="shared" si="24"/>
        <v>15201</v>
      </c>
    </row>
    <row r="62" spans="1:27" x14ac:dyDescent="0.2">
      <c r="A62" s="28" t="s">
        <v>450</v>
      </c>
      <c r="B62" s="29" t="s">
        <v>727</v>
      </c>
      <c r="C62" s="28" t="s">
        <v>721</v>
      </c>
      <c r="D62" s="28" t="s">
        <v>722</v>
      </c>
      <c r="E62" s="30">
        <v>270</v>
      </c>
      <c r="F62" s="30">
        <v>270</v>
      </c>
      <c r="G62" s="30">
        <v>80</v>
      </c>
      <c r="H62" s="30">
        <v>6</v>
      </c>
      <c r="I62" s="31">
        <v>0.25</v>
      </c>
      <c r="J62" s="30">
        <v>270</v>
      </c>
      <c r="K62" s="30">
        <v>55</v>
      </c>
      <c r="L62" s="30">
        <v>90</v>
      </c>
      <c r="M62" s="32">
        <v>10.5</v>
      </c>
      <c r="N62" s="30">
        <v>140</v>
      </c>
      <c r="O62" s="30">
        <v>120</v>
      </c>
      <c r="P62" s="32">
        <v>1</v>
      </c>
      <c r="Q62" s="33">
        <v>1</v>
      </c>
      <c r="R62" s="65"/>
      <c r="S62" s="48" t="s">
        <v>824</v>
      </c>
      <c r="T62" s="98" t="s">
        <v>883</v>
      </c>
      <c r="U62" s="48" t="s">
        <v>824</v>
      </c>
      <c r="V62" s="48" t="s">
        <v>829</v>
      </c>
      <c r="W62" s="48" t="b">
        <f t="shared" si="20"/>
        <v>0</v>
      </c>
      <c r="X62" s="48" t="b">
        <f t="shared" si="21"/>
        <v>1</v>
      </c>
      <c r="Y62" s="48" t="b">
        <f t="shared" si="22"/>
        <v>0</v>
      </c>
      <c r="Z62" s="48" t="b">
        <f t="shared" si="23"/>
        <v>0</v>
      </c>
      <c r="AA62" s="58">
        <f t="shared" si="24"/>
        <v>15201</v>
      </c>
    </row>
    <row r="63" spans="1:27" x14ac:dyDescent="0.2">
      <c r="A63" s="28" t="s">
        <v>451</v>
      </c>
      <c r="B63" s="29" t="s">
        <v>727</v>
      </c>
      <c r="C63" s="28" t="s">
        <v>721</v>
      </c>
      <c r="D63" s="28" t="s">
        <v>722</v>
      </c>
      <c r="E63" s="30">
        <v>85</v>
      </c>
      <c r="F63" s="30">
        <v>85</v>
      </c>
      <c r="G63" s="30">
        <v>80</v>
      </c>
      <c r="H63" s="30">
        <v>6</v>
      </c>
      <c r="I63" s="31">
        <v>0.25</v>
      </c>
      <c r="J63" s="30">
        <v>85</v>
      </c>
      <c r="K63" s="30">
        <v>55</v>
      </c>
      <c r="L63" s="30">
        <v>90</v>
      </c>
      <c r="M63" s="30">
        <v>3</v>
      </c>
      <c r="N63" s="30">
        <v>140</v>
      </c>
      <c r="O63" s="30">
        <v>120</v>
      </c>
      <c r="P63" s="32">
        <v>0.3</v>
      </c>
      <c r="Q63" s="33">
        <v>1</v>
      </c>
      <c r="R63" s="65"/>
      <c r="S63" s="48" t="s">
        <v>824</v>
      </c>
      <c r="T63" s="98">
        <v>1211.04</v>
      </c>
      <c r="U63" s="48" t="s">
        <v>824</v>
      </c>
      <c r="V63" s="48" t="s">
        <v>829</v>
      </c>
      <c r="W63" s="48" t="b">
        <f t="shared" si="20"/>
        <v>0</v>
      </c>
      <c r="X63" s="48" t="b">
        <f t="shared" si="21"/>
        <v>1</v>
      </c>
      <c r="Y63" s="48" t="b">
        <f t="shared" si="22"/>
        <v>0</v>
      </c>
      <c r="Z63" s="48" t="b">
        <f t="shared" si="23"/>
        <v>0</v>
      </c>
      <c r="AA63" s="58">
        <f t="shared" si="24"/>
        <v>15201</v>
      </c>
    </row>
    <row r="64" spans="1:27" x14ac:dyDescent="0.2">
      <c r="A64" s="28" t="s">
        <v>452</v>
      </c>
      <c r="B64" s="29" t="s">
        <v>727</v>
      </c>
      <c r="C64" s="28" t="s">
        <v>721</v>
      </c>
      <c r="D64" s="28" t="s">
        <v>722</v>
      </c>
      <c r="E64" s="30">
        <v>185</v>
      </c>
      <c r="F64" s="30">
        <v>185</v>
      </c>
      <c r="G64" s="30">
        <v>80</v>
      </c>
      <c r="H64" s="30">
        <v>6</v>
      </c>
      <c r="I64" s="31">
        <v>0.25</v>
      </c>
      <c r="J64" s="30">
        <v>185</v>
      </c>
      <c r="K64" s="30">
        <v>55</v>
      </c>
      <c r="L64" s="30">
        <v>90</v>
      </c>
      <c r="M64" s="30">
        <v>7</v>
      </c>
      <c r="N64" s="30">
        <v>140</v>
      </c>
      <c r="O64" s="30">
        <v>120</v>
      </c>
      <c r="P64" s="32">
        <v>0.7</v>
      </c>
      <c r="Q64" s="33">
        <v>1</v>
      </c>
      <c r="R64" s="65"/>
      <c r="S64" s="48" t="s">
        <v>824</v>
      </c>
      <c r="T64" s="98">
        <v>1211.02</v>
      </c>
      <c r="U64" s="48" t="s">
        <v>824</v>
      </c>
      <c r="V64" s="48" t="s">
        <v>829</v>
      </c>
      <c r="W64" s="48" t="b">
        <f t="shared" si="20"/>
        <v>0</v>
      </c>
      <c r="X64" s="48" t="b">
        <f t="shared" si="21"/>
        <v>1</v>
      </c>
      <c r="Y64" s="48" t="b">
        <f t="shared" si="22"/>
        <v>0</v>
      </c>
      <c r="Z64" s="48" t="b">
        <f t="shared" si="23"/>
        <v>0</v>
      </c>
      <c r="AA64" s="58">
        <f t="shared" si="24"/>
        <v>15201</v>
      </c>
    </row>
    <row r="65" spans="1:27" x14ac:dyDescent="0.2">
      <c r="A65" s="28" t="s">
        <v>453</v>
      </c>
      <c r="B65" s="29" t="s">
        <v>727</v>
      </c>
      <c r="C65" s="28" t="s">
        <v>721</v>
      </c>
      <c r="D65" s="28" t="s">
        <v>722</v>
      </c>
      <c r="E65" s="30">
        <v>225</v>
      </c>
      <c r="F65" s="30">
        <v>225</v>
      </c>
      <c r="G65" s="30">
        <v>80</v>
      </c>
      <c r="H65" s="30">
        <v>6</v>
      </c>
      <c r="I65" s="31">
        <v>0.25</v>
      </c>
      <c r="J65" s="30">
        <v>225</v>
      </c>
      <c r="K65" s="30">
        <v>55</v>
      </c>
      <c r="L65" s="30">
        <v>90</v>
      </c>
      <c r="M65" s="32">
        <v>8.5</v>
      </c>
      <c r="N65" s="30">
        <v>140</v>
      </c>
      <c r="O65" s="30">
        <v>120</v>
      </c>
      <c r="P65" s="32">
        <v>0.9</v>
      </c>
      <c r="Q65" s="33">
        <v>1</v>
      </c>
      <c r="R65" s="65"/>
      <c r="S65" s="48" t="s">
        <v>824</v>
      </c>
      <c r="T65" s="98">
        <v>1209.02</v>
      </c>
      <c r="U65" s="48" t="s">
        <v>824</v>
      </c>
      <c r="V65" s="48" t="s">
        <v>829</v>
      </c>
      <c r="W65" s="48" t="b">
        <f t="shared" si="20"/>
        <v>0</v>
      </c>
      <c r="X65" s="48" t="b">
        <f t="shared" si="21"/>
        <v>1</v>
      </c>
      <c r="Y65" s="48" t="b">
        <f t="shared" si="22"/>
        <v>0</v>
      </c>
      <c r="Z65" s="48" t="b">
        <f t="shared" si="23"/>
        <v>0</v>
      </c>
      <c r="AA65" s="58">
        <f t="shared" si="24"/>
        <v>15201</v>
      </c>
    </row>
    <row r="66" spans="1:27" x14ac:dyDescent="0.2">
      <c r="A66" s="28" t="s">
        <v>454</v>
      </c>
      <c r="B66" s="29" t="s">
        <v>727</v>
      </c>
      <c r="C66" s="28" t="s">
        <v>721</v>
      </c>
      <c r="D66" s="28" t="s">
        <v>722</v>
      </c>
      <c r="E66" s="30">
        <v>270</v>
      </c>
      <c r="F66" s="30">
        <v>270</v>
      </c>
      <c r="G66" s="30">
        <v>80</v>
      </c>
      <c r="H66" s="30">
        <v>6</v>
      </c>
      <c r="I66" s="31">
        <v>0.25</v>
      </c>
      <c r="J66" s="30">
        <v>270</v>
      </c>
      <c r="K66" s="30">
        <v>55</v>
      </c>
      <c r="L66" s="30">
        <v>90</v>
      </c>
      <c r="M66" s="32">
        <v>10.5</v>
      </c>
      <c r="N66" s="30">
        <v>140</v>
      </c>
      <c r="O66" s="30">
        <v>120</v>
      </c>
      <c r="P66" s="32">
        <v>1</v>
      </c>
      <c r="Q66" s="33">
        <v>1</v>
      </c>
      <c r="R66" s="65"/>
      <c r="S66" s="48" t="s">
        <v>824</v>
      </c>
      <c r="T66" s="98">
        <v>1209.03</v>
      </c>
      <c r="U66" s="48" t="s">
        <v>824</v>
      </c>
      <c r="V66" s="48" t="s">
        <v>829</v>
      </c>
      <c r="W66" s="48" t="b">
        <f t="shared" si="20"/>
        <v>0</v>
      </c>
      <c r="X66" s="48" t="b">
        <f t="shared" si="21"/>
        <v>1</v>
      </c>
      <c r="Y66" s="48" t="b">
        <f t="shared" si="22"/>
        <v>0</v>
      </c>
      <c r="Z66" s="48" t="b">
        <f t="shared" si="23"/>
        <v>0</v>
      </c>
      <c r="AA66" s="58">
        <f t="shared" si="24"/>
        <v>15201</v>
      </c>
    </row>
    <row r="67" spans="1:27" x14ac:dyDescent="0.2">
      <c r="A67" s="28" t="s">
        <v>455</v>
      </c>
      <c r="B67" s="29" t="s">
        <v>727</v>
      </c>
      <c r="C67" s="28" t="s">
        <v>721</v>
      </c>
      <c r="D67" s="28" t="s">
        <v>722</v>
      </c>
      <c r="E67" s="30">
        <v>260</v>
      </c>
      <c r="F67" s="30">
        <v>260</v>
      </c>
      <c r="G67" s="30">
        <v>80</v>
      </c>
      <c r="H67" s="30">
        <v>6</v>
      </c>
      <c r="I67" s="31">
        <v>0.25</v>
      </c>
      <c r="J67" s="30">
        <v>260</v>
      </c>
      <c r="K67" s="30">
        <v>55</v>
      </c>
      <c r="L67" s="30">
        <v>90</v>
      </c>
      <c r="M67" s="30">
        <v>10</v>
      </c>
      <c r="N67" s="30">
        <v>140</v>
      </c>
      <c r="O67" s="30">
        <v>120</v>
      </c>
      <c r="P67" s="32">
        <v>1</v>
      </c>
      <c r="Q67" s="33">
        <v>1</v>
      </c>
      <c r="R67" s="65"/>
      <c r="S67" s="48" t="s">
        <v>824</v>
      </c>
      <c r="T67" s="98" t="s">
        <v>866</v>
      </c>
      <c r="U67" s="48" t="s">
        <v>824</v>
      </c>
      <c r="V67" s="48" t="s">
        <v>829</v>
      </c>
      <c r="W67" s="48" t="b">
        <f t="shared" si="20"/>
        <v>0</v>
      </c>
      <c r="X67" s="48" t="b">
        <f t="shared" si="21"/>
        <v>1</v>
      </c>
      <c r="Y67" s="48" t="b">
        <f t="shared" si="22"/>
        <v>0</v>
      </c>
      <c r="Z67" s="48" t="b">
        <f t="shared" si="23"/>
        <v>0</v>
      </c>
      <c r="AA67" s="58">
        <f t="shared" si="24"/>
        <v>15201</v>
      </c>
    </row>
    <row r="68" spans="1:27" x14ac:dyDescent="0.2">
      <c r="A68" s="28" t="s">
        <v>456</v>
      </c>
      <c r="B68" s="29" t="s">
        <v>727</v>
      </c>
      <c r="C68" s="28" t="s">
        <v>721</v>
      </c>
      <c r="D68" s="28" t="s">
        <v>722</v>
      </c>
      <c r="E68" s="30">
        <v>215</v>
      </c>
      <c r="F68" s="30">
        <v>215</v>
      </c>
      <c r="G68" s="30">
        <v>170</v>
      </c>
      <c r="H68" s="30">
        <v>6</v>
      </c>
      <c r="I68" s="31">
        <v>0.25</v>
      </c>
      <c r="J68" s="30">
        <v>215</v>
      </c>
      <c r="K68" s="30">
        <v>55</v>
      </c>
      <c r="L68" s="30">
        <v>90</v>
      </c>
      <c r="M68" s="30">
        <v>8</v>
      </c>
      <c r="N68" s="30">
        <v>140</v>
      </c>
      <c r="O68" s="30">
        <v>120</v>
      </c>
      <c r="P68" s="32">
        <v>0.8</v>
      </c>
      <c r="Q68" s="33">
        <v>1</v>
      </c>
      <c r="R68" s="65"/>
      <c r="S68" s="48" t="s">
        <v>824</v>
      </c>
      <c r="T68" s="98">
        <v>1209.04</v>
      </c>
      <c r="U68" s="48" t="s">
        <v>824</v>
      </c>
      <c r="V68" s="48" t="s">
        <v>829</v>
      </c>
      <c r="W68" s="48" t="b">
        <f t="shared" si="20"/>
        <v>0</v>
      </c>
      <c r="X68" s="48" t="b">
        <f t="shared" si="21"/>
        <v>1</v>
      </c>
      <c r="Y68" s="48" t="b">
        <f t="shared" si="22"/>
        <v>0</v>
      </c>
      <c r="Z68" s="48" t="b">
        <f t="shared" si="23"/>
        <v>0</v>
      </c>
      <c r="AA68" s="58">
        <f t="shared" si="24"/>
        <v>15201</v>
      </c>
    </row>
    <row r="69" spans="1:27" x14ac:dyDescent="0.2">
      <c r="A69" s="28" t="s">
        <v>457</v>
      </c>
      <c r="B69" s="29" t="s">
        <v>727</v>
      </c>
      <c r="C69" s="28" t="s">
        <v>721</v>
      </c>
      <c r="D69" s="28" t="s">
        <v>722</v>
      </c>
      <c r="E69" s="30">
        <v>500</v>
      </c>
      <c r="F69" s="30">
        <v>500</v>
      </c>
      <c r="G69" s="30">
        <v>500</v>
      </c>
      <c r="H69" s="30">
        <v>8</v>
      </c>
      <c r="I69" s="31">
        <v>0.25</v>
      </c>
      <c r="J69" s="30">
        <v>500</v>
      </c>
      <c r="K69" s="30">
        <v>55</v>
      </c>
      <c r="L69" s="30">
        <v>90</v>
      </c>
      <c r="M69" s="30">
        <v>19</v>
      </c>
      <c r="N69" s="30">
        <v>140</v>
      </c>
      <c r="O69" s="30">
        <v>120</v>
      </c>
      <c r="P69" s="32">
        <v>1.9</v>
      </c>
      <c r="Q69" s="33">
        <v>1</v>
      </c>
      <c r="R69" s="65"/>
      <c r="S69" s="48" t="s">
        <v>827</v>
      </c>
      <c r="T69" s="98">
        <v>1200.06</v>
      </c>
      <c r="U69" s="48" t="s">
        <v>824</v>
      </c>
      <c r="V69" s="48" t="s">
        <v>829</v>
      </c>
      <c r="W69" s="48" t="b">
        <f t="shared" si="20"/>
        <v>0</v>
      </c>
      <c r="X69" s="48" t="b">
        <f t="shared" si="21"/>
        <v>1</v>
      </c>
      <c r="Y69" s="48" t="b">
        <f t="shared" si="22"/>
        <v>0</v>
      </c>
      <c r="Z69" s="48" t="b">
        <f t="shared" si="23"/>
        <v>0</v>
      </c>
      <c r="AA69" s="58">
        <f t="shared" si="24"/>
        <v>15201</v>
      </c>
    </row>
    <row r="70" spans="1:27" x14ac:dyDescent="0.2">
      <c r="A70" s="28" t="s">
        <v>458</v>
      </c>
      <c r="B70" s="29" t="s">
        <v>727</v>
      </c>
      <c r="C70" s="28" t="s">
        <v>721</v>
      </c>
      <c r="D70" s="28" t="s">
        <v>722</v>
      </c>
      <c r="E70" s="30">
        <v>270</v>
      </c>
      <c r="F70" s="30">
        <v>270</v>
      </c>
      <c r="G70" s="30">
        <v>80</v>
      </c>
      <c r="H70" s="30">
        <v>6</v>
      </c>
      <c r="I70" s="31">
        <v>0.25</v>
      </c>
      <c r="J70" s="30">
        <v>270</v>
      </c>
      <c r="K70" s="30">
        <v>55</v>
      </c>
      <c r="L70" s="30">
        <v>90</v>
      </c>
      <c r="M70" s="32">
        <v>10.5</v>
      </c>
      <c r="N70" s="30">
        <v>140</v>
      </c>
      <c r="O70" s="30">
        <v>120</v>
      </c>
      <c r="P70" s="32">
        <v>1</v>
      </c>
      <c r="Q70" s="33">
        <v>1</v>
      </c>
      <c r="R70" s="65"/>
      <c r="S70" s="48" t="s">
        <v>824</v>
      </c>
      <c r="T70" s="98" t="s">
        <v>884</v>
      </c>
      <c r="U70" s="48" t="s">
        <v>824</v>
      </c>
      <c r="V70" s="48" t="s">
        <v>829</v>
      </c>
      <c r="W70" s="48" t="b">
        <f t="shared" si="20"/>
        <v>0</v>
      </c>
      <c r="X70" s="48" t="b">
        <f t="shared" si="21"/>
        <v>1</v>
      </c>
      <c r="Y70" s="48" t="b">
        <f t="shared" si="22"/>
        <v>0</v>
      </c>
      <c r="Z70" s="48" t="b">
        <f t="shared" si="23"/>
        <v>0</v>
      </c>
      <c r="AA70" s="58">
        <f t="shared" si="24"/>
        <v>15201</v>
      </c>
    </row>
    <row r="71" spans="1:27" x14ac:dyDescent="0.2">
      <c r="A71" s="28" t="s">
        <v>459</v>
      </c>
      <c r="B71" s="29" t="s">
        <v>727</v>
      </c>
      <c r="C71" s="28" t="s">
        <v>721</v>
      </c>
      <c r="D71" s="28" t="s">
        <v>722</v>
      </c>
      <c r="E71" s="30">
        <v>580</v>
      </c>
      <c r="F71" s="30">
        <v>580</v>
      </c>
      <c r="G71" s="30">
        <v>140</v>
      </c>
      <c r="H71" s="30">
        <v>8</v>
      </c>
      <c r="I71" s="31">
        <v>0.25</v>
      </c>
      <c r="J71" s="30">
        <v>580</v>
      </c>
      <c r="K71" s="30">
        <v>55</v>
      </c>
      <c r="L71" s="30">
        <v>90</v>
      </c>
      <c r="M71" s="30">
        <v>22</v>
      </c>
      <c r="N71" s="30">
        <v>140</v>
      </c>
      <c r="O71" s="30">
        <v>120</v>
      </c>
      <c r="P71" s="32">
        <v>2.2000000000000002</v>
      </c>
      <c r="Q71" s="33">
        <v>1</v>
      </c>
      <c r="R71" s="65"/>
      <c r="S71" s="48" t="s">
        <v>824</v>
      </c>
      <c r="T71" s="98" t="s">
        <v>885</v>
      </c>
      <c r="U71" s="48" t="s">
        <v>824</v>
      </c>
      <c r="V71" s="48" t="s">
        <v>829</v>
      </c>
      <c r="W71" s="48" t="b">
        <f t="shared" si="20"/>
        <v>0</v>
      </c>
      <c r="X71" s="48" t="b">
        <f t="shared" si="21"/>
        <v>1</v>
      </c>
      <c r="Y71" s="48" t="b">
        <f t="shared" si="22"/>
        <v>0</v>
      </c>
      <c r="Z71" s="48" t="b">
        <f t="shared" si="23"/>
        <v>0</v>
      </c>
      <c r="AA71" s="58">
        <f t="shared" si="24"/>
        <v>15201</v>
      </c>
    </row>
    <row r="72" spans="1:27" x14ac:dyDescent="0.2">
      <c r="A72" s="28" t="s">
        <v>460</v>
      </c>
      <c r="B72" s="29" t="s">
        <v>727</v>
      </c>
      <c r="C72" s="28" t="s">
        <v>721</v>
      </c>
      <c r="D72" s="28" t="s">
        <v>722</v>
      </c>
      <c r="E72" s="30">
        <v>245</v>
      </c>
      <c r="F72" s="30">
        <v>245</v>
      </c>
      <c r="G72" s="30">
        <v>80</v>
      </c>
      <c r="H72" s="30">
        <v>6</v>
      </c>
      <c r="I72" s="31">
        <v>0.25</v>
      </c>
      <c r="J72" s="30">
        <v>245</v>
      </c>
      <c r="K72" s="30">
        <v>55</v>
      </c>
      <c r="L72" s="30">
        <v>90</v>
      </c>
      <c r="M72" s="32">
        <v>9.5</v>
      </c>
      <c r="N72" s="30">
        <v>140</v>
      </c>
      <c r="O72" s="30">
        <v>120</v>
      </c>
      <c r="P72" s="32">
        <v>0.9</v>
      </c>
      <c r="Q72" s="33">
        <v>1</v>
      </c>
      <c r="R72" s="65"/>
      <c r="S72" s="48" t="s">
        <v>824</v>
      </c>
      <c r="T72" s="98">
        <v>1201.04</v>
      </c>
      <c r="U72" s="48" t="s">
        <v>824</v>
      </c>
      <c r="V72" s="48" t="s">
        <v>829</v>
      </c>
      <c r="W72" s="48" t="b">
        <f t="shared" si="20"/>
        <v>0</v>
      </c>
      <c r="X72" s="48" t="b">
        <f t="shared" si="21"/>
        <v>1</v>
      </c>
      <c r="Y72" s="48" t="b">
        <f t="shared" si="22"/>
        <v>0</v>
      </c>
      <c r="Z72" s="48" t="b">
        <f t="shared" si="23"/>
        <v>0</v>
      </c>
      <c r="AA72" s="58">
        <f t="shared" si="24"/>
        <v>15201</v>
      </c>
    </row>
    <row r="73" spans="1:27" x14ac:dyDescent="0.2">
      <c r="A73" s="28" t="s">
        <v>461</v>
      </c>
      <c r="B73" s="29" t="s">
        <v>727</v>
      </c>
      <c r="C73" s="28" t="s">
        <v>721</v>
      </c>
      <c r="D73" s="28" t="s">
        <v>722</v>
      </c>
      <c r="E73" s="30">
        <v>430</v>
      </c>
      <c r="F73" s="30">
        <v>430</v>
      </c>
      <c r="G73" s="30">
        <v>140</v>
      </c>
      <c r="H73" s="30">
        <v>8</v>
      </c>
      <c r="I73" s="31">
        <v>0.25</v>
      </c>
      <c r="J73" s="30">
        <v>430</v>
      </c>
      <c r="K73" s="30">
        <v>55</v>
      </c>
      <c r="L73" s="30">
        <v>90</v>
      </c>
      <c r="M73" s="32">
        <v>16.5</v>
      </c>
      <c r="N73" s="30">
        <v>140</v>
      </c>
      <c r="O73" s="30">
        <v>120</v>
      </c>
      <c r="P73" s="32">
        <v>1.6</v>
      </c>
      <c r="Q73" s="33">
        <v>1</v>
      </c>
      <c r="R73" s="65"/>
      <c r="S73" s="48" t="s">
        <v>824</v>
      </c>
      <c r="T73" s="98" t="s">
        <v>886</v>
      </c>
      <c r="U73" s="48" t="s">
        <v>824</v>
      </c>
      <c r="V73" s="48" t="s">
        <v>829</v>
      </c>
      <c r="W73" s="48" t="b">
        <f t="shared" si="20"/>
        <v>0</v>
      </c>
      <c r="X73" s="48" t="b">
        <f t="shared" si="21"/>
        <v>1</v>
      </c>
      <c r="Y73" s="48" t="b">
        <f t="shared" si="22"/>
        <v>0</v>
      </c>
      <c r="Z73" s="48" t="b">
        <f t="shared" si="23"/>
        <v>0</v>
      </c>
      <c r="AA73" s="58">
        <f t="shared" si="24"/>
        <v>15201</v>
      </c>
    </row>
    <row r="74" spans="1:27" x14ac:dyDescent="0.2">
      <c r="A74" s="28" t="s">
        <v>462</v>
      </c>
      <c r="B74" s="29" t="s">
        <v>727</v>
      </c>
      <c r="C74" s="28" t="s">
        <v>721</v>
      </c>
      <c r="D74" s="28" t="s">
        <v>722</v>
      </c>
      <c r="E74" s="30">
        <v>270</v>
      </c>
      <c r="F74" s="30">
        <v>270</v>
      </c>
      <c r="G74" s="30">
        <v>270</v>
      </c>
      <c r="H74" s="30">
        <v>6</v>
      </c>
      <c r="I74" s="31">
        <v>0.25</v>
      </c>
      <c r="J74" s="30">
        <v>270</v>
      </c>
      <c r="K74" s="30">
        <v>55</v>
      </c>
      <c r="L74" s="30">
        <v>90</v>
      </c>
      <c r="M74" s="32">
        <v>10.5</v>
      </c>
      <c r="N74" s="30">
        <v>140</v>
      </c>
      <c r="O74" s="30">
        <v>120</v>
      </c>
      <c r="P74" s="32">
        <v>1</v>
      </c>
      <c r="Q74" s="33">
        <v>1</v>
      </c>
      <c r="R74" s="65"/>
      <c r="S74" s="48" t="s">
        <v>824</v>
      </c>
      <c r="T74" s="98">
        <v>1200.02</v>
      </c>
      <c r="U74" s="48" t="s">
        <v>824</v>
      </c>
      <c r="V74" s="48" t="s">
        <v>829</v>
      </c>
      <c r="W74" s="48" t="b">
        <f t="shared" si="20"/>
        <v>0</v>
      </c>
      <c r="X74" s="48" t="b">
        <f t="shared" si="21"/>
        <v>1</v>
      </c>
      <c r="Y74" s="48" t="b">
        <f t="shared" si="22"/>
        <v>0</v>
      </c>
      <c r="Z74" s="48" t="b">
        <f t="shared" si="23"/>
        <v>0</v>
      </c>
      <c r="AA74" s="58">
        <f t="shared" si="24"/>
        <v>15201</v>
      </c>
    </row>
    <row r="75" spans="1:27" x14ac:dyDescent="0.2">
      <c r="A75" s="28" t="s">
        <v>463</v>
      </c>
      <c r="B75" s="29" t="s">
        <v>727</v>
      </c>
      <c r="C75" s="28" t="s">
        <v>721</v>
      </c>
      <c r="D75" s="28" t="s">
        <v>722</v>
      </c>
      <c r="E75" s="30">
        <v>150</v>
      </c>
      <c r="F75" s="30">
        <v>150</v>
      </c>
      <c r="G75" s="30">
        <v>80</v>
      </c>
      <c r="H75" s="30">
        <v>6</v>
      </c>
      <c r="I75" s="31">
        <v>0.25</v>
      </c>
      <c r="J75" s="30">
        <v>150</v>
      </c>
      <c r="K75" s="30">
        <v>55</v>
      </c>
      <c r="L75" s="30">
        <v>90</v>
      </c>
      <c r="M75" s="32">
        <v>5.5</v>
      </c>
      <c r="N75" s="30">
        <v>140</v>
      </c>
      <c r="O75" s="30">
        <v>120</v>
      </c>
      <c r="P75" s="32">
        <v>0.6</v>
      </c>
      <c r="Q75" s="33">
        <v>1</v>
      </c>
      <c r="R75" s="65"/>
      <c r="S75" s="48" t="s">
        <v>824</v>
      </c>
      <c r="T75" s="98" t="s">
        <v>915</v>
      </c>
      <c r="U75" s="48" t="s">
        <v>824</v>
      </c>
      <c r="V75" s="48" t="s">
        <v>829</v>
      </c>
      <c r="W75" s="48" t="b">
        <f t="shared" si="20"/>
        <v>0</v>
      </c>
      <c r="X75" s="48" t="b">
        <f t="shared" si="21"/>
        <v>1</v>
      </c>
      <c r="Y75" s="48" t="b">
        <f t="shared" si="22"/>
        <v>0</v>
      </c>
      <c r="Z75" s="48" t="b">
        <f t="shared" si="23"/>
        <v>0</v>
      </c>
      <c r="AA75" s="58">
        <f t="shared" si="24"/>
        <v>15201</v>
      </c>
    </row>
    <row r="76" spans="1:27" x14ac:dyDescent="0.2">
      <c r="A76" s="28" t="s">
        <v>464</v>
      </c>
      <c r="B76" s="29" t="s">
        <v>727</v>
      </c>
      <c r="C76" s="28" t="s">
        <v>721</v>
      </c>
      <c r="D76" s="28" t="s">
        <v>723</v>
      </c>
      <c r="E76" s="30">
        <v>570</v>
      </c>
      <c r="F76" s="30">
        <v>570</v>
      </c>
      <c r="G76" s="30">
        <v>140</v>
      </c>
      <c r="H76" s="30">
        <v>8</v>
      </c>
      <c r="I76" s="31">
        <v>0.25</v>
      </c>
      <c r="J76" s="30">
        <v>570</v>
      </c>
      <c r="K76" s="30">
        <v>55</v>
      </c>
      <c r="L76" s="30">
        <v>90</v>
      </c>
      <c r="M76" s="32">
        <v>21.5</v>
      </c>
      <c r="N76" s="30">
        <v>140</v>
      </c>
      <c r="O76" s="30">
        <v>120</v>
      </c>
      <c r="P76" s="32">
        <v>2.2000000000000002</v>
      </c>
      <c r="Q76" s="33">
        <v>1</v>
      </c>
      <c r="R76" s="65"/>
      <c r="S76" s="48" t="s">
        <v>824</v>
      </c>
      <c r="T76" s="98" t="s">
        <v>914</v>
      </c>
      <c r="U76" s="48" t="s">
        <v>824</v>
      </c>
      <c r="V76" s="48" t="s">
        <v>829</v>
      </c>
      <c r="W76" s="48" t="b">
        <f t="shared" si="20"/>
        <v>0</v>
      </c>
      <c r="X76" s="48" t="b">
        <f t="shared" si="21"/>
        <v>1</v>
      </c>
      <c r="Y76" s="48" t="b">
        <f t="shared" si="22"/>
        <v>0</v>
      </c>
      <c r="Z76" s="48" t="b">
        <f t="shared" si="23"/>
        <v>0</v>
      </c>
      <c r="AA76" s="58">
        <f t="shared" si="24"/>
        <v>15201</v>
      </c>
    </row>
    <row r="77" spans="1:27" x14ac:dyDescent="0.2">
      <c r="A77" s="28" t="s">
        <v>465</v>
      </c>
      <c r="B77" s="29" t="s">
        <v>727</v>
      </c>
      <c r="C77" s="28" t="s">
        <v>721</v>
      </c>
      <c r="D77" s="28" t="s">
        <v>723</v>
      </c>
      <c r="E77" s="30">
        <v>600</v>
      </c>
      <c r="F77" s="30">
        <v>600</v>
      </c>
      <c r="G77" s="30">
        <v>140</v>
      </c>
      <c r="H77" s="30">
        <v>8</v>
      </c>
      <c r="I77" s="31">
        <v>0.25</v>
      </c>
      <c r="J77" s="30">
        <v>600</v>
      </c>
      <c r="K77" s="30">
        <v>55</v>
      </c>
      <c r="L77" s="30">
        <v>90</v>
      </c>
      <c r="M77" s="30">
        <v>23</v>
      </c>
      <c r="N77" s="30">
        <v>140</v>
      </c>
      <c r="O77" s="30">
        <v>120</v>
      </c>
      <c r="P77" s="32">
        <v>2.2999999999999998</v>
      </c>
      <c r="Q77" s="33">
        <v>1</v>
      </c>
      <c r="R77" s="65"/>
      <c r="S77" s="48" t="s">
        <v>824</v>
      </c>
      <c r="T77" s="98" t="s">
        <v>913</v>
      </c>
      <c r="U77" s="48" t="s">
        <v>824</v>
      </c>
      <c r="V77" s="48" t="s">
        <v>829</v>
      </c>
      <c r="W77" s="48" t="b">
        <f t="shared" si="20"/>
        <v>0</v>
      </c>
      <c r="X77" s="48" t="b">
        <f t="shared" si="21"/>
        <v>1</v>
      </c>
      <c r="Y77" s="48" t="b">
        <f t="shared" si="22"/>
        <v>0</v>
      </c>
      <c r="Z77" s="48" t="b">
        <f t="shared" si="23"/>
        <v>0</v>
      </c>
      <c r="AA77" s="58">
        <f t="shared" si="24"/>
        <v>15201</v>
      </c>
    </row>
    <row r="78" spans="1:27" x14ac:dyDescent="0.2">
      <c r="A78" s="28" t="s">
        <v>466</v>
      </c>
      <c r="B78" s="29" t="s">
        <v>727</v>
      </c>
      <c r="C78" s="28" t="s">
        <v>721</v>
      </c>
      <c r="D78" s="28" t="s">
        <v>723</v>
      </c>
      <c r="E78" s="30">
        <v>720</v>
      </c>
      <c r="F78" s="30">
        <v>720</v>
      </c>
      <c r="G78" s="30">
        <v>220</v>
      </c>
      <c r="H78" s="30">
        <v>10</v>
      </c>
      <c r="I78" s="31">
        <v>0.25</v>
      </c>
      <c r="J78" s="30">
        <v>720</v>
      </c>
      <c r="K78" s="30">
        <v>55</v>
      </c>
      <c r="L78" s="30">
        <v>90</v>
      </c>
      <c r="M78" s="32">
        <v>27.5</v>
      </c>
      <c r="N78" s="30">
        <v>140</v>
      </c>
      <c r="O78" s="30">
        <v>120</v>
      </c>
      <c r="P78" s="32">
        <v>2.7</v>
      </c>
      <c r="Q78" s="33">
        <v>1</v>
      </c>
      <c r="R78" s="65"/>
      <c r="S78" s="48" t="s">
        <v>824</v>
      </c>
      <c r="T78" s="98" t="s">
        <v>912</v>
      </c>
      <c r="U78" s="48" t="s">
        <v>824</v>
      </c>
      <c r="V78" s="48" t="s">
        <v>829</v>
      </c>
      <c r="W78" s="48" t="b">
        <f t="shared" si="20"/>
        <v>0</v>
      </c>
      <c r="X78" s="48" t="b">
        <f t="shared" si="21"/>
        <v>1</v>
      </c>
      <c r="Y78" s="48" t="b">
        <f t="shared" si="22"/>
        <v>0</v>
      </c>
      <c r="Z78" s="48" t="b">
        <f t="shared" si="23"/>
        <v>0</v>
      </c>
      <c r="AA78" s="58">
        <f t="shared" si="24"/>
        <v>15201</v>
      </c>
    </row>
    <row r="79" spans="1:27" x14ac:dyDescent="0.2">
      <c r="A79" s="28" t="s">
        <v>467</v>
      </c>
      <c r="B79" s="29" t="s">
        <v>727</v>
      </c>
      <c r="C79" s="28" t="s">
        <v>721</v>
      </c>
      <c r="D79" s="28" t="s">
        <v>723</v>
      </c>
      <c r="E79" s="30">
        <v>510</v>
      </c>
      <c r="F79" s="30">
        <v>510</v>
      </c>
      <c r="G79" s="30">
        <v>140</v>
      </c>
      <c r="H79" s="30">
        <v>8</v>
      </c>
      <c r="I79" s="31">
        <v>0.25</v>
      </c>
      <c r="J79" s="30">
        <v>510</v>
      </c>
      <c r="K79" s="30">
        <v>55</v>
      </c>
      <c r="L79" s="30">
        <v>90</v>
      </c>
      <c r="M79" s="32">
        <v>19.5</v>
      </c>
      <c r="N79" s="30">
        <v>140</v>
      </c>
      <c r="O79" s="30">
        <v>120</v>
      </c>
      <c r="P79" s="32">
        <v>1.9</v>
      </c>
      <c r="Q79" s="33">
        <v>1</v>
      </c>
      <c r="R79" s="65"/>
      <c r="S79" s="48" t="s">
        <v>824</v>
      </c>
      <c r="T79" s="98" t="s">
        <v>911</v>
      </c>
      <c r="U79" s="48" t="s">
        <v>824</v>
      </c>
      <c r="V79" s="48" t="s">
        <v>829</v>
      </c>
      <c r="W79" s="48" t="b">
        <f t="shared" si="20"/>
        <v>0</v>
      </c>
      <c r="X79" s="48" t="b">
        <f t="shared" si="21"/>
        <v>1</v>
      </c>
      <c r="Y79" s="48" t="b">
        <f t="shared" si="22"/>
        <v>0</v>
      </c>
      <c r="Z79" s="48" t="b">
        <f t="shared" si="23"/>
        <v>0</v>
      </c>
      <c r="AA79" s="58">
        <f t="shared" si="24"/>
        <v>15201</v>
      </c>
    </row>
    <row r="80" spans="1:27" x14ac:dyDescent="0.2">
      <c r="A80" s="28" t="s">
        <v>468</v>
      </c>
      <c r="B80" s="29" t="s">
        <v>727</v>
      </c>
      <c r="C80" s="28" t="s">
        <v>721</v>
      </c>
      <c r="D80" s="28" t="s">
        <v>723</v>
      </c>
      <c r="E80" s="30">
        <v>330</v>
      </c>
      <c r="F80" s="30">
        <v>330</v>
      </c>
      <c r="G80" s="30">
        <v>330</v>
      </c>
      <c r="H80" s="30">
        <v>6</v>
      </c>
      <c r="I80" s="31">
        <v>0.25</v>
      </c>
      <c r="J80" s="30">
        <v>330</v>
      </c>
      <c r="K80" s="30">
        <v>55</v>
      </c>
      <c r="L80" s="30">
        <v>90</v>
      </c>
      <c r="M80" s="32">
        <v>12.5</v>
      </c>
      <c r="N80" s="30">
        <v>140</v>
      </c>
      <c r="O80" s="30">
        <v>120</v>
      </c>
      <c r="P80" s="32">
        <v>1.3</v>
      </c>
      <c r="Q80" s="33">
        <v>1</v>
      </c>
      <c r="R80" s="65"/>
      <c r="S80" s="48" t="s">
        <v>824</v>
      </c>
      <c r="T80" s="98" t="s">
        <v>867</v>
      </c>
      <c r="U80" s="48" t="s">
        <v>827</v>
      </c>
      <c r="V80" s="48" t="s">
        <v>829</v>
      </c>
      <c r="W80" s="48" t="b">
        <f t="shared" si="20"/>
        <v>0</v>
      </c>
      <c r="X80" s="48" t="b">
        <f t="shared" si="21"/>
        <v>1</v>
      </c>
      <c r="Y80" s="48" t="b">
        <f t="shared" si="22"/>
        <v>0</v>
      </c>
      <c r="Z80" s="48" t="b">
        <f t="shared" si="23"/>
        <v>0</v>
      </c>
      <c r="AA80" s="58">
        <f t="shared" si="24"/>
        <v>15201</v>
      </c>
    </row>
    <row r="81" spans="1:27" x14ac:dyDescent="0.2">
      <c r="A81" s="28" t="s">
        <v>469</v>
      </c>
      <c r="B81" s="29" t="s">
        <v>727</v>
      </c>
      <c r="C81" s="28" t="s">
        <v>721</v>
      </c>
      <c r="D81" s="28" t="s">
        <v>723</v>
      </c>
      <c r="E81" s="30">
        <v>780</v>
      </c>
      <c r="F81" s="30">
        <v>780</v>
      </c>
      <c r="G81" s="30">
        <v>220</v>
      </c>
      <c r="H81" s="30">
        <v>10</v>
      </c>
      <c r="I81" s="31">
        <v>0.25</v>
      </c>
      <c r="J81" s="30">
        <v>780</v>
      </c>
      <c r="K81" s="30">
        <v>55</v>
      </c>
      <c r="L81" s="30">
        <v>90</v>
      </c>
      <c r="M81" s="32">
        <v>29.5</v>
      </c>
      <c r="N81" s="30">
        <v>140</v>
      </c>
      <c r="O81" s="30">
        <v>120</v>
      </c>
      <c r="P81" s="32">
        <v>3</v>
      </c>
      <c r="Q81" s="33">
        <v>1</v>
      </c>
      <c r="R81" s="65"/>
      <c r="S81" s="48" t="s">
        <v>824</v>
      </c>
      <c r="T81" s="98" t="s">
        <v>910</v>
      </c>
      <c r="U81" s="48" t="s">
        <v>824</v>
      </c>
      <c r="V81" s="48" t="s">
        <v>829</v>
      </c>
      <c r="W81" s="48" t="b">
        <f t="shared" si="20"/>
        <v>0</v>
      </c>
      <c r="X81" s="48" t="b">
        <f t="shared" si="21"/>
        <v>1</v>
      </c>
      <c r="Y81" s="48" t="b">
        <f t="shared" si="22"/>
        <v>0</v>
      </c>
      <c r="Z81" s="48" t="b">
        <f t="shared" si="23"/>
        <v>0</v>
      </c>
      <c r="AA81" s="58">
        <f t="shared" si="24"/>
        <v>15201</v>
      </c>
    </row>
    <row r="82" spans="1:27" x14ac:dyDescent="0.2">
      <c r="A82" s="28" t="s">
        <v>470</v>
      </c>
      <c r="B82" s="29" t="s">
        <v>727</v>
      </c>
      <c r="C82" s="28" t="s">
        <v>721</v>
      </c>
      <c r="D82" s="28" t="s">
        <v>723</v>
      </c>
      <c r="E82" s="30">
        <v>480</v>
      </c>
      <c r="F82" s="30">
        <v>480</v>
      </c>
      <c r="G82" s="30">
        <v>140</v>
      </c>
      <c r="H82" s="30">
        <v>8</v>
      </c>
      <c r="I82" s="31">
        <v>0.25</v>
      </c>
      <c r="J82" s="30">
        <v>480</v>
      </c>
      <c r="K82" s="30">
        <v>55</v>
      </c>
      <c r="L82" s="30">
        <v>90</v>
      </c>
      <c r="M82" s="30">
        <v>18</v>
      </c>
      <c r="N82" s="30">
        <v>140</v>
      </c>
      <c r="O82" s="30">
        <v>120</v>
      </c>
      <c r="P82" s="32">
        <v>1.8</v>
      </c>
      <c r="Q82" s="33">
        <v>1</v>
      </c>
      <c r="R82" s="65"/>
      <c r="S82" s="48" t="s">
        <v>824</v>
      </c>
      <c r="T82" s="98" t="s">
        <v>909</v>
      </c>
      <c r="U82" s="48" t="s">
        <v>824</v>
      </c>
      <c r="V82" s="48" t="s">
        <v>829</v>
      </c>
      <c r="W82" s="48" t="b">
        <f t="shared" si="20"/>
        <v>0</v>
      </c>
      <c r="X82" s="48" t="b">
        <f t="shared" si="21"/>
        <v>1</v>
      </c>
      <c r="Y82" s="48" t="b">
        <f t="shared" si="22"/>
        <v>0</v>
      </c>
      <c r="Z82" s="48" t="b">
        <f t="shared" si="23"/>
        <v>0</v>
      </c>
      <c r="AA82" s="58">
        <f t="shared" si="24"/>
        <v>15201</v>
      </c>
    </row>
    <row r="83" spans="1:27" x14ac:dyDescent="0.2">
      <c r="A83" s="28" t="s">
        <v>471</v>
      </c>
      <c r="B83" s="29" t="s">
        <v>727</v>
      </c>
      <c r="C83" s="28" t="s">
        <v>721</v>
      </c>
      <c r="D83" s="28" t="s">
        <v>723</v>
      </c>
      <c r="E83" s="30">
        <v>415</v>
      </c>
      <c r="F83" s="30">
        <v>415</v>
      </c>
      <c r="G83" s="30">
        <v>140</v>
      </c>
      <c r="H83" s="30">
        <v>8</v>
      </c>
      <c r="I83" s="31">
        <v>0.25</v>
      </c>
      <c r="J83" s="30">
        <v>415</v>
      </c>
      <c r="K83" s="30">
        <v>55</v>
      </c>
      <c r="L83" s="30">
        <v>90</v>
      </c>
      <c r="M83" s="30">
        <v>16</v>
      </c>
      <c r="N83" s="30">
        <v>140</v>
      </c>
      <c r="O83" s="30">
        <v>120</v>
      </c>
      <c r="P83" s="32">
        <v>1.6</v>
      </c>
      <c r="Q83" s="33">
        <v>1</v>
      </c>
      <c r="R83" s="65"/>
      <c r="S83" s="48" t="s">
        <v>824</v>
      </c>
      <c r="T83" s="98" t="s">
        <v>908</v>
      </c>
      <c r="U83" s="48" t="s">
        <v>824</v>
      </c>
      <c r="V83" s="48" t="s">
        <v>829</v>
      </c>
      <c r="W83" s="48" t="b">
        <f t="shared" si="20"/>
        <v>0</v>
      </c>
      <c r="X83" s="48" t="b">
        <f t="shared" si="21"/>
        <v>1</v>
      </c>
      <c r="Y83" s="48" t="b">
        <f t="shared" si="22"/>
        <v>0</v>
      </c>
      <c r="Z83" s="48" t="b">
        <f t="shared" si="23"/>
        <v>0</v>
      </c>
      <c r="AA83" s="58">
        <f t="shared" si="24"/>
        <v>15201</v>
      </c>
    </row>
    <row r="84" spans="1:27" x14ac:dyDescent="0.2">
      <c r="A84" s="28" t="s">
        <v>472</v>
      </c>
      <c r="B84" s="29" t="s">
        <v>727</v>
      </c>
      <c r="C84" s="28" t="s">
        <v>721</v>
      </c>
      <c r="D84" s="28" t="s">
        <v>723</v>
      </c>
      <c r="E84" s="30">
        <v>480</v>
      </c>
      <c r="F84" s="30">
        <v>480</v>
      </c>
      <c r="G84" s="30">
        <v>140</v>
      </c>
      <c r="H84" s="30">
        <v>8</v>
      </c>
      <c r="I84" s="31">
        <v>0.25</v>
      </c>
      <c r="J84" s="30">
        <v>480</v>
      </c>
      <c r="K84" s="30">
        <v>55</v>
      </c>
      <c r="L84" s="30">
        <v>90</v>
      </c>
      <c r="M84" s="30">
        <v>18</v>
      </c>
      <c r="N84" s="30">
        <v>140</v>
      </c>
      <c r="O84" s="30">
        <v>120</v>
      </c>
      <c r="P84" s="32">
        <v>1.8</v>
      </c>
      <c r="Q84" s="33">
        <v>1</v>
      </c>
      <c r="R84" s="65"/>
      <c r="S84" s="48" t="s">
        <v>824</v>
      </c>
      <c r="T84" s="98" t="s">
        <v>907</v>
      </c>
      <c r="U84" s="48" t="s">
        <v>824</v>
      </c>
      <c r="V84" s="48" t="s">
        <v>829</v>
      </c>
      <c r="W84" s="48" t="b">
        <f t="shared" si="20"/>
        <v>0</v>
      </c>
      <c r="X84" s="48" t="b">
        <f t="shared" si="21"/>
        <v>1</v>
      </c>
      <c r="Y84" s="48" t="b">
        <f t="shared" si="22"/>
        <v>0</v>
      </c>
      <c r="Z84" s="48" t="b">
        <f t="shared" si="23"/>
        <v>0</v>
      </c>
      <c r="AA84" s="58">
        <f t="shared" si="24"/>
        <v>15201</v>
      </c>
    </row>
    <row r="85" spans="1:27" x14ac:dyDescent="0.2">
      <c r="A85" s="28" t="s">
        <v>473</v>
      </c>
      <c r="B85" s="29" t="s">
        <v>727</v>
      </c>
      <c r="C85" s="28" t="s">
        <v>721</v>
      </c>
      <c r="D85" s="28" t="s">
        <v>723</v>
      </c>
      <c r="E85" s="30">
        <v>220</v>
      </c>
      <c r="F85" s="30">
        <v>220</v>
      </c>
      <c r="G85" s="30">
        <v>80</v>
      </c>
      <c r="H85" s="30">
        <v>6</v>
      </c>
      <c r="I85" s="31">
        <v>0.25</v>
      </c>
      <c r="J85" s="30">
        <v>220</v>
      </c>
      <c r="K85" s="30">
        <v>55</v>
      </c>
      <c r="L85" s="30">
        <v>90</v>
      </c>
      <c r="M85" s="32">
        <v>8.5</v>
      </c>
      <c r="N85" s="30">
        <v>140</v>
      </c>
      <c r="O85" s="30">
        <v>120</v>
      </c>
      <c r="P85" s="32">
        <v>0.8</v>
      </c>
      <c r="Q85" s="33">
        <v>1</v>
      </c>
      <c r="R85" s="65"/>
      <c r="S85" s="48" t="s">
        <v>824</v>
      </c>
      <c r="T85" s="98">
        <v>1220.03</v>
      </c>
      <c r="U85" s="48" t="s">
        <v>824</v>
      </c>
      <c r="V85" s="48" t="s">
        <v>829</v>
      </c>
      <c r="W85" s="48" t="b">
        <f t="shared" si="20"/>
        <v>0</v>
      </c>
      <c r="X85" s="48" t="b">
        <f t="shared" si="21"/>
        <v>1</v>
      </c>
      <c r="Y85" s="48" t="b">
        <f t="shared" si="22"/>
        <v>0</v>
      </c>
      <c r="Z85" s="48" t="b">
        <f t="shared" si="23"/>
        <v>0</v>
      </c>
      <c r="AA85" s="58">
        <f t="shared" si="24"/>
        <v>15201</v>
      </c>
    </row>
    <row r="86" spans="1:27" x14ac:dyDescent="0.2">
      <c r="A86" s="28" t="s">
        <v>474</v>
      </c>
      <c r="B86" s="29" t="s">
        <v>727</v>
      </c>
      <c r="C86" s="28" t="s">
        <v>721</v>
      </c>
      <c r="D86" s="28" t="s">
        <v>723</v>
      </c>
      <c r="E86" s="30">
        <v>155</v>
      </c>
      <c r="F86" s="30">
        <v>155</v>
      </c>
      <c r="G86" s="30">
        <v>80</v>
      </c>
      <c r="H86" s="30">
        <v>6</v>
      </c>
      <c r="I86" s="31">
        <v>0.25</v>
      </c>
      <c r="J86" s="30">
        <v>155</v>
      </c>
      <c r="K86" s="30">
        <v>55</v>
      </c>
      <c r="L86" s="30">
        <v>90</v>
      </c>
      <c r="M86" s="30">
        <v>6</v>
      </c>
      <c r="N86" s="30">
        <v>140</v>
      </c>
      <c r="O86" s="30">
        <v>120</v>
      </c>
      <c r="P86" s="32">
        <v>0.6</v>
      </c>
      <c r="Q86" s="33">
        <v>1</v>
      </c>
      <c r="R86" s="65"/>
      <c r="S86" s="48" t="s">
        <v>824</v>
      </c>
      <c r="T86" s="98">
        <v>1218.02</v>
      </c>
      <c r="U86" s="48" t="s">
        <v>824</v>
      </c>
      <c r="V86" s="48" t="s">
        <v>829</v>
      </c>
      <c r="W86" s="48" t="b">
        <f t="shared" si="20"/>
        <v>0</v>
      </c>
      <c r="X86" s="48" t="b">
        <f t="shared" si="21"/>
        <v>1</v>
      </c>
      <c r="Y86" s="48" t="b">
        <f t="shared" si="22"/>
        <v>0</v>
      </c>
      <c r="Z86" s="48" t="b">
        <f t="shared" si="23"/>
        <v>0</v>
      </c>
      <c r="AA86" s="58">
        <f t="shared" si="24"/>
        <v>15201</v>
      </c>
    </row>
    <row r="87" spans="1:27" x14ac:dyDescent="0.2">
      <c r="A87" s="28" t="s">
        <v>475</v>
      </c>
      <c r="B87" s="29" t="s">
        <v>727</v>
      </c>
      <c r="C87" s="28" t="s">
        <v>721</v>
      </c>
      <c r="D87" s="28" t="s">
        <v>723</v>
      </c>
      <c r="E87" s="30">
        <v>125</v>
      </c>
      <c r="F87" s="30">
        <v>125</v>
      </c>
      <c r="G87" s="30">
        <v>80</v>
      </c>
      <c r="H87" s="30">
        <v>6</v>
      </c>
      <c r="I87" s="31">
        <v>0.25</v>
      </c>
      <c r="J87" s="30">
        <v>125</v>
      </c>
      <c r="K87" s="30">
        <v>55</v>
      </c>
      <c r="L87" s="30">
        <v>90</v>
      </c>
      <c r="M87" s="32">
        <v>4.5</v>
      </c>
      <c r="N87" s="30">
        <v>140</v>
      </c>
      <c r="O87" s="30">
        <v>120</v>
      </c>
      <c r="P87" s="32">
        <v>0.5</v>
      </c>
      <c r="Q87" s="33">
        <v>1</v>
      </c>
      <c r="R87" s="65"/>
      <c r="S87" s="48" t="s">
        <v>824</v>
      </c>
      <c r="T87" s="98">
        <v>1220.04</v>
      </c>
      <c r="U87" s="48" t="s">
        <v>824</v>
      </c>
      <c r="V87" s="48" t="s">
        <v>829</v>
      </c>
      <c r="W87" s="48" t="b">
        <f t="shared" si="20"/>
        <v>0</v>
      </c>
      <c r="X87" s="48" t="b">
        <f t="shared" si="21"/>
        <v>1</v>
      </c>
      <c r="Y87" s="48" t="b">
        <f t="shared" si="22"/>
        <v>0</v>
      </c>
      <c r="Z87" s="48" t="b">
        <f t="shared" si="23"/>
        <v>0</v>
      </c>
      <c r="AA87" s="58">
        <f t="shared" si="24"/>
        <v>15201</v>
      </c>
    </row>
    <row r="88" spans="1:27" x14ac:dyDescent="0.2">
      <c r="A88" s="28" t="s">
        <v>476</v>
      </c>
      <c r="B88" s="29" t="s">
        <v>727</v>
      </c>
      <c r="C88" s="28" t="s">
        <v>721</v>
      </c>
      <c r="D88" s="28" t="s">
        <v>723</v>
      </c>
      <c r="E88" s="30">
        <v>150</v>
      </c>
      <c r="F88" s="30">
        <v>150</v>
      </c>
      <c r="G88" s="30">
        <v>80</v>
      </c>
      <c r="H88" s="30">
        <v>6</v>
      </c>
      <c r="I88" s="31">
        <v>0.25</v>
      </c>
      <c r="J88" s="30">
        <v>150</v>
      </c>
      <c r="K88" s="30">
        <v>55</v>
      </c>
      <c r="L88" s="30">
        <v>90</v>
      </c>
      <c r="M88" s="32">
        <v>5.5</v>
      </c>
      <c r="N88" s="30">
        <v>140</v>
      </c>
      <c r="O88" s="30">
        <v>120</v>
      </c>
      <c r="P88" s="32">
        <v>0.6</v>
      </c>
      <c r="Q88" s="33">
        <v>1</v>
      </c>
      <c r="R88" s="65"/>
      <c r="S88" s="48" t="s">
        <v>824</v>
      </c>
      <c r="T88" s="101" t="s">
        <v>906</v>
      </c>
      <c r="U88" s="48" t="s">
        <v>824</v>
      </c>
      <c r="V88" s="48" t="s">
        <v>829</v>
      </c>
      <c r="W88" s="48" t="b">
        <f t="shared" si="20"/>
        <v>0</v>
      </c>
      <c r="X88" s="48" t="b">
        <f t="shared" si="21"/>
        <v>1</v>
      </c>
      <c r="Y88" s="48" t="b">
        <f t="shared" si="22"/>
        <v>0</v>
      </c>
      <c r="Z88" s="48" t="b">
        <f t="shared" si="23"/>
        <v>0</v>
      </c>
      <c r="AA88" s="58">
        <f t="shared" si="24"/>
        <v>15201</v>
      </c>
    </row>
    <row r="89" spans="1:27" x14ac:dyDescent="0.2">
      <c r="A89" s="28" t="s">
        <v>477</v>
      </c>
      <c r="B89" s="29" t="s">
        <v>727</v>
      </c>
      <c r="C89" s="28" t="s">
        <v>721</v>
      </c>
      <c r="D89" s="28" t="s">
        <v>723</v>
      </c>
      <c r="E89" s="30">
        <v>420</v>
      </c>
      <c r="F89" s="30">
        <v>420</v>
      </c>
      <c r="G89" s="30">
        <v>420</v>
      </c>
      <c r="H89" s="30">
        <v>8</v>
      </c>
      <c r="I89" s="31">
        <v>0.25</v>
      </c>
      <c r="J89" s="30">
        <v>420</v>
      </c>
      <c r="K89" s="30">
        <v>55</v>
      </c>
      <c r="L89" s="30">
        <v>90</v>
      </c>
      <c r="M89" s="30">
        <v>16</v>
      </c>
      <c r="N89" s="30">
        <v>140</v>
      </c>
      <c r="O89" s="30">
        <v>120</v>
      </c>
      <c r="P89" s="32">
        <v>1.6</v>
      </c>
      <c r="Q89" s="33">
        <v>1</v>
      </c>
      <c r="R89" s="65"/>
      <c r="S89" s="48" t="s">
        <v>824</v>
      </c>
      <c r="T89" s="98">
        <v>1200.03</v>
      </c>
      <c r="U89" s="48" t="s">
        <v>839</v>
      </c>
      <c r="V89" s="48" t="s">
        <v>829</v>
      </c>
      <c r="W89" s="48" t="b">
        <f t="shared" si="20"/>
        <v>0</v>
      </c>
      <c r="X89" s="48" t="b">
        <f t="shared" si="21"/>
        <v>1</v>
      </c>
      <c r="Y89" s="48" t="b">
        <f t="shared" si="22"/>
        <v>0</v>
      </c>
      <c r="Z89" s="48" t="b">
        <f t="shared" si="23"/>
        <v>0</v>
      </c>
      <c r="AA89" s="58">
        <f t="shared" si="24"/>
        <v>15201</v>
      </c>
    </row>
    <row r="90" spans="1:27" x14ac:dyDescent="0.2">
      <c r="A90" s="28" t="s">
        <v>478</v>
      </c>
      <c r="B90" s="29" t="s">
        <v>727</v>
      </c>
      <c r="C90" s="28" t="s">
        <v>721</v>
      </c>
      <c r="D90" s="28" t="s">
        <v>722</v>
      </c>
      <c r="E90" s="30">
        <v>630</v>
      </c>
      <c r="F90" s="30">
        <v>630</v>
      </c>
      <c r="G90" s="30">
        <v>630</v>
      </c>
      <c r="H90" s="30">
        <v>8</v>
      </c>
      <c r="I90" s="31">
        <v>0.25</v>
      </c>
      <c r="J90" s="30">
        <v>630</v>
      </c>
      <c r="K90" s="30">
        <v>55</v>
      </c>
      <c r="L90" s="30">
        <v>90</v>
      </c>
      <c r="M90" s="30">
        <v>24</v>
      </c>
      <c r="N90" s="30">
        <v>140</v>
      </c>
      <c r="O90" s="30">
        <v>120</v>
      </c>
      <c r="P90" s="32">
        <v>2.4</v>
      </c>
      <c r="Q90" s="33">
        <v>1</v>
      </c>
      <c r="R90" s="65"/>
      <c r="S90" s="48" t="s">
        <v>824</v>
      </c>
      <c r="T90" s="98">
        <v>1200.01</v>
      </c>
      <c r="U90" s="48" t="s">
        <v>824</v>
      </c>
      <c r="V90" s="48" t="s">
        <v>829</v>
      </c>
      <c r="W90" s="48" t="b">
        <f t="shared" si="20"/>
        <v>0</v>
      </c>
      <c r="X90" s="48" t="b">
        <f t="shared" si="21"/>
        <v>1</v>
      </c>
      <c r="Y90" s="48" t="b">
        <f t="shared" si="22"/>
        <v>0</v>
      </c>
      <c r="Z90" s="48" t="b">
        <f t="shared" si="23"/>
        <v>0</v>
      </c>
      <c r="AA90" s="58">
        <f t="shared" si="24"/>
        <v>15201</v>
      </c>
    </row>
    <row r="91" spans="1:27" x14ac:dyDescent="0.2">
      <c r="A91" s="35" t="s">
        <v>537</v>
      </c>
      <c r="B91" s="29" t="s">
        <v>727</v>
      </c>
      <c r="C91" s="28" t="s">
        <v>721</v>
      </c>
      <c r="D91" s="28" t="s">
        <v>722</v>
      </c>
      <c r="E91" s="30">
        <v>950</v>
      </c>
      <c r="F91" s="30">
        <v>950</v>
      </c>
      <c r="G91" s="30">
        <v>750</v>
      </c>
      <c r="H91" s="30">
        <v>10</v>
      </c>
      <c r="I91" s="32">
        <v>0.1</v>
      </c>
      <c r="J91" s="34"/>
      <c r="K91" s="34"/>
      <c r="L91" s="34"/>
      <c r="M91" s="34"/>
      <c r="N91" s="34"/>
      <c r="O91" s="34"/>
      <c r="P91" s="34"/>
      <c r="Q91" s="29"/>
      <c r="R91" s="67" t="s">
        <v>726</v>
      </c>
      <c r="S91" s="51"/>
      <c r="T91" s="100">
        <v>1200.03</v>
      </c>
      <c r="U91" s="51"/>
      <c r="V91" s="51"/>
      <c r="W91" s="51"/>
      <c r="X91" s="51"/>
      <c r="Y91" s="51"/>
      <c r="Z91" s="51"/>
      <c r="AA91" s="71">
        <v>15801</v>
      </c>
    </row>
    <row r="92" spans="1:27" x14ac:dyDescent="0.2">
      <c r="A92" s="35" t="s">
        <v>538</v>
      </c>
      <c r="B92" s="29" t="s">
        <v>727</v>
      </c>
      <c r="C92" s="28" t="s">
        <v>721</v>
      </c>
      <c r="D92" s="28" t="s">
        <v>723</v>
      </c>
      <c r="E92" s="30">
        <v>155</v>
      </c>
      <c r="F92" s="30">
        <v>155</v>
      </c>
      <c r="G92" s="30">
        <v>155</v>
      </c>
      <c r="H92" s="30">
        <v>6</v>
      </c>
      <c r="I92" s="32">
        <v>0.1</v>
      </c>
      <c r="J92" s="34"/>
      <c r="K92" s="34"/>
      <c r="L92" s="34"/>
      <c r="M92" s="34"/>
      <c r="N92" s="34"/>
      <c r="O92" s="34"/>
      <c r="P92" s="34"/>
      <c r="Q92" s="29"/>
      <c r="R92" s="67" t="s">
        <v>726</v>
      </c>
      <c r="S92" s="51"/>
      <c r="T92" s="100">
        <v>1200.03</v>
      </c>
      <c r="U92" s="51"/>
      <c r="V92" s="51"/>
      <c r="W92" s="51"/>
      <c r="X92" s="51"/>
      <c r="Y92" s="51"/>
      <c r="Z92" s="51"/>
      <c r="AA92" s="71">
        <v>15801</v>
      </c>
    </row>
    <row r="93" spans="1:27" x14ac:dyDescent="0.2">
      <c r="A93" s="28" t="s">
        <v>479</v>
      </c>
      <c r="B93" s="29" t="s">
        <v>728</v>
      </c>
      <c r="C93" s="28" t="s">
        <v>721</v>
      </c>
      <c r="D93" s="28" t="s">
        <v>722</v>
      </c>
      <c r="E93" s="30">
        <v>660</v>
      </c>
      <c r="F93" s="30">
        <v>660</v>
      </c>
      <c r="G93" s="30">
        <v>140</v>
      </c>
      <c r="H93" s="30">
        <v>8</v>
      </c>
      <c r="I93" s="31">
        <v>0.25</v>
      </c>
      <c r="J93" s="30">
        <v>660</v>
      </c>
      <c r="K93" s="30">
        <v>55</v>
      </c>
      <c r="L93" s="30">
        <v>90</v>
      </c>
      <c r="M93" s="30">
        <v>25</v>
      </c>
      <c r="N93" s="30">
        <v>140</v>
      </c>
      <c r="O93" s="30">
        <v>120</v>
      </c>
      <c r="P93" s="32">
        <v>2.5</v>
      </c>
      <c r="Q93" s="33">
        <v>1</v>
      </c>
      <c r="R93" s="65"/>
      <c r="S93" s="48" t="s">
        <v>824</v>
      </c>
      <c r="T93" s="98" t="s">
        <v>905</v>
      </c>
      <c r="U93" s="48" t="s">
        <v>824</v>
      </c>
      <c r="V93" s="48" t="s">
        <v>829</v>
      </c>
      <c r="W93" s="48" t="b">
        <f t="shared" ref="W93:W128" si="25">AND(V93 = "TS", $P93 &gt; 0)</f>
        <v>0</v>
      </c>
      <c r="X93" s="48" t="b">
        <f t="shared" ref="X93:X128" si="26">AND(V93= "TS,H", $P93 &gt; 0)</f>
        <v>1</v>
      </c>
      <c r="Y93" s="48" t="b">
        <f t="shared" ref="Y93:Y128" si="27">AND(W93 = "TS", $P93 &gt; 0)</f>
        <v>0</v>
      </c>
      <c r="Z93" s="48" t="b">
        <f t="shared" ref="Z93:Z128" si="28">AND(W93= "TS,H", $P93 &gt; 0)</f>
        <v>0</v>
      </c>
      <c r="AA93" s="58">
        <f t="shared" ref="AA93:AA128" si="29">IF(W93, FALSE, IF(X93, 15201, IF(Y93, FALSE, FALSE)))</f>
        <v>15201</v>
      </c>
    </row>
    <row r="94" spans="1:27" x14ac:dyDescent="0.2">
      <c r="A94" s="28" t="s">
        <v>480</v>
      </c>
      <c r="B94" s="29" t="s">
        <v>728</v>
      </c>
      <c r="C94" s="28" t="s">
        <v>721</v>
      </c>
      <c r="D94" s="28" t="s">
        <v>722</v>
      </c>
      <c r="E94" s="30">
        <v>75</v>
      </c>
      <c r="F94" s="30">
        <v>75</v>
      </c>
      <c r="G94" s="30">
        <v>80</v>
      </c>
      <c r="H94" s="30">
        <v>6</v>
      </c>
      <c r="I94" s="31">
        <v>0.25</v>
      </c>
      <c r="J94" s="30">
        <v>75</v>
      </c>
      <c r="K94" s="30">
        <v>55</v>
      </c>
      <c r="L94" s="30">
        <v>90</v>
      </c>
      <c r="M94" s="30">
        <v>3</v>
      </c>
      <c r="N94" s="30">
        <v>140</v>
      </c>
      <c r="O94" s="30">
        <v>120</v>
      </c>
      <c r="P94" s="32">
        <v>0.3</v>
      </c>
      <c r="Q94" s="33">
        <v>1</v>
      </c>
      <c r="R94" s="65"/>
      <c r="S94" s="48" t="s">
        <v>824</v>
      </c>
      <c r="T94" s="98">
        <v>1317.02</v>
      </c>
      <c r="U94" s="48" t="s">
        <v>824</v>
      </c>
      <c r="V94" s="48" t="s">
        <v>829</v>
      </c>
      <c r="W94" s="48" t="b">
        <f t="shared" si="25"/>
        <v>0</v>
      </c>
      <c r="X94" s="48" t="b">
        <f t="shared" si="26"/>
        <v>1</v>
      </c>
      <c r="Y94" s="48" t="b">
        <f t="shared" si="27"/>
        <v>0</v>
      </c>
      <c r="Z94" s="48" t="b">
        <f t="shared" si="28"/>
        <v>0</v>
      </c>
      <c r="AA94" s="58">
        <f t="shared" si="29"/>
        <v>15201</v>
      </c>
    </row>
    <row r="95" spans="1:27" x14ac:dyDescent="0.2">
      <c r="A95" s="28" t="s">
        <v>481</v>
      </c>
      <c r="B95" s="29" t="s">
        <v>728</v>
      </c>
      <c r="C95" s="28" t="s">
        <v>721</v>
      </c>
      <c r="D95" s="28" t="s">
        <v>722</v>
      </c>
      <c r="E95" s="30">
        <v>150</v>
      </c>
      <c r="F95" s="30">
        <v>150</v>
      </c>
      <c r="G95" s="30">
        <v>80</v>
      </c>
      <c r="H95" s="30">
        <v>6</v>
      </c>
      <c r="I95" s="31">
        <v>0.25</v>
      </c>
      <c r="J95" s="30">
        <v>150</v>
      </c>
      <c r="K95" s="30">
        <v>55</v>
      </c>
      <c r="L95" s="30">
        <v>90</v>
      </c>
      <c r="M95" s="32">
        <v>5.5</v>
      </c>
      <c r="N95" s="30">
        <v>140</v>
      </c>
      <c r="O95" s="30">
        <v>120</v>
      </c>
      <c r="P95" s="32">
        <v>0.6</v>
      </c>
      <c r="Q95" s="33">
        <v>1</v>
      </c>
      <c r="R95" s="65"/>
      <c r="S95" s="48" t="s">
        <v>824</v>
      </c>
      <c r="T95" s="98">
        <v>1317.03</v>
      </c>
      <c r="U95" s="48" t="s">
        <v>824</v>
      </c>
      <c r="V95" s="48" t="s">
        <v>829</v>
      </c>
      <c r="W95" s="48" t="b">
        <f t="shared" si="25"/>
        <v>0</v>
      </c>
      <c r="X95" s="48" t="b">
        <f t="shared" si="26"/>
        <v>1</v>
      </c>
      <c r="Y95" s="48" t="b">
        <f t="shared" si="27"/>
        <v>0</v>
      </c>
      <c r="Z95" s="48" t="b">
        <f t="shared" si="28"/>
        <v>0</v>
      </c>
      <c r="AA95" s="58">
        <f t="shared" si="29"/>
        <v>15201</v>
      </c>
    </row>
    <row r="96" spans="1:27" x14ac:dyDescent="0.2">
      <c r="A96" s="28" t="s">
        <v>482</v>
      </c>
      <c r="B96" s="29" t="s">
        <v>728</v>
      </c>
      <c r="C96" s="28" t="s">
        <v>721</v>
      </c>
      <c r="D96" s="28" t="s">
        <v>722</v>
      </c>
      <c r="E96" s="30">
        <v>100</v>
      </c>
      <c r="F96" s="30">
        <v>100</v>
      </c>
      <c r="G96" s="30">
        <v>80</v>
      </c>
      <c r="H96" s="30">
        <v>6</v>
      </c>
      <c r="I96" s="31">
        <v>0.25</v>
      </c>
      <c r="J96" s="30">
        <v>100</v>
      </c>
      <c r="K96" s="30">
        <v>55</v>
      </c>
      <c r="L96" s="30">
        <v>90</v>
      </c>
      <c r="M96" s="30">
        <v>4</v>
      </c>
      <c r="N96" s="30">
        <v>140</v>
      </c>
      <c r="O96" s="30">
        <v>120</v>
      </c>
      <c r="P96" s="32">
        <v>0.4</v>
      </c>
      <c r="Q96" s="33">
        <v>1</v>
      </c>
      <c r="R96" s="65"/>
      <c r="S96" s="48" t="s">
        <v>824</v>
      </c>
      <c r="T96" s="98">
        <v>1317.07</v>
      </c>
      <c r="U96" s="48" t="s">
        <v>824</v>
      </c>
      <c r="V96" s="48" t="s">
        <v>829</v>
      </c>
      <c r="W96" s="48" t="b">
        <f t="shared" si="25"/>
        <v>0</v>
      </c>
      <c r="X96" s="48" t="b">
        <f t="shared" si="26"/>
        <v>1</v>
      </c>
      <c r="Y96" s="48" t="b">
        <f t="shared" si="27"/>
        <v>0</v>
      </c>
      <c r="Z96" s="48" t="b">
        <f t="shared" si="28"/>
        <v>0</v>
      </c>
      <c r="AA96" s="58">
        <f t="shared" si="29"/>
        <v>15201</v>
      </c>
    </row>
    <row r="97" spans="1:27" x14ac:dyDescent="0.2">
      <c r="A97" s="28" t="s">
        <v>483</v>
      </c>
      <c r="B97" s="29" t="s">
        <v>728</v>
      </c>
      <c r="C97" s="28" t="s">
        <v>721</v>
      </c>
      <c r="D97" s="28" t="s">
        <v>722</v>
      </c>
      <c r="E97" s="30">
        <v>900</v>
      </c>
      <c r="F97" s="30">
        <v>900</v>
      </c>
      <c r="G97" s="30">
        <v>140</v>
      </c>
      <c r="H97" s="30">
        <v>10</v>
      </c>
      <c r="I97" s="31">
        <v>0.25</v>
      </c>
      <c r="J97" s="30">
        <v>900</v>
      </c>
      <c r="K97" s="30">
        <v>55</v>
      </c>
      <c r="L97" s="30">
        <v>90</v>
      </c>
      <c r="M97" s="30">
        <v>34</v>
      </c>
      <c r="N97" s="30">
        <v>140</v>
      </c>
      <c r="O97" s="30">
        <v>120</v>
      </c>
      <c r="P97" s="32">
        <v>3.4</v>
      </c>
      <c r="Q97" s="33">
        <v>1</v>
      </c>
      <c r="R97" s="65"/>
      <c r="S97" s="48" t="s">
        <v>824</v>
      </c>
      <c r="T97" s="98" t="s">
        <v>868</v>
      </c>
      <c r="U97" s="48" t="s">
        <v>824</v>
      </c>
      <c r="V97" s="48" t="s">
        <v>829</v>
      </c>
      <c r="W97" s="48" t="b">
        <f t="shared" si="25"/>
        <v>0</v>
      </c>
      <c r="X97" s="48" t="b">
        <f t="shared" si="26"/>
        <v>1</v>
      </c>
      <c r="Y97" s="48" t="b">
        <f t="shared" si="27"/>
        <v>0</v>
      </c>
      <c r="Z97" s="48" t="b">
        <f t="shared" si="28"/>
        <v>0</v>
      </c>
      <c r="AA97" s="58">
        <f t="shared" si="29"/>
        <v>15201</v>
      </c>
    </row>
    <row r="98" spans="1:27" x14ac:dyDescent="0.2">
      <c r="A98" s="28" t="s">
        <v>484</v>
      </c>
      <c r="B98" s="29" t="s">
        <v>728</v>
      </c>
      <c r="C98" s="28" t="s">
        <v>721</v>
      </c>
      <c r="D98" s="28" t="s">
        <v>722</v>
      </c>
      <c r="E98" s="30">
        <v>100</v>
      </c>
      <c r="F98" s="30">
        <v>100</v>
      </c>
      <c r="G98" s="30">
        <v>80</v>
      </c>
      <c r="H98" s="30">
        <v>6</v>
      </c>
      <c r="I98" s="31">
        <v>0.25</v>
      </c>
      <c r="J98" s="30">
        <v>100</v>
      </c>
      <c r="K98" s="30">
        <v>55</v>
      </c>
      <c r="L98" s="30">
        <v>90</v>
      </c>
      <c r="M98" s="30">
        <v>4</v>
      </c>
      <c r="N98" s="30">
        <v>140</v>
      </c>
      <c r="O98" s="30">
        <v>120</v>
      </c>
      <c r="P98" s="32">
        <v>0.4</v>
      </c>
      <c r="Q98" s="33">
        <v>1</v>
      </c>
      <c r="R98" s="65"/>
      <c r="S98" s="48" t="s">
        <v>824</v>
      </c>
      <c r="T98" s="98">
        <v>1317.09</v>
      </c>
      <c r="U98" s="48" t="s">
        <v>824</v>
      </c>
      <c r="V98" s="48" t="s">
        <v>829</v>
      </c>
      <c r="W98" s="48" t="b">
        <f t="shared" si="25"/>
        <v>0</v>
      </c>
      <c r="X98" s="48" t="b">
        <f t="shared" si="26"/>
        <v>1</v>
      </c>
      <c r="Y98" s="48" t="b">
        <f t="shared" si="27"/>
        <v>0</v>
      </c>
      <c r="Z98" s="48" t="b">
        <f t="shared" si="28"/>
        <v>0</v>
      </c>
      <c r="AA98" s="58">
        <f t="shared" si="29"/>
        <v>15201</v>
      </c>
    </row>
    <row r="99" spans="1:27" x14ac:dyDescent="0.2">
      <c r="A99" s="28" t="s">
        <v>485</v>
      </c>
      <c r="B99" s="29" t="s">
        <v>728</v>
      </c>
      <c r="C99" s="28" t="s">
        <v>721</v>
      </c>
      <c r="D99" s="28" t="s">
        <v>722</v>
      </c>
      <c r="E99" s="30">
        <v>330</v>
      </c>
      <c r="F99" s="30">
        <v>330</v>
      </c>
      <c r="G99" s="30">
        <v>80</v>
      </c>
      <c r="H99" s="30">
        <v>6</v>
      </c>
      <c r="I99" s="31">
        <v>0.25</v>
      </c>
      <c r="J99" s="30">
        <v>330</v>
      </c>
      <c r="K99" s="30">
        <v>55</v>
      </c>
      <c r="L99" s="30">
        <v>90</v>
      </c>
      <c r="M99" s="32">
        <v>12.5</v>
      </c>
      <c r="N99" s="30">
        <v>140</v>
      </c>
      <c r="O99" s="30">
        <v>120</v>
      </c>
      <c r="P99" s="32">
        <v>1.3</v>
      </c>
      <c r="Q99" s="33">
        <v>1</v>
      </c>
      <c r="R99" s="65"/>
      <c r="S99" s="48" t="s">
        <v>824</v>
      </c>
      <c r="T99" s="98" t="s">
        <v>904</v>
      </c>
      <c r="U99" s="48" t="s">
        <v>824</v>
      </c>
      <c r="V99" s="48" t="s">
        <v>829</v>
      </c>
      <c r="W99" s="48" t="b">
        <f t="shared" si="25"/>
        <v>0</v>
      </c>
      <c r="X99" s="48" t="b">
        <f t="shared" si="26"/>
        <v>1</v>
      </c>
      <c r="Y99" s="48" t="b">
        <f t="shared" si="27"/>
        <v>0</v>
      </c>
      <c r="Z99" s="48" t="b">
        <f t="shared" si="28"/>
        <v>0</v>
      </c>
      <c r="AA99" s="58">
        <f t="shared" si="29"/>
        <v>15201</v>
      </c>
    </row>
    <row r="100" spans="1:27" x14ac:dyDescent="0.2">
      <c r="A100" s="28" t="s">
        <v>486</v>
      </c>
      <c r="B100" s="29" t="s">
        <v>728</v>
      </c>
      <c r="C100" s="28" t="s">
        <v>721</v>
      </c>
      <c r="D100" s="28" t="s">
        <v>722</v>
      </c>
      <c r="E100" s="30">
        <v>85</v>
      </c>
      <c r="F100" s="30">
        <v>85</v>
      </c>
      <c r="G100" s="30">
        <v>80</v>
      </c>
      <c r="H100" s="30">
        <v>6</v>
      </c>
      <c r="I100" s="31">
        <v>0.25</v>
      </c>
      <c r="J100" s="30">
        <v>85</v>
      </c>
      <c r="K100" s="30">
        <v>55</v>
      </c>
      <c r="L100" s="30">
        <v>90</v>
      </c>
      <c r="M100" s="30">
        <v>3</v>
      </c>
      <c r="N100" s="30">
        <v>140</v>
      </c>
      <c r="O100" s="30">
        <v>120</v>
      </c>
      <c r="P100" s="32">
        <v>0.3</v>
      </c>
      <c r="Q100" s="33">
        <v>1</v>
      </c>
      <c r="R100" s="65"/>
      <c r="S100" s="48" t="s">
        <v>824</v>
      </c>
      <c r="T100" s="98">
        <v>1315.04</v>
      </c>
      <c r="U100" s="48" t="s">
        <v>824</v>
      </c>
      <c r="V100" s="48" t="s">
        <v>829</v>
      </c>
      <c r="W100" s="48" t="b">
        <f t="shared" si="25"/>
        <v>0</v>
      </c>
      <c r="X100" s="48" t="b">
        <f t="shared" si="26"/>
        <v>1</v>
      </c>
      <c r="Y100" s="48" t="b">
        <f t="shared" si="27"/>
        <v>0</v>
      </c>
      <c r="Z100" s="48" t="b">
        <f t="shared" si="28"/>
        <v>0</v>
      </c>
      <c r="AA100" s="58">
        <f t="shared" si="29"/>
        <v>15201</v>
      </c>
    </row>
    <row r="101" spans="1:27" x14ac:dyDescent="0.2">
      <c r="A101" s="28" t="s">
        <v>487</v>
      </c>
      <c r="B101" s="29" t="s">
        <v>728</v>
      </c>
      <c r="C101" s="28" t="s">
        <v>721</v>
      </c>
      <c r="D101" s="28" t="s">
        <v>722</v>
      </c>
      <c r="E101" s="30">
        <v>185</v>
      </c>
      <c r="F101" s="30">
        <v>185</v>
      </c>
      <c r="G101" s="30">
        <v>80</v>
      </c>
      <c r="H101" s="30">
        <v>6</v>
      </c>
      <c r="I101" s="31">
        <v>0.25</v>
      </c>
      <c r="J101" s="30">
        <v>185</v>
      </c>
      <c r="K101" s="30">
        <v>55</v>
      </c>
      <c r="L101" s="30">
        <v>90</v>
      </c>
      <c r="M101" s="30">
        <v>7</v>
      </c>
      <c r="N101" s="30">
        <v>140</v>
      </c>
      <c r="O101" s="30">
        <v>120</v>
      </c>
      <c r="P101" s="32">
        <v>0.7</v>
      </c>
      <c r="Q101" s="33">
        <v>1</v>
      </c>
      <c r="R101" s="65"/>
      <c r="S101" s="48" t="s">
        <v>827</v>
      </c>
      <c r="T101" s="98">
        <v>1315.02</v>
      </c>
      <c r="U101" s="48" t="s">
        <v>824</v>
      </c>
      <c r="V101" s="48" t="s">
        <v>829</v>
      </c>
      <c r="W101" s="48" t="b">
        <f t="shared" si="25"/>
        <v>0</v>
      </c>
      <c r="X101" s="48" t="b">
        <f t="shared" si="26"/>
        <v>1</v>
      </c>
      <c r="Y101" s="48" t="b">
        <f t="shared" si="27"/>
        <v>0</v>
      </c>
      <c r="Z101" s="48" t="b">
        <f t="shared" si="28"/>
        <v>0</v>
      </c>
      <c r="AA101" s="58">
        <f t="shared" si="29"/>
        <v>15201</v>
      </c>
    </row>
    <row r="102" spans="1:27" x14ac:dyDescent="0.2">
      <c r="A102" s="28" t="s">
        <v>488</v>
      </c>
      <c r="B102" s="29" t="s">
        <v>728</v>
      </c>
      <c r="C102" s="28" t="s">
        <v>721</v>
      </c>
      <c r="D102" s="28" t="s">
        <v>722</v>
      </c>
      <c r="E102" s="30">
        <v>600</v>
      </c>
      <c r="F102" s="30">
        <v>600</v>
      </c>
      <c r="G102" s="30">
        <v>600</v>
      </c>
      <c r="H102" s="30">
        <v>8</v>
      </c>
      <c r="I102" s="31">
        <v>0.25</v>
      </c>
      <c r="J102" s="30">
        <v>600</v>
      </c>
      <c r="K102" s="30">
        <v>55</v>
      </c>
      <c r="L102" s="30">
        <v>90</v>
      </c>
      <c r="M102" s="30">
        <v>23</v>
      </c>
      <c r="N102" s="30">
        <v>140</v>
      </c>
      <c r="O102" s="30">
        <v>120</v>
      </c>
      <c r="P102" s="32">
        <v>2.2999999999999998</v>
      </c>
      <c r="Q102" s="33">
        <v>1</v>
      </c>
      <c r="R102" s="65"/>
      <c r="S102" s="48" t="s">
        <v>824</v>
      </c>
      <c r="T102" s="98">
        <v>1300.02</v>
      </c>
      <c r="U102" s="48" t="s">
        <v>839</v>
      </c>
      <c r="V102" s="48" t="s">
        <v>829</v>
      </c>
      <c r="W102" s="48" t="b">
        <f t="shared" si="25"/>
        <v>0</v>
      </c>
      <c r="X102" s="48" t="b">
        <f t="shared" si="26"/>
        <v>1</v>
      </c>
      <c r="Y102" s="48" t="b">
        <f t="shared" si="27"/>
        <v>0</v>
      </c>
      <c r="Z102" s="48" t="b">
        <f t="shared" si="28"/>
        <v>0</v>
      </c>
      <c r="AA102" s="58">
        <f t="shared" si="29"/>
        <v>15201</v>
      </c>
    </row>
    <row r="103" spans="1:27" x14ac:dyDescent="0.2">
      <c r="A103" s="28" t="s">
        <v>489</v>
      </c>
      <c r="B103" s="29" t="s">
        <v>728</v>
      </c>
      <c r="C103" s="28" t="s">
        <v>721</v>
      </c>
      <c r="D103" s="28" t="s">
        <v>722</v>
      </c>
      <c r="E103" s="30">
        <v>630</v>
      </c>
      <c r="F103" s="30">
        <v>630</v>
      </c>
      <c r="G103" s="30">
        <v>140</v>
      </c>
      <c r="H103" s="30">
        <v>8</v>
      </c>
      <c r="I103" s="31">
        <v>0.25</v>
      </c>
      <c r="J103" s="30">
        <v>630</v>
      </c>
      <c r="K103" s="30">
        <v>55</v>
      </c>
      <c r="L103" s="30">
        <v>90</v>
      </c>
      <c r="M103" s="30">
        <v>24</v>
      </c>
      <c r="N103" s="30">
        <v>140</v>
      </c>
      <c r="O103" s="30">
        <v>120</v>
      </c>
      <c r="P103" s="32">
        <v>2.4</v>
      </c>
      <c r="Q103" s="33">
        <v>1</v>
      </c>
      <c r="R103" s="65"/>
      <c r="S103" s="48" t="s">
        <v>827</v>
      </c>
      <c r="T103" s="98" t="s">
        <v>903</v>
      </c>
      <c r="U103" s="48" t="s">
        <v>824</v>
      </c>
      <c r="V103" s="48" t="s">
        <v>829</v>
      </c>
      <c r="W103" s="48" t="b">
        <f t="shared" si="25"/>
        <v>0</v>
      </c>
      <c r="X103" s="48" t="b">
        <f t="shared" si="26"/>
        <v>1</v>
      </c>
      <c r="Y103" s="48" t="b">
        <f t="shared" si="27"/>
        <v>0</v>
      </c>
      <c r="Z103" s="48" t="b">
        <f t="shared" si="28"/>
        <v>0</v>
      </c>
      <c r="AA103" s="58">
        <f t="shared" si="29"/>
        <v>15201</v>
      </c>
    </row>
    <row r="104" spans="1:27" x14ac:dyDescent="0.2">
      <c r="A104" s="28" t="s">
        <v>490</v>
      </c>
      <c r="B104" s="29" t="s">
        <v>728</v>
      </c>
      <c r="C104" s="28" t="s">
        <v>721</v>
      </c>
      <c r="D104" s="28" t="s">
        <v>722</v>
      </c>
      <c r="E104" s="30">
        <v>480</v>
      </c>
      <c r="F104" s="30">
        <v>480</v>
      </c>
      <c r="G104" s="30">
        <v>140</v>
      </c>
      <c r="H104" s="30">
        <v>8</v>
      </c>
      <c r="I104" s="31">
        <v>0.25</v>
      </c>
      <c r="J104" s="30">
        <v>480</v>
      </c>
      <c r="K104" s="30">
        <v>55</v>
      </c>
      <c r="L104" s="30">
        <v>90</v>
      </c>
      <c r="M104" s="30">
        <v>18</v>
      </c>
      <c r="N104" s="30">
        <v>140</v>
      </c>
      <c r="O104" s="30">
        <v>120</v>
      </c>
      <c r="P104" s="32">
        <v>1.8</v>
      </c>
      <c r="Q104" s="33">
        <v>1</v>
      </c>
      <c r="R104" s="65"/>
      <c r="S104" s="48" t="s">
        <v>824</v>
      </c>
      <c r="T104" s="98" t="s">
        <v>902</v>
      </c>
      <c r="U104" s="48" t="s">
        <v>824</v>
      </c>
      <c r="V104" s="48" t="s">
        <v>829</v>
      </c>
      <c r="W104" s="48" t="b">
        <f t="shared" si="25"/>
        <v>0</v>
      </c>
      <c r="X104" s="48" t="b">
        <f t="shared" si="26"/>
        <v>1</v>
      </c>
      <c r="Y104" s="48" t="b">
        <f t="shared" si="27"/>
        <v>0</v>
      </c>
      <c r="Z104" s="48" t="b">
        <f t="shared" si="28"/>
        <v>0</v>
      </c>
      <c r="AA104" s="58">
        <f t="shared" si="29"/>
        <v>15201</v>
      </c>
    </row>
    <row r="105" spans="1:27" x14ac:dyDescent="0.2">
      <c r="A105" s="28" t="s">
        <v>491</v>
      </c>
      <c r="B105" s="29" t="s">
        <v>728</v>
      </c>
      <c r="C105" s="28" t="s">
        <v>721</v>
      </c>
      <c r="D105" s="28" t="s">
        <v>722</v>
      </c>
      <c r="E105" s="30">
        <v>570</v>
      </c>
      <c r="F105" s="30">
        <v>570</v>
      </c>
      <c r="G105" s="30">
        <v>140</v>
      </c>
      <c r="H105" s="30">
        <v>8</v>
      </c>
      <c r="I105" s="31">
        <v>0.25</v>
      </c>
      <c r="J105" s="30">
        <v>570</v>
      </c>
      <c r="K105" s="30">
        <v>55</v>
      </c>
      <c r="L105" s="30">
        <v>90</v>
      </c>
      <c r="M105" s="32">
        <v>21.5</v>
      </c>
      <c r="N105" s="30">
        <v>140</v>
      </c>
      <c r="O105" s="30">
        <v>120</v>
      </c>
      <c r="P105" s="32">
        <v>2.2000000000000002</v>
      </c>
      <c r="Q105" s="33">
        <v>1</v>
      </c>
      <c r="R105" s="65"/>
      <c r="S105" s="48" t="s">
        <v>824</v>
      </c>
      <c r="T105" s="98" t="s">
        <v>901</v>
      </c>
      <c r="U105" s="48" t="s">
        <v>824</v>
      </c>
      <c r="V105" s="48" t="s">
        <v>829</v>
      </c>
      <c r="W105" s="48" t="b">
        <f t="shared" si="25"/>
        <v>0</v>
      </c>
      <c r="X105" s="48" t="b">
        <f t="shared" si="26"/>
        <v>1</v>
      </c>
      <c r="Y105" s="48" t="b">
        <f t="shared" si="27"/>
        <v>0</v>
      </c>
      <c r="Z105" s="48" t="b">
        <f t="shared" si="28"/>
        <v>0</v>
      </c>
      <c r="AA105" s="58">
        <f t="shared" si="29"/>
        <v>15201</v>
      </c>
    </row>
    <row r="106" spans="1:27" x14ac:dyDescent="0.2">
      <c r="A106" s="28" t="s">
        <v>492</v>
      </c>
      <c r="B106" s="29" t="s">
        <v>728</v>
      </c>
      <c r="C106" s="28" t="s">
        <v>721</v>
      </c>
      <c r="D106" s="28" t="s">
        <v>722</v>
      </c>
      <c r="E106" s="30">
        <v>480</v>
      </c>
      <c r="F106" s="30">
        <v>480</v>
      </c>
      <c r="G106" s="30">
        <v>140</v>
      </c>
      <c r="H106" s="30">
        <v>8</v>
      </c>
      <c r="I106" s="31">
        <v>0.25</v>
      </c>
      <c r="J106" s="30">
        <v>480</v>
      </c>
      <c r="K106" s="30">
        <v>55</v>
      </c>
      <c r="L106" s="30">
        <v>90</v>
      </c>
      <c r="M106" s="30">
        <v>18</v>
      </c>
      <c r="N106" s="30">
        <v>140</v>
      </c>
      <c r="O106" s="30">
        <v>120</v>
      </c>
      <c r="P106" s="32">
        <v>1.8</v>
      </c>
      <c r="Q106" s="33">
        <v>1</v>
      </c>
      <c r="R106" s="65"/>
      <c r="S106" s="48" t="s">
        <v>824</v>
      </c>
      <c r="T106" s="98" t="s">
        <v>900</v>
      </c>
      <c r="U106" s="48" t="s">
        <v>824</v>
      </c>
      <c r="V106" s="48" t="s">
        <v>829</v>
      </c>
      <c r="W106" s="48" t="b">
        <f t="shared" si="25"/>
        <v>0</v>
      </c>
      <c r="X106" s="48" t="b">
        <f t="shared" si="26"/>
        <v>1</v>
      </c>
      <c r="Y106" s="48" t="b">
        <f t="shared" si="27"/>
        <v>0</v>
      </c>
      <c r="Z106" s="48" t="b">
        <f t="shared" si="28"/>
        <v>0</v>
      </c>
      <c r="AA106" s="58">
        <f t="shared" si="29"/>
        <v>15201</v>
      </c>
    </row>
    <row r="107" spans="1:27" x14ac:dyDescent="0.2">
      <c r="A107" s="28" t="s">
        <v>493</v>
      </c>
      <c r="B107" s="29" t="s">
        <v>728</v>
      </c>
      <c r="C107" s="28" t="s">
        <v>721</v>
      </c>
      <c r="D107" s="28" t="s">
        <v>722</v>
      </c>
      <c r="E107" s="30">
        <v>180</v>
      </c>
      <c r="F107" s="30">
        <v>180</v>
      </c>
      <c r="G107" s="30">
        <v>80</v>
      </c>
      <c r="H107" s="30">
        <v>6</v>
      </c>
      <c r="I107" s="31">
        <v>0.25</v>
      </c>
      <c r="J107" s="30">
        <v>180</v>
      </c>
      <c r="K107" s="30">
        <v>55</v>
      </c>
      <c r="L107" s="30">
        <v>90</v>
      </c>
      <c r="M107" s="30">
        <v>7</v>
      </c>
      <c r="N107" s="30">
        <v>140</v>
      </c>
      <c r="O107" s="30">
        <v>120</v>
      </c>
      <c r="P107" s="32">
        <v>0.7</v>
      </c>
      <c r="Q107" s="33">
        <v>1</v>
      </c>
      <c r="R107" s="65"/>
      <c r="S107" s="48" t="s">
        <v>824</v>
      </c>
      <c r="T107" s="98">
        <v>1307.03</v>
      </c>
      <c r="U107" s="48" t="s">
        <v>824</v>
      </c>
      <c r="V107" s="48" t="s">
        <v>829</v>
      </c>
      <c r="W107" s="48" t="b">
        <f t="shared" si="25"/>
        <v>0</v>
      </c>
      <c r="X107" s="48" t="b">
        <f t="shared" si="26"/>
        <v>1</v>
      </c>
      <c r="Y107" s="48" t="b">
        <f t="shared" si="27"/>
        <v>0</v>
      </c>
      <c r="Z107" s="48" t="b">
        <f t="shared" si="28"/>
        <v>0</v>
      </c>
      <c r="AA107" s="58">
        <f t="shared" si="29"/>
        <v>15201</v>
      </c>
    </row>
    <row r="108" spans="1:27" x14ac:dyDescent="0.2">
      <c r="A108" s="28" t="s">
        <v>494</v>
      </c>
      <c r="B108" s="29" t="s">
        <v>728</v>
      </c>
      <c r="C108" s="28" t="s">
        <v>721</v>
      </c>
      <c r="D108" s="28" t="s">
        <v>722</v>
      </c>
      <c r="E108" s="30">
        <v>180</v>
      </c>
      <c r="F108" s="30">
        <v>180</v>
      </c>
      <c r="G108" s="30">
        <v>80</v>
      </c>
      <c r="H108" s="30">
        <v>6</v>
      </c>
      <c r="I108" s="31">
        <v>0.25</v>
      </c>
      <c r="J108" s="30">
        <v>180</v>
      </c>
      <c r="K108" s="30">
        <v>55</v>
      </c>
      <c r="L108" s="30">
        <v>90</v>
      </c>
      <c r="M108" s="30">
        <v>7</v>
      </c>
      <c r="N108" s="30">
        <v>140</v>
      </c>
      <c r="O108" s="30">
        <v>120</v>
      </c>
      <c r="P108" s="32">
        <v>0.7</v>
      </c>
      <c r="Q108" s="33">
        <v>1</v>
      </c>
      <c r="R108" s="65"/>
      <c r="S108" s="48" t="s">
        <v>824</v>
      </c>
      <c r="T108" s="98" t="s">
        <v>899</v>
      </c>
      <c r="U108" s="48" t="s">
        <v>824</v>
      </c>
      <c r="V108" s="48" t="s">
        <v>829</v>
      </c>
      <c r="W108" s="48" t="b">
        <f t="shared" si="25"/>
        <v>0</v>
      </c>
      <c r="X108" s="48" t="b">
        <f t="shared" si="26"/>
        <v>1</v>
      </c>
      <c r="Y108" s="48" t="b">
        <f t="shared" si="27"/>
        <v>0</v>
      </c>
      <c r="Z108" s="48" t="b">
        <f t="shared" si="28"/>
        <v>0</v>
      </c>
      <c r="AA108" s="58">
        <f t="shared" si="29"/>
        <v>15201</v>
      </c>
    </row>
    <row r="109" spans="1:27" x14ac:dyDescent="0.2">
      <c r="A109" s="28" t="s">
        <v>495</v>
      </c>
      <c r="B109" s="29" t="s">
        <v>728</v>
      </c>
      <c r="C109" s="28" t="s">
        <v>721</v>
      </c>
      <c r="D109" s="28" t="s">
        <v>722</v>
      </c>
      <c r="E109" s="30">
        <v>180</v>
      </c>
      <c r="F109" s="30">
        <v>180</v>
      </c>
      <c r="G109" s="30">
        <v>80</v>
      </c>
      <c r="H109" s="30">
        <v>6</v>
      </c>
      <c r="I109" s="31">
        <v>0.25</v>
      </c>
      <c r="J109" s="30">
        <v>180</v>
      </c>
      <c r="K109" s="30">
        <v>55</v>
      </c>
      <c r="L109" s="30">
        <v>90</v>
      </c>
      <c r="M109" s="30">
        <v>7</v>
      </c>
      <c r="N109" s="30">
        <v>140</v>
      </c>
      <c r="O109" s="30">
        <v>120</v>
      </c>
      <c r="P109" s="32">
        <v>0.7</v>
      </c>
      <c r="Q109" s="33">
        <v>1</v>
      </c>
      <c r="R109" s="65"/>
      <c r="S109" s="48" t="s">
        <v>824</v>
      </c>
      <c r="T109" s="98" t="s">
        <v>898</v>
      </c>
      <c r="U109" s="48" t="s">
        <v>824</v>
      </c>
      <c r="V109" s="48" t="s">
        <v>829</v>
      </c>
      <c r="W109" s="48" t="b">
        <f t="shared" si="25"/>
        <v>0</v>
      </c>
      <c r="X109" s="48" t="b">
        <f t="shared" si="26"/>
        <v>1</v>
      </c>
      <c r="Y109" s="48" t="b">
        <f t="shared" si="27"/>
        <v>0</v>
      </c>
      <c r="Z109" s="48" t="b">
        <f t="shared" si="28"/>
        <v>0</v>
      </c>
      <c r="AA109" s="58">
        <f t="shared" si="29"/>
        <v>15201</v>
      </c>
    </row>
    <row r="110" spans="1:27" x14ac:dyDescent="0.2">
      <c r="A110" s="28" t="s">
        <v>496</v>
      </c>
      <c r="B110" s="29" t="s">
        <v>728</v>
      </c>
      <c r="C110" s="28" t="s">
        <v>721</v>
      </c>
      <c r="D110" s="28" t="s">
        <v>722</v>
      </c>
      <c r="E110" s="30">
        <v>510</v>
      </c>
      <c r="F110" s="30">
        <v>510</v>
      </c>
      <c r="G110" s="30">
        <v>510</v>
      </c>
      <c r="H110" s="30">
        <v>8</v>
      </c>
      <c r="I110" s="31">
        <v>0.25</v>
      </c>
      <c r="J110" s="30">
        <v>510</v>
      </c>
      <c r="K110" s="30">
        <v>55</v>
      </c>
      <c r="L110" s="30">
        <v>90</v>
      </c>
      <c r="M110" s="32">
        <v>19.5</v>
      </c>
      <c r="N110" s="30">
        <v>140</v>
      </c>
      <c r="O110" s="30">
        <v>120</v>
      </c>
      <c r="P110" s="32">
        <v>1.9</v>
      </c>
      <c r="Q110" s="33">
        <v>1</v>
      </c>
      <c r="R110" s="65"/>
      <c r="S110" s="48" t="s">
        <v>824</v>
      </c>
      <c r="T110" s="98">
        <v>1300.02</v>
      </c>
      <c r="U110" s="48" t="s">
        <v>839</v>
      </c>
      <c r="V110" s="48" t="s">
        <v>829</v>
      </c>
      <c r="W110" s="48" t="b">
        <f t="shared" si="25"/>
        <v>0</v>
      </c>
      <c r="X110" s="48" t="b">
        <f t="shared" si="26"/>
        <v>1</v>
      </c>
      <c r="Y110" s="48" t="b">
        <f t="shared" si="27"/>
        <v>0</v>
      </c>
      <c r="Z110" s="48" t="b">
        <f t="shared" si="28"/>
        <v>0</v>
      </c>
      <c r="AA110" s="58">
        <f t="shared" si="29"/>
        <v>15201</v>
      </c>
    </row>
    <row r="111" spans="1:27" x14ac:dyDescent="0.2">
      <c r="A111" s="28" t="s">
        <v>497</v>
      </c>
      <c r="B111" s="29" t="s">
        <v>728</v>
      </c>
      <c r="C111" s="28" t="s">
        <v>721</v>
      </c>
      <c r="D111" s="28" t="s">
        <v>722</v>
      </c>
      <c r="E111" s="30">
        <v>500</v>
      </c>
      <c r="F111" s="30">
        <v>500</v>
      </c>
      <c r="G111" s="30">
        <v>500</v>
      </c>
      <c r="H111" s="30">
        <v>8</v>
      </c>
      <c r="I111" s="31">
        <v>0.25</v>
      </c>
      <c r="J111" s="30">
        <v>500</v>
      </c>
      <c r="K111" s="30">
        <v>55</v>
      </c>
      <c r="L111" s="30">
        <v>90</v>
      </c>
      <c r="M111" s="30">
        <v>19</v>
      </c>
      <c r="N111" s="30">
        <v>140</v>
      </c>
      <c r="O111" s="30">
        <v>120</v>
      </c>
      <c r="P111" s="32">
        <v>1.9</v>
      </c>
      <c r="Q111" s="33">
        <v>1</v>
      </c>
      <c r="R111" s="65"/>
      <c r="S111" s="48" t="s">
        <v>824</v>
      </c>
      <c r="T111" s="98">
        <v>1300.06</v>
      </c>
      <c r="U111" s="48" t="s">
        <v>824</v>
      </c>
      <c r="V111" s="48" t="s">
        <v>829</v>
      </c>
      <c r="W111" s="48" t="b">
        <f t="shared" si="25"/>
        <v>0</v>
      </c>
      <c r="X111" s="48" t="b">
        <f t="shared" si="26"/>
        <v>1</v>
      </c>
      <c r="Y111" s="48" t="b">
        <f t="shared" si="27"/>
        <v>0</v>
      </c>
      <c r="Z111" s="48" t="b">
        <f t="shared" si="28"/>
        <v>0</v>
      </c>
      <c r="AA111" s="58">
        <f t="shared" si="29"/>
        <v>15201</v>
      </c>
    </row>
    <row r="112" spans="1:27" x14ac:dyDescent="0.2">
      <c r="A112" s="28" t="s">
        <v>498</v>
      </c>
      <c r="B112" s="29" t="s">
        <v>728</v>
      </c>
      <c r="C112" s="28" t="s">
        <v>721</v>
      </c>
      <c r="D112" s="28" t="s">
        <v>723</v>
      </c>
      <c r="E112" s="30">
        <v>600</v>
      </c>
      <c r="F112" s="30">
        <v>600</v>
      </c>
      <c r="G112" s="30">
        <v>140</v>
      </c>
      <c r="H112" s="30">
        <v>8</v>
      </c>
      <c r="I112" s="31">
        <v>0.25</v>
      </c>
      <c r="J112" s="30">
        <v>600</v>
      </c>
      <c r="K112" s="30">
        <v>55</v>
      </c>
      <c r="L112" s="30">
        <v>90</v>
      </c>
      <c r="M112" s="30">
        <v>23</v>
      </c>
      <c r="N112" s="30">
        <v>140</v>
      </c>
      <c r="O112" s="30">
        <v>120</v>
      </c>
      <c r="P112" s="32">
        <v>2.2999999999999998</v>
      </c>
      <c r="Q112" s="33">
        <v>1</v>
      </c>
      <c r="R112" s="65"/>
      <c r="S112" s="48" t="s">
        <v>824</v>
      </c>
      <c r="T112" s="98" t="s">
        <v>897</v>
      </c>
      <c r="U112" s="48" t="s">
        <v>824</v>
      </c>
      <c r="V112" s="48" t="s">
        <v>829</v>
      </c>
      <c r="W112" s="48" t="b">
        <f t="shared" si="25"/>
        <v>0</v>
      </c>
      <c r="X112" s="48" t="b">
        <f t="shared" si="26"/>
        <v>1</v>
      </c>
      <c r="Y112" s="48" t="b">
        <f t="shared" si="27"/>
        <v>0</v>
      </c>
      <c r="Z112" s="48" t="b">
        <f t="shared" si="28"/>
        <v>0</v>
      </c>
      <c r="AA112" s="58">
        <f t="shared" si="29"/>
        <v>15201</v>
      </c>
    </row>
    <row r="113" spans="1:27" x14ac:dyDescent="0.2">
      <c r="A113" s="28" t="s">
        <v>499</v>
      </c>
      <c r="B113" s="29" t="s">
        <v>728</v>
      </c>
      <c r="C113" s="28" t="s">
        <v>721</v>
      </c>
      <c r="D113" s="28" t="s">
        <v>723</v>
      </c>
      <c r="E113" s="30">
        <v>135</v>
      </c>
      <c r="F113" s="30">
        <v>135</v>
      </c>
      <c r="G113" s="30">
        <v>80</v>
      </c>
      <c r="H113" s="30">
        <v>6</v>
      </c>
      <c r="I113" s="31">
        <v>0.25</v>
      </c>
      <c r="J113" s="30">
        <v>135</v>
      </c>
      <c r="K113" s="30">
        <v>55</v>
      </c>
      <c r="L113" s="30">
        <v>90</v>
      </c>
      <c r="M113" s="30">
        <v>5</v>
      </c>
      <c r="N113" s="30">
        <v>140</v>
      </c>
      <c r="O113" s="30">
        <v>120</v>
      </c>
      <c r="P113" s="32">
        <v>0.5</v>
      </c>
      <c r="Q113" s="33">
        <v>1</v>
      </c>
      <c r="R113" s="65"/>
      <c r="S113" s="48" t="s">
        <v>824</v>
      </c>
      <c r="T113" s="98" t="s">
        <v>896</v>
      </c>
      <c r="U113" s="48" t="s">
        <v>840</v>
      </c>
      <c r="V113" s="48" t="s">
        <v>829</v>
      </c>
      <c r="W113" s="48" t="b">
        <f t="shared" si="25"/>
        <v>0</v>
      </c>
      <c r="X113" s="48" t="b">
        <f t="shared" si="26"/>
        <v>1</v>
      </c>
      <c r="Y113" s="48" t="b">
        <f t="shared" si="27"/>
        <v>0</v>
      </c>
      <c r="Z113" s="48" t="b">
        <f t="shared" si="28"/>
        <v>0</v>
      </c>
      <c r="AA113" s="58">
        <f t="shared" si="29"/>
        <v>15201</v>
      </c>
    </row>
    <row r="114" spans="1:27" x14ac:dyDescent="0.2">
      <c r="A114" s="28" t="s">
        <v>500</v>
      </c>
      <c r="B114" s="29" t="s">
        <v>728</v>
      </c>
      <c r="C114" s="28" t="s">
        <v>721</v>
      </c>
      <c r="D114" s="28" t="s">
        <v>723</v>
      </c>
      <c r="E114" s="30">
        <v>115</v>
      </c>
      <c r="F114" s="30">
        <v>115</v>
      </c>
      <c r="G114" s="30">
        <v>115</v>
      </c>
      <c r="H114" s="30">
        <v>6</v>
      </c>
      <c r="I114" s="31">
        <v>0.25</v>
      </c>
      <c r="J114" s="30">
        <v>115</v>
      </c>
      <c r="K114" s="30">
        <v>55</v>
      </c>
      <c r="L114" s="30">
        <v>90</v>
      </c>
      <c r="M114" s="32">
        <v>4.5</v>
      </c>
      <c r="N114" s="30">
        <v>140</v>
      </c>
      <c r="O114" s="30">
        <v>120</v>
      </c>
      <c r="P114" s="32">
        <v>0.4</v>
      </c>
      <c r="Q114" s="33">
        <v>1</v>
      </c>
      <c r="R114" s="65"/>
      <c r="S114" s="48" t="s">
        <v>824</v>
      </c>
      <c r="T114" s="98">
        <v>1333.02</v>
      </c>
      <c r="U114" s="48" t="s">
        <v>839</v>
      </c>
      <c r="V114" s="48" t="s">
        <v>829</v>
      </c>
      <c r="W114" s="48" t="b">
        <f t="shared" si="25"/>
        <v>0</v>
      </c>
      <c r="X114" s="48" t="b">
        <f t="shared" si="26"/>
        <v>1</v>
      </c>
      <c r="Y114" s="48" t="b">
        <f t="shared" si="27"/>
        <v>0</v>
      </c>
      <c r="Z114" s="48" t="b">
        <f t="shared" si="28"/>
        <v>0</v>
      </c>
      <c r="AA114" s="58">
        <f t="shared" si="29"/>
        <v>15201</v>
      </c>
    </row>
    <row r="115" spans="1:27" x14ac:dyDescent="0.2">
      <c r="A115" s="28" t="s">
        <v>501</v>
      </c>
      <c r="B115" s="29" t="s">
        <v>728</v>
      </c>
      <c r="C115" s="28" t="s">
        <v>721</v>
      </c>
      <c r="D115" s="28" t="s">
        <v>723</v>
      </c>
      <c r="E115" s="30">
        <v>160</v>
      </c>
      <c r="F115" s="30">
        <v>160</v>
      </c>
      <c r="G115" s="30">
        <v>80</v>
      </c>
      <c r="H115" s="30">
        <v>6</v>
      </c>
      <c r="I115" s="31">
        <v>0.25</v>
      </c>
      <c r="J115" s="30">
        <v>160</v>
      </c>
      <c r="K115" s="30">
        <v>55</v>
      </c>
      <c r="L115" s="30">
        <v>90</v>
      </c>
      <c r="M115" s="30">
        <v>6</v>
      </c>
      <c r="N115" s="30">
        <v>140</v>
      </c>
      <c r="O115" s="30">
        <v>120</v>
      </c>
      <c r="P115" s="32">
        <v>0.6</v>
      </c>
      <c r="Q115" s="33">
        <v>1</v>
      </c>
      <c r="R115" s="65"/>
      <c r="S115" s="48" t="s">
        <v>824</v>
      </c>
      <c r="T115" s="98">
        <v>1333.05</v>
      </c>
      <c r="U115" s="48" t="s">
        <v>824</v>
      </c>
      <c r="V115" s="48" t="s">
        <v>829</v>
      </c>
      <c r="W115" s="48" t="b">
        <f t="shared" si="25"/>
        <v>0</v>
      </c>
      <c r="X115" s="48" t="b">
        <f t="shared" si="26"/>
        <v>1</v>
      </c>
      <c r="Y115" s="48" t="b">
        <f t="shared" si="27"/>
        <v>0</v>
      </c>
      <c r="Z115" s="48" t="b">
        <f t="shared" si="28"/>
        <v>0</v>
      </c>
      <c r="AA115" s="58">
        <f t="shared" si="29"/>
        <v>15201</v>
      </c>
    </row>
    <row r="116" spans="1:27" x14ac:dyDescent="0.2">
      <c r="A116" s="28" t="s">
        <v>502</v>
      </c>
      <c r="B116" s="29" t="s">
        <v>728</v>
      </c>
      <c r="C116" s="28" t="s">
        <v>721</v>
      </c>
      <c r="D116" s="28" t="s">
        <v>723</v>
      </c>
      <c r="E116" s="30">
        <v>760</v>
      </c>
      <c r="F116" s="30">
        <v>760</v>
      </c>
      <c r="G116" s="30">
        <v>220</v>
      </c>
      <c r="H116" s="30">
        <v>10</v>
      </c>
      <c r="I116" s="31">
        <v>0.25</v>
      </c>
      <c r="J116" s="30">
        <v>760</v>
      </c>
      <c r="K116" s="30">
        <v>55</v>
      </c>
      <c r="L116" s="30">
        <v>90</v>
      </c>
      <c r="M116" s="30">
        <v>29</v>
      </c>
      <c r="N116" s="30">
        <v>140</v>
      </c>
      <c r="O116" s="30">
        <v>120</v>
      </c>
      <c r="P116" s="32">
        <v>2.9</v>
      </c>
      <c r="Q116" s="33">
        <v>1</v>
      </c>
      <c r="R116" s="65"/>
      <c r="S116" s="48" t="s">
        <v>824</v>
      </c>
      <c r="T116" s="98" t="s">
        <v>894</v>
      </c>
      <c r="U116" s="48" t="s">
        <v>824</v>
      </c>
      <c r="V116" s="48" t="s">
        <v>829</v>
      </c>
      <c r="W116" s="48" t="b">
        <f t="shared" si="25"/>
        <v>0</v>
      </c>
      <c r="X116" s="48" t="b">
        <f t="shared" si="26"/>
        <v>1</v>
      </c>
      <c r="Y116" s="48" t="b">
        <f t="shared" si="27"/>
        <v>0</v>
      </c>
      <c r="Z116" s="48" t="b">
        <f t="shared" si="28"/>
        <v>0</v>
      </c>
      <c r="AA116" s="58">
        <f t="shared" si="29"/>
        <v>15201</v>
      </c>
    </row>
    <row r="117" spans="1:27" x14ac:dyDescent="0.2">
      <c r="A117" s="28" t="s">
        <v>503</v>
      </c>
      <c r="B117" s="29" t="s">
        <v>728</v>
      </c>
      <c r="C117" s="28" t="s">
        <v>721</v>
      </c>
      <c r="D117" s="28" t="s">
        <v>723</v>
      </c>
      <c r="E117" s="30">
        <v>570</v>
      </c>
      <c r="F117" s="30">
        <v>570</v>
      </c>
      <c r="G117" s="30">
        <v>140</v>
      </c>
      <c r="H117" s="30">
        <v>8</v>
      </c>
      <c r="I117" s="31">
        <v>0.25</v>
      </c>
      <c r="J117" s="30">
        <v>570</v>
      </c>
      <c r="K117" s="30">
        <v>55</v>
      </c>
      <c r="L117" s="30">
        <v>90</v>
      </c>
      <c r="M117" s="32">
        <v>21.5</v>
      </c>
      <c r="N117" s="30">
        <v>140</v>
      </c>
      <c r="O117" s="30">
        <v>120</v>
      </c>
      <c r="P117" s="32">
        <v>2.2000000000000002</v>
      </c>
      <c r="Q117" s="33">
        <v>1</v>
      </c>
      <c r="R117" s="65"/>
      <c r="S117" s="48" t="s">
        <v>824</v>
      </c>
      <c r="T117" s="98" t="s">
        <v>893</v>
      </c>
      <c r="U117" s="48" t="s">
        <v>824</v>
      </c>
      <c r="V117" s="48" t="s">
        <v>829</v>
      </c>
      <c r="W117" s="48" t="b">
        <f t="shared" si="25"/>
        <v>0</v>
      </c>
      <c r="X117" s="48" t="b">
        <f t="shared" si="26"/>
        <v>1</v>
      </c>
      <c r="Y117" s="48" t="b">
        <f t="shared" si="27"/>
        <v>0</v>
      </c>
      <c r="Z117" s="48" t="b">
        <f t="shared" si="28"/>
        <v>0</v>
      </c>
      <c r="AA117" s="58">
        <f t="shared" si="29"/>
        <v>15201</v>
      </c>
    </row>
    <row r="118" spans="1:27" x14ac:dyDescent="0.2">
      <c r="A118" s="28" t="s">
        <v>504</v>
      </c>
      <c r="B118" s="29" t="s">
        <v>728</v>
      </c>
      <c r="C118" s="28" t="s">
        <v>721</v>
      </c>
      <c r="D118" s="28" t="s">
        <v>723</v>
      </c>
      <c r="E118" s="30">
        <v>570</v>
      </c>
      <c r="F118" s="30">
        <v>570</v>
      </c>
      <c r="G118" s="30">
        <v>140</v>
      </c>
      <c r="H118" s="30">
        <v>8</v>
      </c>
      <c r="I118" s="31">
        <v>0.25</v>
      </c>
      <c r="J118" s="30">
        <v>570</v>
      </c>
      <c r="K118" s="30">
        <v>55</v>
      </c>
      <c r="L118" s="30">
        <v>90</v>
      </c>
      <c r="M118" s="32">
        <v>21.5</v>
      </c>
      <c r="N118" s="30">
        <v>140</v>
      </c>
      <c r="O118" s="30">
        <v>120</v>
      </c>
      <c r="P118" s="32">
        <v>2.2000000000000002</v>
      </c>
      <c r="Q118" s="33">
        <v>1</v>
      </c>
      <c r="R118" s="65"/>
      <c r="S118" s="48" t="s">
        <v>824</v>
      </c>
      <c r="T118" s="98" t="s">
        <v>892</v>
      </c>
      <c r="U118" s="48" t="s">
        <v>824</v>
      </c>
      <c r="V118" s="48" t="s">
        <v>829</v>
      </c>
      <c r="W118" s="48" t="b">
        <f t="shared" si="25"/>
        <v>0</v>
      </c>
      <c r="X118" s="48" t="b">
        <f t="shared" si="26"/>
        <v>1</v>
      </c>
      <c r="Y118" s="48" t="b">
        <f t="shared" si="27"/>
        <v>0</v>
      </c>
      <c r="Z118" s="48" t="b">
        <f t="shared" si="28"/>
        <v>0</v>
      </c>
      <c r="AA118" s="58">
        <f t="shared" si="29"/>
        <v>15201</v>
      </c>
    </row>
    <row r="119" spans="1:27" x14ac:dyDescent="0.2">
      <c r="A119" s="28" t="s">
        <v>505</v>
      </c>
      <c r="B119" s="29" t="s">
        <v>728</v>
      </c>
      <c r="C119" s="28" t="s">
        <v>721</v>
      </c>
      <c r="D119" s="28" t="s">
        <v>723</v>
      </c>
      <c r="E119" s="30">
        <v>660</v>
      </c>
      <c r="F119" s="30">
        <v>660</v>
      </c>
      <c r="G119" s="30">
        <v>140</v>
      </c>
      <c r="H119" s="30">
        <v>8</v>
      </c>
      <c r="I119" s="31">
        <v>0.25</v>
      </c>
      <c r="J119" s="30">
        <v>660</v>
      </c>
      <c r="K119" s="30">
        <v>55</v>
      </c>
      <c r="L119" s="30">
        <v>90</v>
      </c>
      <c r="M119" s="30">
        <v>25</v>
      </c>
      <c r="N119" s="30">
        <v>140</v>
      </c>
      <c r="O119" s="30">
        <v>120</v>
      </c>
      <c r="P119" s="32">
        <v>2.5</v>
      </c>
      <c r="Q119" s="33">
        <v>1</v>
      </c>
      <c r="R119" s="65"/>
      <c r="S119" s="48" t="s">
        <v>824</v>
      </c>
      <c r="T119" s="98" t="s">
        <v>891</v>
      </c>
      <c r="U119" s="48" t="s">
        <v>824</v>
      </c>
      <c r="V119" s="48" t="s">
        <v>829</v>
      </c>
      <c r="W119" s="48" t="b">
        <f t="shared" si="25"/>
        <v>0</v>
      </c>
      <c r="X119" s="48" t="b">
        <f t="shared" si="26"/>
        <v>1</v>
      </c>
      <c r="Y119" s="48" t="b">
        <f t="shared" si="27"/>
        <v>0</v>
      </c>
      <c r="Z119" s="48" t="b">
        <f t="shared" si="28"/>
        <v>0</v>
      </c>
      <c r="AA119" s="58">
        <f t="shared" si="29"/>
        <v>15201</v>
      </c>
    </row>
    <row r="120" spans="1:27" x14ac:dyDescent="0.2">
      <c r="A120" s="28" t="s">
        <v>506</v>
      </c>
      <c r="B120" s="29" t="s">
        <v>728</v>
      </c>
      <c r="C120" s="28" t="s">
        <v>721</v>
      </c>
      <c r="D120" s="28" t="s">
        <v>723</v>
      </c>
      <c r="E120" s="30">
        <v>200</v>
      </c>
      <c r="F120" s="30">
        <v>200</v>
      </c>
      <c r="G120" s="30">
        <v>80</v>
      </c>
      <c r="H120" s="30">
        <v>6</v>
      </c>
      <c r="I120" s="31">
        <v>0.25</v>
      </c>
      <c r="J120" s="30">
        <v>200</v>
      </c>
      <c r="K120" s="30">
        <v>55</v>
      </c>
      <c r="L120" s="30">
        <v>90</v>
      </c>
      <c r="M120" s="32">
        <v>7.5</v>
      </c>
      <c r="N120" s="30">
        <v>140</v>
      </c>
      <c r="O120" s="30">
        <v>120</v>
      </c>
      <c r="P120" s="32">
        <v>0.8</v>
      </c>
      <c r="Q120" s="33">
        <v>1</v>
      </c>
      <c r="R120" s="65"/>
      <c r="S120" s="48" t="s">
        <v>824</v>
      </c>
      <c r="T120" s="98" t="s">
        <v>890</v>
      </c>
      <c r="U120" s="48" t="s">
        <v>824</v>
      </c>
      <c r="V120" s="48" t="s">
        <v>829</v>
      </c>
      <c r="W120" s="48" t="b">
        <f t="shared" si="25"/>
        <v>0</v>
      </c>
      <c r="X120" s="48" t="b">
        <f t="shared" si="26"/>
        <v>1</v>
      </c>
      <c r="Y120" s="48" t="b">
        <f t="shared" si="27"/>
        <v>0</v>
      </c>
      <c r="Z120" s="48" t="b">
        <f t="shared" si="28"/>
        <v>0</v>
      </c>
      <c r="AA120" s="58">
        <f t="shared" si="29"/>
        <v>15201</v>
      </c>
    </row>
    <row r="121" spans="1:27" x14ac:dyDescent="0.2">
      <c r="A121" s="28" t="s">
        <v>507</v>
      </c>
      <c r="B121" s="29" t="s">
        <v>728</v>
      </c>
      <c r="C121" s="28" t="s">
        <v>721</v>
      </c>
      <c r="D121" s="28" t="s">
        <v>723</v>
      </c>
      <c r="E121" s="30">
        <v>170</v>
      </c>
      <c r="F121" s="30">
        <v>170</v>
      </c>
      <c r="G121" s="30">
        <v>80</v>
      </c>
      <c r="H121" s="30">
        <v>6</v>
      </c>
      <c r="I121" s="31">
        <v>0.25</v>
      </c>
      <c r="J121" s="30">
        <v>170</v>
      </c>
      <c r="K121" s="30">
        <v>55</v>
      </c>
      <c r="L121" s="30">
        <v>90</v>
      </c>
      <c r="M121" s="32">
        <v>6.5</v>
      </c>
      <c r="N121" s="30">
        <v>140</v>
      </c>
      <c r="O121" s="30">
        <v>120</v>
      </c>
      <c r="P121" s="32">
        <v>0.6</v>
      </c>
      <c r="Q121" s="33">
        <v>1</v>
      </c>
      <c r="R121" s="65"/>
      <c r="S121" s="48" t="s">
        <v>824</v>
      </c>
      <c r="T121" s="98">
        <v>1302.04</v>
      </c>
      <c r="U121" s="48" t="s">
        <v>824</v>
      </c>
      <c r="V121" s="48" t="s">
        <v>829</v>
      </c>
      <c r="W121" s="48" t="b">
        <f t="shared" si="25"/>
        <v>0</v>
      </c>
      <c r="X121" s="48" t="b">
        <f t="shared" si="26"/>
        <v>1</v>
      </c>
      <c r="Y121" s="48" t="b">
        <f t="shared" si="27"/>
        <v>0</v>
      </c>
      <c r="Z121" s="48" t="b">
        <f t="shared" si="28"/>
        <v>0</v>
      </c>
      <c r="AA121" s="58">
        <f t="shared" si="29"/>
        <v>15201</v>
      </c>
    </row>
    <row r="122" spans="1:27" x14ac:dyDescent="0.2">
      <c r="A122" s="28" t="s">
        <v>508</v>
      </c>
      <c r="B122" s="29" t="s">
        <v>728</v>
      </c>
      <c r="C122" s="28" t="s">
        <v>721</v>
      </c>
      <c r="D122" s="28" t="s">
        <v>723</v>
      </c>
      <c r="E122" s="30">
        <v>500</v>
      </c>
      <c r="F122" s="30">
        <v>500</v>
      </c>
      <c r="G122" s="30">
        <v>140</v>
      </c>
      <c r="H122" s="30">
        <v>8</v>
      </c>
      <c r="I122" s="31">
        <v>0.25</v>
      </c>
      <c r="J122" s="30">
        <v>500</v>
      </c>
      <c r="K122" s="30">
        <v>55</v>
      </c>
      <c r="L122" s="30">
        <v>90</v>
      </c>
      <c r="M122" s="30">
        <v>19</v>
      </c>
      <c r="N122" s="30">
        <v>140</v>
      </c>
      <c r="O122" s="30">
        <v>120</v>
      </c>
      <c r="P122" s="32">
        <v>1.9</v>
      </c>
      <c r="Q122" s="33">
        <v>1</v>
      </c>
      <c r="R122" s="65"/>
      <c r="S122" s="48" t="s">
        <v>824</v>
      </c>
      <c r="T122" s="98" t="s">
        <v>889</v>
      </c>
      <c r="U122" s="48" t="s">
        <v>824</v>
      </c>
      <c r="V122" s="48" t="s">
        <v>829</v>
      </c>
      <c r="W122" s="48" t="b">
        <f t="shared" si="25"/>
        <v>0</v>
      </c>
      <c r="X122" s="48" t="b">
        <f t="shared" si="26"/>
        <v>1</v>
      </c>
      <c r="Y122" s="48" t="b">
        <f t="shared" si="27"/>
        <v>0</v>
      </c>
      <c r="Z122" s="48" t="b">
        <f t="shared" si="28"/>
        <v>0</v>
      </c>
      <c r="AA122" s="58">
        <f t="shared" si="29"/>
        <v>15201</v>
      </c>
    </row>
    <row r="123" spans="1:27" x14ac:dyDescent="0.2">
      <c r="A123" s="28" t="s">
        <v>509</v>
      </c>
      <c r="B123" s="29" t="s">
        <v>728</v>
      </c>
      <c r="C123" s="28" t="s">
        <v>721</v>
      </c>
      <c r="D123" s="28" t="s">
        <v>723</v>
      </c>
      <c r="E123" s="30">
        <v>330</v>
      </c>
      <c r="F123" s="30">
        <v>330</v>
      </c>
      <c r="G123" s="30">
        <v>80</v>
      </c>
      <c r="H123" s="30">
        <v>6</v>
      </c>
      <c r="I123" s="31">
        <v>0.25</v>
      </c>
      <c r="J123" s="30">
        <v>330</v>
      </c>
      <c r="K123" s="30">
        <v>55</v>
      </c>
      <c r="L123" s="30">
        <v>90</v>
      </c>
      <c r="M123" s="32">
        <v>12.5</v>
      </c>
      <c r="N123" s="30">
        <v>140</v>
      </c>
      <c r="O123" s="30">
        <v>120</v>
      </c>
      <c r="P123" s="32">
        <v>1.3</v>
      </c>
      <c r="Q123" s="33">
        <v>1</v>
      </c>
      <c r="R123" s="65"/>
      <c r="S123" s="48" t="s">
        <v>824</v>
      </c>
      <c r="T123" s="98" t="s">
        <v>888</v>
      </c>
      <c r="U123" s="48" t="s">
        <v>824</v>
      </c>
      <c r="V123" s="48" t="s">
        <v>829</v>
      </c>
      <c r="W123" s="48" t="b">
        <f t="shared" si="25"/>
        <v>0</v>
      </c>
      <c r="X123" s="48" t="b">
        <f t="shared" si="26"/>
        <v>1</v>
      </c>
      <c r="Y123" s="48" t="b">
        <f t="shared" si="27"/>
        <v>0</v>
      </c>
      <c r="Z123" s="48" t="b">
        <f t="shared" si="28"/>
        <v>0</v>
      </c>
      <c r="AA123" s="58">
        <f t="shared" si="29"/>
        <v>15201</v>
      </c>
    </row>
    <row r="124" spans="1:27" x14ac:dyDescent="0.2">
      <c r="A124" s="28" t="s">
        <v>510</v>
      </c>
      <c r="B124" s="29" t="s">
        <v>728</v>
      </c>
      <c r="C124" s="28" t="s">
        <v>721</v>
      </c>
      <c r="D124" s="28" t="s">
        <v>723</v>
      </c>
      <c r="E124" s="30">
        <v>340</v>
      </c>
      <c r="F124" s="30">
        <v>340</v>
      </c>
      <c r="G124" s="30">
        <v>80</v>
      </c>
      <c r="H124" s="30">
        <v>6</v>
      </c>
      <c r="I124" s="31">
        <v>0.25</v>
      </c>
      <c r="J124" s="30">
        <v>340</v>
      </c>
      <c r="K124" s="30">
        <v>55</v>
      </c>
      <c r="L124" s="30">
        <v>90</v>
      </c>
      <c r="M124" s="30">
        <v>13</v>
      </c>
      <c r="N124" s="30">
        <v>140</v>
      </c>
      <c r="O124" s="30">
        <v>120</v>
      </c>
      <c r="P124" s="32">
        <v>1.3</v>
      </c>
      <c r="Q124" s="33">
        <v>1</v>
      </c>
      <c r="R124" s="65"/>
      <c r="S124" s="48" t="s">
        <v>824</v>
      </c>
      <c r="T124" s="98" t="s">
        <v>887</v>
      </c>
      <c r="U124" s="48" t="s">
        <v>824</v>
      </c>
      <c r="V124" s="48" t="s">
        <v>829</v>
      </c>
      <c r="W124" s="48" t="b">
        <f t="shared" si="25"/>
        <v>0</v>
      </c>
      <c r="X124" s="48" t="b">
        <f t="shared" si="26"/>
        <v>1</v>
      </c>
      <c r="Y124" s="48" t="b">
        <f t="shared" si="27"/>
        <v>0</v>
      </c>
      <c r="Z124" s="48" t="b">
        <f t="shared" si="28"/>
        <v>0</v>
      </c>
      <c r="AA124" s="58">
        <f t="shared" si="29"/>
        <v>15201</v>
      </c>
    </row>
    <row r="125" spans="1:27" x14ac:dyDescent="0.2">
      <c r="A125" s="28" t="s">
        <v>511</v>
      </c>
      <c r="B125" s="29" t="s">
        <v>728</v>
      </c>
      <c r="C125" s="28" t="s">
        <v>721</v>
      </c>
      <c r="D125" s="28" t="s">
        <v>723</v>
      </c>
      <c r="E125" s="30">
        <v>210</v>
      </c>
      <c r="F125" s="30">
        <v>210</v>
      </c>
      <c r="G125" s="30">
        <v>80</v>
      </c>
      <c r="H125" s="30">
        <v>6</v>
      </c>
      <c r="I125" s="31">
        <v>0.25</v>
      </c>
      <c r="J125" s="30">
        <v>210</v>
      </c>
      <c r="K125" s="30">
        <v>55</v>
      </c>
      <c r="L125" s="30">
        <v>90</v>
      </c>
      <c r="M125" s="30">
        <v>8</v>
      </c>
      <c r="N125" s="30">
        <v>140</v>
      </c>
      <c r="O125" s="30">
        <v>120</v>
      </c>
      <c r="P125" s="32">
        <v>0.8</v>
      </c>
      <c r="Q125" s="33">
        <v>1</v>
      </c>
      <c r="R125" s="65"/>
      <c r="S125" s="48" t="s">
        <v>824</v>
      </c>
      <c r="T125" s="98">
        <v>1307.01</v>
      </c>
      <c r="U125" s="48" t="s">
        <v>824</v>
      </c>
      <c r="V125" s="48" t="s">
        <v>829</v>
      </c>
      <c r="W125" s="48" t="b">
        <f t="shared" si="25"/>
        <v>0</v>
      </c>
      <c r="X125" s="48" t="b">
        <f t="shared" si="26"/>
        <v>1</v>
      </c>
      <c r="Y125" s="48" t="b">
        <f t="shared" si="27"/>
        <v>0</v>
      </c>
      <c r="Z125" s="48" t="b">
        <f t="shared" si="28"/>
        <v>0</v>
      </c>
      <c r="AA125" s="58">
        <f t="shared" si="29"/>
        <v>15201</v>
      </c>
    </row>
    <row r="126" spans="1:27" x14ac:dyDescent="0.2">
      <c r="A126" s="28" t="s">
        <v>512</v>
      </c>
      <c r="B126" s="29" t="s">
        <v>728</v>
      </c>
      <c r="C126" s="28" t="s">
        <v>721</v>
      </c>
      <c r="D126" s="28" t="s">
        <v>723</v>
      </c>
      <c r="E126" s="30">
        <v>600</v>
      </c>
      <c r="F126" s="30">
        <v>600</v>
      </c>
      <c r="G126" s="30">
        <v>600</v>
      </c>
      <c r="H126" s="30">
        <v>8</v>
      </c>
      <c r="I126" s="31">
        <v>0.25</v>
      </c>
      <c r="J126" s="30">
        <v>600</v>
      </c>
      <c r="K126" s="30">
        <v>55</v>
      </c>
      <c r="L126" s="30">
        <v>90</v>
      </c>
      <c r="M126" s="30">
        <v>23</v>
      </c>
      <c r="N126" s="30">
        <v>140</v>
      </c>
      <c r="O126" s="30">
        <v>120</v>
      </c>
      <c r="P126" s="32">
        <v>2.2999999999999998</v>
      </c>
      <c r="Q126" s="33">
        <v>1</v>
      </c>
      <c r="R126" s="65"/>
      <c r="S126" s="48" t="s">
        <v>824</v>
      </c>
      <c r="T126" s="98">
        <v>1300.04</v>
      </c>
      <c r="U126" s="48" t="s">
        <v>839</v>
      </c>
      <c r="V126" s="48" t="s">
        <v>829</v>
      </c>
      <c r="W126" s="48" t="b">
        <f t="shared" si="25"/>
        <v>0</v>
      </c>
      <c r="X126" s="48" t="b">
        <f t="shared" si="26"/>
        <v>1</v>
      </c>
      <c r="Y126" s="48" t="b">
        <f t="shared" si="27"/>
        <v>0</v>
      </c>
      <c r="Z126" s="48" t="b">
        <f t="shared" si="28"/>
        <v>0</v>
      </c>
      <c r="AA126" s="58">
        <f t="shared" si="29"/>
        <v>15201</v>
      </c>
    </row>
    <row r="127" spans="1:27" x14ac:dyDescent="0.2">
      <c r="A127" s="28" t="s">
        <v>513</v>
      </c>
      <c r="B127" s="29" t="s">
        <v>728</v>
      </c>
      <c r="C127" s="28" t="s">
        <v>721</v>
      </c>
      <c r="D127" s="28" t="s">
        <v>723</v>
      </c>
      <c r="E127" s="34">
        <v>140</v>
      </c>
      <c r="F127" s="30">
        <v>140</v>
      </c>
      <c r="G127" s="30">
        <v>80</v>
      </c>
      <c r="H127" s="30">
        <v>6</v>
      </c>
      <c r="I127" s="31">
        <v>0.25</v>
      </c>
      <c r="J127" s="30">
        <v>140</v>
      </c>
      <c r="K127" s="30">
        <v>55</v>
      </c>
      <c r="L127" s="30">
        <v>90</v>
      </c>
      <c r="M127" s="32">
        <v>5.5</v>
      </c>
      <c r="N127" s="30">
        <v>140</v>
      </c>
      <c r="O127" s="30">
        <v>120</v>
      </c>
      <c r="P127" s="32">
        <v>0.5</v>
      </c>
      <c r="Q127" s="33">
        <v>1</v>
      </c>
      <c r="R127" s="65"/>
      <c r="S127" s="48" t="s">
        <v>824</v>
      </c>
      <c r="T127" s="98">
        <v>1333.06</v>
      </c>
      <c r="U127" s="48" t="s">
        <v>824</v>
      </c>
      <c r="V127" s="48" t="s">
        <v>829</v>
      </c>
      <c r="W127" s="48" t="b">
        <f t="shared" si="25"/>
        <v>0</v>
      </c>
      <c r="X127" s="48" t="b">
        <f t="shared" si="26"/>
        <v>1</v>
      </c>
      <c r="Y127" s="48" t="b">
        <f t="shared" si="27"/>
        <v>0</v>
      </c>
      <c r="Z127" s="48" t="b">
        <f t="shared" si="28"/>
        <v>0</v>
      </c>
      <c r="AA127" s="58">
        <f t="shared" si="29"/>
        <v>15201</v>
      </c>
    </row>
    <row r="128" spans="1:27" x14ac:dyDescent="0.2">
      <c r="A128" s="28" t="s">
        <v>514</v>
      </c>
      <c r="B128" s="29" t="s">
        <v>728</v>
      </c>
      <c r="C128" s="28" t="s">
        <v>721</v>
      </c>
      <c r="D128" s="28" t="s">
        <v>723</v>
      </c>
      <c r="E128" s="30">
        <v>615</v>
      </c>
      <c r="F128" s="30">
        <v>615</v>
      </c>
      <c r="G128" s="30">
        <v>80</v>
      </c>
      <c r="H128" s="30">
        <v>8</v>
      </c>
      <c r="I128" s="31">
        <v>0.25</v>
      </c>
      <c r="J128" s="30">
        <v>615</v>
      </c>
      <c r="K128" s="30">
        <v>55</v>
      </c>
      <c r="L128" s="30">
        <v>90</v>
      </c>
      <c r="M128" s="32">
        <v>23.5</v>
      </c>
      <c r="N128" s="30">
        <v>140</v>
      </c>
      <c r="O128" s="30">
        <v>120</v>
      </c>
      <c r="P128" s="32">
        <v>2.2999999999999998</v>
      </c>
      <c r="Q128" s="33">
        <v>1</v>
      </c>
      <c r="R128" s="65"/>
      <c r="S128" s="48" t="s">
        <v>824</v>
      </c>
      <c r="T128" s="98">
        <v>1326.05</v>
      </c>
      <c r="U128" s="48" t="s">
        <v>824</v>
      </c>
      <c r="V128" s="48" t="s">
        <v>829</v>
      </c>
      <c r="W128" s="48" t="b">
        <f t="shared" si="25"/>
        <v>0</v>
      </c>
      <c r="X128" s="48" t="b">
        <f t="shared" si="26"/>
        <v>1</v>
      </c>
      <c r="Y128" s="48" t="b">
        <f t="shared" si="27"/>
        <v>0</v>
      </c>
      <c r="Z128" s="48" t="b">
        <f t="shared" si="28"/>
        <v>0</v>
      </c>
      <c r="AA128" s="58">
        <f t="shared" si="29"/>
        <v>15201</v>
      </c>
    </row>
    <row r="129" spans="1:28" x14ac:dyDescent="0.2">
      <c r="A129" s="28" t="s">
        <v>515</v>
      </c>
      <c r="B129" s="29" t="s">
        <v>728</v>
      </c>
      <c r="C129" s="28" t="s">
        <v>721</v>
      </c>
      <c r="D129" s="28" t="s">
        <v>723</v>
      </c>
      <c r="E129" s="30">
        <v>140</v>
      </c>
      <c r="F129" s="30">
        <v>140</v>
      </c>
      <c r="G129" s="30">
        <v>80</v>
      </c>
      <c r="H129" s="30">
        <v>6</v>
      </c>
      <c r="I129" s="31">
        <v>0.25</v>
      </c>
      <c r="J129" s="30">
        <v>140</v>
      </c>
      <c r="K129" s="30">
        <v>55</v>
      </c>
      <c r="L129" s="30">
        <v>90</v>
      </c>
      <c r="M129" s="32">
        <v>5.5</v>
      </c>
      <c r="N129" s="30">
        <v>140</v>
      </c>
      <c r="O129" s="30">
        <v>120</v>
      </c>
      <c r="P129" s="32">
        <v>0.5</v>
      </c>
      <c r="Q129" s="33">
        <v>1</v>
      </c>
      <c r="R129" s="65"/>
      <c r="S129" s="69" t="s">
        <v>824</v>
      </c>
      <c r="T129" s="102"/>
      <c r="U129" s="69" t="s">
        <v>824</v>
      </c>
      <c r="V129" s="69" t="s">
        <v>835</v>
      </c>
      <c r="W129" s="69"/>
      <c r="X129" s="69"/>
      <c r="Y129" s="69"/>
      <c r="Z129" s="69"/>
      <c r="AA129" s="72"/>
      <c r="AB129" s="64" t="s">
        <v>841</v>
      </c>
    </row>
    <row r="130" spans="1:28" x14ac:dyDescent="0.2">
      <c r="A130" s="36" t="s">
        <v>223</v>
      </c>
      <c r="B130" s="29" t="s">
        <v>728</v>
      </c>
      <c r="C130" s="28" t="s">
        <v>721</v>
      </c>
      <c r="D130" s="28" t="s">
        <v>723</v>
      </c>
      <c r="E130" s="30">
        <v>140</v>
      </c>
      <c r="F130" s="30">
        <v>140</v>
      </c>
      <c r="G130" s="30">
        <v>80</v>
      </c>
      <c r="H130" s="30">
        <v>6</v>
      </c>
      <c r="I130" s="31">
        <v>0.25</v>
      </c>
      <c r="J130" s="30">
        <v>140</v>
      </c>
      <c r="K130" s="30">
        <v>55</v>
      </c>
      <c r="L130" s="30">
        <v>90</v>
      </c>
      <c r="M130" s="32">
        <v>5.5</v>
      </c>
      <c r="N130" s="30">
        <v>140</v>
      </c>
      <c r="O130" s="30">
        <v>120</v>
      </c>
      <c r="P130" s="32">
        <v>0.5</v>
      </c>
      <c r="Q130" s="33">
        <v>1</v>
      </c>
      <c r="R130" s="65"/>
      <c r="S130" s="68" t="s">
        <v>824</v>
      </c>
      <c r="T130" s="99" t="s">
        <v>895</v>
      </c>
      <c r="U130" s="68" t="s">
        <v>824</v>
      </c>
      <c r="V130" s="68" t="s">
        <v>829</v>
      </c>
      <c r="W130" s="68" t="b">
        <f>AND(V130 = "TS", $P130 &gt; 0)</f>
        <v>0</v>
      </c>
      <c r="X130" s="68" t="b">
        <f>AND(V130= "TS,H", $P130 &gt; 0)</f>
        <v>1</v>
      </c>
      <c r="Y130" s="68" t="b">
        <f t="shared" ref="Y130" si="30">AND(W130 = "TS", $P130 &gt; 0)</f>
        <v>0</v>
      </c>
      <c r="Z130" s="68" t="b">
        <f t="shared" ref="Z130" si="31">AND(W130= "TS,H", $P130 &gt; 0)</f>
        <v>0</v>
      </c>
      <c r="AA130" s="68">
        <f>IF(W130, FALSE, IF(X130, 15201, IF(Y130, FALSE, FALSE)))</f>
        <v>15201</v>
      </c>
      <c r="AB130" s="64" t="s">
        <v>842</v>
      </c>
    </row>
    <row r="131" spans="1:28" x14ac:dyDescent="0.2">
      <c r="A131" s="28" t="s">
        <v>516</v>
      </c>
      <c r="B131" s="29" t="s">
        <v>728</v>
      </c>
      <c r="C131" s="28" t="s">
        <v>721</v>
      </c>
      <c r="D131" s="28" t="s">
        <v>723</v>
      </c>
      <c r="E131" s="30">
        <v>100</v>
      </c>
      <c r="F131" s="30">
        <v>100</v>
      </c>
      <c r="G131" s="30">
        <v>80</v>
      </c>
      <c r="H131" s="30">
        <v>6</v>
      </c>
      <c r="I131" s="31">
        <v>0.25</v>
      </c>
      <c r="J131" s="30">
        <v>100</v>
      </c>
      <c r="K131" s="30">
        <v>55</v>
      </c>
      <c r="L131" s="30">
        <v>90</v>
      </c>
      <c r="M131" s="30">
        <v>4</v>
      </c>
      <c r="N131" s="30">
        <v>140</v>
      </c>
      <c r="O131" s="30">
        <v>120</v>
      </c>
      <c r="P131" s="32">
        <v>0.4</v>
      </c>
      <c r="Q131" s="33">
        <v>1</v>
      </c>
      <c r="R131" s="65"/>
      <c r="S131" s="48" t="s">
        <v>824</v>
      </c>
      <c r="T131" s="98">
        <v>1328.01</v>
      </c>
      <c r="U131" s="48" t="s">
        <v>828</v>
      </c>
      <c r="V131" s="48" t="s">
        <v>829</v>
      </c>
      <c r="W131" s="48" t="b">
        <f>AND(V131 = "TS", $P131 &gt; 0)</f>
        <v>0</v>
      </c>
      <c r="X131" s="48" t="b">
        <f>AND(V131= "TS,H", $P131 &gt; 0)</f>
        <v>1</v>
      </c>
      <c r="Y131" s="48" t="b">
        <f t="shared" ref="Y131:Y133" si="32">AND(W131 = "TS", $P131 &gt; 0)</f>
        <v>0</v>
      </c>
      <c r="Z131" s="48" t="b">
        <f t="shared" ref="Z131:Z133" si="33">AND(W131= "TS,H", $P131 &gt; 0)</f>
        <v>0</v>
      </c>
      <c r="AA131" s="58">
        <f t="shared" ref="AA131:AA133" si="34">IF(W131, FALSE, IF(X131, 15201, IF(Y131, FALSE, FALSE)))</f>
        <v>15201</v>
      </c>
    </row>
    <row r="132" spans="1:28" x14ac:dyDescent="0.2">
      <c r="A132" s="28" t="s">
        <v>517</v>
      </c>
      <c r="B132" s="29" t="s">
        <v>728</v>
      </c>
      <c r="C132" s="28" t="s">
        <v>721</v>
      </c>
      <c r="D132" s="28" t="s">
        <v>723</v>
      </c>
      <c r="E132" s="30">
        <v>665</v>
      </c>
      <c r="F132" s="30">
        <v>665</v>
      </c>
      <c r="G132" s="30">
        <v>140</v>
      </c>
      <c r="H132" s="30">
        <v>8</v>
      </c>
      <c r="I132" s="31">
        <v>0.25</v>
      </c>
      <c r="J132" s="30">
        <v>665</v>
      </c>
      <c r="K132" s="30">
        <v>55</v>
      </c>
      <c r="L132" s="30">
        <v>90</v>
      </c>
      <c r="M132" s="32">
        <v>25.5</v>
      </c>
      <c r="N132" s="30">
        <v>140</v>
      </c>
      <c r="O132" s="30">
        <v>120</v>
      </c>
      <c r="P132" s="32">
        <v>2.5</v>
      </c>
      <c r="Q132" s="33">
        <v>1</v>
      </c>
      <c r="R132" s="65"/>
      <c r="S132" s="48" t="s">
        <v>824</v>
      </c>
      <c r="T132" s="98">
        <v>1300.03</v>
      </c>
      <c r="U132" s="48" t="s">
        <v>828</v>
      </c>
      <c r="V132" s="48" t="s">
        <v>829</v>
      </c>
      <c r="W132" s="48" t="b">
        <f>AND(V132 = "TS", $P132 &gt; 0)</f>
        <v>0</v>
      </c>
      <c r="X132" s="48" t="b">
        <f>AND(V132= "TS,H", $P132 &gt; 0)</f>
        <v>1</v>
      </c>
      <c r="Y132" s="48" t="b">
        <f t="shared" si="32"/>
        <v>0</v>
      </c>
      <c r="Z132" s="48" t="b">
        <f t="shared" si="33"/>
        <v>0</v>
      </c>
      <c r="AA132" s="58">
        <f t="shared" si="34"/>
        <v>15201</v>
      </c>
    </row>
    <row r="133" spans="1:28" x14ac:dyDescent="0.2">
      <c r="A133" s="28" t="s">
        <v>518</v>
      </c>
      <c r="B133" s="29" t="s">
        <v>728</v>
      </c>
      <c r="C133" s="28" t="s">
        <v>721</v>
      </c>
      <c r="D133" s="28" t="s">
        <v>722</v>
      </c>
      <c r="E133" s="30">
        <v>100</v>
      </c>
      <c r="F133" s="30">
        <v>100</v>
      </c>
      <c r="G133" s="34">
        <v>80</v>
      </c>
      <c r="H133" s="30">
        <v>6</v>
      </c>
      <c r="I133" s="31">
        <v>0.25</v>
      </c>
      <c r="J133" s="30">
        <v>100</v>
      </c>
      <c r="K133" s="34">
        <v>55</v>
      </c>
      <c r="L133" s="30">
        <v>90</v>
      </c>
      <c r="M133" s="30">
        <v>4</v>
      </c>
      <c r="N133" s="34">
        <v>140</v>
      </c>
      <c r="O133" s="30">
        <v>120</v>
      </c>
      <c r="P133" s="32">
        <v>0.4</v>
      </c>
      <c r="Q133" s="29">
        <v>1</v>
      </c>
      <c r="R133" s="65"/>
      <c r="S133" s="48" t="s">
        <v>824</v>
      </c>
      <c r="T133" s="98">
        <v>1325.02</v>
      </c>
      <c r="U133" s="48" t="s">
        <v>824</v>
      </c>
      <c r="V133" s="48" t="s">
        <v>829</v>
      </c>
      <c r="W133" s="48" t="b">
        <f>AND(V133 = "TS", $P133 &gt; 0)</f>
        <v>0</v>
      </c>
      <c r="X133" s="48" t="b">
        <f>AND(V133= "TS,H", $P133 &gt; 0)</f>
        <v>1</v>
      </c>
      <c r="Y133" s="48" t="b">
        <f t="shared" si="32"/>
        <v>0</v>
      </c>
      <c r="Z133" s="48" t="b">
        <f t="shared" si="33"/>
        <v>0</v>
      </c>
      <c r="AA133" s="58">
        <f t="shared" si="34"/>
        <v>15201</v>
      </c>
    </row>
    <row r="134" spans="1:28" x14ac:dyDescent="0.2">
      <c r="A134" s="35" t="s">
        <v>539</v>
      </c>
      <c r="B134" s="29" t="s">
        <v>728</v>
      </c>
      <c r="C134" s="28" t="s">
        <v>721</v>
      </c>
      <c r="D134" s="28" t="s">
        <v>722</v>
      </c>
      <c r="E134" s="30">
        <v>950</v>
      </c>
      <c r="F134" s="30">
        <v>950</v>
      </c>
      <c r="G134" s="30">
        <v>750</v>
      </c>
      <c r="H134" s="30">
        <v>10</v>
      </c>
      <c r="I134" s="32">
        <v>0.1</v>
      </c>
      <c r="J134" s="34"/>
      <c r="K134" s="34"/>
      <c r="L134" s="34"/>
      <c r="M134" s="34"/>
      <c r="N134" s="34"/>
      <c r="O134" s="34"/>
      <c r="P134" s="34"/>
      <c r="Q134" s="29"/>
      <c r="R134" s="67" t="s">
        <v>726</v>
      </c>
      <c r="S134" s="51"/>
      <c r="T134" s="100">
        <v>1300.06</v>
      </c>
      <c r="U134" s="51"/>
      <c r="V134" s="51"/>
      <c r="W134" s="51"/>
      <c r="X134" s="51"/>
      <c r="Y134" s="51"/>
      <c r="Z134" s="51"/>
      <c r="AA134" s="71">
        <v>15801</v>
      </c>
    </row>
    <row r="135" spans="1:28" ht="13.5" thickBot="1" x14ac:dyDescent="0.25">
      <c r="A135" s="35" t="s">
        <v>540</v>
      </c>
      <c r="B135" s="29" t="s">
        <v>728</v>
      </c>
      <c r="C135" s="28" t="s">
        <v>721</v>
      </c>
      <c r="D135" s="28" t="s">
        <v>723</v>
      </c>
      <c r="E135" s="30">
        <v>290</v>
      </c>
      <c r="F135" s="30">
        <v>290</v>
      </c>
      <c r="G135" s="30">
        <v>180</v>
      </c>
      <c r="H135" s="30">
        <v>6</v>
      </c>
      <c r="I135" s="32">
        <v>0.1</v>
      </c>
      <c r="J135" s="34"/>
      <c r="K135" s="34"/>
      <c r="L135" s="34"/>
      <c r="M135" s="34"/>
      <c r="N135" s="34"/>
      <c r="O135" s="34"/>
      <c r="P135" s="34"/>
      <c r="Q135" s="29"/>
      <c r="R135" s="67" t="s">
        <v>726</v>
      </c>
      <c r="S135" s="73"/>
      <c r="T135" s="103">
        <v>1300.03</v>
      </c>
      <c r="U135" s="73"/>
      <c r="V135" s="73"/>
      <c r="W135" s="73"/>
      <c r="X135" s="73"/>
      <c r="Y135" s="73"/>
      <c r="Z135" s="73"/>
      <c r="AA135" s="74">
        <v>15801</v>
      </c>
    </row>
    <row r="136" spans="1:28" x14ac:dyDescent="0.2">
      <c r="Y136" s="43"/>
      <c r="Z136" s="43"/>
      <c r="AA136" s="43"/>
      <c r="AB136" s="43"/>
    </row>
    <row r="138" spans="1:28" ht="15.75" x14ac:dyDescent="0.2">
      <c r="A138" s="11" t="s">
        <v>729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3"/>
      <c r="T138" s="97"/>
    </row>
    <row r="139" spans="1:28" ht="12.75" customHeight="1" thickBot="1" x14ac:dyDescent="0.25">
      <c r="A139" s="22" t="s">
        <v>700</v>
      </c>
      <c r="B139" s="22" t="s">
        <v>701</v>
      </c>
      <c r="C139" s="23" t="s">
        <v>702</v>
      </c>
      <c r="D139" s="23" t="s">
        <v>703</v>
      </c>
      <c r="E139" s="11" t="s">
        <v>704</v>
      </c>
      <c r="F139" s="12"/>
      <c r="G139" s="13"/>
      <c r="H139" s="37" t="s">
        <v>706</v>
      </c>
      <c r="I139" s="37" t="s">
        <v>730</v>
      </c>
      <c r="J139" s="11" t="s">
        <v>708</v>
      </c>
      <c r="K139" s="12"/>
      <c r="L139" s="12"/>
      <c r="M139" s="12"/>
      <c r="N139" s="12"/>
      <c r="O139" s="12"/>
      <c r="P139" s="12"/>
      <c r="Q139" s="13"/>
      <c r="R139" s="22" t="s">
        <v>709</v>
      </c>
    </row>
    <row r="140" spans="1:28" ht="22.5" x14ac:dyDescent="0.2">
      <c r="A140" s="25"/>
      <c r="B140" s="25"/>
      <c r="C140" s="26"/>
      <c r="D140" s="26"/>
      <c r="E140" s="20" t="s">
        <v>710</v>
      </c>
      <c r="F140" s="20" t="s">
        <v>711</v>
      </c>
      <c r="G140" s="29" t="s">
        <v>705</v>
      </c>
      <c r="H140" s="38"/>
      <c r="I140" s="38"/>
      <c r="J140" s="39" t="s">
        <v>731</v>
      </c>
      <c r="K140" s="20" t="s">
        <v>713</v>
      </c>
      <c r="L140" s="20" t="s">
        <v>714</v>
      </c>
      <c r="M140" s="19" t="s">
        <v>732</v>
      </c>
      <c r="N140" s="20" t="s">
        <v>716</v>
      </c>
      <c r="O140" s="20" t="s">
        <v>717</v>
      </c>
      <c r="P140" s="19" t="s">
        <v>733</v>
      </c>
      <c r="Q140" s="20" t="s">
        <v>719</v>
      </c>
      <c r="R140" s="45"/>
      <c r="S140" s="52" t="s">
        <v>817</v>
      </c>
      <c r="T140" s="75" t="s">
        <v>816</v>
      </c>
      <c r="U140" s="53" t="s">
        <v>819</v>
      </c>
      <c r="V140" s="53" t="s">
        <v>818</v>
      </c>
      <c r="W140" s="54" t="s">
        <v>820</v>
      </c>
      <c r="X140" s="55" t="s">
        <v>821</v>
      </c>
      <c r="Y140" s="55" t="s">
        <v>822</v>
      </c>
      <c r="Z140" s="55" t="s">
        <v>823</v>
      </c>
      <c r="AA140" s="56" t="s">
        <v>6</v>
      </c>
    </row>
    <row r="141" spans="1:28" x14ac:dyDescent="0.2">
      <c r="A141" s="28" t="s">
        <v>734</v>
      </c>
      <c r="B141" s="29" t="s">
        <v>720</v>
      </c>
      <c r="C141" s="28" t="s">
        <v>721</v>
      </c>
      <c r="D141" s="28" t="s">
        <v>735</v>
      </c>
      <c r="E141" s="33">
        <v>750</v>
      </c>
      <c r="F141" s="33">
        <v>225</v>
      </c>
      <c r="G141" s="33">
        <v>220</v>
      </c>
      <c r="H141" s="40">
        <v>10</v>
      </c>
      <c r="I141" s="41">
        <v>0.25</v>
      </c>
      <c r="J141" s="33">
        <v>225</v>
      </c>
      <c r="K141" s="33">
        <v>55</v>
      </c>
      <c r="L141" s="33">
        <v>90</v>
      </c>
      <c r="M141" s="42">
        <v>8.5</v>
      </c>
      <c r="N141" s="33">
        <v>140</v>
      </c>
      <c r="O141" s="33">
        <v>120</v>
      </c>
      <c r="P141" s="42">
        <v>0.9</v>
      </c>
      <c r="Q141" s="33">
        <v>1</v>
      </c>
      <c r="R141" s="46"/>
      <c r="S141" s="57" t="s">
        <v>824</v>
      </c>
      <c r="T141" s="106" t="s">
        <v>930</v>
      </c>
      <c r="U141" s="47" t="s">
        <v>824</v>
      </c>
      <c r="V141" s="47" t="s">
        <v>825</v>
      </c>
      <c r="W141" s="48" t="b">
        <f t="shared" ref="W141:W180" si="35">AND($V141 = "TS", $P141 &gt; 0)</f>
        <v>1</v>
      </c>
      <c r="X141" s="48" t="b">
        <f t="shared" ref="X141:X164" si="36">AND($V141 = "TS,CO2", $P141 &gt; 0)</f>
        <v>0</v>
      </c>
      <c r="Y141" s="48" t="b">
        <f t="shared" ref="Y141:Y180" si="37">AND($V141 = "TS", $P141 = 0)</f>
        <v>0</v>
      </c>
      <c r="Z141" s="48" t="b">
        <f t="shared" ref="Z141:Z180" si="38">AND($V141 = "TS,CO2", $P141 = 0)</f>
        <v>0</v>
      </c>
      <c r="AA141" s="58">
        <f>IF(W141, 15001, IF(X141, 15002, IF(Y141, 15003, FALSE)))</f>
        <v>15001</v>
      </c>
    </row>
    <row r="142" spans="1:28" x14ac:dyDescent="0.2">
      <c r="A142" s="28" t="s">
        <v>736</v>
      </c>
      <c r="B142" s="29" t="s">
        <v>720</v>
      </c>
      <c r="C142" s="28" t="s">
        <v>721</v>
      </c>
      <c r="D142" s="28" t="s">
        <v>735</v>
      </c>
      <c r="E142" s="33">
        <v>320</v>
      </c>
      <c r="F142" s="33">
        <v>95</v>
      </c>
      <c r="G142" s="33">
        <v>80</v>
      </c>
      <c r="H142" s="40">
        <v>6</v>
      </c>
      <c r="I142" s="41">
        <v>0.25</v>
      </c>
      <c r="J142" s="33">
        <v>95</v>
      </c>
      <c r="K142" s="33">
        <v>55</v>
      </c>
      <c r="L142" s="33">
        <v>90</v>
      </c>
      <c r="M142" s="42">
        <v>3.5</v>
      </c>
      <c r="N142" s="33">
        <v>140</v>
      </c>
      <c r="O142" s="33">
        <v>120</v>
      </c>
      <c r="P142" s="42">
        <v>0.4</v>
      </c>
      <c r="Q142" s="33">
        <v>1</v>
      </c>
      <c r="R142" s="46"/>
      <c r="S142" s="57" t="s">
        <v>824</v>
      </c>
      <c r="T142" s="106">
        <v>1004.05</v>
      </c>
      <c r="U142" s="47" t="s">
        <v>824</v>
      </c>
      <c r="V142" s="47" t="s">
        <v>825</v>
      </c>
      <c r="W142" s="48" t="b">
        <f t="shared" si="35"/>
        <v>1</v>
      </c>
      <c r="X142" s="48" t="b">
        <f t="shared" si="36"/>
        <v>0</v>
      </c>
      <c r="Y142" s="48" t="b">
        <f t="shared" si="37"/>
        <v>0</v>
      </c>
      <c r="Z142" s="48" t="b">
        <f t="shared" si="38"/>
        <v>0</v>
      </c>
      <c r="AA142" s="58">
        <f t="shared" ref="AA142:AA180" si="39">IF(W142, 15001, IF(X142, 15002, IF(Y142, 15003, FALSE)))</f>
        <v>15001</v>
      </c>
    </row>
    <row r="143" spans="1:28" x14ac:dyDescent="0.2">
      <c r="A143" s="28" t="s">
        <v>737</v>
      </c>
      <c r="B143" s="29" t="s">
        <v>720</v>
      </c>
      <c r="C143" s="28" t="s">
        <v>721</v>
      </c>
      <c r="D143" s="28" t="s">
        <v>735</v>
      </c>
      <c r="E143" s="33">
        <v>170</v>
      </c>
      <c r="F143" s="33">
        <v>80</v>
      </c>
      <c r="G143" s="33">
        <v>80</v>
      </c>
      <c r="H143" s="40">
        <v>6</v>
      </c>
      <c r="I143" s="41">
        <v>0.25</v>
      </c>
      <c r="J143" s="33">
        <v>80</v>
      </c>
      <c r="K143" s="33">
        <v>55</v>
      </c>
      <c r="L143" s="33">
        <v>90</v>
      </c>
      <c r="M143" s="33">
        <v>3</v>
      </c>
      <c r="N143" s="33">
        <v>140</v>
      </c>
      <c r="O143" s="33">
        <v>120</v>
      </c>
      <c r="P143" s="42">
        <v>0.3</v>
      </c>
      <c r="Q143" s="33">
        <v>1</v>
      </c>
      <c r="R143" s="46"/>
      <c r="S143" s="57" t="s">
        <v>824</v>
      </c>
      <c r="T143" s="106">
        <v>1004.06</v>
      </c>
      <c r="U143" s="47" t="s">
        <v>824</v>
      </c>
      <c r="V143" s="47" t="s">
        <v>826</v>
      </c>
      <c r="W143" s="48" t="b">
        <f t="shared" si="35"/>
        <v>0</v>
      </c>
      <c r="X143" s="48" t="b">
        <f t="shared" si="36"/>
        <v>1</v>
      </c>
      <c r="Y143" s="48" t="b">
        <f t="shared" si="37"/>
        <v>0</v>
      </c>
      <c r="Z143" s="48" t="b">
        <f t="shared" si="38"/>
        <v>0</v>
      </c>
      <c r="AA143" s="58">
        <f t="shared" si="39"/>
        <v>15002</v>
      </c>
    </row>
    <row r="144" spans="1:28" x14ac:dyDescent="0.2">
      <c r="A144" s="28" t="s">
        <v>738</v>
      </c>
      <c r="B144" s="29" t="s">
        <v>720</v>
      </c>
      <c r="C144" s="28" t="s">
        <v>721</v>
      </c>
      <c r="D144" s="28" t="s">
        <v>735</v>
      </c>
      <c r="E144" s="33">
        <v>210</v>
      </c>
      <c r="F144" s="29">
        <v>80</v>
      </c>
      <c r="G144" s="33">
        <v>80</v>
      </c>
      <c r="H144" s="40">
        <v>6</v>
      </c>
      <c r="I144" s="41">
        <v>0.25</v>
      </c>
      <c r="J144" s="33">
        <v>80</v>
      </c>
      <c r="K144" s="33">
        <v>55</v>
      </c>
      <c r="L144" s="33">
        <v>90</v>
      </c>
      <c r="M144" s="33">
        <v>3</v>
      </c>
      <c r="N144" s="33">
        <v>140</v>
      </c>
      <c r="O144" s="33">
        <v>120</v>
      </c>
      <c r="P144" s="42">
        <v>0.3</v>
      </c>
      <c r="Q144" s="33">
        <v>1</v>
      </c>
      <c r="R144" s="46"/>
      <c r="S144" s="57" t="s">
        <v>824</v>
      </c>
      <c r="T144" s="106">
        <v>1004.07</v>
      </c>
      <c r="U144" s="47" t="s">
        <v>824</v>
      </c>
      <c r="V144" s="47" t="s">
        <v>825</v>
      </c>
      <c r="W144" s="48" t="b">
        <f t="shared" si="35"/>
        <v>1</v>
      </c>
      <c r="X144" s="48" t="b">
        <f t="shared" si="36"/>
        <v>0</v>
      </c>
      <c r="Y144" s="48" t="b">
        <f t="shared" si="37"/>
        <v>0</v>
      </c>
      <c r="Z144" s="48" t="b">
        <f t="shared" si="38"/>
        <v>0</v>
      </c>
      <c r="AA144" s="58">
        <f t="shared" si="39"/>
        <v>15001</v>
      </c>
    </row>
    <row r="145" spans="1:27" x14ac:dyDescent="0.2">
      <c r="A145" s="28" t="s">
        <v>739</v>
      </c>
      <c r="B145" s="29" t="s">
        <v>720</v>
      </c>
      <c r="C145" s="28" t="s">
        <v>721</v>
      </c>
      <c r="D145" s="28" t="s">
        <v>735</v>
      </c>
      <c r="E145" s="33">
        <v>690</v>
      </c>
      <c r="F145" s="33">
        <v>315</v>
      </c>
      <c r="G145" s="33">
        <v>140</v>
      </c>
      <c r="H145" s="40">
        <v>8</v>
      </c>
      <c r="I145" s="41">
        <v>0.25</v>
      </c>
      <c r="J145" s="33">
        <v>315</v>
      </c>
      <c r="K145" s="33">
        <v>55</v>
      </c>
      <c r="L145" s="33">
        <v>90</v>
      </c>
      <c r="M145" s="33">
        <v>12</v>
      </c>
      <c r="N145" s="33">
        <v>140</v>
      </c>
      <c r="O145" s="33">
        <v>120</v>
      </c>
      <c r="P145" s="42">
        <v>1.2</v>
      </c>
      <c r="Q145" s="33">
        <v>1</v>
      </c>
      <c r="R145" s="46"/>
      <c r="S145" s="57" t="s">
        <v>824</v>
      </c>
      <c r="T145" s="106" t="s">
        <v>864</v>
      </c>
      <c r="U145" s="47" t="s">
        <v>824</v>
      </c>
      <c r="V145" s="47" t="s">
        <v>825</v>
      </c>
      <c r="W145" s="48" t="b">
        <f t="shared" si="35"/>
        <v>1</v>
      </c>
      <c r="X145" s="48" t="b">
        <f t="shared" si="36"/>
        <v>0</v>
      </c>
      <c r="Y145" s="48" t="b">
        <f t="shared" si="37"/>
        <v>0</v>
      </c>
      <c r="Z145" s="48" t="b">
        <f t="shared" si="38"/>
        <v>0</v>
      </c>
      <c r="AA145" s="58">
        <f t="shared" si="39"/>
        <v>15001</v>
      </c>
    </row>
    <row r="146" spans="1:27" x14ac:dyDescent="0.2">
      <c r="A146" s="28" t="s">
        <v>740</v>
      </c>
      <c r="B146" s="29" t="s">
        <v>720</v>
      </c>
      <c r="C146" s="28" t="s">
        <v>721</v>
      </c>
      <c r="D146" s="28" t="s">
        <v>735</v>
      </c>
      <c r="E146" s="33">
        <v>1580</v>
      </c>
      <c r="F146" s="33">
        <v>620</v>
      </c>
      <c r="G146" s="33">
        <v>315</v>
      </c>
      <c r="H146" s="40">
        <v>12</v>
      </c>
      <c r="I146" s="41">
        <v>0.25</v>
      </c>
      <c r="J146" s="33">
        <v>620</v>
      </c>
      <c r="K146" s="33">
        <v>55</v>
      </c>
      <c r="L146" s="33">
        <v>90</v>
      </c>
      <c r="M146" s="42">
        <v>23.5</v>
      </c>
      <c r="N146" s="33">
        <v>140</v>
      </c>
      <c r="O146" s="33">
        <v>120</v>
      </c>
      <c r="P146" s="42">
        <v>2.4</v>
      </c>
      <c r="Q146" s="33">
        <v>1</v>
      </c>
      <c r="R146" s="46"/>
      <c r="S146" s="57" t="s">
        <v>824</v>
      </c>
      <c r="T146" s="106">
        <v>1004.08</v>
      </c>
      <c r="U146" s="47" t="s">
        <v>824</v>
      </c>
      <c r="V146" s="47" t="s">
        <v>825</v>
      </c>
      <c r="W146" s="48" t="b">
        <f t="shared" si="35"/>
        <v>1</v>
      </c>
      <c r="X146" s="48" t="b">
        <f t="shared" si="36"/>
        <v>0</v>
      </c>
      <c r="Y146" s="48" t="b">
        <f t="shared" si="37"/>
        <v>0</v>
      </c>
      <c r="Z146" s="48" t="b">
        <f t="shared" si="38"/>
        <v>0</v>
      </c>
      <c r="AA146" s="58">
        <f t="shared" si="39"/>
        <v>15001</v>
      </c>
    </row>
    <row r="147" spans="1:27" x14ac:dyDescent="0.2">
      <c r="A147" s="28" t="s">
        <v>741</v>
      </c>
      <c r="B147" s="29" t="s">
        <v>720</v>
      </c>
      <c r="C147" s="28" t="s">
        <v>721</v>
      </c>
      <c r="D147" s="28" t="s">
        <v>742</v>
      </c>
      <c r="E147" s="33">
        <v>315</v>
      </c>
      <c r="F147" s="33">
        <v>120</v>
      </c>
      <c r="G147" s="33">
        <v>80</v>
      </c>
      <c r="H147" s="40">
        <v>6</v>
      </c>
      <c r="I147" s="41">
        <v>0.25</v>
      </c>
      <c r="J147" s="33">
        <v>120</v>
      </c>
      <c r="K147" s="33">
        <v>55</v>
      </c>
      <c r="L147" s="33">
        <v>90</v>
      </c>
      <c r="M147" s="42">
        <v>4.5</v>
      </c>
      <c r="N147" s="33">
        <v>140</v>
      </c>
      <c r="O147" s="33">
        <v>120</v>
      </c>
      <c r="P147" s="42">
        <v>0.5</v>
      </c>
      <c r="Q147" s="33">
        <v>1</v>
      </c>
      <c r="R147" s="46"/>
      <c r="S147" s="57" t="s">
        <v>824</v>
      </c>
      <c r="T147" s="106">
        <v>1004.01</v>
      </c>
      <c r="U147" s="47" t="s">
        <v>824</v>
      </c>
      <c r="V147" s="47" t="s">
        <v>825</v>
      </c>
      <c r="W147" s="48" t="b">
        <f t="shared" si="35"/>
        <v>1</v>
      </c>
      <c r="X147" s="48" t="b">
        <f t="shared" si="36"/>
        <v>0</v>
      </c>
      <c r="Y147" s="48" t="b">
        <f t="shared" si="37"/>
        <v>0</v>
      </c>
      <c r="Z147" s="48" t="b">
        <f t="shared" si="38"/>
        <v>0</v>
      </c>
      <c r="AA147" s="58">
        <f t="shared" si="39"/>
        <v>15001</v>
      </c>
    </row>
    <row r="148" spans="1:27" x14ac:dyDescent="0.2">
      <c r="A148" s="28" t="s">
        <v>743</v>
      </c>
      <c r="B148" s="29" t="s">
        <v>720</v>
      </c>
      <c r="C148" s="28" t="s">
        <v>721</v>
      </c>
      <c r="D148" s="28" t="s">
        <v>742</v>
      </c>
      <c r="E148" s="33">
        <v>660</v>
      </c>
      <c r="F148" s="33">
        <v>140</v>
      </c>
      <c r="G148" s="33">
        <v>140</v>
      </c>
      <c r="H148" s="40">
        <v>8</v>
      </c>
      <c r="I148" s="42">
        <v>0.1</v>
      </c>
      <c r="J148" s="29"/>
      <c r="K148" s="29"/>
      <c r="L148" s="29"/>
      <c r="M148" s="29"/>
      <c r="N148" s="29"/>
      <c r="O148" s="29"/>
      <c r="P148" s="29"/>
      <c r="Q148" s="29"/>
      <c r="R148" s="46" t="s">
        <v>726</v>
      </c>
      <c r="S148" s="57" t="s">
        <v>824</v>
      </c>
      <c r="T148" s="106">
        <v>1002.02</v>
      </c>
      <c r="U148" s="47" t="s">
        <v>824</v>
      </c>
      <c r="V148" s="47" t="s">
        <v>825</v>
      </c>
      <c r="W148" s="48" t="b">
        <f t="shared" si="35"/>
        <v>0</v>
      </c>
      <c r="X148" s="48" t="b">
        <f t="shared" si="36"/>
        <v>0</v>
      </c>
      <c r="Y148" s="48" t="b">
        <f t="shared" si="37"/>
        <v>1</v>
      </c>
      <c r="Z148" s="48" t="b">
        <f t="shared" si="38"/>
        <v>0</v>
      </c>
      <c r="AA148" s="58">
        <f t="shared" si="39"/>
        <v>15003</v>
      </c>
    </row>
    <row r="149" spans="1:27" x14ac:dyDescent="0.2">
      <c r="A149" s="28" t="s">
        <v>744</v>
      </c>
      <c r="B149" s="29" t="s">
        <v>720</v>
      </c>
      <c r="C149" s="28" t="s">
        <v>721</v>
      </c>
      <c r="D149" s="28" t="s">
        <v>742</v>
      </c>
      <c r="E149" s="33">
        <v>750</v>
      </c>
      <c r="F149" s="33">
        <v>225</v>
      </c>
      <c r="G149" s="33">
        <v>220</v>
      </c>
      <c r="H149" s="40">
        <v>10</v>
      </c>
      <c r="I149" s="41">
        <v>0.25</v>
      </c>
      <c r="J149" s="33">
        <v>225</v>
      </c>
      <c r="K149" s="33">
        <v>55</v>
      </c>
      <c r="L149" s="33">
        <v>90</v>
      </c>
      <c r="M149" s="42">
        <v>8.5</v>
      </c>
      <c r="N149" s="33">
        <v>140</v>
      </c>
      <c r="O149" s="33">
        <v>120</v>
      </c>
      <c r="P149" s="42">
        <v>0.9</v>
      </c>
      <c r="Q149" s="33">
        <v>1</v>
      </c>
      <c r="R149" s="46"/>
      <c r="S149" s="57" t="s">
        <v>824</v>
      </c>
      <c r="T149" s="106">
        <v>1000.02</v>
      </c>
      <c r="U149" s="47" t="s">
        <v>827</v>
      </c>
      <c r="V149" s="47" t="s">
        <v>825</v>
      </c>
      <c r="W149" s="48" t="b">
        <f t="shared" si="35"/>
        <v>1</v>
      </c>
      <c r="X149" s="48" t="b">
        <f t="shared" si="36"/>
        <v>0</v>
      </c>
      <c r="Y149" s="48" t="b">
        <f t="shared" si="37"/>
        <v>0</v>
      </c>
      <c r="Z149" s="48" t="b">
        <f t="shared" si="38"/>
        <v>0</v>
      </c>
      <c r="AA149" s="58">
        <f t="shared" si="39"/>
        <v>15001</v>
      </c>
    </row>
    <row r="150" spans="1:27" x14ac:dyDescent="0.2">
      <c r="A150" s="28" t="s">
        <v>745</v>
      </c>
      <c r="B150" s="29" t="s">
        <v>720</v>
      </c>
      <c r="C150" s="28" t="s">
        <v>721</v>
      </c>
      <c r="D150" s="28" t="s">
        <v>742</v>
      </c>
      <c r="E150" s="33">
        <v>365</v>
      </c>
      <c r="F150" s="33">
        <v>110</v>
      </c>
      <c r="G150" s="33">
        <v>80</v>
      </c>
      <c r="H150" s="40">
        <v>6</v>
      </c>
      <c r="I150" s="41">
        <v>0.25</v>
      </c>
      <c r="J150" s="33">
        <v>110</v>
      </c>
      <c r="K150" s="33">
        <v>55</v>
      </c>
      <c r="L150" s="33">
        <v>90</v>
      </c>
      <c r="M150" s="33">
        <v>4</v>
      </c>
      <c r="N150" s="33">
        <v>140</v>
      </c>
      <c r="O150" s="33">
        <v>120</v>
      </c>
      <c r="P150" s="42">
        <v>0.4</v>
      </c>
      <c r="Q150" s="33">
        <v>1</v>
      </c>
      <c r="R150" s="46"/>
      <c r="S150" s="57" t="s">
        <v>824</v>
      </c>
      <c r="T150" s="106">
        <v>1004.02</v>
      </c>
      <c r="U150" s="47" t="s">
        <v>824</v>
      </c>
      <c r="V150" s="47" t="s">
        <v>825</v>
      </c>
      <c r="W150" s="48" t="b">
        <f t="shared" si="35"/>
        <v>1</v>
      </c>
      <c r="X150" s="48" t="b">
        <f t="shared" si="36"/>
        <v>0</v>
      </c>
      <c r="Y150" s="48" t="b">
        <f t="shared" si="37"/>
        <v>0</v>
      </c>
      <c r="Z150" s="48" t="b">
        <f t="shared" si="38"/>
        <v>0</v>
      </c>
      <c r="AA150" s="58">
        <f t="shared" si="39"/>
        <v>15001</v>
      </c>
    </row>
    <row r="151" spans="1:27" x14ac:dyDescent="0.2">
      <c r="A151" s="28" t="s">
        <v>746</v>
      </c>
      <c r="B151" s="29" t="s">
        <v>720</v>
      </c>
      <c r="C151" s="28" t="s">
        <v>721</v>
      </c>
      <c r="D151" s="28" t="s">
        <v>742</v>
      </c>
      <c r="E151" s="33">
        <v>320</v>
      </c>
      <c r="F151" s="29">
        <v>95</v>
      </c>
      <c r="G151" s="33">
        <v>80</v>
      </c>
      <c r="H151" s="40">
        <v>6</v>
      </c>
      <c r="I151" s="41">
        <v>0.25</v>
      </c>
      <c r="J151" s="33">
        <v>95</v>
      </c>
      <c r="K151" s="33">
        <v>55</v>
      </c>
      <c r="L151" s="33">
        <v>90</v>
      </c>
      <c r="M151" s="42">
        <v>3.5</v>
      </c>
      <c r="N151" s="33">
        <v>140</v>
      </c>
      <c r="O151" s="33">
        <v>120</v>
      </c>
      <c r="P151" s="42">
        <v>0.4</v>
      </c>
      <c r="Q151" s="33">
        <v>1</v>
      </c>
      <c r="R151" s="46"/>
      <c r="S151" s="57" t="s">
        <v>824</v>
      </c>
      <c r="T151" s="106">
        <v>1004.12</v>
      </c>
      <c r="U151" s="47" t="s">
        <v>824</v>
      </c>
      <c r="V151" s="47" t="s">
        <v>826</v>
      </c>
      <c r="W151" s="48" t="b">
        <f t="shared" si="35"/>
        <v>0</v>
      </c>
      <c r="X151" s="48" t="b">
        <f t="shared" si="36"/>
        <v>1</v>
      </c>
      <c r="Y151" s="48" t="b">
        <f t="shared" si="37"/>
        <v>0</v>
      </c>
      <c r="Z151" s="48" t="b">
        <f t="shared" si="38"/>
        <v>0</v>
      </c>
      <c r="AA151" s="58">
        <f t="shared" si="39"/>
        <v>15002</v>
      </c>
    </row>
    <row r="152" spans="1:27" x14ac:dyDescent="0.2">
      <c r="A152" s="28" t="s">
        <v>747</v>
      </c>
      <c r="B152" s="29" t="s">
        <v>720</v>
      </c>
      <c r="C152" s="28" t="s">
        <v>721</v>
      </c>
      <c r="D152" s="28" t="s">
        <v>742</v>
      </c>
      <c r="E152" s="33">
        <v>1400</v>
      </c>
      <c r="F152" s="33">
        <v>655</v>
      </c>
      <c r="G152" s="33">
        <v>315</v>
      </c>
      <c r="H152" s="40">
        <v>12</v>
      </c>
      <c r="I152" s="41">
        <v>0.25</v>
      </c>
      <c r="J152" s="33">
        <v>655</v>
      </c>
      <c r="K152" s="33">
        <v>55</v>
      </c>
      <c r="L152" s="33">
        <v>90</v>
      </c>
      <c r="M152" s="33">
        <v>25</v>
      </c>
      <c r="N152" s="33">
        <v>140</v>
      </c>
      <c r="O152" s="33">
        <v>120</v>
      </c>
      <c r="P152" s="42">
        <v>2.5</v>
      </c>
      <c r="Q152" s="33">
        <v>1</v>
      </c>
      <c r="R152" s="46"/>
      <c r="S152" s="57" t="s">
        <v>824</v>
      </c>
      <c r="T152" s="106" t="s">
        <v>931</v>
      </c>
      <c r="U152" s="47" t="s">
        <v>824</v>
      </c>
      <c r="V152" s="47" t="s">
        <v>826</v>
      </c>
      <c r="W152" s="48" t="b">
        <f t="shared" si="35"/>
        <v>0</v>
      </c>
      <c r="X152" s="48" t="b">
        <f t="shared" si="36"/>
        <v>1</v>
      </c>
      <c r="Y152" s="48" t="b">
        <f t="shared" si="37"/>
        <v>0</v>
      </c>
      <c r="Z152" s="48" t="b">
        <f t="shared" si="38"/>
        <v>0</v>
      </c>
      <c r="AA152" s="58">
        <f t="shared" si="39"/>
        <v>15002</v>
      </c>
    </row>
    <row r="153" spans="1:27" x14ac:dyDescent="0.2">
      <c r="A153" s="28" t="s">
        <v>748</v>
      </c>
      <c r="B153" s="29" t="s">
        <v>720</v>
      </c>
      <c r="C153" s="28" t="s">
        <v>721</v>
      </c>
      <c r="D153" s="28" t="s">
        <v>742</v>
      </c>
      <c r="E153" s="33">
        <v>1400</v>
      </c>
      <c r="F153" s="33">
        <v>655</v>
      </c>
      <c r="G153" s="33">
        <v>315</v>
      </c>
      <c r="H153" s="40">
        <v>12</v>
      </c>
      <c r="I153" s="41">
        <v>0.25</v>
      </c>
      <c r="J153" s="33">
        <v>655</v>
      </c>
      <c r="K153" s="33">
        <v>55</v>
      </c>
      <c r="L153" s="33">
        <v>90</v>
      </c>
      <c r="M153" s="33">
        <v>25</v>
      </c>
      <c r="N153" s="33">
        <v>140</v>
      </c>
      <c r="O153" s="33">
        <v>120</v>
      </c>
      <c r="P153" s="42">
        <v>2.5</v>
      </c>
      <c r="Q153" s="33">
        <v>1</v>
      </c>
      <c r="R153" s="46"/>
      <c r="S153" s="57" t="s">
        <v>824</v>
      </c>
      <c r="T153" s="106">
        <v>1004.16</v>
      </c>
      <c r="U153" s="47" t="s">
        <v>824</v>
      </c>
      <c r="V153" s="47" t="s">
        <v>826</v>
      </c>
      <c r="W153" s="48" t="b">
        <f t="shared" si="35"/>
        <v>0</v>
      </c>
      <c r="X153" s="48" t="b">
        <f t="shared" si="36"/>
        <v>1</v>
      </c>
      <c r="Y153" s="48" t="b">
        <f t="shared" si="37"/>
        <v>0</v>
      </c>
      <c r="Z153" s="48" t="b">
        <f t="shared" si="38"/>
        <v>0</v>
      </c>
      <c r="AA153" s="58">
        <f t="shared" si="39"/>
        <v>15002</v>
      </c>
    </row>
    <row r="154" spans="1:27" x14ac:dyDescent="0.2">
      <c r="A154" s="28" t="s">
        <v>749</v>
      </c>
      <c r="B154" s="29" t="s">
        <v>724</v>
      </c>
      <c r="C154" s="28" t="s">
        <v>721</v>
      </c>
      <c r="D154" s="28" t="s">
        <v>735</v>
      </c>
      <c r="E154" s="33">
        <v>425</v>
      </c>
      <c r="F154" s="29">
        <v>140</v>
      </c>
      <c r="G154" s="33">
        <v>140</v>
      </c>
      <c r="H154" s="40">
        <v>8</v>
      </c>
      <c r="I154" s="42">
        <v>0.1</v>
      </c>
      <c r="J154" s="29"/>
      <c r="K154" s="29"/>
      <c r="L154" s="29"/>
      <c r="M154" s="29"/>
      <c r="N154" s="29"/>
      <c r="O154" s="29"/>
      <c r="P154" s="29"/>
      <c r="Q154" s="29"/>
      <c r="R154" s="46" t="s">
        <v>726</v>
      </c>
      <c r="S154" s="57" t="s">
        <v>824</v>
      </c>
      <c r="T154" s="106" t="s">
        <v>932</v>
      </c>
      <c r="U154" s="47" t="s">
        <v>824</v>
      </c>
      <c r="V154" s="47" t="s">
        <v>825</v>
      </c>
      <c r="W154" s="48" t="b">
        <f t="shared" si="35"/>
        <v>0</v>
      </c>
      <c r="X154" s="48" t="b">
        <f t="shared" si="36"/>
        <v>0</v>
      </c>
      <c r="Y154" s="48" t="b">
        <f t="shared" si="37"/>
        <v>1</v>
      </c>
      <c r="Z154" s="48" t="b">
        <f t="shared" si="38"/>
        <v>0</v>
      </c>
      <c r="AA154" s="58">
        <f t="shared" si="39"/>
        <v>15003</v>
      </c>
    </row>
    <row r="155" spans="1:27" x14ac:dyDescent="0.2">
      <c r="A155" s="28" t="s">
        <v>750</v>
      </c>
      <c r="B155" s="29" t="s">
        <v>724</v>
      </c>
      <c r="C155" s="28" t="s">
        <v>721</v>
      </c>
      <c r="D155" s="28" t="s">
        <v>735</v>
      </c>
      <c r="E155" s="33">
        <v>2205</v>
      </c>
      <c r="F155" s="33">
        <v>735</v>
      </c>
      <c r="G155" s="33">
        <v>560</v>
      </c>
      <c r="H155" s="40">
        <v>16</v>
      </c>
      <c r="I155" s="41">
        <v>0.25</v>
      </c>
      <c r="J155" s="33">
        <v>735</v>
      </c>
      <c r="K155" s="33">
        <v>55</v>
      </c>
      <c r="L155" s="33">
        <v>90</v>
      </c>
      <c r="M155" s="33">
        <v>28</v>
      </c>
      <c r="N155" s="33">
        <v>140</v>
      </c>
      <c r="O155" s="33">
        <v>120</v>
      </c>
      <c r="P155" s="42">
        <v>2.8</v>
      </c>
      <c r="Q155" s="33">
        <v>1</v>
      </c>
      <c r="R155" s="46"/>
      <c r="S155" s="57" t="s">
        <v>824</v>
      </c>
      <c r="T155" s="106" t="s">
        <v>933</v>
      </c>
      <c r="U155" s="47" t="s">
        <v>824</v>
      </c>
      <c r="V155" s="47" t="s">
        <v>826</v>
      </c>
      <c r="W155" s="48" t="b">
        <f t="shared" si="35"/>
        <v>0</v>
      </c>
      <c r="X155" s="48" t="b">
        <f t="shared" si="36"/>
        <v>1</v>
      </c>
      <c r="Y155" s="48" t="b">
        <f t="shared" si="37"/>
        <v>0</v>
      </c>
      <c r="Z155" s="48" t="b">
        <f t="shared" si="38"/>
        <v>0</v>
      </c>
      <c r="AA155" s="58">
        <f t="shared" si="39"/>
        <v>15002</v>
      </c>
    </row>
    <row r="156" spans="1:27" x14ac:dyDescent="0.2">
      <c r="A156" s="28" t="s">
        <v>751</v>
      </c>
      <c r="B156" s="29" t="s">
        <v>724</v>
      </c>
      <c r="C156" s="28" t="s">
        <v>721</v>
      </c>
      <c r="D156" s="28" t="s">
        <v>735</v>
      </c>
      <c r="E156" s="33">
        <v>2205</v>
      </c>
      <c r="F156" s="33">
        <v>735</v>
      </c>
      <c r="G156" s="33">
        <v>560</v>
      </c>
      <c r="H156" s="40">
        <v>16</v>
      </c>
      <c r="I156" s="41">
        <v>0.25</v>
      </c>
      <c r="J156" s="33">
        <v>735</v>
      </c>
      <c r="K156" s="33">
        <v>55</v>
      </c>
      <c r="L156" s="33">
        <v>90</v>
      </c>
      <c r="M156" s="33">
        <v>28</v>
      </c>
      <c r="N156" s="33">
        <v>140</v>
      </c>
      <c r="O156" s="33">
        <v>120</v>
      </c>
      <c r="P156" s="42">
        <v>2.8</v>
      </c>
      <c r="Q156" s="33">
        <v>1</v>
      </c>
      <c r="R156" s="46"/>
      <c r="S156" s="57" t="s">
        <v>824</v>
      </c>
      <c r="T156" s="106" t="s">
        <v>933</v>
      </c>
      <c r="U156" s="47" t="s">
        <v>824</v>
      </c>
      <c r="V156" s="47" t="s">
        <v>826</v>
      </c>
      <c r="W156" s="48" t="b">
        <f t="shared" si="35"/>
        <v>0</v>
      </c>
      <c r="X156" s="48" t="b">
        <f t="shared" si="36"/>
        <v>1</v>
      </c>
      <c r="Y156" s="48" t="b">
        <f t="shared" si="37"/>
        <v>0</v>
      </c>
      <c r="Z156" s="48" t="b">
        <f t="shared" si="38"/>
        <v>0</v>
      </c>
      <c r="AA156" s="58">
        <f t="shared" si="39"/>
        <v>15002</v>
      </c>
    </row>
    <row r="157" spans="1:27" x14ac:dyDescent="0.2">
      <c r="A157" s="28" t="s">
        <v>752</v>
      </c>
      <c r="B157" s="29" t="s">
        <v>724</v>
      </c>
      <c r="C157" s="28" t="s">
        <v>721</v>
      </c>
      <c r="D157" s="28" t="s">
        <v>735</v>
      </c>
      <c r="E157" s="33">
        <v>2205</v>
      </c>
      <c r="F157" s="33">
        <v>735</v>
      </c>
      <c r="G157" s="33">
        <v>560</v>
      </c>
      <c r="H157" s="40">
        <v>16</v>
      </c>
      <c r="I157" s="41">
        <v>0.25</v>
      </c>
      <c r="J157" s="33">
        <v>735</v>
      </c>
      <c r="K157" s="33">
        <v>55</v>
      </c>
      <c r="L157" s="33">
        <v>90</v>
      </c>
      <c r="M157" s="33">
        <v>28</v>
      </c>
      <c r="N157" s="33">
        <v>140</v>
      </c>
      <c r="O157" s="33">
        <v>120</v>
      </c>
      <c r="P157" s="42">
        <v>2.8</v>
      </c>
      <c r="Q157" s="33">
        <v>1</v>
      </c>
      <c r="R157" s="46"/>
      <c r="S157" s="57" t="s">
        <v>824</v>
      </c>
      <c r="T157" s="106" t="s">
        <v>933</v>
      </c>
      <c r="U157" s="47" t="s">
        <v>824</v>
      </c>
      <c r="V157" s="47" t="s">
        <v>826</v>
      </c>
      <c r="W157" s="48" t="b">
        <f t="shared" si="35"/>
        <v>0</v>
      </c>
      <c r="X157" s="48" t="b">
        <f t="shared" si="36"/>
        <v>1</v>
      </c>
      <c r="Y157" s="48" t="b">
        <f t="shared" si="37"/>
        <v>0</v>
      </c>
      <c r="Z157" s="48" t="b">
        <f t="shared" si="38"/>
        <v>0</v>
      </c>
      <c r="AA157" s="58">
        <f t="shared" si="39"/>
        <v>15002</v>
      </c>
    </row>
    <row r="158" spans="1:27" x14ac:dyDescent="0.2">
      <c r="A158" s="28" t="s">
        <v>753</v>
      </c>
      <c r="B158" s="29" t="s">
        <v>724</v>
      </c>
      <c r="C158" s="28" t="s">
        <v>721</v>
      </c>
      <c r="D158" s="28" t="s">
        <v>735</v>
      </c>
      <c r="E158" s="29">
        <v>2205</v>
      </c>
      <c r="F158" s="33">
        <v>735</v>
      </c>
      <c r="G158" s="33">
        <v>560</v>
      </c>
      <c r="H158" s="40">
        <v>16</v>
      </c>
      <c r="I158" s="41">
        <v>0.25</v>
      </c>
      <c r="J158" s="33">
        <v>735</v>
      </c>
      <c r="K158" s="33">
        <v>55</v>
      </c>
      <c r="L158" s="33">
        <v>90</v>
      </c>
      <c r="M158" s="33">
        <v>28</v>
      </c>
      <c r="N158" s="33">
        <v>140</v>
      </c>
      <c r="O158" s="33">
        <v>120</v>
      </c>
      <c r="P158" s="42">
        <v>2.8</v>
      </c>
      <c r="Q158" s="33">
        <v>1</v>
      </c>
      <c r="R158" s="46"/>
      <c r="S158" s="57" t="s">
        <v>824</v>
      </c>
      <c r="T158" s="106" t="s">
        <v>933</v>
      </c>
      <c r="U158" s="47" t="s">
        <v>824</v>
      </c>
      <c r="V158" s="47" t="s">
        <v>826</v>
      </c>
      <c r="W158" s="48" t="b">
        <f t="shared" si="35"/>
        <v>0</v>
      </c>
      <c r="X158" s="48" t="b">
        <f t="shared" si="36"/>
        <v>1</v>
      </c>
      <c r="Y158" s="48" t="b">
        <f t="shared" si="37"/>
        <v>0</v>
      </c>
      <c r="Z158" s="48" t="b">
        <f t="shared" si="38"/>
        <v>0</v>
      </c>
      <c r="AA158" s="58">
        <f t="shared" si="39"/>
        <v>15002</v>
      </c>
    </row>
    <row r="159" spans="1:27" x14ac:dyDescent="0.2">
      <c r="A159" s="28" t="s">
        <v>754</v>
      </c>
      <c r="B159" s="29" t="s">
        <v>724</v>
      </c>
      <c r="C159" s="28" t="s">
        <v>721</v>
      </c>
      <c r="D159" s="28" t="s">
        <v>735</v>
      </c>
      <c r="E159" s="33">
        <v>925</v>
      </c>
      <c r="F159" s="33">
        <v>925</v>
      </c>
      <c r="G159" s="33">
        <v>220</v>
      </c>
      <c r="H159" s="40">
        <v>10</v>
      </c>
      <c r="I159" s="41">
        <v>0.25</v>
      </c>
      <c r="J159" s="33">
        <v>925</v>
      </c>
      <c r="K159" s="33">
        <v>55</v>
      </c>
      <c r="L159" s="33">
        <v>90</v>
      </c>
      <c r="M159" s="33">
        <v>35</v>
      </c>
      <c r="N159" s="33">
        <v>140</v>
      </c>
      <c r="O159" s="33">
        <v>120</v>
      </c>
      <c r="P159" s="42">
        <v>3.5</v>
      </c>
      <c r="Q159" s="33">
        <v>1</v>
      </c>
      <c r="R159" s="46"/>
      <c r="S159" s="57" t="s">
        <v>824</v>
      </c>
      <c r="T159" s="106">
        <v>1129.01</v>
      </c>
      <c r="U159" s="47" t="s">
        <v>824</v>
      </c>
      <c r="V159" s="47" t="s">
        <v>825</v>
      </c>
      <c r="W159" s="48" t="b">
        <f t="shared" si="35"/>
        <v>1</v>
      </c>
      <c r="X159" s="48" t="b">
        <f t="shared" si="36"/>
        <v>0</v>
      </c>
      <c r="Y159" s="48" t="b">
        <f t="shared" si="37"/>
        <v>0</v>
      </c>
      <c r="Z159" s="48" t="b">
        <f t="shared" si="38"/>
        <v>0</v>
      </c>
      <c r="AA159" s="58">
        <f t="shared" si="39"/>
        <v>15001</v>
      </c>
    </row>
    <row r="160" spans="1:27" x14ac:dyDescent="0.2">
      <c r="A160" s="28" t="s">
        <v>755</v>
      </c>
      <c r="B160" s="29" t="s">
        <v>724</v>
      </c>
      <c r="C160" s="28" t="s">
        <v>721</v>
      </c>
      <c r="D160" s="28" t="s">
        <v>735</v>
      </c>
      <c r="E160" s="33">
        <v>320</v>
      </c>
      <c r="F160" s="29">
        <v>80</v>
      </c>
      <c r="G160" s="33">
        <v>80</v>
      </c>
      <c r="H160" s="40">
        <v>6</v>
      </c>
      <c r="I160" s="42">
        <v>0.1</v>
      </c>
      <c r="J160" s="29"/>
      <c r="K160" s="29"/>
      <c r="L160" s="29"/>
      <c r="M160" s="29"/>
      <c r="N160" s="29"/>
      <c r="O160" s="29"/>
      <c r="P160" s="29"/>
      <c r="Q160" s="29"/>
      <c r="R160" s="46" t="s">
        <v>726</v>
      </c>
      <c r="S160" s="57" t="s">
        <v>824</v>
      </c>
      <c r="T160" s="106">
        <v>1120.01</v>
      </c>
      <c r="U160" s="47" t="s">
        <v>824</v>
      </c>
      <c r="V160" s="47" t="s">
        <v>825</v>
      </c>
      <c r="W160" s="48" t="b">
        <f t="shared" si="35"/>
        <v>0</v>
      </c>
      <c r="X160" s="48" t="b">
        <f t="shared" si="36"/>
        <v>0</v>
      </c>
      <c r="Y160" s="48" t="b">
        <f t="shared" si="37"/>
        <v>1</v>
      </c>
      <c r="Z160" s="48" t="b">
        <f t="shared" si="38"/>
        <v>0</v>
      </c>
      <c r="AA160" s="58">
        <f t="shared" si="39"/>
        <v>15003</v>
      </c>
    </row>
    <row r="161" spans="1:28" x14ac:dyDescent="0.2">
      <c r="A161" s="28" t="s">
        <v>756</v>
      </c>
      <c r="B161" s="29" t="s">
        <v>724</v>
      </c>
      <c r="C161" s="28" t="s">
        <v>721</v>
      </c>
      <c r="D161" s="28" t="s">
        <v>735</v>
      </c>
      <c r="E161" s="33">
        <v>325</v>
      </c>
      <c r="F161" s="33">
        <v>325</v>
      </c>
      <c r="G161" s="33">
        <v>80</v>
      </c>
      <c r="H161" s="40">
        <v>6</v>
      </c>
      <c r="I161" s="41">
        <v>0.25</v>
      </c>
      <c r="J161" s="33">
        <v>325</v>
      </c>
      <c r="K161" s="33">
        <v>55</v>
      </c>
      <c r="L161" s="33">
        <v>90</v>
      </c>
      <c r="M161" s="42">
        <v>12.5</v>
      </c>
      <c r="N161" s="33">
        <v>140</v>
      </c>
      <c r="O161" s="33">
        <v>120</v>
      </c>
      <c r="P161" s="42">
        <v>1.2</v>
      </c>
      <c r="Q161" s="33">
        <v>1</v>
      </c>
      <c r="R161" s="46"/>
      <c r="S161" s="57" t="s">
        <v>824</v>
      </c>
      <c r="T161" s="106">
        <v>1102.02</v>
      </c>
      <c r="U161" s="47" t="s">
        <v>828</v>
      </c>
      <c r="V161" s="47" t="s">
        <v>825</v>
      </c>
      <c r="W161" s="48" t="b">
        <f t="shared" si="35"/>
        <v>1</v>
      </c>
      <c r="X161" s="48" t="b">
        <f t="shared" si="36"/>
        <v>0</v>
      </c>
      <c r="Y161" s="48" t="b">
        <f t="shared" si="37"/>
        <v>0</v>
      </c>
      <c r="Z161" s="48" t="b">
        <f t="shared" si="38"/>
        <v>0</v>
      </c>
      <c r="AA161" s="58">
        <f t="shared" si="39"/>
        <v>15001</v>
      </c>
    </row>
    <row r="162" spans="1:28" x14ac:dyDescent="0.2">
      <c r="A162" s="28" t="s">
        <v>757</v>
      </c>
      <c r="B162" s="29" t="s">
        <v>724</v>
      </c>
      <c r="C162" s="28" t="s">
        <v>721</v>
      </c>
      <c r="D162" s="28" t="s">
        <v>735</v>
      </c>
      <c r="E162" s="33">
        <v>430</v>
      </c>
      <c r="F162" s="33">
        <v>130</v>
      </c>
      <c r="G162" s="33">
        <v>140</v>
      </c>
      <c r="H162" s="40">
        <v>8</v>
      </c>
      <c r="I162" s="41">
        <v>0.25</v>
      </c>
      <c r="J162" s="33">
        <v>130</v>
      </c>
      <c r="K162" s="33">
        <v>55</v>
      </c>
      <c r="L162" s="33">
        <v>90</v>
      </c>
      <c r="M162" s="33">
        <v>5</v>
      </c>
      <c r="N162" s="33">
        <v>140</v>
      </c>
      <c r="O162" s="33">
        <v>120</v>
      </c>
      <c r="P162" s="42">
        <v>0.5</v>
      </c>
      <c r="Q162" s="33">
        <v>1</v>
      </c>
      <c r="R162" s="46"/>
      <c r="S162" s="57" t="s">
        <v>824</v>
      </c>
      <c r="T162" s="106">
        <v>1101.01</v>
      </c>
      <c r="U162" s="47" t="s">
        <v>828</v>
      </c>
      <c r="V162" s="47" t="s">
        <v>825</v>
      </c>
      <c r="W162" s="48" t="b">
        <f t="shared" si="35"/>
        <v>1</v>
      </c>
      <c r="X162" s="48" t="b">
        <f t="shared" si="36"/>
        <v>0</v>
      </c>
      <c r="Y162" s="48" t="b">
        <f t="shared" si="37"/>
        <v>0</v>
      </c>
      <c r="Z162" s="48" t="b">
        <f t="shared" si="38"/>
        <v>0</v>
      </c>
      <c r="AA162" s="58">
        <f t="shared" si="39"/>
        <v>15001</v>
      </c>
    </row>
    <row r="163" spans="1:28" x14ac:dyDescent="0.2">
      <c r="A163" s="28" t="s">
        <v>758</v>
      </c>
      <c r="B163" s="29" t="s">
        <v>724</v>
      </c>
      <c r="C163" s="28" t="s">
        <v>721</v>
      </c>
      <c r="D163" s="28" t="s">
        <v>735</v>
      </c>
      <c r="E163" s="33">
        <v>500</v>
      </c>
      <c r="F163" s="33">
        <v>140</v>
      </c>
      <c r="G163" s="33">
        <v>140</v>
      </c>
      <c r="H163" s="40">
        <v>8</v>
      </c>
      <c r="I163" s="42">
        <v>0.1</v>
      </c>
      <c r="J163" s="29"/>
      <c r="K163" s="29"/>
      <c r="L163" s="29"/>
      <c r="M163" s="29"/>
      <c r="N163" s="29"/>
      <c r="O163" s="29"/>
      <c r="P163" s="29"/>
      <c r="Q163" s="29"/>
      <c r="R163" s="46" t="s">
        <v>726</v>
      </c>
      <c r="S163" s="57" t="s">
        <v>824</v>
      </c>
      <c r="T163" s="106" t="s">
        <v>934</v>
      </c>
      <c r="U163" s="47" t="s">
        <v>824</v>
      </c>
      <c r="V163" s="47" t="s">
        <v>825</v>
      </c>
      <c r="W163" s="48" t="b">
        <f t="shared" si="35"/>
        <v>0</v>
      </c>
      <c r="X163" s="48" t="b">
        <f t="shared" si="36"/>
        <v>0</v>
      </c>
      <c r="Y163" s="48" t="b">
        <f t="shared" si="37"/>
        <v>1</v>
      </c>
      <c r="Z163" s="48" t="b">
        <f t="shared" si="38"/>
        <v>0</v>
      </c>
      <c r="AA163" s="58">
        <f t="shared" si="39"/>
        <v>15003</v>
      </c>
    </row>
    <row r="164" spans="1:28" x14ac:dyDescent="0.2">
      <c r="A164" s="28" t="s">
        <v>759</v>
      </c>
      <c r="B164" s="29" t="s">
        <v>724</v>
      </c>
      <c r="C164" s="28" t="s">
        <v>721</v>
      </c>
      <c r="D164" s="28" t="s">
        <v>735</v>
      </c>
      <c r="E164" s="29">
        <v>400</v>
      </c>
      <c r="F164" s="29">
        <v>80</v>
      </c>
      <c r="G164" s="33">
        <v>80</v>
      </c>
      <c r="H164" s="40">
        <v>6</v>
      </c>
      <c r="I164" s="42">
        <v>0.1</v>
      </c>
      <c r="J164" s="33"/>
      <c r="K164" s="29"/>
      <c r="L164" s="29"/>
      <c r="M164" s="29"/>
      <c r="N164" s="29"/>
      <c r="O164" s="29"/>
      <c r="P164" s="29"/>
      <c r="Q164" s="29"/>
      <c r="R164" s="46" t="s">
        <v>726</v>
      </c>
      <c r="S164" s="57" t="s">
        <v>824</v>
      </c>
      <c r="T164" s="106" t="s">
        <v>935</v>
      </c>
      <c r="U164" s="47" t="s">
        <v>824</v>
      </c>
      <c r="V164" s="47" t="s">
        <v>825</v>
      </c>
      <c r="W164" s="48" t="b">
        <f t="shared" si="35"/>
        <v>0</v>
      </c>
      <c r="X164" s="48" t="b">
        <f t="shared" si="36"/>
        <v>0</v>
      </c>
      <c r="Y164" s="48" t="b">
        <f t="shared" si="37"/>
        <v>1</v>
      </c>
      <c r="Z164" s="48" t="b">
        <f t="shared" si="38"/>
        <v>0</v>
      </c>
      <c r="AA164" s="58">
        <f t="shared" si="39"/>
        <v>15003</v>
      </c>
    </row>
    <row r="165" spans="1:28" x14ac:dyDescent="0.2">
      <c r="A165" s="44" t="s">
        <v>133</v>
      </c>
      <c r="B165" s="29" t="s">
        <v>724</v>
      </c>
      <c r="C165" s="28" t="s">
        <v>721</v>
      </c>
      <c r="D165" s="28" t="s">
        <v>735</v>
      </c>
      <c r="E165" s="33">
        <v>875</v>
      </c>
      <c r="F165" s="29">
        <v>260</v>
      </c>
      <c r="G165" s="33">
        <v>220</v>
      </c>
      <c r="H165" s="40">
        <v>10</v>
      </c>
      <c r="I165" s="41">
        <v>0.25</v>
      </c>
      <c r="J165" s="33">
        <v>260</v>
      </c>
      <c r="K165" s="33">
        <v>55</v>
      </c>
      <c r="L165" s="33">
        <v>90</v>
      </c>
      <c r="M165" s="33">
        <v>10</v>
      </c>
      <c r="N165" s="33">
        <v>140</v>
      </c>
      <c r="O165" s="33">
        <v>120</v>
      </c>
      <c r="P165" s="42">
        <v>1</v>
      </c>
      <c r="Q165" s="33">
        <v>1</v>
      </c>
      <c r="R165" s="46"/>
      <c r="S165" s="59"/>
      <c r="T165" s="106">
        <v>1101.01</v>
      </c>
      <c r="U165" s="48"/>
      <c r="V165" s="49" t="s">
        <v>829</v>
      </c>
      <c r="W165" s="48" t="b">
        <f t="shared" si="35"/>
        <v>0</v>
      </c>
      <c r="X165" s="48" t="b">
        <v>1</v>
      </c>
      <c r="Y165" s="48" t="b">
        <f t="shared" si="37"/>
        <v>0</v>
      </c>
      <c r="Z165" s="48" t="b">
        <f t="shared" si="38"/>
        <v>0</v>
      </c>
      <c r="AA165" s="58">
        <v>15002</v>
      </c>
      <c r="AB165" s="21" t="s">
        <v>830</v>
      </c>
    </row>
    <row r="166" spans="1:28" x14ac:dyDescent="0.2">
      <c r="A166" s="28" t="s">
        <v>760</v>
      </c>
      <c r="B166" s="29" t="s">
        <v>727</v>
      </c>
      <c r="C166" s="28" t="s">
        <v>721</v>
      </c>
      <c r="D166" s="28" t="s">
        <v>742</v>
      </c>
      <c r="E166" s="33">
        <v>705</v>
      </c>
      <c r="F166" s="33">
        <v>260</v>
      </c>
      <c r="G166" s="33">
        <v>220</v>
      </c>
      <c r="H166" s="40">
        <v>10</v>
      </c>
      <c r="I166" s="41">
        <v>0.25</v>
      </c>
      <c r="J166" s="33">
        <v>260</v>
      </c>
      <c r="K166" s="33">
        <v>55</v>
      </c>
      <c r="L166" s="33">
        <v>90</v>
      </c>
      <c r="M166" s="33">
        <v>10</v>
      </c>
      <c r="N166" s="33">
        <v>140</v>
      </c>
      <c r="O166" s="33">
        <v>120</v>
      </c>
      <c r="P166" s="42">
        <v>1</v>
      </c>
      <c r="Q166" s="33">
        <v>1</v>
      </c>
      <c r="R166" s="46"/>
      <c r="S166" s="57" t="s">
        <v>824</v>
      </c>
      <c r="T166" s="106">
        <v>1218.02</v>
      </c>
      <c r="U166" s="47" t="s">
        <v>828</v>
      </c>
      <c r="V166" s="49" t="s">
        <v>825</v>
      </c>
      <c r="W166" s="48" t="b">
        <f t="shared" si="35"/>
        <v>1</v>
      </c>
      <c r="X166" s="48" t="b">
        <f t="shared" ref="X166:X180" si="40">AND($V166 = "TS,CO2", $P166 &gt; 0)</f>
        <v>0</v>
      </c>
      <c r="Y166" s="48" t="b">
        <f t="shared" si="37"/>
        <v>0</v>
      </c>
      <c r="Z166" s="48" t="b">
        <f t="shared" si="38"/>
        <v>0</v>
      </c>
      <c r="AA166" s="58">
        <f t="shared" si="39"/>
        <v>15001</v>
      </c>
    </row>
    <row r="167" spans="1:28" x14ac:dyDescent="0.2">
      <c r="A167" s="28" t="s">
        <v>761</v>
      </c>
      <c r="B167" s="29" t="s">
        <v>727</v>
      </c>
      <c r="C167" s="28" t="s">
        <v>721</v>
      </c>
      <c r="D167" s="28" t="s">
        <v>742</v>
      </c>
      <c r="E167" s="33">
        <v>655</v>
      </c>
      <c r="F167" s="33">
        <v>655</v>
      </c>
      <c r="G167" s="33">
        <v>140</v>
      </c>
      <c r="H167" s="40">
        <v>8</v>
      </c>
      <c r="I167" s="41">
        <v>0.25</v>
      </c>
      <c r="J167" s="33">
        <v>655</v>
      </c>
      <c r="K167" s="33">
        <v>55</v>
      </c>
      <c r="L167" s="33">
        <v>90</v>
      </c>
      <c r="M167" s="33">
        <v>25</v>
      </c>
      <c r="N167" s="33">
        <v>140</v>
      </c>
      <c r="O167" s="33">
        <v>120</v>
      </c>
      <c r="P167" s="42">
        <v>2.5</v>
      </c>
      <c r="Q167" s="33">
        <v>1</v>
      </c>
      <c r="R167" s="46"/>
      <c r="S167" s="57" t="s">
        <v>824</v>
      </c>
      <c r="T167" s="106">
        <v>1218.02</v>
      </c>
      <c r="U167" s="47" t="s">
        <v>824</v>
      </c>
      <c r="V167" s="47" t="s">
        <v>825</v>
      </c>
      <c r="W167" s="48" t="b">
        <f t="shared" si="35"/>
        <v>1</v>
      </c>
      <c r="X167" s="48" t="b">
        <f t="shared" si="40"/>
        <v>0</v>
      </c>
      <c r="Y167" s="48" t="b">
        <f t="shared" si="37"/>
        <v>0</v>
      </c>
      <c r="Z167" s="48" t="b">
        <f t="shared" si="38"/>
        <v>0</v>
      </c>
      <c r="AA167" s="58">
        <f t="shared" si="39"/>
        <v>15001</v>
      </c>
    </row>
    <row r="168" spans="1:28" x14ac:dyDescent="0.2">
      <c r="A168" s="28" t="s">
        <v>762</v>
      </c>
      <c r="B168" s="29" t="s">
        <v>727</v>
      </c>
      <c r="C168" s="28" t="s">
        <v>721</v>
      </c>
      <c r="D168" s="28" t="s">
        <v>742</v>
      </c>
      <c r="E168" s="33">
        <v>405</v>
      </c>
      <c r="F168" s="33">
        <v>140</v>
      </c>
      <c r="G168" s="33">
        <v>140</v>
      </c>
      <c r="H168" s="40">
        <v>8</v>
      </c>
      <c r="I168" s="42">
        <v>0.1</v>
      </c>
      <c r="J168" s="29"/>
      <c r="K168" s="29"/>
      <c r="L168" s="29"/>
      <c r="M168" s="29"/>
      <c r="N168" s="29"/>
      <c r="O168" s="29"/>
      <c r="P168" s="29"/>
      <c r="Q168" s="29"/>
      <c r="R168" s="46" t="s">
        <v>726</v>
      </c>
      <c r="S168" s="57" t="s">
        <v>824</v>
      </c>
      <c r="T168" s="106">
        <v>1228.01</v>
      </c>
      <c r="U168" s="47" t="s">
        <v>824</v>
      </c>
      <c r="V168" s="47" t="s">
        <v>825</v>
      </c>
      <c r="W168" s="48" t="b">
        <f t="shared" si="35"/>
        <v>0</v>
      </c>
      <c r="X168" s="48" t="b">
        <f t="shared" si="40"/>
        <v>0</v>
      </c>
      <c r="Y168" s="48" t="b">
        <f t="shared" si="37"/>
        <v>1</v>
      </c>
      <c r="Z168" s="48" t="b">
        <f t="shared" si="38"/>
        <v>0</v>
      </c>
      <c r="AA168" s="58">
        <f t="shared" si="39"/>
        <v>15003</v>
      </c>
    </row>
    <row r="169" spans="1:28" x14ac:dyDescent="0.2">
      <c r="A169" s="28" t="s">
        <v>763</v>
      </c>
      <c r="B169" s="29" t="s">
        <v>727</v>
      </c>
      <c r="C169" s="28" t="s">
        <v>721</v>
      </c>
      <c r="D169" s="28" t="s">
        <v>742</v>
      </c>
      <c r="E169" s="33">
        <v>445</v>
      </c>
      <c r="F169" s="33">
        <v>140</v>
      </c>
      <c r="G169" s="33">
        <v>140</v>
      </c>
      <c r="H169" s="40">
        <v>8</v>
      </c>
      <c r="I169" s="42">
        <v>0.1</v>
      </c>
      <c r="J169" s="29"/>
      <c r="K169" s="29"/>
      <c r="L169" s="29"/>
      <c r="M169" s="29"/>
      <c r="N169" s="29"/>
      <c r="O169" s="29"/>
      <c r="P169" s="29"/>
      <c r="Q169" s="29"/>
      <c r="R169" s="46" t="s">
        <v>726</v>
      </c>
      <c r="S169" s="57" t="s">
        <v>824</v>
      </c>
      <c r="T169" s="106" t="s">
        <v>936</v>
      </c>
      <c r="U169" s="47" t="s">
        <v>824</v>
      </c>
      <c r="V169" s="47" t="s">
        <v>825</v>
      </c>
      <c r="W169" s="48" t="b">
        <f t="shared" si="35"/>
        <v>0</v>
      </c>
      <c r="X169" s="48" t="b">
        <f t="shared" si="40"/>
        <v>0</v>
      </c>
      <c r="Y169" s="48" t="b">
        <f t="shared" si="37"/>
        <v>1</v>
      </c>
      <c r="Z169" s="48" t="b">
        <f t="shared" si="38"/>
        <v>0</v>
      </c>
      <c r="AA169" s="58">
        <f t="shared" si="39"/>
        <v>15003</v>
      </c>
    </row>
    <row r="170" spans="1:28" x14ac:dyDescent="0.2">
      <c r="A170" s="28" t="s">
        <v>764</v>
      </c>
      <c r="B170" s="29" t="s">
        <v>727</v>
      </c>
      <c r="C170" s="28" t="s">
        <v>721</v>
      </c>
      <c r="D170" s="28" t="s">
        <v>742</v>
      </c>
      <c r="E170" s="33">
        <v>405</v>
      </c>
      <c r="F170" s="33">
        <v>140</v>
      </c>
      <c r="G170" s="33">
        <v>140</v>
      </c>
      <c r="H170" s="40">
        <v>8</v>
      </c>
      <c r="I170" s="42">
        <v>0.1</v>
      </c>
      <c r="J170" s="29"/>
      <c r="K170" s="29"/>
      <c r="L170" s="29"/>
      <c r="M170" s="29"/>
      <c r="N170" s="29"/>
      <c r="O170" s="29"/>
      <c r="P170" s="29"/>
      <c r="Q170" s="29"/>
      <c r="R170" s="46" t="s">
        <v>726</v>
      </c>
      <c r="S170" s="57" t="s">
        <v>824</v>
      </c>
      <c r="T170" s="106" t="s">
        <v>937</v>
      </c>
      <c r="U170" s="47" t="s">
        <v>824</v>
      </c>
      <c r="V170" s="47" t="s">
        <v>825</v>
      </c>
      <c r="W170" s="48" t="b">
        <f t="shared" si="35"/>
        <v>0</v>
      </c>
      <c r="X170" s="48" t="b">
        <f t="shared" si="40"/>
        <v>0</v>
      </c>
      <c r="Y170" s="48" t="b">
        <f t="shared" si="37"/>
        <v>1</v>
      </c>
      <c r="Z170" s="48" t="b">
        <f t="shared" si="38"/>
        <v>0</v>
      </c>
      <c r="AA170" s="58">
        <f t="shared" si="39"/>
        <v>15003</v>
      </c>
    </row>
    <row r="171" spans="1:28" x14ac:dyDescent="0.2">
      <c r="A171" s="28" t="s">
        <v>765</v>
      </c>
      <c r="B171" s="29" t="s">
        <v>727</v>
      </c>
      <c r="C171" s="28" t="s">
        <v>721</v>
      </c>
      <c r="D171" s="28" t="s">
        <v>742</v>
      </c>
      <c r="E171" s="33">
        <v>405</v>
      </c>
      <c r="F171" s="33">
        <v>140</v>
      </c>
      <c r="G171" s="33">
        <v>140</v>
      </c>
      <c r="H171" s="40">
        <v>8</v>
      </c>
      <c r="I171" s="42">
        <v>0.1</v>
      </c>
      <c r="J171" s="29"/>
      <c r="K171" s="29"/>
      <c r="L171" s="29"/>
      <c r="M171" s="29"/>
      <c r="N171" s="29"/>
      <c r="O171" s="29"/>
      <c r="P171" s="29"/>
      <c r="Q171" s="29"/>
      <c r="R171" s="46" t="s">
        <v>726</v>
      </c>
      <c r="S171" s="57" t="s">
        <v>824</v>
      </c>
      <c r="T171" s="106">
        <v>1200.03</v>
      </c>
      <c r="U171" s="47" t="s">
        <v>824</v>
      </c>
      <c r="V171" s="47" t="s">
        <v>825</v>
      </c>
      <c r="W171" s="48" t="b">
        <f t="shared" si="35"/>
        <v>0</v>
      </c>
      <c r="X171" s="48" t="b">
        <f t="shared" si="40"/>
        <v>0</v>
      </c>
      <c r="Y171" s="48" t="b">
        <f t="shared" si="37"/>
        <v>1</v>
      </c>
      <c r="Z171" s="48" t="b">
        <f t="shared" si="38"/>
        <v>0</v>
      </c>
      <c r="AA171" s="58">
        <f t="shared" si="39"/>
        <v>15003</v>
      </c>
    </row>
    <row r="172" spans="1:28" x14ac:dyDescent="0.2">
      <c r="A172" s="28" t="s">
        <v>766</v>
      </c>
      <c r="B172" s="29" t="s">
        <v>727</v>
      </c>
      <c r="C172" s="28" t="s">
        <v>721</v>
      </c>
      <c r="D172" s="28" t="s">
        <v>742</v>
      </c>
      <c r="E172" s="33">
        <v>465</v>
      </c>
      <c r="F172" s="33">
        <v>140</v>
      </c>
      <c r="G172" s="33">
        <v>140</v>
      </c>
      <c r="H172" s="40">
        <v>8</v>
      </c>
      <c r="I172" s="41">
        <v>0.25</v>
      </c>
      <c r="J172" s="33">
        <v>140</v>
      </c>
      <c r="K172" s="33">
        <v>55</v>
      </c>
      <c r="L172" s="33">
        <v>90</v>
      </c>
      <c r="M172" s="42">
        <v>5.5</v>
      </c>
      <c r="N172" s="33">
        <v>140</v>
      </c>
      <c r="O172" s="33">
        <v>120</v>
      </c>
      <c r="P172" s="42">
        <v>0.5</v>
      </c>
      <c r="Q172" s="33">
        <v>1</v>
      </c>
      <c r="R172" s="46"/>
      <c r="S172" s="57" t="s">
        <v>824</v>
      </c>
      <c r="T172" s="106" t="s">
        <v>938</v>
      </c>
      <c r="U172" s="47" t="s">
        <v>824</v>
      </c>
      <c r="V172" s="47" t="s">
        <v>825</v>
      </c>
      <c r="W172" s="48" t="b">
        <f t="shared" si="35"/>
        <v>1</v>
      </c>
      <c r="X172" s="48" t="b">
        <f t="shared" si="40"/>
        <v>0</v>
      </c>
      <c r="Y172" s="48" t="b">
        <f t="shared" si="37"/>
        <v>0</v>
      </c>
      <c r="Z172" s="48" t="b">
        <f t="shared" si="38"/>
        <v>0</v>
      </c>
      <c r="AA172" s="58">
        <f t="shared" si="39"/>
        <v>15001</v>
      </c>
    </row>
    <row r="173" spans="1:28" x14ac:dyDescent="0.2">
      <c r="A173" s="28" t="s">
        <v>767</v>
      </c>
      <c r="B173" s="29" t="s">
        <v>727</v>
      </c>
      <c r="C173" s="28" t="s">
        <v>721</v>
      </c>
      <c r="D173" s="28" t="s">
        <v>742</v>
      </c>
      <c r="E173" s="33">
        <v>470</v>
      </c>
      <c r="F173" s="33">
        <v>140</v>
      </c>
      <c r="G173" s="33">
        <v>140</v>
      </c>
      <c r="H173" s="40">
        <v>8</v>
      </c>
      <c r="I173" s="41">
        <v>0.25</v>
      </c>
      <c r="J173" s="33">
        <v>140</v>
      </c>
      <c r="K173" s="33">
        <v>55</v>
      </c>
      <c r="L173" s="33">
        <v>90</v>
      </c>
      <c r="M173" s="42">
        <v>5.5</v>
      </c>
      <c r="N173" s="33">
        <v>140</v>
      </c>
      <c r="O173" s="33">
        <v>120</v>
      </c>
      <c r="P173" s="42">
        <v>0.5</v>
      </c>
      <c r="Q173" s="33">
        <v>1</v>
      </c>
      <c r="R173" s="46"/>
      <c r="S173" s="57" t="s">
        <v>824</v>
      </c>
      <c r="T173" s="106">
        <v>1218.06</v>
      </c>
      <c r="U173" s="47" t="s">
        <v>824</v>
      </c>
      <c r="V173" s="47" t="s">
        <v>825</v>
      </c>
      <c r="W173" s="48" t="b">
        <f t="shared" si="35"/>
        <v>1</v>
      </c>
      <c r="X173" s="48" t="b">
        <f t="shared" si="40"/>
        <v>0</v>
      </c>
      <c r="Y173" s="48" t="b">
        <f t="shared" si="37"/>
        <v>0</v>
      </c>
      <c r="Z173" s="48" t="b">
        <f t="shared" si="38"/>
        <v>0</v>
      </c>
      <c r="AA173" s="58">
        <f t="shared" si="39"/>
        <v>15001</v>
      </c>
    </row>
    <row r="174" spans="1:28" x14ac:dyDescent="0.2">
      <c r="A174" s="28" t="s">
        <v>768</v>
      </c>
      <c r="B174" s="29" t="s">
        <v>727</v>
      </c>
      <c r="C174" s="28" t="s">
        <v>721</v>
      </c>
      <c r="D174" s="28" t="s">
        <v>742</v>
      </c>
      <c r="E174" s="33">
        <v>410</v>
      </c>
      <c r="F174" s="33">
        <v>140</v>
      </c>
      <c r="G174" s="33">
        <v>140</v>
      </c>
      <c r="H174" s="40">
        <v>8</v>
      </c>
      <c r="I174" s="42">
        <v>0.1</v>
      </c>
      <c r="J174" s="29"/>
      <c r="K174" s="29"/>
      <c r="L174" s="29"/>
      <c r="M174" s="29"/>
      <c r="N174" s="29"/>
      <c r="O174" s="29"/>
      <c r="P174" s="29"/>
      <c r="Q174" s="29"/>
      <c r="R174" s="46" t="s">
        <v>726</v>
      </c>
      <c r="S174" s="57" t="s">
        <v>824</v>
      </c>
      <c r="T174" s="106" t="s">
        <v>939</v>
      </c>
      <c r="U174" s="47" t="s">
        <v>824</v>
      </c>
      <c r="V174" s="47" t="s">
        <v>825</v>
      </c>
      <c r="W174" s="48" t="b">
        <f t="shared" si="35"/>
        <v>0</v>
      </c>
      <c r="X174" s="48" t="b">
        <f t="shared" si="40"/>
        <v>0</v>
      </c>
      <c r="Y174" s="48" t="b">
        <f t="shared" si="37"/>
        <v>1</v>
      </c>
      <c r="Z174" s="48" t="b">
        <f t="shared" si="38"/>
        <v>0</v>
      </c>
      <c r="AA174" s="58">
        <f t="shared" si="39"/>
        <v>15003</v>
      </c>
    </row>
    <row r="175" spans="1:28" x14ac:dyDescent="0.2">
      <c r="A175" s="28" t="s">
        <v>769</v>
      </c>
      <c r="B175" s="29" t="s">
        <v>727</v>
      </c>
      <c r="C175" s="28" t="s">
        <v>721</v>
      </c>
      <c r="D175" s="28" t="s">
        <v>742</v>
      </c>
      <c r="E175" s="33">
        <v>525</v>
      </c>
      <c r="F175" s="33">
        <v>140</v>
      </c>
      <c r="G175" s="33">
        <v>140</v>
      </c>
      <c r="H175" s="40">
        <v>8</v>
      </c>
      <c r="I175" s="42">
        <v>0.1</v>
      </c>
      <c r="J175" s="29"/>
      <c r="K175" s="29"/>
      <c r="L175" s="29"/>
      <c r="M175" s="29"/>
      <c r="N175" s="29"/>
      <c r="O175" s="29"/>
      <c r="P175" s="29"/>
      <c r="Q175" s="29"/>
      <c r="R175" s="46" t="s">
        <v>726</v>
      </c>
      <c r="S175" s="57" t="s">
        <v>824</v>
      </c>
      <c r="T175" s="106" t="s">
        <v>940</v>
      </c>
      <c r="U175" s="47" t="s">
        <v>824</v>
      </c>
      <c r="V175" s="47" t="s">
        <v>825</v>
      </c>
      <c r="W175" s="48" t="b">
        <f t="shared" si="35"/>
        <v>0</v>
      </c>
      <c r="X175" s="48" t="b">
        <f t="shared" si="40"/>
        <v>0</v>
      </c>
      <c r="Y175" s="48" t="b">
        <f t="shared" si="37"/>
        <v>1</v>
      </c>
      <c r="Z175" s="48" t="b">
        <f t="shared" si="38"/>
        <v>0</v>
      </c>
      <c r="AA175" s="58">
        <f t="shared" si="39"/>
        <v>15003</v>
      </c>
    </row>
    <row r="176" spans="1:28" x14ac:dyDescent="0.2">
      <c r="A176" s="28" t="s">
        <v>770</v>
      </c>
      <c r="B176" s="29" t="s">
        <v>728</v>
      </c>
      <c r="C176" s="28" t="s">
        <v>721</v>
      </c>
      <c r="D176" s="28" t="s">
        <v>742</v>
      </c>
      <c r="E176" s="33">
        <v>410</v>
      </c>
      <c r="F176" s="33">
        <v>140</v>
      </c>
      <c r="G176" s="33">
        <v>140</v>
      </c>
      <c r="H176" s="40">
        <v>8</v>
      </c>
      <c r="I176" s="42">
        <v>0.1</v>
      </c>
      <c r="J176" s="29"/>
      <c r="K176" s="29"/>
      <c r="L176" s="29"/>
      <c r="M176" s="29"/>
      <c r="N176" s="29"/>
      <c r="O176" s="29"/>
      <c r="P176" s="29"/>
      <c r="Q176" s="29"/>
      <c r="R176" s="46" t="s">
        <v>726</v>
      </c>
      <c r="S176" s="57" t="s">
        <v>824</v>
      </c>
      <c r="T176" s="106" t="s">
        <v>941</v>
      </c>
      <c r="U176" s="47" t="s">
        <v>828</v>
      </c>
      <c r="V176" s="50" t="s">
        <v>825</v>
      </c>
      <c r="W176" s="48" t="b">
        <f t="shared" si="35"/>
        <v>0</v>
      </c>
      <c r="X176" s="48" t="b">
        <f t="shared" si="40"/>
        <v>0</v>
      </c>
      <c r="Y176" s="48" t="b">
        <f t="shared" si="37"/>
        <v>1</v>
      </c>
      <c r="Z176" s="48" t="b">
        <f t="shared" si="38"/>
        <v>0</v>
      </c>
      <c r="AA176" s="58">
        <f t="shared" si="39"/>
        <v>15003</v>
      </c>
    </row>
    <row r="177" spans="1:27" x14ac:dyDescent="0.2">
      <c r="A177" s="28" t="s">
        <v>771</v>
      </c>
      <c r="B177" s="29" t="s">
        <v>728</v>
      </c>
      <c r="C177" s="28" t="s">
        <v>721</v>
      </c>
      <c r="D177" s="28" t="s">
        <v>742</v>
      </c>
      <c r="E177" s="33">
        <v>410</v>
      </c>
      <c r="F177" s="29">
        <v>140</v>
      </c>
      <c r="G177" s="33">
        <v>140</v>
      </c>
      <c r="H177" s="40">
        <v>8</v>
      </c>
      <c r="I177" s="42">
        <v>0.1</v>
      </c>
      <c r="J177" s="29"/>
      <c r="K177" s="29"/>
      <c r="L177" s="29"/>
      <c r="M177" s="29"/>
      <c r="N177" s="29"/>
      <c r="O177" s="29"/>
      <c r="P177" s="29"/>
      <c r="Q177" s="29"/>
      <c r="R177" s="46" t="s">
        <v>726</v>
      </c>
      <c r="S177" s="57" t="s">
        <v>824</v>
      </c>
      <c r="T177" s="106">
        <v>1328.02</v>
      </c>
      <c r="U177" s="47" t="s">
        <v>824</v>
      </c>
      <c r="V177" s="47" t="s">
        <v>825</v>
      </c>
      <c r="W177" s="48" t="b">
        <f t="shared" si="35"/>
        <v>0</v>
      </c>
      <c r="X177" s="48" t="b">
        <f t="shared" si="40"/>
        <v>0</v>
      </c>
      <c r="Y177" s="48" t="b">
        <f t="shared" si="37"/>
        <v>1</v>
      </c>
      <c r="Z177" s="48" t="b">
        <f t="shared" si="38"/>
        <v>0</v>
      </c>
      <c r="AA177" s="58">
        <f t="shared" si="39"/>
        <v>15003</v>
      </c>
    </row>
    <row r="178" spans="1:27" x14ac:dyDescent="0.2">
      <c r="A178" s="28" t="s">
        <v>772</v>
      </c>
      <c r="B178" s="29" t="s">
        <v>728</v>
      </c>
      <c r="C178" s="28" t="s">
        <v>721</v>
      </c>
      <c r="D178" s="28" t="s">
        <v>742</v>
      </c>
      <c r="E178" s="33">
        <v>1100</v>
      </c>
      <c r="F178" s="33">
        <v>370</v>
      </c>
      <c r="G178" s="33">
        <v>220</v>
      </c>
      <c r="H178" s="40">
        <v>10</v>
      </c>
      <c r="I178" s="41">
        <v>0.25</v>
      </c>
      <c r="J178" s="33">
        <v>370</v>
      </c>
      <c r="K178" s="33">
        <v>55</v>
      </c>
      <c r="L178" s="33">
        <v>90</v>
      </c>
      <c r="M178" s="33">
        <v>14</v>
      </c>
      <c r="N178" s="33">
        <v>140</v>
      </c>
      <c r="O178" s="33">
        <v>120</v>
      </c>
      <c r="P178" s="42">
        <v>1.4</v>
      </c>
      <c r="Q178" s="33">
        <v>1</v>
      </c>
      <c r="R178" s="46"/>
      <c r="S178" s="57" t="s">
        <v>824</v>
      </c>
      <c r="T178" s="106" t="s">
        <v>942</v>
      </c>
      <c r="U178" s="47" t="s">
        <v>824</v>
      </c>
      <c r="V178" s="47" t="s">
        <v>825</v>
      </c>
      <c r="W178" s="48" t="b">
        <f t="shared" si="35"/>
        <v>1</v>
      </c>
      <c r="X178" s="48" t="b">
        <f t="shared" si="40"/>
        <v>0</v>
      </c>
      <c r="Y178" s="48" t="b">
        <f t="shared" si="37"/>
        <v>0</v>
      </c>
      <c r="Z178" s="48" t="b">
        <f t="shared" si="38"/>
        <v>0</v>
      </c>
      <c r="AA178" s="58">
        <f>IF(W178, 15001, IF(X178, 15002, IF(Y178, 15003, FALSE)))</f>
        <v>15001</v>
      </c>
    </row>
    <row r="179" spans="1:27" x14ac:dyDescent="0.2">
      <c r="A179" s="28" t="s">
        <v>773</v>
      </c>
      <c r="B179" s="29" t="s">
        <v>728</v>
      </c>
      <c r="C179" s="28" t="s">
        <v>721</v>
      </c>
      <c r="D179" s="28" t="s">
        <v>742</v>
      </c>
      <c r="E179" s="33">
        <v>455</v>
      </c>
      <c r="F179" s="33">
        <v>140</v>
      </c>
      <c r="G179" s="33">
        <v>140</v>
      </c>
      <c r="H179" s="40">
        <v>8</v>
      </c>
      <c r="I179" s="42">
        <v>0.1</v>
      </c>
      <c r="J179" s="29"/>
      <c r="K179" s="29"/>
      <c r="L179" s="29"/>
      <c r="M179" s="29"/>
      <c r="N179" s="29"/>
      <c r="O179" s="29"/>
      <c r="P179" s="29"/>
      <c r="Q179" s="29"/>
      <c r="R179" s="46" t="s">
        <v>726</v>
      </c>
      <c r="S179" s="57" t="s">
        <v>824</v>
      </c>
      <c r="T179" s="106" t="s">
        <v>943</v>
      </c>
      <c r="U179" s="47" t="s">
        <v>824</v>
      </c>
      <c r="V179" s="47" t="s">
        <v>825</v>
      </c>
      <c r="W179" s="48" t="b">
        <f t="shared" si="35"/>
        <v>0</v>
      </c>
      <c r="X179" s="48" t="b">
        <f t="shared" si="40"/>
        <v>0</v>
      </c>
      <c r="Y179" s="48" t="b">
        <f t="shared" si="37"/>
        <v>1</v>
      </c>
      <c r="Z179" s="48" t="b">
        <f t="shared" si="38"/>
        <v>0</v>
      </c>
      <c r="AA179" s="58">
        <f t="shared" si="39"/>
        <v>15003</v>
      </c>
    </row>
    <row r="180" spans="1:27" ht="13.5" thickBot="1" x14ac:dyDescent="0.25">
      <c r="A180" s="28" t="s">
        <v>774</v>
      </c>
      <c r="B180" s="29" t="s">
        <v>728</v>
      </c>
      <c r="C180" s="28" t="s">
        <v>721</v>
      </c>
      <c r="D180" s="28" t="s">
        <v>742</v>
      </c>
      <c r="E180" s="33">
        <v>555</v>
      </c>
      <c r="F180" s="33">
        <v>140</v>
      </c>
      <c r="G180" s="33">
        <v>140</v>
      </c>
      <c r="H180" s="40">
        <v>8</v>
      </c>
      <c r="I180" s="42">
        <v>0.1</v>
      </c>
      <c r="J180" s="29"/>
      <c r="K180" s="29"/>
      <c r="L180" s="29"/>
      <c r="M180" s="29"/>
      <c r="N180" s="29"/>
      <c r="O180" s="29"/>
      <c r="P180" s="29"/>
      <c r="Q180" s="29"/>
      <c r="R180" s="46" t="s">
        <v>726</v>
      </c>
      <c r="S180" s="60" t="s">
        <v>824</v>
      </c>
      <c r="T180" s="107" t="s">
        <v>944</v>
      </c>
      <c r="U180" s="61" t="s">
        <v>824</v>
      </c>
      <c r="V180" s="61" t="s">
        <v>825</v>
      </c>
      <c r="W180" s="62" t="b">
        <f t="shared" si="35"/>
        <v>0</v>
      </c>
      <c r="X180" s="62" t="b">
        <f t="shared" si="40"/>
        <v>0</v>
      </c>
      <c r="Y180" s="62" t="b">
        <f t="shared" si="37"/>
        <v>1</v>
      </c>
      <c r="Z180" s="62" t="b">
        <f t="shared" si="38"/>
        <v>0</v>
      </c>
      <c r="AA180" s="63">
        <f t="shared" si="39"/>
        <v>15003</v>
      </c>
    </row>
    <row r="181" spans="1:27" x14ac:dyDescent="0.2">
      <c r="S181" s="51"/>
      <c r="T181" s="51"/>
      <c r="U181" s="51"/>
      <c r="V181" s="51"/>
      <c r="W181" s="51"/>
      <c r="X181" s="51"/>
      <c r="Y181" s="51"/>
      <c r="Z181" s="51"/>
      <c r="AA181" s="51"/>
    </row>
    <row r="182" spans="1:27" x14ac:dyDescent="0.2">
      <c r="W182" s="43"/>
      <c r="X182" s="43"/>
      <c r="Y182" s="43"/>
      <c r="Z182" s="43"/>
      <c r="AA182" s="43"/>
    </row>
    <row r="183" spans="1:27" ht="12.75" customHeight="1" thickBot="1" x14ac:dyDescent="0.25">
      <c r="A183" s="94" t="s">
        <v>700</v>
      </c>
      <c r="B183" s="94" t="s">
        <v>701</v>
      </c>
      <c r="C183" s="89" t="s">
        <v>702</v>
      </c>
      <c r="D183" s="89" t="s">
        <v>703</v>
      </c>
      <c r="E183" s="91" t="s">
        <v>704</v>
      </c>
      <c r="F183" s="92"/>
      <c r="G183" s="93"/>
      <c r="H183" s="89" t="s">
        <v>706</v>
      </c>
      <c r="I183" s="91" t="s">
        <v>855</v>
      </c>
      <c r="J183" s="92"/>
      <c r="K183" s="92"/>
      <c r="L183" s="91" t="s">
        <v>708</v>
      </c>
      <c r="M183" s="92"/>
      <c r="N183" s="92"/>
      <c r="O183" s="92"/>
      <c r="P183" s="92"/>
      <c r="Q183" s="92"/>
      <c r="R183" s="93"/>
    </row>
    <row r="184" spans="1:27" ht="45" x14ac:dyDescent="0.2">
      <c r="A184" s="95"/>
      <c r="B184" s="95"/>
      <c r="C184" s="90"/>
      <c r="D184" s="90"/>
      <c r="E184" s="96" t="s">
        <v>710</v>
      </c>
      <c r="F184" s="79" t="s">
        <v>711</v>
      </c>
      <c r="G184" s="78" t="s">
        <v>856</v>
      </c>
      <c r="H184" s="90"/>
      <c r="I184" s="79" t="s">
        <v>730</v>
      </c>
      <c r="J184" s="78" t="s">
        <v>857</v>
      </c>
      <c r="K184" s="96" t="s">
        <v>856</v>
      </c>
      <c r="L184" s="81" t="s">
        <v>731</v>
      </c>
      <c r="M184" s="82" t="s">
        <v>858</v>
      </c>
      <c r="N184" s="82" t="s">
        <v>859</v>
      </c>
      <c r="O184" s="80" t="s">
        <v>732</v>
      </c>
      <c r="P184" s="83" t="s">
        <v>860</v>
      </c>
      <c r="Q184" s="82" t="s">
        <v>861</v>
      </c>
      <c r="R184" s="80" t="s">
        <v>733</v>
      </c>
      <c r="S184" s="52" t="s">
        <v>817</v>
      </c>
      <c r="T184" s="53" t="s">
        <v>816</v>
      </c>
      <c r="U184" s="53"/>
      <c r="V184" s="53" t="s">
        <v>818</v>
      </c>
      <c r="W184" s="54"/>
      <c r="X184" s="55" t="s">
        <v>821</v>
      </c>
      <c r="Y184" s="55"/>
      <c r="Z184" s="55"/>
      <c r="AA184" s="56" t="s">
        <v>6</v>
      </c>
    </row>
    <row r="185" spans="1:27" x14ac:dyDescent="0.2">
      <c r="A185" s="84" t="s">
        <v>519</v>
      </c>
      <c r="B185" s="83" t="s">
        <v>720</v>
      </c>
      <c r="C185" s="84" t="s">
        <v>862</v>
      </c>
      <c r="D185" s="84" t="s">
        <v>735</v>
      </c>
      <c r="E185" s="85">
        <v>2145</v>
      </c>
      <c r="F185" s="85">
        <v>430</v>
      </c>
      <c r="G185" s="85">
        <v>430</v>
      </c>
      <c r="H185" s="86">
        <v>14</v>
      </c>
      <c r="I185" s="87">
        <v>0.2</v>
      </c>
      <c r="J185" s="85">
        <v>2145</v>
      </c>
      <c r="K185" s="85">
        <v>860</v>
      </c>
      <c r="L185" s="88">
        <v>2145</v>
      </c>
      <c r="M185" s="85">
        <v>65</v>
      </c>
      <c r="N185" s="85">
        <v>90</v>
      </c>
      <c r="O185" s="85">
        <v>58</v>
      </c>
      <c r="P185" s="86">
        <v>140</v>
      </c>
      <c r="Q185" s="85">
        <v>120</v>
      </c>
      <c r="R185" s="87">
        <v>5.8</v>
      </c>
      <c r="S185" s="21" t="s">
        <v>863</v>
      </c>
      <c r="T185" s="21">
        <v>1100.0899999999999</v>
      </c>
      <c r="U185" s="21" t="s">
        <v>869</v>
      </c>
      <c r="V185" s="21" t="s">
        <v>826</v>
      </c>
      <c r="X185" s="21" t="b">
        <v>1</v>
      </c>
      <c r="AA185" s="21">
        <v>15401</v>
      </c>
    </row>
    <row r="186" spans="1:27" x14ac:dyDescent="0.2">
      <c r="A186" s="84" t="s">
        <v>520</v>
      </c>
      <c r="B186" s="83" t="s">
        <v>720</v>
      </c>
      <c r="C186" s="84" t="s">
        <v>862</v>
      </c>
      <c r="D186" s="84" t="s">
        <v>735</v>
      </c>
      <c r="E186" s="85">
        <v>2145</v>
      </c>
      <c r="F186" s="85">
        <v>430</v>
      </c>
      <c r="G186" s="85">
        <v>430</v>
      </c>
      <c r="H186" s="86">
        <v>14</v>
      </c>
      <c r="I186" s="87">
        <v>0.2</v>
      </c>
      <c r="J186" s="85">
        <v>2145</v>
      </c>
      <c r="K186" s="85">
        <v>860</v>
      </c>
      <c r="L186" s="88">
        <v>2145</v>
      </c>
      <c r="M186" s="85">
        <v>65</v>
      </c>
      <c r="N186" s="85">
        <v>90</v>
      </c>
      <c r="O186" s="85">
        <v>58</v>
      </c>
      <c r="P186" s="86">
        <v>140</v>
      </c>
      <c r="Q186" s="85">
        <v>120</v>
      </c>
      <c r="R186" s="87">
        <v>5.8</v>
      </c>
      <c r="S186" s="21" t="s">
        <v>863</v>
      </c>
      <c r="T186" s="21">
        <v>1100.0899999999999</v>
      </c>
      <c r="U186" s="21" t="s">
        <v>869</v>
      </c>
      <c r="V186" s="21" t="s">
        <v>826</v>
      </c>
      <c r="X186" s="21" t="b">
        <v>1</v>
      </c>
      <c r="AA186" s="21">
        <v>15401</v>
      </c>
    </row>
    <row r="187" spans="1:27" x14ac:dyDescent="0.2">
      <c r="A187" s="84" t="s">
        <v>521</v>
      </c>
      <c r="B187" s="83" t="s">
        <v>720</v>
      </c>
      <c r="C187" s="84" t="s">
        <v>862</v>
      </c>
      <c r="D187" s="84" t="s">
        <v>735</v>
      </c>
      <c r="E187" s="85">
        <v>2145</v>
      </c>
      <c r="F187" s="85">
        <v>430</v>
      </c>
      <c r="G187" s="85">
        <v>430</v>
      </c>
      <c r="H187" s="86">
        <v>14</v>
      </c>
      <c r="I187" s="87">
        <v>0.2</v>
      </c>
      <c r="J187" s="85">
        <v>2145</v>
      </c>
      <c r="K187" s="85">
        <v>860</v>
      </c>
      <c r="L187" s="88">
        <v>2145</v>
      </c>
      <c r="M187" s="85">
        <v>65</v>
      </c>
      <c r="N187" s="85">
        <v>90</v>
      </c>
      <c r="O187" s="85">
        <v>58</v>
      </c>
      <c r="P187" s="86">
        <v>140</v>
      </c>
      <c r="Q187" s="85">
        <v>120</v>
      </c>
      <c r="R187" s="87">
        <v>5.8</v>
      </c>
      <c r="S187" s="21" t="s">
        <v>863</v>
      </c>
      <c r="T187" s="21">
        <v>1100.0899999999999</v>
      </c>
      <c r="U187" s="21" t="s">
        <v>869</v>
      </c>
      <c r="V187" s="21" t="s">
        <v>826</v>
      </c>
      <c r="X187" s="21" t="b">
        <v>1</v>
      </c>
      <c r="AA187" s="21">
        <v>15401</v>
      </c>
    </row>
    <row r="188" spans="1:27" x14ac:dyDescent="0.2">
      <c r="A188" s="84" t="s">
        <v>522</v>
      </c>
      <c r="B188" s="83" t="s">
        <v>720</v>
      </c>
      <c r="C188" s="84" t="s">
        <v>862</v>
      </c>
      <c r="D188" s="84" t="s">
        <v>735</v>
      </c>
      <c r="E188" s="85">
        <v>2145</v>
      </c>
      <c r="F188" s="85">
        <v>430</v>
      </c>
      <c r="G188" s="85">
        <v>430</v>
      </c>
      <c r="H188" s="86">
        <v>14</v>
      </c>
      <c r="I188" s="87">
        <v>0.2</v>
      </c>
      <c r="J188" s="85">
        <v>2145</v>
      </c>
      <c r="K188" s="85">
        <v>860</v>
      </c>
      <c r="L188" s="88">
        <v>2145</v>
      </c>
      <c r="M188" s="85">
        <v>65</v>
      </c>
      <c r="N188" s="85">
        <v>90</v>
      </c>
      <c r="O188" s="85">
        <v>58</v>
      </c>
      <c r="P188" s="86">
        <v>140</v>
      </c>
      <c r="Q188" s="85">
        <v>120</v>
      </c>
      <c r="R188" s="87">
        <v>5.8</v>
      </c>
      <c r="S188" s="21" t="s">
        <v>863</v>
      </c>
      <c r="T188" s="21">
        <v>1100.0899999999999</v>
      </c>
      <c r="U188" s="21" t="s">
        <v>869</v>
      </c>
      <c r="V188" s="21" t="s">
        <v>826</v>
      </c>
      <c r="X188" s="21" t="b">
        <v>1</v>
      </c>
      <c r="AA188" s="21">
        <v>15401</v>
      </c>
    </row>
    <row r="189" spans="1:27" x14ac:dyDescent="0.2">
      <c r="A189" s="84" t="s">
        <v>523</v>
      </c>
      <c r="B189" s="83" t="s">
        <v>720</v>
      </c>
      <c r="C189" s="84" t="s">
        <v>862</v>
      </c>
      <c r="D189" s="84" t="s">
        <v>735</v>
      </c>
      <c r="E189" s="85">
        <v>2145</v>
      </c>
      <c r="F189" s="85">
        <v>430</v>
      </c>
      <c r="G189" s="85">
        <v>430</v>
      </c>
      <c r="H189" s="86">
        <v>14</v>
      </c>
      <c r="I189" s="87">
        <v>0.2</v>
      </c>
      <c r="J189" s="85">
        <v>2145</v>
      </c>
      <c r="K189" s="85">
        <v>860</v>
      </c>
      <c r="L189" s="88">
        <v>2145</v>
      </c>
      <c r="M189" s="85">
        <v>65</v>
      </c>
      <c r="N189" s="85">
        <v>90</v>
      </c>
      <c r="O189" s="85">
        <v>58</v>
      </c>
      <c r="P189" s="86">
        <v>140</v>
      </c>
      <c r="Q189" s="85">
        <v>120</v>
      </c>
      <c r="R189" s="87">
        <v>5.8</v>
      </c>
      <c r="S189" s="21" t="s">
        <v>863</v>
      </c>
      <c r="T189" s="21">
        <v>1100.0899999999999</v>
      </c>
      <c r="U189" s="21" t="s">
        <v>869</v>
      </c>
      <c r="V189" s="21" t="s">
        <v>826</v>
      </c>
      <c r="X189" s="21" t="b">
        <v>1</v>
      </c>
      <c r="AA189" s="21">
        <v>15401</v>
      </c>
    </row>
    <row r="190" spans="1:27" x14ac:dyDescent="0.2">
      <c r="A190" s="84" t="s">
        <v>524</v>
      </c>
      <c r="B190" s="83" t="s">
        <v>720</v>
      </c>
      <c r="C190" s="84" t="s">
        <v>862</v>
      </c>
      <c r="D190" s="84" t="s">
        <v>735</v>
      </c>
      <c r="E190" s="85">
        <v>2145</v>
      </c>
      <c r="F190" s="85">
        <v>430</v>
      </c>
      <c r="G190" s="85">
        <v>430</v>
      </c>
      <c r="H190" s="86">
        <v>14</v>
      </c>
      <c r="I190" s="87">
        <v>0.2</v>
      </c>
      <c r="J190" s="85">
        <v>2145</v>
      </c>
      <c r="K190" s="85">
        <v>860</v>
      </c>
      <c r="L190" s="88">
        <v>2145</v>
      </c>
      <c r="M190" s="85">
        <v>65</v>
      </c>
      <c r="N190" s="85">
        <v>90</v>
      </c>
      <c r="O190" s="85">
        <v>58</v>
      </c>
      <c r="P190" s="86">
        <v>140</v>
      </c>
      <c r="Q190" s="85">
        <v>120</v>
      </c>
      <c r="R190" s="87">
        <v>5.8</v>
      </c>
      <c r="S190" s="21" t="s">
        <v>863</v>
      </c>
      <c r="T190" s="21">
        <v>1100.0899999999999</v>
      </c>
      <c r="U190" s="21" t="s">
        <v>869</v>
      </c>
      <c r="V190" s="21" t="s">
        <v>826</v>
      </c>
      <c r="X190" s="21" t="b">
        <v>1</v>
      </c>
      <c r="AA190" s="21">
        <v>15401</v>
      </c>
    </row>
    <row r="191" spans="1:27" x14ac:dyDescent="0.2">
      <c r="A191" s="84" t="s">
        <v>525</v>
      </c>
      <c r="B191" s="83" t="s">
        <v>720</v>
      </c>
      <c r="C191" s="84" t="s">
        <v>862</v>
      </c>
      <c r="D191" s="84" t="s">
        <v>735</v>
      </c>
      <c r="E191" s="85">
        <v>2145</v>
      </c>
      <c r="F191" s="85">
        <v>430</v>
      </c>
      <c r="G191" s="85">
        <v>430</v>
      </c>
      <c r="H191" s="86">
        <v>14</v>
      </c>
      <c r="I191" s="87">
        <v>0.2</v>
      </c>
      <c r="J191" s="85">
        <v>2145</v>
      </c>
      <c r="K191" s="85">
        <v>860</v>
      </c>
      <c r="L191" s="88">
        <v>2145</v>
      </c>
      <c r="M191" s="85">
        <v>65</v>
      </c>
      <c r="N191" s="85">
        <v>90</v>
      </c>
      <c r="O191" s="85">
        <v>58</v>
      </c>
      <c r="P191" s="86">
        <v>140</v>
      </c>
      <c r="Q191" s="85">
        <v>120</v>
      </c>
      <c r="R191" s="87">
        <v>5.8</v>
      </c>
      <c r="S191" s="21" t="s">
        <v>863</v>
      </c>
      <c r="T191" s="21">
        <v>1100.0899999999999</v>
      </c>
      <c r="U191" s="21" t="s">
        <v>869</v>
      </c>
      <c r="V191" s="21" t="s">
        <v>826</v>
      </c>
      <c r="X191" s="21" t="b">
        <v>1</v>
      </c>
      <c r="AA191" s="21">
        <v>15401</v>
      </c>
    </row>
    <row r="192" spans="1:27" x14ac:dyDescent="0.2">
      <c r="A192" s="84" t="s">
        <v>526</v>
      </c>
      <c r="B192" s="83" t="s">
        <v>720</v>
      </c>
      <c r="C192" s="84" t="s">
        <v>862</v>
      </c>
      <c r="D192" s="84" t="s">
        <v>742</v>
      </c>
      <c r="E192" s="85">
        <v>2145</v>
      </c>
      <c r="F192" s="85">
        <v>430</v>
      </c>
      <c r="G192" s="85">
        <v>430</v>
      </c>
      <c r="H192" s="86">
        <v>14</v>
      </c>
      <c r="I192" s="87">
        <v>0.2</v>
      </c>
      <c r="J192" s="85">
        <v>2145</v>
      </c>
      <c r="K192" s="85">
        <v>860</v>
      </c>
      <c r="L192" s="88">
        <v>2145</v>
      </c>
      <c r="M192" s="85">
        <v>65</v>
      </c>
      <c r="N192" s="85">
        <v>90</v>
      </c>
      <c r="O192" s="85">
        <v>58</v>
      </c>
      <c r="P192" s="86">
        <v>140</v>
      </c>
      <c r="Q192" s="85">
        <v>120</v>
      </c>
      <c r="R192" s="87">
        <v>5.8</v>
      </c>
      <c r="S192" s="21" t="s">
        <v>863</v>
      </c>
      <c r="T192" s="21">
        <v>1116.04</v>
      </c>
      <c r="U192" s="21" t="s">
        <v>870</v>
      </c>
      <c r="V192" s="21" t="s">
        <v>826</v>
      </c>
      <c r="X192" s="21" t="b">
        <v>1</v>
      </c>
      <c r="AA192" s="21">
        <v>15401</v>
      </c>
    </row>
    <row r="193" spans="1:27" x14ac:dyDescent="0.2">
      <c r="A193" s="84" t="s">
        <v>527</v>
      </c>
      <c r="B193" s="83" t="s">
        <v>720</v>
      </c>
      <c r="C193" s="84" t="s">
        <v>862</v>
      </c>
      <c r="D193" s="84" t="s">
        <v>742</v>
      </c>
      <c r="E193" s="85">
        <v>2145</v>
      </c>
      <c r="F193" s="85">
        <v>430</v>
      </c>
      <c r="G193" s="85">
        <v>430</v>
      </c>
      <c r="H193" s="86">
        <v>14</v>
      </c>
      <c r="I193" s="87">
        <v>0.2</v>
      </c>
      <c r="J193" s="85">
        <v>2145</v>
      </c>
      <c r="K193" s="85">
        <v>860</v>
      </c>
      <c r="L193" s="88">
        <v>2145</v>
      </c>
      <c r="M193" s="85">
        <v>65</v>
      </c>
      <c r="N193" s="85">
        <v>90</v>
      </c>
      <c r="O193" s="85">
        <v>58</v>
      </c>
      <c r="P193" s="86">
        <v>140</v>
      </c>
      <c r="Q193" s="85">
        <v>120</v>
      </c>
      <c r="R193" s="87">
        <v>5.8</v>
      </c>
      <c r="S193" s="21" t="s">
        <v>863</v>
      </c>
      <c r="T193" s="21">
        <v>1116.04</v>
      </c>
      <c r="U193" s="21" t="s">
        <v>870</v>
      </c>
      <c r="V193" s="21" t="s">
        <v>826</v>
      </c>
      <c r="X193" s="21" t="b">
        <v>1</v>
      </c>
      <c r="AA193" s="21">
        <v>15401</v>
      </c>
    </row>
    <row r="194" spans="1:27" x14ac:dyDescent="0.2">
      <c r="A194" s="84" t="s">
        <v>528</v>
      </c>
      <c r="B194" s="83" t="s">
        <v>720</v>
      </c>
      <c r="C194" s="84" t="s">
        <v>862</v>
      </c>
      <c r="D194" s="84" t="s">
        <v>742</v>
      </c>
      <c r="E194" s="85">
        <v>2145</v>
      </c>
      <c r="F194" s="85">
        <v>430</v>
      </c>
      <c r="G194" s="85">
        <v>430</v>
      </c>
      <c r="H194" s="86">
        <v>14</v>
      </c>
      <c r="I194" s="87">
        <v>0.2</v>
      </c>
      <c r="J194" s="85">
        <v>2145</v>
      </c>
      <c r="K194" s="85">
        <v>860</v>
      </c>
      <c r="L194" s="88">
        <v>2145</v>
      </c>
      <c r="M194" s="85">
        <v>65</v>
      </c>
      <c r="N194" s="85">
        <v>90</v>
      </c>
      <c r="O194" s="85">
        <v>58</v>
      </c>
      <c r="P194" s="86">
        <v>140</v>
      </c>
      <c r="Q194" s="85">
        <v>120</v>
      </c>
      <c r="R194" s="87">
        <v>5.8</v>
      </c>
      <c r="S194" s="21" t="s">
        <v>863</v>
      </c>
      <c r="T194" s="21">
        <v>1116.04</v>
      </c>
      <c r="U194" s="21" t="s">
        <v>870</v>
      </c>
      <c r="V194" s="21" t="s">
        <v>826</v>
      </c>
      <c r="X194" s="21" t="b">
        <v>1</v>
      </c>
      <c r="AA194" s="21">
        <v>15401</v>
      </c>
    </row>
    <row r="195" spans="1:27" x14ac:dyDescent="0.2">
      <c r="A195" s="84" t="s">
        <v>529</v>
      </c>
      <c r="B195" s="83" t="s">
        <v>720</v>
      </c>
      <c r="C195" s="84" t="s">
        <v>862</v>
      </c>
      <c r="D195" s="84" t="s">
        <v>742</v>
      </c>
      <c r="E195" s="85">
        <v>2145</v>
      </c>
      <c r="F195" s="85">
        <v>430</v>
      </c>
      <c r="G195" s="85">
        <v>430</v>
      </c>
      <c r="H195" s="86">
        <v>14</v>
      </c>
      <c r="I195" s="87">
        <v>0.2</v>
      </c>
      <c r="J195" s="85">
        <v>2145</v>
      </c>
      <c r="K195" s="85">
        <v>860</v>
      </c>
      <c r="L195" s="88">
        <v>2145</v>
      </c>
      <c r="M195" s="85">
        <v>65</v>
      </c>
      <c r="N195" s="85">
        <v>90</v>
      </c>
      <c r="O195" s="85">
        <v>58</v>
      </c>
      <c r="P195" s="86">
        <v>140</v>
      </c>
      <c r="Q195" s="85">
        <v>120</v>
      </c>
      <c r="R195" s="87">
        <v>5.8</v>
      </c>
      <c r="S195" s="21" t="s">
        <v>863</v>
      </c>
      <c r="T195" s="21">
        <v>1116.04</v>
      </c>
      <c r="U195" s="21" t="s">
        <v>870</v>
      </c>
      <c r="V195" s="21" t="s">
        <v>826</v>
      </c>
      <c r="X195" s="21" t="b">
        <v>1</v>
      </c>
      <c r="AA195" s="21">
        <v>15401</v>
      </c>
    </row>
    <row r="196" spans="1:27" x14ac:dyDescent="0.2">
      <c r="A196" s="84" t="s">
        <v>530</v>
      </c>
      <c r="B196" s="83" t="s">
        <v>720</v>
      </c>
      <c r="C196" s="84" t="s">
        <v>862</v>
      </c>
      <c r="D196" s="84" t="s">
        <v>742</v>
      </c>
      <c r="E196" s="85">
        <v>2145</v>
      </c>
      <c r="F196" s="85">
        <v>430</v>
      </c>
      <c r="G196" s="85">
        <v>430</v>
      </c>
      <c r="H196" s="86">
        <v>14</v>
      </c>
      <c r="I196" s="87">
        <v>0.2</v>
      </c>
      <c r="J196" s="85">
        <v>2145</v>
      </c>
      <c r="K196" s="85">
        <v>860</v>
      </c>
      <c r="L196" s="88">
        <v>2145</v>
      </c>
      <c r="M196" s="85">
        <v>65</v>
      </c>
      <c r="N196" s="85">
        <v>90</v>
      </c>
      <c r="O196" s="85">
        <v>58</v>
      </c>
      <c r="P196" s="86">
        <v>140</v>
      </c>
      <c r="Q196" s="85">
        <v>120</v>
      </c>
      <c r="R196" s="87">
        <v>5.8</v>
      </c>
      <c r="S196" s="21" t="s">
        <v>863</v>
      </c>
      <c r="T196" s="21">
        <v>1116.04</v>
      </c>
      <c r="U196" s="21" t="s">
        <v>870</v>
      </c>
      <c r="V196" s="21" t="s">
        <v>826</v>
      </c>
      <c r="X196" s="21" t="b">
        <v>1</v>
      </c>
      <c r="AA196" s="21">
        <v>15401</v>
      </c>
    </row>
    <row r="197" spans="1:27" x14ac:dyDescent="0.2">
      <c r="A197" s="84" t="s">
        <v>531</v>
      </c>
      <c r="B197" s="83" t="s">
        <v>720</v>
      </c>
      <c r="C197" s="84" t="s">
        <v>862</v>
      </c>
      <c r="D197" s="84" t="s">
        <v>742</v>
      </c>
      <c r="E197" s="85">
        <v>2145</v>
      </c>
      <c r="F197" s="85">
        <v>430</v>
      </c>
      <c r="G197" s="85">
        <v>430</v>
      </c>
      <c r="H197" s="86">
        <v>14</v>
      </c>
      <c r="I197" s="87">
        <v>0.2</v>
      </c>
      <c r="J197" s="85">
        <v>2145</v>
      </c>
      <c r="K197" s="85">
        <v>860</v>
      </c>
      <c r="L197" s="88">
        <v>2145</v>
      </c>
      <c r="M197" s="85">
        <v>65</v>
      </c>
      <c r="N197" s="85">
        <v>90</v>
      </c>
      <c r="O197" s="85">
        <v>58</v>
      </c>
      <c r="P197" s="86">
        <v>140</v>
      </c>
      <c r="Q197" s="85">
        <v>120</v>
      </c>
      <c r="R197" s="87">
        <v>5.8</v>
      </c>
      <c r="S197" s="21" t="s">
        <v>863</v>
      </c>
      <c r="T197" s="21">
        <v>1116.04</v>
      </c>
      <c r="U197" s="21" t="s">
        <v>870</v>
      </c>
      <c r="V197" s="21" t="s">
        <v>826</v>
      </c>
      <c r="X197" s="21" t="b">
        <v>1</v>
      </c>
      <c r="AA197" s="21">
        <v>15401</v>
      </c>
    </row>
    <row r="198" spans="1:27" x14ac:dyDescent="0.2">
      <c r="A198" s="84" t="s">
        <v>532</v>
      </c>
      <c r="B198" s="83" t="s">
        <v>720</v>
      </c>
      <c r="C198" s="84" t="s">
        <v>862</v>
      </c>
      <c r="D198" s="84" t="s">
        <v>742</v>
      </c>
      <c r="E198" s="85">
        <v>2145</v>
      </c>
      <c r="F198" s="85">
        <v>430</v>
      </c>
      <c r="G198" s="85">
        <v>430</v>
      </c>
      <c r="H198" s="86">
        <v>14</v>
      </c>
      <c r="I198" s="87">
        <v>0.2</v>
      </c>
      <c r="J198" s="85">
        <v>2145</v>
      </c>
      <c r="K198" s="85">
        <v>860</v>
      </c>
      <c r="L198" s="88">
        <v>2145</v>
      </c>
      <c r="M198" s="85">
        <v>65</v>
      </c>
      <c r="N198" s="85">
        <v>90</v>
      </c>
      <c r="O198" s="85">
        <v>58</v>
      </c>
      <c r="P198" s="86">
        <v>140</v>
      </c>
      <c r="Q198" s="85">
        <v>120</v>
      </c>
      <c r="R198" s="87">
        <v>5.8</v>
      </c>
      <c r="S198" s="21" t="s">
        <v>863</v>
      </c>
      <c r="T198" s="21">
        <v>1116.04</v>
      </c>
      <c r="U198" s="21" t="s">
        <v>870</v>
      </c>
      <c r="V198" s="21" t="s">
        <v>826</v>
      </c>
      <c r="X198" s="21" t="b">
        <v>1</v>
      </c>
      <c r="AA198" s="21">
        <v>15401</v>
      </c>
    </row>
    <row r="199" spans="1:27" x14ac:dyDescent="0.2">
      <c r="A199" s="84" t="s">
        <v>533</v>
      </c>
      <c r="B199" s="83" t="s">
        <v>728</v>
      </c>
      <c r="C199" s="84" t="s">
        <v>862</v>
      </c>
      <c r="D199" s="84" t="s">
        <v>742</v>
      </c>
      <c r="E199" s="85">
        <v>2120</v>
      </c>
      <c r="F199" s="85">
        <v>635</v>
      </c>
      <c r="G199" s="85">
        <v>430</v>
      </c>
      <c r="H199" s="86">
        <v>14</v>
      </c>
      <c r="I199" s="87">
        <v>0.2</v>
      </c>
      <c r="J199" s="85">
        <v>2120</v>
      </c>
      <c r="K199" s="85">
        <v>430</v>
      </c>
      <c r="L199" s="88">
        <v>2120</v>
      </c>
      <c r="M199" s="85">
        <v>65</v>
      </c>
      <c r="N199" s="85">
        <v>90</v>
      </c>
      <c r="O199" s="87">
        <v>57.5</v>
      </c>
      <c r="P199" s="86">
        <v>140</v>
      </c>
      <c r="Q199" s="85">
        <v>120</v>
      </c>
      <c r="R199" s="87">
        <v>5.8</v>
      </c>
      <c r="S199" s="21" t="s">
        <v>863</v>
      </c>
      <c r="T199" s="21">
        <v>1218.02</v>
      </c>
      <c r="U199" s="21" t="s">
        <v>871</v>
      </c>
      <c r="V199" s="21" t="s">
        <v>826</v>
      </c>
      <c r="X199" s="21" t="b">
        <v>1</v>
      </c>
      <c r="AA199" s="21">
        <v>15401</v>
      </c>
    </row>
    <row r="200" spans="1:27" x14ac:dyDescent="0.2">
      <c r="A200" s="84" t="s">
        <v>534</v>
      </c>
      <c r="B200" s="83" t="s">
        <v>728</v>
      </c>
      <c r="C200" s="84" t="s">
        <v>862</v>
      </c>
      <c r="D200" s="84" t="s">
        <v>742</v>
      </c>
      <c r="E200" s="85">
        <v>2430</v>
      </c>
      <c r="F200" s="85">
        <v>730</v>
      </c>
      <c r="G200" s="85">
        <v>560</v>
      </c>
      <c r="H200" s="86">
        <v>16</v>
      </c>
      <c r="I200" s="87">
        <v>0.2</v>
      </c>
      <c r="J200" s="85">
        <v>2430</v>
      </c>
      <c r="K200" s="85">
        <v>560</v>
      </c>
      <c r="L200" s="88">
        <v>2430</v>
      </c>
      <c r="M200" s="85">
        <v>65</v>
      </c>
      <c r="N200" s="85">
        <v>90</v>
      </c>
      <c r="O200" s="85">
        <v>66</v>
      </c>
      <c r="P200" s="86">
        <v>140</v>
      </c>
      <c r="Q200" s="85">
        <v>120</v>
      </c>
      <c r="R200" s="87">
        <v>6.6</v>
      </c>
      <c r="S200" s="21" t="s">
        <v>863</v>
      </c>
      <c r="T200" s="21">
        <v>1218.07</v>
      </c>
      <c r="U200" s="21" t="s">
        <v>872</v>
      </c>
      <c r="V200" s="21" t="s">
        <v>826</v>
      </c>
      <c r="X200" s="21" t="b">
        <v>1</v>
      </c>
      <c r="AA200" s="21">
        <v>15401</v>
      </c>
    </row>
    <row r="202" spans="1:27" x14ac:dyDescent="0.2">
      <c r="A202" t="s">
        <v>262</v>
      </c>
      <c r="AA202" s="21">
        <v>15501</v>
      </c>
    </row>
    <row r="203" spans="1:27" x14ac:dyDescent="0.2">
      <c r="A203" t="s">
        <v>264</v>
      </c>
      <c r="AA203" s="21">
        <v>15502</v>
      </c>
    </row>
    <row r="205" spans="1:27" x14ac:dyDescent="0.2">
      <c r="A205" s="6" t="s">
        <v>352</v>
      </c>
    </row>
    <row r="206" spans="1:27" x14ac:dyDescent="0.2">
      <c r="A206" s="6" t="s">
        <v>353</v>
      </c>
    </row>
    <row r="207" spans="1:27" x14ac:dyDescent="0.2">
      <c r="A207" s="6" t="s">
        <v>354</v>
      </c>
    </row>
    <row r="208" spans="1:27" x14ac:dyDescent="0.2">
      <c r="A208" s="6" t="s">
        <v>355</v>
      </c>
    </row>
    <row r="209" spans="1:15" x14ac:dyDescent="0.2">
      <c r="A209" s="6" t="s">
        <v>356</v>
      </c>
    </row>
    <row r="210" spans="1:15" x14ac:dyDescent="0.2">
      <c r="A210" s="6" t="s">
        <v>357</v>
      </c>
    </row>
    <row r="211" spans="1:15" x14ac:dyDescent="0.2">
      <c r="A211" s="6" t="s">
        <v>358</v>
      </c>
    </row>
    <row r="212" spans="1:15" ht="13.5" thickBot="1" x14ac:dyDescent="0.25">
      <c r="A212" s="6" t="s">
        <v>359</v>
      </c>
    </row>
    <row r="213" spans="1:15" ht="13.5" thickBot="1" x14ac:dyDescent="0.25">
      <c r="A213" s="6" t="s">
        <v>360</v>
      </c>
      <c r="J213" s="154" t="s">
        <v>843</v>
      </c>
      <c r="K213" s="155" t="s">
        <v>543</v>
      </c>
      <c r="L213" s="155" t="s">
        <v>844</v>
      </c>
      <c r="M213" s="155" t="s">
        <v>845</v>
      </c>
      <c r="N213" s="156" t="s">
        <v>854</v>
      </c>
      <c r="O213" s="157" t="s">
        <v>1179</v>
      </c>
    </row>
    <row r="214" spans="1:15" x14ac:dyDescent="0.2">
      <c r="A214" s="6" t="s">
        <v>361</v>
      </c>
      <c r="J214" s="158">
        <v>15001</v>
      </c>
      <c r="K214" s="129" t="s">
        <v>846</v>
      </c>
      <c r="L214" s="129">
        <v>605</v>
      </c>
      <c r="M214" s="51">
        <f>COUNTIF($AA$1:$AA$204, J214)</f>
        <v>16</v>
      </c>
      <c r="N214" s="129">
        <v>17</v>
      </c>
      <c r="O214" s="159" t="s">
        <v>807</v>
      </c>
    </row>
    <row r="215" spans="1:15" x14ac:dyDescent="0.2">
      <c r="A215" s="6" t="s">
        <v>362</v>
      </c>
      <c r="J215" s="158">
        <v>15002</v>
      </c>
      <c r="K215" s="129" t="s">
        <v>847</v>
      </c>
      <c r="L215" s="129">
        <v>606</v>
      </c>
      <c r="M215" s="51">
        <f t="shared" ref="M215:M223" si="41">COUNTIF($AA$1:$AA$204, J215)</f>
        <v>9</v>
      </c>
      <c r="N215" s="129">
        <v>8</v>
      </c>
      <c r="O215" s="159" t="s">
        <v>809</v>
      </c>
    </row>
    <row r="216" spans="1:15" x14ac:dyDescent="0.2">
      <c r="A216" s="6" t="s">
        <v>363</v>
      </c>
      <c r="J216" s="158">
        <v>15003</v>
      </c>
      <c r="K216" s="129" t="s">
        <v>848</v>
      </c>
      <c r="L216" s="129">
        <v>607</v>
      </c>
      <c r="M216" s="51">
        <f t="shared" si="41"/>
        <v>15</v>
      </c>
      <c r="N216" s="129">
        <v>15</v>
      </c>
      <c r="O216" s="159" t="s">
        <v>810</v>
      </c>
    </row>
    <row r="217" spans="1:15" x14ac:dyDescent="0.2">
      <c r="A217" s="6" t="s">
        <v>364</v>
      </c>
      <c r="J217" s="158">
        <v>15201</v>
      </c>
      <c r="K217" s="129" t="s">
        <v>849</v>
      </c>
      <c r="L217" s="129">
        <v>601</v>
      </c>
      <c r="M217" s="51">
        <f t="shared" si="41"/>
        <v>121</v>
      </c>
      <c r="N217" s="129">
        <v>121</v>
      </c>
      <c r="O217" s="159" t="s">
        <v>812</v>
      </c>
    </row>
    <row r="218" spans="1:15" x14ac:dyDescent="0.2">
      <c r="A218" s="6" t="s">
        <v>365</v>
      </c>
      <c r="J218" s="158">
        <v>15401</v>
      </c>
      <c r="K218" s="129" t="s">
        <v>850</v>
      </c>
      <c r="L218" s="129">
        <v>609</v>
      </c>
      <c r="M218" s="51">
        <f t="shared" si="41"/>
        <v>16</v>
      </c>
      <c r="N218" s="129">
        <v>16</v>
      </c>
      <c r="O218" s="159" t="s">
        <v>814</v>
      </c>
    </row>
    <row r="219" spans="1:15" x14ac:dyDescent="0.2">
      <c r="A219" s="6" t="s">
        <v>366</v>
      </c>
      <c r="J219" s="158">
        <v>15501</v>
      </c>
      <c r="K219" s="129" t="s">
        <v>262</v>
      </c>
      <c r="L219" s="129">
        <v>107</v>
      </c>
      <c r="M219" s="51">
        <f t="shared" si="41"/>
        <v>1</v>
      </c>
      <c r="N219" s="129">
        <v>1</v>
      </c>
      <c r="O219" s="159" t="s">
        <v>815</v>
      </c>
    </row>
    <row r="220" spans="1:15" x14ac:dyDescent="0.2">
      <c r="A220" s="6" t="s">
        <v>367</v>
      </c>
      <c r="J220" s="158">
        <v>15502</v>
      </c>
      <c r="K220" s="129" t="s">
        <v>264</v>
      </c>
      <c r="L220" s="129">
        <v>108</v>
      </c>
      <c r="M220" s="51">
        <f t="shared" si="41"/>
        <v>1</v>
      </c>
      <c r="N220" s="129">
        <v>1</v>
      </c>
      <c r="O220" s="159" t="s">
        <v>815</v>
      </c>
    </row>
    <row r="221" spans="1:15" x14ac:dyDescent="0.2">
      <c r="A221" s="6" t="s">
        <v>368</v>
      </c>
      <c r="J221" s="158">
        <v>15801</v>
      </c>
      <c r="K221" s="129" t="s">
        <v>851</v>
      </c>
      <c r="L221" s="129">
        <v>610</v>
      </c>
      <c r="M221" s="51">
        <f t="shared" si="41"/>
        <v>7</v>
      </c>
      <c r="N221" s="129">
        <v>7</v>
      </c>
      <c r="O221" s="159" t="s">
        <v>813</v>
      </c>
    </row>
    <row r="222" spans="1:15" x14ac:dyDescent="0.2">
      <c r="A222" s="6" t="s">
        <v>369</v>
      </c>
      <c r="J222" s="158">
        <v>15202</v>
      </c>
      <c r="K222" s="129" t="s">
        <v>852</v>
      </c>
      <c r="L222" s="129">
        <v>604</v>
      </c>
      <c r="M222" s="51">
        <f t="shared" si="41"/>
        <v>2</v>
      </c>
      <c r="N222" s="129">
        <v>2</v>
      </c>
      <c r="O222" s="159" t="s">
        <v>811</v>
      </c>
    </row>
    <row r="223" spans="1:15" x14ac:dyDescent="0.2">
      <c r="A223" s="6" t="s">
        <v>370</v>
      </c>
      <c r="J223" s="160">
        <v>15004</v>
      </c>
      <c r="K223" s="161" t="s">
        <v>853</v>
      </c>
      <c r="L223" s="161">
        <v>603</v>
      </c>
      <c r="M223" s="162">
        <f t="shared" si="41"/>
        <v>1</v>
      </c>
      <c r="N223" s="161">
        <v>1</v>
      </c>
      <c r="O223" s="163" t="s">
        <v>808</v>
      </c>
    </row>
    <row r="224" spans="1:15" x14ac:dyDescent="0.2">
      <c r="A224" s="6" t="s">
        <v>371</v>
      </c>
    </row>
    <row r="225" spans="1:1" x14ac:dyDescent="0.2">
      <c r="A225" s="6" t="s">
        <v>372</v>
      </c>
    </row>
    <row r="226" spans="1:1" x14ac:dyDescent="0.2">
      <c r="A226" s="6" t="s">
        <v>373</v>
      </c>
    </row>
    <row r="227" spans="1:1" x14ac:dyDescent="0.2">
      <c r="A227" s="6" t="s">
        <v>374</v>
      </c>
    </row>
    <row r="228" spans="1:1" x14ac:dyDescent="0.2">
      <c r="A228" s="6" t="s">
        <v>375</v>
      </c>
    </row>
    <row r="229" spans="1:1" x14ac:dyDescent="0.2">
      <c r="A229" s="6" t="s">
        <v>376</v>
      </c>
    </row>
    <row r="230" spans="1:1" x14ac:dyDescent="0.2">
      <c r="A230" s="6" t="s">
        <v>377</v>
      </c>
    </row>
    <row r="231" spans="1:1" x14ac:dyDescent="0.2">
      <c r="A231" s="6" t="s">
        <v>378</v>
      </c>
    </row>
    <row r="232" spans="1:1" x14ac:dyDescent="0.2">
      <c r="A232" s="6" t="s">
        <v>379</v>
      </c>
    </row>
    <row r="233" spans="1:1" x14ac:dyDescent="0.2">
      <c r="A233" s="6" t="s">
        <v>380</v>
      </c>
    </row>
    <row r="234" spans="1:1" x14ac:dyDescent="0.2">
      <c r="A234" s="6" t="s">
        <v>381</v>
      </c>
    </row>
    <row r="235" spans="1:1" x14ac:dyDescent="0.2">
      <c r="A235" s="7" t="s">
        <v>382</v>
      </c>
    </row>
    <row r="236" spans="1:1" x14ac:dyDescent="0.2">
      <c r="A236" s="7" t="s">
        <v>383</v>
      </c>
    </row>
    <row r="237" spans="1:1" x14ac:dyDescent="0.2">
      <c r="A237" s="7" t="s">
        <v>384</v>
      </c>
    </row>
    <row r="238" spans="1:1" x14ac:dyDescent="0.2">
      <c r="A238" s="8" t="s">
        <v>385</v>
      </c>
    </row>
    <row r="239" spans="1:1" x14ac:dyDescent="0.2">
      <c r="A239" s="8" t="s">
        <v>386</v>
      </c>
    </row>
    <row r="240" spans="1:1" x14ac:dyDescent="0.2">
      <c r="A240" s="8" t="s">
        <v>387</v>
      </c>
    </row>
    <row r="241" spans="1:1" x14ac:dyDescent="0.2">
      <c r="A241" s="8" t="s">
        <v>388</v>
      </c>
    </row>
    <row r="242" spans="1:1" x14ac:dyDescent="0.2">
      <c r="A242" s="8" t="s">
        <v>389</v>
      </c>
    </row>
    <row r="243" spans="1:1" x14ac:dyDescent="0.2">
      <c r="A243" s="8" t="s">
        <v>390</v>
      </c>
    </row>
    <row r="244" spans="1:1" x14ac:dyDescent="0.2">
      <c r="A244" s="8" t="s">
        <v>391</v>
      </c>
    </row>
    <row r="245" spans="1:1" x14ac:dyDescent="0.2">
      <c r="A245" s="8" t="s">
        <v>392</v>
      </c>
    </row>
  </sheetData>
  <conditionalFormatting sqref="V141:V153">
    <cfRule type="expression" dxfId="4" priority="6">
      <formula>AND(V141=TS, Q141&gt;0)</formula>
    </cfRule>
  </conditionalFormatting>
  <conditionalFormatting sqref="V155:V160">
    <cfRule type="expression" dxfId="3" priority="5">
      <formula>AND(V155=TS, Q155&gt;0)</formula>
    </cfRule>
  </conditionalFormatting>
  <conditionalFormatting sqref="V163:V164">
    <cfRule type="expression" dxfId="2" priority="4">
      <formula>AND(V163=TS, Q163&gt;0)</formula>
    </cfRule>
  </conditionalFormatting>
  <conditionalFormatting sqref="V167:V175">
    <cfRule type="expression" dxfId="1" priority="3">
      <formula>AND(V167=TS, Q167&gt;0)</formula>
    </cfRule>
  </conditionalFormatting>
  <conditionalFormatting sqref="V177:V180">
    <cfRule type="expression" dxfId="0" priority="2">
      <formula>AND(V177=TS, Q178&gt;0)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49F0-E6AE-489A-9A26-8440B3CC94ED}">
  <dimension ref="B1:H11"/>
  <sheetViews>
    <sheetView workbookViewId="0">
      <selection activeCell="B2" sqref="B2"/>
    </sheetView>
  </sheetViews>
  <sheetFormatPr defaultRowHeight="12.75" x14ac:dyDescent="0.2"/>
  <cols>
    <col min="2" max="2" width="21.85546875" bestFit="1" customWidth="1"/>
    <col min="3" max="3" width="14.140625" customWidth="1"/>
  </cols>
  <sheetData>
    <row r="1" spans="2:8" x14ac:dyDescent="0.2">
      <c r="B1" t="s">
        <v>1145</v>
      </c>
      <c r="C1" t="s">
        <v>1146</v>
      </c>
      <c r="D1" t="s">
        <v>1147</v>
      </c>
      <c r="E1" t="s">
        <v>1168</v>
      </c>
      <c r="F1" t="s">
        <v>1167</v>
      </c>
      <c r="G1" t="s">
        <v>1169</v>
      </c>
      <c r="H1" t="s">
        <v>1167</v>
      </c>
    </row>
    <row r="2" spans="2:8" x14ac:dyDescent="0.2">
      <c r="B2" t="s">
        <v>1149</v>
      </c>
      <c r="C2">
        <v>70301</v>
      </c>
      <c r="D2">
        <v>1</v>
      </c>
      <c r="E2">
        <v>1</v>
      </c>
      <c r="F2">
        <v>301</v>
      </c>
      <c r="G2">
        <v>2</v>
      </c>
      <c r="H2">
        <v>351</v>
      </c>
    </row>
    <row r="3" spans="2:8" x14ac:dyDescent="0.2">
      <c r="B3" t="s">
        <v>1150</v>
      </c>
      <c r="C3">
        <v>70302</v>
      </c>
      <c r="D3">
        <v>2</v>
      </c>
      <c r="E3">
        <v>1</v>
      </c>
      <c r="F3">
        <v>302</v>
      </c>
      <c r="G3">
        <v>2</v>
      </c>
      <c r="H3">
        <v>352</v>
      </c>
    </row>
    <row r="4" spans="2:8" x14ac:dyDescent="0.2">
      <c r="B4" t="s">
        <v>1151</v>
      </c>
      <c r="C4">
        <v>70303</v>
      </c>
      <c r="D4">
        <v>3</v>
      </c>
      <c r="E4">
        <v>1</v>
      </c>
      <c r="F4">
        <v>303</v>
      </c>
      <c r="G4">
        <v>2</v>
      </c>
      <c r="H4">
        <v>353</v>
      </c>
    </row>
    <row r="5" spans="2:8" x14ac:dyDescent="0.2">
      <c r="B5" t="s">
        <v>1152</v>
      </c>
      <c r="C5">
        <v>70304</v>
      </c>
      <c r="D5">
        <v>4</v>
      </c>
      <c r="E5">
        <v>1</v>
      </c>
      <c r="F5">
        <v>304</v>
      </c>
      <c r="G5">
        <v>2</v>
      </c>
      <c r="H5">
        <v>354</v>
      </c>
    </row>
    <row r="6" spans="2:8" x14ac:dyDescent="0.2">
      <c r="B6" t="s">
        <v>1153</v>
      </c>
      <c r="C6">
        <v>70305</v>
      </c>
      <c r="D6">
        <v>5</v>
      </c>
      <c r="E6">
        <v>1</v>
      </c>
      <c r="F6">
        <v>305</v>
      </c>
      <c r="G6">
        <v>2</v>
      </c>
      <c r="H6">
        <v>355</v>
      </c>
    </row>
    <row r="7" spans="2:8" x14ac:dyDescent="0.2">
      <c r="B7" t="s">
        <v>1154</v>
      </c>
      <c r="C7">
        <v>70306</v>
      </c>
      <c r="D7">
        <v>6</v>
      </c>
      <c r="E7">
        <v>1</v>
      </c>
      <c r="F7">
        <v>306</v>
      </c>
      <c r="G7">
        <v>2</v>
      </c>
      <c r="H7">
        <v>356</v>
      </c>
    </row>
    <row r="8" spans="2:8" x14ac:dyDescent="0.2">
      <c r="B8" t="s">
        <v>1155</v>
      </c>
      <c r="C8">
        <v>70307</v>
      </c>
      <c r="D8">
        <v>7</v>
      </c>
      <c r="E8">
        <v>1</v>
      </c>
      <c r="F8">
        <v>307</v>
      </c>
      <c r="G8">
        <v>2</v>
      </c>
      <c r="H8">
        <v>357</v>
      </c>
    </row>
    <row r="9" spans="2:8" x14ac:dyDescent="0.2">
      <c r="B9" t="s">
        <v>1157</v>
      </c>
      <c r="C9">
        <v>70308</v>
      </c>
      <c r="D9">
        <v>8</v>
      </c>
      <c r="E9">
        <v>1</v>
      </c>
      <c r="F9">
        <v>308</v>
      </c>
      <c r="G9">
        <v>2</v>
      </c>
      <c r="H9">
        <v>358</v>
      </c>
    </row>
    <row r="10" spans="2:8" x14ac:dyDescent="0.2">
      <c r="B10" t="s">
        <v>1148</v>
      </c>
      <c r="C10">
        <v>70309</v>
      </c>
      <c r="D10">
        <v>9</v>
      </c>
      <c r="E10">
        <v>1</v>
      </c>
      <c r="F10">
        <v>309</v>
      </c>
      <c r="G10">
        <v>2</v>
      </c>
      <c r="H10">
        <v>359</v>
      </c>
    </row>
    <row r="11" spans="2:8" x14ac:dyDescent="0.2">
      <c r="B11" t="s">
        <v>1156</v>
      </c>
      <c r="C11">
        <v>70310</v>
      </c>
      <c r="D11">
        <v>10</v>
      </c>
      <c r="E11">
        <v>1</v>
      </c>
      <c r="F11">
        <v>310</v>
      </c>
      <c r="G11">
        <v>2</v>
      </c>
      <c r="H11">
        <v>360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Joined</vt:lpstr>
      <vt:lpstr>ABT</vt:lpstr>
      <vt:lpstr>Sched</vt:lpstr>
      <vt:lpstr>PanelInstance</vt:lpstr>
      <vt:lpstr>Joined</vt:lpstr>
      <vt:lpstr>SchedMark</vt:lpstr>
      <vt:lpstr>Schedule</vt:lpstr>
      <vt:lpstr>SystemName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JONES, MEGAN (BT AM SE ENB)</dc:creator>
  <cp:keywords>C_Unrestricted</cp:keywords>
  <cp:lastModifiedBy>Vorsten, John (SI RSS-AM Z2 SOL AUS AUTO)</cp:lastModifiedBy>
  <cp:lastPrinted>2018-09-20T16:11:02Z</cp:lastPrinted>
  <dcterms:created xsi:type="dcterms:W3CDTF">2018-07-31T15:18:43Z</dcterms:created>
  <dcterms:modified xsi:type="dcterms:W3CDTF">2019-08-28T19:29:44Z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</Properties>
</file>