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1126" codeName="{22E68647-3C60-695B-3CA0-4895CD717B8A}"/>
  <workbookPr filterPrivacy="1" codeName="ThisWorkbook" defaultThemeVersion="124226"/>
  <xr:revisionPtr revIDLastSave="0" documentId="13_ncr:40019_{220379E6-927B-4F07-B6EA-7C880F22ABB5}" xr6:coauthVersionLast="40" xr6:coauthVersionMax="40" xr10:uidLastSave="{00000000-0000-0000-0000-000000000000}"/>
  <bookViews>
    <workbookView xWindow="30" yWindow="32760" windowWidth="12540" windowHeight="11895" firstSheet="1" activeTab="1"/>
  </bookViews>
  <sheets>
    <sheet name="Quick Entry" sheetId="7" state="hidden" r:id="rId1"/>
    <sheet name="Material Return Form" sheetId="4" r:id="rId2"/>
    <sheet name="Shipping Label" sheetId="5" r:id="rId3"/>
    <sheet name="Background Info" sheetId="6" state="hidden" r:id="rId4"/>
  </sheets>
  <definedNames>
    <definedName name="Analysis_Rep">'Background Info'!$D$4</definedName>
    <definedName name="Category">'Background Info'!$E$2</definedName>
    <definedName name="Location">'Background Info'!$D$1</definedName>
    <definedName name="lst_Branch">'Background Info'!$A$2:$A$74</definedName>
    <definedName name="_xlnm.Print_Area" localSheetId="1">'Material Return Form'!$A$1:$O$77</definedName>
    <definedName name="_xlnm.Print_Area" localSheetId="2">'Shipping Label'!$A$1:$H$47</definedName>
    <definedName name="Project_WBS">'Material Return Form'!$C$9</definedName>
    <definedName name="Return_Type">'Background Info'!$D$2</definedName>
    <definedName name="RMA_or_RPO">'Material Return Form'!$E$63</definedName>
    <definedName name="RSO">'Material Return Form'!$D$49</definedName>
    <definedName name="Service_Order">'Material Return Form'!$J$9</definedName>
    <definedName name="Shipping">'Background Info'!$D$5</definedName>
    <definedName name="Third_Party_Type">'Background Info'!$D$3</definedName>
    <definedName name="Tracking">'Material Return Form'!$D$70</definedName>
    <definedName name="Units">'Background Info'!$K$7:$K$30</definedName>
    <definedName name="WarehouseDate">'Background Info'!$D$6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7" i="4" l="1"/>
  <c r="K15" i="4"/>
  <c r="B10" i="7"/>
  <c r="I8" i="6"/>
  <c r="I16" i="6"/>
  <c r="D7" i="6"/>
  <c r="B15" i="7"/>
  <c r="B14" i="7"/>
  <c r="A22" i="7"/>
  <c r="A7" i="7"/>
  <c r="E75" i="4"/>
  <c r="I70" i="4"/>
  <c r="K70" i="4"/>
  <c r="E1" i="6"/>
  <c r="E2" i="6"/>
  <c r="E4" i="6"/>
  <c r="D5" i="6"/>
  <c r="L7" i="6"/>
  <c r="G8" i="6"/>
  <c r="H8" i="6"/>
  <c r="G9" i="6"/>
  <c r="H9" i="6"/>
  <c r="I9" i="6"/>
  <c r="G10" i="6"/>
  <c r="H10" i="6"/>
  <c r="I10" i="6"/>
  <c r="L10" i="6"/>
  <c r="G11" i="6"/>
  <c r="H11" i="6"/>
  <c r="I11" i="6"/>
  <c r="G12" i="6"/>
  <c r="H12" i="6"/>
  <c r="I12" i="6"/>
  <c r="L12" i="6"/>
  <c r="L11" i="6"/>
  <c r="G13" i="6"/>
  <c r="H13" i="6"/>
  <c r="I13" i="6"/>
  <c r="L13" i="6"/>
  <c r="G14" i="6"/>
  <c r="H14" i="6"/>
  <c r="I14" i="6"/>
  <c r="G15" i="6"/>
  <c r="H15" i="6"/>
  <c r="I15" i="6"/>
  <c r="L16" i="6"/>
  <c r="L18" i="6"/>
  <c r="L17" i="6"/>
  <c r="L19" i="6"/>
  <c r="L22" i="6"/>
  <c r="L24" i="6"/>
  <c r="L23" i="6"/>
  <c r="L25" i="6"/>
  <c r="L28" i="6"/>
  <c r="L30" i="6"/>
  <c r="L29" i="6"/>
  <c r="C7" i="5"/>
  <c r="C10" i="5"/>
  <c r="C12" i="5"/>
  <c r="C14" i="5"/>
  <c r="C15" i="5"/>
  <c r="C17" i="5"/>
  <c r="C19" i="5"/>
  <c r="C22" i="5"/>
  <c r="K25" i="4"/>
  <c r="E55" i="4"/>
  <c r="K63" i="4"/>
  <c r="C7" i="7"/>
  <c r="C9" i="5"/>
  <c r="C20" i="5"/>
</calcChain>
</file>

<file path=xl/comments1.xml><?xml version="1.0" encoding="utf-8"?>
<comments xmlns="http://schemas.openxmlformats.org/spreadsheetml/2006/main">
  <authors>
    <author>Author</author>
  </authors>
  <commentList>
    <comment ref="A1" authorId="0" shapeId="0">
      <text>
        <r>
          <rPr>
            <sz val="8"/>
            <color indexed="81"/>
            <rFont val="Tahoma"/>
            <family val="2"/>
          </rPr>
          <t>Branch office personnel with access to SAP complete section 1.  The technician returning material provides his / her contact information, the Project / Service Order #, the part number(s), the approximate time in service, a description of the problem, and the technical support ticket, if available.</t>
        </r>
      </text>
    </comment>
    <comment ref="A2" authorId="0" shapeId="0">
      <text>
        <r>
          <rPr>
            <sz val="8"/>
            <color indexed="81"/>
            <rFont val="Tahoma"/>
            <family val="2"/>
          </rPr>
          <t>Enter the Originator's email address. (It must end with @siemens.com.)</t>
        </r>
      </text>
    </comment>
    <comment ref="A3" authorId="0" shapeId="0">
      <text>
        <r>
          <rPr>
            <sz val="8"/>
            <color indexed="81"/>
            <rFont val="Tahoma"/>
            <family val="2"/>
          </rPr>
          <t>Select the Sales Office from the drop-down list.</t>
        </r>
      </text>
    </comment>
    <comment ref="A5" authorId="0" shapeId="0">
      <text>
        <r>
          <rPr>
            <sz val="8"/>
            <color indexed="81"/>
            <rFont val="Tahoma"/>
            <family val="2"/>
          </rPr>
          <t>Enter the PO number on which the returned product was originally purchased (10 digit number start with 45).</t>
        </r>
      </text>
    </comment>
    <comment ref="A6" authorId="0" shapeId="0">
      <text>
        <r>
          <rPr>
            <sz val="8"/>
            <color indexed="81"/>
            <rFont val="Tahoma"/>
            <family val="2"/>
          </rPr>
          <t>The source of the return - Project, Service Order, or Product Sales.</t>
        </r>
      </text>
    </comment>
    <comment ref="A7" authorId="0" shapeId="0">
      <text>
        <r>
          <rPr>
            <sz val="9"/>
            <color indexed="81"/>
            <rFont val="Tahoma"/>
            <family val="2"/>
          </rPr>
          <t>E</t>
        </r>
        <r>
          <rPr>
            <sz val="8"/>
            <color indexed="81"/>
            <rFont val="Tahoma"/>
            <family val="2"/>
          </rPr>
          <t>nter Project WBS, Service Order #, or Return Sales Order # (based on your selection above).</t>
        </r>
      </text>
    </comment>
    <comment ref="A8" authorId="0" shapeId="0">
      <text>
        <r>
          <rPr>
            <sz val="8"/>
            <color indexed="81"/>
            <rFont val="Tahoma"/>
            <family val="2"/>
          </rPr>
          <t>For part sale returns, enter the Return Delivery # (10 digits starting with 47).</t>
        </r>
      </text>
    </comment>
    <comment ref="A10" authorId="0" shapeId="0">
      <text>
        <r>
          <rPr>
            <sz val="8"/>
            <color indexed="81"/>
            <rFont val="Tahoma"/>
            <family val="2"/>
          </rPr>
          <t>Enter or select either B100 or B700 for the Plant.</t>
        </r>
      </text>
    </comment>
    <comment ref="A11" authorId="0" shapeId="0">
      <text>
        <r>
          <rPr>
            <sz val="8"/>
            <color indexed="81"/>
            <rFont val="Tahoma"/>
            <family val="2"/>
          </rPr>
          <t>For Warranty and Excess returns, please enter the Ship date of the original PO.</t>
        </r>
      </text>
    </comment>
    <comment ref="A12" authorId="0" shapeId="0">
      <text>
        <r>
          <rPr>
            <sz val="8"/>
            <color indexed="81"/>
            <rFont val="Tahoma"/>
            <family val="2"/>
          </rPr>
          <t>Enter the location where the product is to be returned.</t>
        </r>
      </text>
    </comment>
    <comment ref="A13" authorId="0" shapeId="0">
      <text>
        <r>
          <rPr>
            <b/>
            <sz val="8"/>
            <color indexed="81"/>
            <rFont val="Tahoma"/>
            <family val="2"/>
          </rPr>
          <t>- Warranty</t>
        </r>
        <r>
          <rPr>
            <sz val="8"/>
            <color indexed="81"/>
            <rFont val="Tahoma"/>
            <family val="2"/>
          </rPr>
          <t xml:space="preserve"> - MFG Defect Product Return
</t>
        </r>
        <r>
          <rPr>
            <b/>
            <sz val="8"/>
            <color indexed="81"/>
            <rFont val="Tahoma"/>
            <family val="2"/>
          </rPr>
          <t>- Excess</t>
        </r>
        <r>
          <rPr>
            <sz val="8"/>
            <color indexed="81"/>
            <rFont val="Tahoma"/>
            <family val="2"/>
          </rPr>
          <t xml:space="preserve"> - Uninstalled/unused/re-stockable product
- </t>
        </r>
        <r>
          <rPr>
            <b/>
            <sz val="8"/>
            <color indexed="81"/>
            <rFont val="Tahoma"/>
            <family val="2"/>
          </rPr>
          <t>Recall</t>
        </r>
        <r>
          <rPr>
            <sz val="8"/>
            <color indexed="81"/>
            <rFont val="Tahoma"/>
            <family val="2"/>
          </rPr>
          <t xml:space="preserve"> - Customer product replacement program
</t>
        </r>
        <r>
          <rPr>
            <b/>
            <sz val="8"/>
            <color indexed="81"/>
            <rFont val="Tahoma"/>
            <family val="2"/>
          </rPr>
          <t>- Shipping Error</t>
        </r>
        <r>
          <rPr>
            <sz val="8"/>
            <color indexed="81"/>
            <rFont val="Tahoma"/>
            <family val="2"/>
          </rPr>
          <t xml:space="preserve"> - Product shipped in error
</t>
        </r>
        <r>
          <rPr>
            <b/>
            <sz val="8"/>
            <color indexed="81"/>
            <rFont val="Tahoma"/>
            <family val="2"/>
          </rPr>
          <t>- Upgrade Rebate</t>
        </r>
        <r>
          <rPr>
            <sz val="8"/>
            <color indexed="81"/>
            <rFont val="Tahoma"/>
            <family val="2"/>
          </rPr>
          <t xml:space="preserve"> - Product listed on PM upgrade list.  Include copy of original PO with Return.
</t>
        </r>
        <r>
          <rPr>
            <b/>
            <sz val="8"/>
            <color indexed="81"/>
            <rFont val="Tahoma"/>
            <family val="2"/>
          </rPr>
          <t>- Core (Repair) Rebate</t>
        </r>
        <r>
          <rPr>
            <sz val="8"/>
            <color indexed="81"/>
            <rFont val="Tahoma"/>
            <family val="2"/>
          </rPr>
          <t xml:space="preserve"> - Older specific products listed on core rebate list</t>
        </r>
      </text>
    </comment>
    <comment ref="A14" authorId="0" shapeId="0">
      <text>
        <r>
          <rPr>
            <sz val="8"/>
            <color indexed="81"/>
            <rFont val="Tahoma"/>
            <family val="2"/>
          </rPr>
          <t>If you select 3rd Party, this group wiill default to Material.  Select Asset/BOE, if appropriate.</t>
        </r>
      </text>
    </comment>
    <comment ref="A15" authorId="0" shapeId="0">
      <text>
        <r>
          <rPr>
            <sz val="8"/>
            <color indexed="81"/>
            <rFont val="Tahoma"/>
            <family val="2"/>
          </rPr>
          <t>The factory will pay for shipping on Warranty, Recall, and Shipping Error returns.  Enter No if you wish to pay for shipping.  Otherwise leave empty.</t>
        </r>
      </text>
    </comment>
    <comment ref="A16" authorId="0" shapeId="0">
      <text>
        <r>
          <rPr>
            <sz val="8"/>
            <color indexed="81"/>
            <rFont val="Tahoma"/>
            <family val="2"/>
          </rPr>
          <t>For Warranty returns, enter the Technical Support Ticket number, if provided (format: 1- followed by 10 digits).</t>
        </r>
      </text>
    </comment>
    <comment ref="A17" authorId="0" shapeId="0">
      <text>
        <r>
          <rPr>
            <sz val="8"/>
            <color indexed="81"/>
            <rFont val="Tahoma"/>
            <family val="2"/>
          </rPr>
          <t>For Warranty returns, please provide the name of the technician who investigated the product failure.</t>
        </r>
      </text>
    </comment>
    <comment ref="A18" authorId="0" shapeId="0">
      <text>
        <r>
          <rPr>
            <sz val="8"/>
            <color indexed="81"/>
            <rFont val="Tahoma"/>
            <family val="2"/>
          </rPr>
          <t>For Warranty returns, please provide the cell number of the technician who investigated the product failure.</t>
        </r>
      </text>
    </comment>
    <comment ref="A19" authorId="0" shapeId="0">
      <text>
        <r>
          <rPr>
            <sz val="8"/>
            <color indexed="81"/>
            <rFont val="Tahoma"/>
            <family val="2"/>
          </rPr>
          <t>For Warranty returns, it is required to provide the email address of a technician with the @siemens.com extension.  This is the person who can be contacted to help investigate returns when no fault is initally detected.</t>
        </r>
      </text>
    </comment>
    <comment ref="A20" authorId="0" shapeId="0">
      <text>
        <r>
          <rPr>
            <sz val="8"/>
            <color indexed="81"/>
            <rFont val="Tahoma"/>
            <family val="2"/>
          </rPr>
          <t>Describe why the product was returned.  For Warranty returns, please provide as much detail as possible regarding how the product was failing.</t>
        </r>
      </text>
    </comment>
    <comment ref="A21" authorId="0" shapeId="0">
      <text>
        <r>
          <rPr>
            <sz val="8"/>
            <color indexed="81"/>
            <rFont val="Tahoma"/>
            <family val="2"/>
          </rPr>
          <t>Enter Yes or No to request a Material Analysis Report for Warranty returns.</t>
        </r>
      </text>
    </comment>
    <comment ref="A22" authorId="0" shapeId="0">
      <text>
        <r>
          <rPr>
            <sz val="8"/>
            <color indexed="81"/>
            <rFont val="Tahoma"/>
            <family val="2"/>
          </rPr>
          <t>For Recalls, enter the 3-digit Service Bulletin or Product Line News number, e.g. TA_14_</t>
        </r>
        <r>
          <rPr>
            <b/>
            <u/>
            <sz val="8"/>
            <color indexed="81"/>
            <rFont val="Tahoma"/>
            <family val="2"/>
          </rPr>
          <t>213</t>
        </r>
        <r>
          <rPr>
            <sz val="8"/>
            <color indexed="81"/>
            <rFont val="Tahoma"/>
            <family val="2"/>
          </rPr>
          <t>.  Click on the title for a list of bulletins for the selected location.</t>
        </r>
      </text>
    </comment>
    <comment ref="A23" authorId="0" shapeId="0">
      <text>
        <r>
          <rPr>
            <sz val="8"/>
            <color indexed="81"/>
            <rFont val="Tahoma"/>
            <family val="2"/>
          </rPr>
          <t>Choose either to Return or Destroy the materials, if the Return Center denies the claim.  See Warranty and Returns Policy for charges that may be applied to returned materials.</t>
        </r>
      </text>
    </comment>
    <comment ref="A24" authorId="0" shapeId="0">
      <text>
        <r>
          <rPr>
            <sz val="8"/>
            <color indexed="81"/>
            <rFont val="Tahoma"/>
            <family val="2"/>
          </rPr>
          <t xml:space="preserve">You can enter an alternate address, if needed, for sending back the product if the Warranty or Excess claim is declined. </t>
        </r>
      </text>
    </comment>
    <comment ref="A25" authorId="0" shapeId="0">
      <text>
        <r>
          <rPr>
            <sz val="8"/>
            <color indexed="81"/>
            <rFont val="Tahoma"/>
            <family val="2"/>
          </rPr>
          <t>If you entered an alternate address, you must provide a shipping account number (e.g. UPS 37B84B).</t>
        </r>
      </text>
    </comment>
    <comment ref="A26" authorId="0" shapeId="0">
      <text>
        <r>
          <rPr>
            <sz val="8"/>
            <color indexed="81"/>
            <rFont val="Tahoma"/>
            <family val="2"/>
          </rPr>
          <t>Enter the Warehouse (or Warehouse Coordinator's) email address.  (It must end with siemens.com.)</t>
        </r>
      </text>
    </comment>
    <comment ref="A27" authorId="0" shapeId="0">
      <text>
        <r>
          <rPr>
            <sz val="8"/>
            <color indexed="81"/>
            <rFont val="Tahoma"/>
            <family val="2"/>
          </rPr>
          <t>Identify the number of packages being returned.  A shipping label will be printed for each package.</t>
        </r>
      </text>
    </comment>
    <comment ref="A28" authorId="0" shapeId="0">
      <text>
        <r>
          <rPr>
            <sz val="8"/>
            <color indexed="81"/>
            <rFont val="Tahoma"/>
            <family val="2"/>
          </rPr>
          <t>Enter the Pick-up Address if it is different from the Sales Office Warehouse address and the "Factory to pay for shipping" checkbox is selected.</t>
        </r>
      </text>
    </comment>
    <comment ref="A29" authorId="0" shapeId="0">
      <text>
        <r>
          <rPr>
            <sz val="8"/>
            <color indexed="81"/>
            <rFont val="Tahoma"/>
            <family val="2"/>
          </rPr>
          <t>When the factory is to pay for shipping, enter any special instructions:  e.g. 2 packages - 1st for 30 lbs and 2nd for 20 lbs.</t>
        </r>
      </text>
    </comment>
    <comment ref="B30" authorId="0" shapeId="0">
      <text>
        <r>
          <rPr>
            <sz val="8"/>
            <color indexed="81"/>
            <rFont val="Tahoma"/>
            <family val="2"/>
          </rPr>
          <t>Enter the SAP part number for the individual component being returned.</t>
        </r>
      </text>
    </comment>
    <comment ref="C30" authorId="0" shapeId="0">
      <text>
        <r>
          <rPr>
            <sz val="8"/>
            <color indexed="81"/>
            <rFont val="Tahoma"/>
            <family val="2"/>
          </rPr>
          <t xml:space="preserve">If the part being returned is </t>
        </r>
        <r>
          <rPr>
            <b/>
            <u/>
            <sz val="8"/>
            <color indexed="81"/>
            <rFont val="Tahoma"/>
            <family val="2"/>
          </rPr>
          <t>part</t>
        </r>
        <r>
          <rPr>
            <sz val="8"/>
            <color indexed="81"/>
            <rFont val="Tahoma"/>
            <family val="2"/>
          </rPr>
          <t xml:space="preserve"> of a Kit, Assembly or Bulk Pack, enter the part number that was purchased on the original PO.  Otherwise leave this field empty.</t>
        </r>
      </text>
    </comment>
    <comment ref="D30" authorId="0" shapeId="0">
      <text>
        <r>
          <rPr>
            <sz val="8"/>
            <color indexed="81"/>
            <rFont val="Tahoma"/>
            <family val="2"/>
          </rPr>
          <t>If a replacement part was purchased for a Warranty or Recall return, enter the PO #.  The PO # is 10 digits and starts with 45.</t>
        </r>
      </text>
    </comment>
    <comment ref="E30" authorId="0" shapeId="0">
      <text>
        <r>
          <rPr>
            <sz val="8"/>
            <color indexed="81"/>
            <rFont val="Tahoma"/>
            <family val="2"/>
          </rPr>
          <t>Enter the individual purchase price for the part being returned, if known.  Note:  Credit price may differ if it is part of a Kit, Assembly, or Bulk Pack.</t>
        </r>
      </text>
    </comment>
    <comment ref="F30" authorId="0" shapeId="0">
      <text>
        <r>
          <rPr>
            <sz val="8"/>
            <color indexed="81"/>
            <rFont val="Tahoma"/>
            <family val="2"/>
          </rPr>
          <t>For Warranty returns, enter the approximate length of time the product was in use.  Select the units of time from the cell on the right.</t>
        </r>
      </text>
    </comment>
  </commentList>
</comments>
</file>

<file path=xl/comments2.xml><?xml version="1.0" encoding="utf-8"?>
<comments xmlns="http://schemas.openxmlformats.org/spreadsheetml/2006/main">
  <authors>
    <author>Author</author>
  </authors>
  <commentList>
    <comment ref="E5" authorId="0" shapeId="0">
      <text>
        <r>
          <rPr>
            <sz val="8"/>
            <color indexed="81"/>
            <rFont val="Tahoma"/>
            <family val="2"/>
          </rPr>
          <t>Branch office personnel with access to SAP complete section 1.  The technician returning material provides his / her contact information, the Project / Service Order #, the part number(s), the approximate time in service, a description of the problem, and if available, the technical support ticket.</t>
        </r>
      </text>
    </comment>
    <comment ref="B7" authorId="0" shapeId="0">
      <text>
        <r>
          <rPr>
            <sz val="8"/>
            <color indexed="81"/>
            <rFont val="Tahoma"/>
            <family val="2"/>
          </rPr>
          <t>Date will default to today's date and will be locked down when the RPO # is assigned and sent.</t>
        </r>
      </text>
    </comment>
    <comment ref="E7" authorId="0" shapeId="0">
      <text>
        <r>
          <rPr>
            <sz val="8"/>
            <color indexed="81"/>
            <rFont val="Tahoma"/>
            <family val="2"/>
          </rPr>
          <t>Branch office personnel with access to SAP complete section 1.  The technician returning material provides his / her contact information, the Project / Service Order #, the part number(s), the approximate time in service, a description of the problem, and the technical support ticket, if available.</t>
        </r>
      </text>
    </comment>
    <comment ref="I7" authorId="0" shapeId="0">
      <text>
        <r>
          <rPr>
            <sz val="8"/>
            <color indexed="81"/>
            <rFont val="Tahoma"/>
            <family val="2"/>
          </rPr>
          <t>Enter the Originator's email address.  (It must end with @siemens.com.)</t>
        </r>
      </text>
    </comment>
    <comment ref="N7" authorId="0" shapeId="0">
      <text>
        <r>
          <rPr>
            <sz val="8"/>
            <color indexed="81"/>
            <rFont val="Tahoma"/>
            <family val="2"/>
          </rPr>
          <t>Enter the location where the product is to be returned.</t>
        </r>
      </text>
    </comment>
    <comment ref="B9" authorId="0" shapeId="0">
      <text>
        <r>
          <rPr>
            <sz val="8"/>
            <color indexed="81"/>
            <rFont val="Tahoma"/>
            <family val="2"/>
          </rPr>
          <t>Project WBS numbers start with 44OP- followed by six numbers. You can enter the six numbers without leading 0s and the default network extention will be added, or you can fill in the full WBS # with the alternate network extension.</t>
        </r>
      </text>
    </comment>
    <comment ref="H9" authorId="0" shapeId="0">
      <text>
        <r>
          <rPr>
            <sz val="8"/>
            <color indexed="81"/>
            <rFont val="Tahoma"/>
            <family val="2"/>
          </rPr>
          <t xml:space="preserve">Service Order #s start with 50 or 52 and are 10 digits long. </t>
        </r>
      </text>
    </comment>
    <comment ref="J11" authorId="0" shapeId="0">
      <text>
        <r>
          <rPr>
            <sz val="8"/>
            <color indexed="81"/>
            <rFont val="Tahoma"/>
            <family val="2"/>
          </rPr>
          <t>For warranty returns, enter the Technical Support ticket number, if provided.  (Format:  1- followed by 10 digits.)</t>
        </r>
      </text>
    </comment>
    <comment ref="B13" authorId="0" shapeId="0">
      <text>
        <r>
          <rPr>
            <sz val="8"/>
            <color indexed="81"/>
            <rFont val="Tahoma"/>
            <family val="2"/>
          </rPr>
          <t>Enter the PO number on which the returned product was originally purchased (10 digit number start with 45).</t>
        </r>
      </text>
    </comment>
    <comment ref="J13" authorId="0" shapeId="0">
      <text>
        <r>
          <rPr>
            <sz val="8"/>
            <color indexed="81"/>
            <rFont val="Tahoma"/>
            <family val="2"/>
          </rPr>
          <t>For Warranty and Excess returns, please enter the Ship Date of the original PO.</t>
        </r>
      </text>
    </comment>
    <comment ref="B15" authorId="0" shapeId="0">
      <text>
        <r>
          <rPr>
            <sz val="8"/>
            <color indexed="81"/>
            <rFont val="Tahoma"/>
            <family val="2"/>
          </rPr>
          <t>Select the Sales Office from the drop-down list.</t>
        </r>
      </text>
    </comment>
    <comment ref="G15" authorId="0" shapeId="0">
      <text>
        <r>
          <rPr>
            <sz val="8"/>
            <color indexed="81"/>
            <rFont val="Tahoma"/>
            <family val="2"/>
          </rPr>
          <t>Enter or select either B100 or B700 for the Plant.</t>
        </r>
      </text>
    </comment>
    <comment ref="J15" authorId="0" shapeId="0">
      <text>
        <r>
          <rPr>
            <sz val="8"/>
            <color indexed="81"/>
            <rFont val="Tahoma"/>
            <family val="2"/>
          </rPr>
          <t>The Storage Location is filled in based on the selection of the Sales Office Name and the Plant.</t>
        </r>
      </text>
    </comment>
    <comment ref="B17" authorId="0" shapeId="0">
      <text>
        <r>
          <rPr>
            <sz val="8"/>
            <color indexed="81"/>
            <rFont val="Tahoma"/>
            <family val="2"/>
          </rPr>
          <t>For Warranty returns, please provide the name and cell number of the technician who investigated the product failure.</t>
        </r>
      </text>
    </comment>
    <comment ref="H17" authorId="0" shapeId="0">
      <text>
        <r>
          <rPr>
            <sz val="8"/>
            <color indexed="81"/>
            <rFont val="Tahoma"/>
            <family val="2"/>
          </rPr>
          <t>For Warranty returns, it is required to provide the email address of a technician with the @siemens.com extension.  This is the person who can be contacted to help investigate returns when no fault is initally detected.</t>
        </r>
      </text>
    </comment>
    <comment ref="B20" authorId="0" shapeId="0">
      <text>
        <r>
          <rPr>
            <sz val="8"/>
            <color indexed="81"/>
            <rFont val="Tahoma"/>
            <family val="2"/>
          </rPr>
          <t>Describe why the product was returned.  For Warranty returns, please provide as much detail as possible regarding how the product was failing.</t>
        </r>
      </text>
    </comment>
    <comment ref="D25" authorId="0" shapeId="0">
      <text>
        <r>
          <rPr>
            <b/>
            <sz val="8"/>
            <color indexed="81"/>
            <rFont val="Tahoma"/>
            <family val="2"/>
          </rPr>
          <t>- Warranty</t>
        </r>
        <r>
          <rPr>
            <sz val="8"/>
            <color indexed="81"/>
            <rFont val="Tahoma"/>
            <family val="2"/>
          </rPr>
          <t xml:space="preserve"> - MFG Defect Product Return
</t>
        </r>
        <r>
          <rPr>
            <b/>
            <sz val="8"/>
            <color indexed="81"/>
            <rFont val="Tahoma"/>
            <family val="2"/>
          </rPr>
          <t>- Excess</t>
        </r>
        <r>
          <rPr>
            <sz val="8"/>
            <color indexed="81"/>
            <rFont val="Tahoma"/>
            <family val="2"/>
          </rPr>
          <t xml:space="preserve"> - Uninstalled/unused/re-stockable product
- </t>
        </r>
        <r>
          <rPr>
            <b/>
            <sz val="8"/>
            <color indexed="81"/>
            <rFont val="Tahoma"/>
            <family val="2"/>
          </rPr>
          <t>Recall</t>
        </r>
        <r>
          <rPr>
            <sz val="8"/>
            <color indexed="81"/>
            <rFont val="Tahoma"/>
            <family val="2"/>
          </rPr>
          <t xml:space="preserve"> - Customer product replacement program
</t>
        </r>
        <r>
          <rPr>
            <b/>
            <sz val="8"/>
            <color indexed="81"/>
            <rFont val="Tahoma"/>
            <family val="2"/>
          </rPr>
          <t>- Shipping Error</t>
        </r>
        <r>
          <rPr>
            <sz val="8"/>
            <color indexed="81"/>
            <rFont val="Tahoma"/>
            <family val="2"/>
          </rPr>
          <t xml:space="preserve"> - Product shipped in error
</t>
        </r>
        <r>
          <rPr>
            <b/>
            <sz val="8"/>
            <color indexed="81"/>
            <rFont val="Tahoma"/>
            <family val="2"/>
          </rPr>
          <t>- Upgrade Rebate</t>
        </r>
        <r>
          <rPr>
            <sz val="8"/>
            <color indexed="81"/>
            <rFont val="Tahoma"/>
            <family val="2"/>
          </rPr>
          <t xml:space="preserve"> - Product listed on PM upgrade list.  Include copy of original PO with Return.
</t>
        </r>
        <r>
          <rPr>
            <b/>
            <sz val="8"/>
            <color indexed="81"/>
            <rFont val="Tahoma"/>
            <family val="2"/>
          </rPr>
          <t>- Core (Repair) Rebate</t>
        </r>
        <r>
          <rPr>
            <sz val="8"/>
            <color indexed="81"/>
            <rFont val="Tahoma"/>
            <family val="2"/>
          </rPr>
          <t xml:space="preserve"> - Older specific products listed on core rebate list</t>
        </r>
      </text>
    </comment>
    <comment ref="G25" authorId="0" shapeId="0">
      <text>
        <r>
          <rPr>
            <sz val="8"/>
            <color indexed="81"/>
            <rFont val="Tahoma"/>
            <family val="2"/>
          </rPr>
          <t>If you select 3rd Party, this group wiill default to Material.  Select Asset/BOE, if appropriate.</t>
        </r>
      </text>
    </comment>
    <comment ref="H25" authorId="0" shapeId="0">
      <text>
        <r>
          <rPr>
            <sz val="8"/>
            <color indexed="81"/>
            <rFont val="Tahoma"/>
            <family val="2"/>
          </rPr>
          <t>Check the box to request a Material Analysis Report for Warranty Returns.</t>
        </r>
      </text>
    </comment>
    <comment ref="K25" authorId="0" shapeId="0">
      <text>
        <r>
          <rPr>
            <sz val="8"/>
            <color indexed="81"/>
            <rFont val="Tahoma"/>
            <family val="2"/>
          </rPr>
          <t>For Recalls, enter the 3-digit Service Bulletin or Product Line News number, e.g. TA_14_</t>
        </r>
        <r>
          <rPr>
            <b/>
            <u/>
            <sz val="8"/>
            <color indexed="81"/>
            <rFont val="Tahoma"/>
            <family val="2"/>
          </rPr>
          <t>213</t>
        </r>
        <r>
          <rPr>
            <sz val="8"/>
            <color indexed="81"/>
            <rFont val="Tahoma"/>
            <family val="2"/>
          </rPr>
          <t>.  Click on the title for a list of bulletins for the selected location.</t>
        </r>
      </text>
    </comment>
    <comment ref="H26" authorId="0" shapeId="0">
      <text>
        <r>
          <rPr>
            <sz val="8"/>
            <color indexed="81"/>
            <rFont val="Tahoma"/>
            <family val="2"/>
          </rPr>
          <t>Choose either to Return or Destroy the materials, if the Return Center denies the claim.  See Warranty and Returns Policy for charges that may be applied to returned materials.</t>
        </r>
      </text>
    </comment>
    <comment ref="L27" authorId="0" shapeId="0">
      <text>
        <r>
          <rPr>
            <sz val="8"/>
            <color indexed="81"/>
            <rFont val="Tahoma"/>
            <family val="2"/>
          </rPr>
          <t>The factory will pay for shipping on Warranty, Recall, and Shipping Error returns.  Uncheck if you wish to pay for the shipping.</t>
        </r>
      </text>
    </comment>
    <comment ref="B29" authorId="0" shapeId="0">
      <text>
        <r>
          <rPr>
            <sz val="8"/>
            <color indexed="81"/>
            <rFont val="Tahoma"/>
            <family val="2"/>
          </rPr>
          <t xml:space="preserve">You can enter an alternate address, if needed, for sending back the product if the Warranty or Excess claim is declined. </t>
        </r>
      </text>
    </comment>
    <comment ref="J29" authorId="0" shapeId="0">
      <text>
        <r>
          <rPr>
            <sz val="8"/>
            <color indexed="81"/>
            <rFont val="Tahoma"/>
            <family val="2"/>
          </rPr>
          <t>If you entered an alternate address, you must provide a shipping account number (e.g. UPS 37B84B).</t>
        </r>
      </text>
    </comment>
    <comment ref="M29" authorId="0" shapeId="0">
      <text>
        <r>
          <rPr>
            <sz val="8"/>
            <color indexed="81"/>
            <rFont val="Tahoma"/>
            <family val="2"/>
          </rPr>
          <t>If you entered an alternate address you must provide a shipping account number. (e.g. UPS 37B84B)</t>
        </r>
      </text>
    </comment>
    <comment ref="C31" authorId="0" shapeId="0">
      <text>
        <r>
          <rPr>
            <sz val="8"/>
            <color indexed="81"/>
            <rFont val="Tahoma"/>
            <family val="2"/>
          </rPr>
          <t>Enter the SAP part number for the individual component being returned.</t>
        </r>
      </text>
    </comment>
    <comment ref="F31" authorId="0" shapeId="0">
      <text>
        <r>
          <rPr>
            <sz val="8"/>
            <color indexed="81"/>
            <rFont val="Tahoma"/>
            <family val="2"/>
          </rPr>
          <t xml:space="preserve">If the part being returned is </t>
        </r>
        <r>
          <rPr>
            <b/>
            <u/>
            <sz val="8"/>
            <color indexed="81"/>
            <rFont val="Tahoma"/>
            <family val="2"/>
          </rPr>
          <t>part</t>
        </r>
        <r>
          <rPr>
            <sz val="8"/>
            <color indexed="81"/>
            <rFont val="Tahoma"/>
            <family val="2"/>
          </rPr>
          <t xml:space="preserve"> of a Kit, Assembly, or Bulk Pack, enter the part number that was purchased on the original PO.  Otherwise leave this field empty.</t>
        </r>
      </text>
    </comment>
    <comment ref="I31" authorId="0" shapeId="0">
      <text>
        <r>
          <rPr>
            <sz val="8"/>
            <color indexed="81"/>
            <rFont val="Tahoma"/>
            <family val="2"/>
          </rPr>
          <t>If a replacement part was purchased for a Warranty or Recall return, enter the PO #.  The PO # is 10 digits and starts with 45.</t>
        </r>
      </text>
    </comment>
    <comment ref="K31" authorId="0" shapeId="0">
      <text>
        <r>
          <rPr>
            <sz val="8"/>
            <color indexed="81"/>
            <rFont val="Tahoma"/>
            <family val="2"/>
          </rPr>
          <t>Enter the individual purchase price for the part being returned, if known.  Note:  Base Credit price may differ if it is part of a Kit, Aassembly, or Bulk Pack.</t>
        </r>
      </text>
    </comment>
    <comment ref="L31" authorId="0" shapeId="0">
      <text>
        <r>
          <rPr>
            <sz val="8"/>
            <color indexed="81"/>
            <rFont val="Tahoma"/>
            <family val="2"/>
          </rPr>
          <t>For Warranty returns, enter the approximate length of time the product was in use.  Select the units of time from the cell on the right.</t>
        </r>
      </text>
    </comment>
    <comment ref="B49" authorId="0" shapeId="0">
      <text>
        <r>
          <rPr>
            <sz val="8"/>
            <color indexed="81"/>
            <rFont val="Tahoma"/>
            <family val="2"/>
          </rPr>
          <t>For product sale returns, provide the Return Sales Order #</t>
        </r>
        <r>
          <rPr>
            <sz val="9"/>
            <color indexed="81"/>
            <rFont val="Tahoma"/>
            <family val="2"/>
          </rPr>
          <t xml:space="preserve"> (</t>
        </r>
        <r>
          <rPr>
            <sz val="8"/>
            <color indexed="81"/>
            <rFont val="Tahoma"/>
            <family val="2"/>
          </rPr>
          <t>10 digits starting with 35).</t>
        </r>
      </text>
    </comment>
    <comment ref="E49" authorId="0" shapeId="0">
      <text>
        <r>
          <rPr>
            <sz val="8"/>
            <color indexed="81"/>
            <rFont val="Tahoma"/>
            <family val="2"/>
          </rPr>
          <t>For product sale returns, enter the Return Delivery # (10 digits starting with 47).</t>
        </r>
      </text>
    </comment>
    <comment ref="B55" authorId="0" shapeId="0">
      <text>
        <r>
          <rPr>
            <sz val="8"/>
            <color indexed="81"/>
            <rFont val="Tahoma"/>
            <family val="2"/>
          </rPr>
          <t>The Account Assignment will be filled in automatically based on the information in sections 1 and 2. Q=Solutions Project, E=Sales Order, Blank=Service Order</t>
        </r>
      </text>
    </comment>
    <comment ref="G55" authorId="0" shapeId="0">
      <text>
        <r>
          <rPr>
            <sz val="8"/>
            <color indexed="81"/>
            <rFont val="Tahoma"/>
            <family val="2"/>
          </rPr>
          <t>Enter the Warehouse (or Warehouse Coordinator's) email address.  (It must end with siemens.com.)</t>
        </r>
      </text>
    </comment>
    <comment ref="K55" authorId="0" shapeId="0">
      <text>
        <r>
          <rPr>
            <sz val="8"/>
            <color indexed="81"/>
            <rFont val="Tahoma"/>
            <family val="2"/>
          </rPr>
          <t>Identify the number of packages being returned.  A shipping label will be printed for each package.</t>
        </r>
      </text>
    </comment>
    <comment ref="B57" authorId="0" shapeId="0">
      <text>
        <r>
          <rPr>
            <sz val="8"/>
            <color indexed="81"/>
            <rFont val="Tahoma"/>
            <family val="2"/>
          </rPr>
          <t>Enter the Pick-up Address if it is different from the Sales Office Warehouse Address and the "Factory to pay for shipping" checkbox is selected.</t>
        </r>
      </text>
    </comment>
    <comment ref="H57" authorId="0" shapeId="0">
      <text>
        <r>
          <rPr>
            <sz val="8"/>
            <color indexed="81"/>
            <rFont val="Tahoma"/>
            <family val="2"/>
          </rPr>
          <t>When the factory is to pay for shipping, enter any special instructions:  e.g. 2 packages - 1st for 30 lbs and 2nd for 20 lbs, additional tracking numbers.</t>
        </r>
      </text>
    </comment>
    <comment ref="B63" authorId="0" shapeId="0">
      <text>
        <r>
          <rPr>
            <sz val="8"/>
            <color indexed="81"/>
            <rFont val="Tahoma"/>
            <family val="2"/>
          </rPr>
          <t>Enter the Return Purchase Order Number generated by SAP which starts with 44 and is 10 digits. Some Recalls may start with 35.</t>
        </r>
      </text>
    </comment>
    <comment ref="H63" authorId="0" shapeId="0">
      <text>
        <r>
          <rPr>
            <sz val="8"/>
            <color indexed="81"/>
            <rFont val="Tahoma"/>
            <family val="2"/>
          </rPr>
          <t>For Factory Returns, enter the unique portion of the SSS business email address, generally the first 2 or 3 letters of the first and last name.</t>
        </r>
      </text>
    </comment>
    <comment ref="B65" authorId="0" shapeId="0">
      <text>
        <r>
          <rPr>
            <sz val="8"/>
            <color indexed="81"/>
            <rFont val="Tahoma"/>
            <family val="2"/>
          </rPr>
          <t>Enter the Return Material Authorization number provided by the 3rd Party Vendor.</t>
        </r>
      </text>
    </comment>
    <comment ref="B70" authorId="0" shapeId="0">
      <text>
        <r>
          <rPr>
            <sz val="8"/>
            <color indexed="81"/>
            <rFont val="Tahoma"/>
            <family val="2"/>
          </rPr>
          <t>The SSS provides the Tracking number of the first shipping package for Factory paid shipping; otherwise it is entered by Warehouse personnel (format:  e.g. 1Z787F230394755628).  Additional number can be entered in the Shipping Notes field.</t>
        </r>
      </text>
    </comment>
    <comment ref="G70" authorId="0" shapeId="0">
      <text>
        <r>
          <rPr>
            <sz val="8"/>
            <color indexed="81"/>
            <rFont val="Tahoma"/>
            <family val="2"/>
          </rPr>
          <t>Enter the Outbound Delivery # generated by SAP for this return (starts with 80 and is 8 digits).</t>
        </r>
      </text>
    </comment>
  </commentList>
</comments>
</file>

<file path=xl/sharedStrings.xml><?xml version="1.0" encoding="utf-8"?>
<sst xmlns="http://schemas.openxmlformats.org/spreadsheetml/2006/main" count="233" uniqueCount="208">
  <si>
    <t>https://ishare.siemens.com/sii/bt/factwarranty/Returns</t>
  </si>
  <si>
    <t>available from the Return Status site:</t>
  </si>
  <si>
    <t>Return Status Instructions</t>
  </si>
  <si>
    <t>For more information refer to:</t>
  </si>
  <si>
    <t>To view the status of this return:</t>
  </si>
  <si>
    <t>Outbound Delivery #:</t>
  </si>
  <si>
    <t>Tracking #:</t>
  </si>
  <si>
    <t>RMA # (3rd Party Returns only):</t>
  </si>
  <si>
    <t>Return Purchase Order #:</t>
  </si>
  <si>
    <t>Special Instructions to Purchasing:</t>
  </si>
  <si>
    <t>Return PO Account Assignment:</t>
  </si>
  <si>
    <t>Section 3:  To be completed by warehouse personnel</t>
  </si>
  <si>
    <t>Notes:</t>
  </si>
  <si>
    <t>Return Delivery #:</t>
  </si>
  <si>
    <t>Return Sales Order #:</t>
  </si>
  <si>
    <t>Section 2:  To be completed by the product business personnel (only necessary if return is for a product sale)</t>
  </si>
  <si>
    <t>Pick-up Address:</t>
  </si>
  <si>
    <t>Time in Service</t>
  </si>
  <si>
    <t>Replacement PO</t>
  </si>
  <si>
    <t>Qty*</t>
  </si>
  <si>
    <t>Shipping Acct:</t>
  </si>
  <si>
    <t>Alternate Address:</t>
  </si>
  <si>
    <t>Return materials to Sales Office or destroy, if no credit will be applied:</t>
  </si>
  <si>
    <t>Send Material Analysis Report?</t>
  </si>
  <si>
    <t xml:space="preserve"> </t>
  </si>
  <si>
    <t xml:space="preserve">Section 1b: </t>
  </si>
  <si>
    <t>Tech. Contact Email:</t>
  </si>
  <si>
    <t>Technical Contact:</t>
  </si>
  <si>
    <t>Plant:*</t>
  </si>
  <si>
    <t>Sales Office Name*:</t>
  </si>
  <si>
    <t>PO / Ship Date:</t>
  </si>
  <si>
    <t>Original Purchase Order Number*:</t>
  </si>
  <si>
    <t>Tech. Support Ticket:</t>
  </si>
  <si>
    <t>Project or Service Order Name:*</t>
  </si>
  <si>
    <t>Service Order #:</t>
  </si>
  <si>
    <t>Project WBS:</t>
  </si>
  <si>
    <t>Originator*:</t>
  </si>
  <si>
    <t>* indicates a required field for any type of return</t>
  </si>
  <si>
    <t>This form requires Macros to be enabled.  
If you get an error, click F1 and search for help on "Enable Macro."</t>
  </si>
  <si>
    <t>BT Material Return Form</t>
  </si>
  <si>
    <t>Return Type:</t>
  </si>
  <si>
    <t>Tracking #</t>
  </si>
  <si>
    <t>RPO #:</t>
  </si>
  <si>
    <t>PO #</t>
  </si>
  <si>
    <t>Delivery #</t>
  </si>
  <si>
    <t>Washington DC - BRA</t>
  </si>
  <si>
    <t>Virginia Beach - BPB</t>
  </si>
  <si>
    <t>Tampa - BMC</t>
  </si>
  <si>
    <t>Tallahassee - BMF</t>
  </si>
  <si>
    <t>Syracuse - BXC</t>
  </si>
  <si>
    <t>St. Louis - BGD</t>
  </si>
  <si>
    <t>Spartanburg - BNE</t>
  </si>
  <si>
    <t>South Jersey - BVC</t>
  </si>
  <si>
    <t>Seattle - BAA</t>
  </si>
  <si>
    <t>Savannah - BNF</t>
  </si>
  <si>
    <t>San Francisco - BBA</t>
  </si>
  <si>
    <t>San Diego - BCB</t>
  </si>
  <si>
    <t>Salt Lake City - BEC</t>
  </si>
  <si>
    <t>Sacramento - BBB</t>
  </si>
  <si>
    <t>Rochester - BXA</t>
  </si>
  <si>
    <t>Roanoke - BPC</t>
  </si>
  <si>
    <t>Richmond - BPA</t>
  </si>
  <si>
    <t>Raleigh - BNB</t>
  </si>
  <si>
    <t>Puerto Rico - BME</t>
  </si>
  <si>
    <t>Portland - BAB</t>
  </si>
  <si>
    <t>Pittsburgh - BTD</t>
  </si>
  <si>
    <t>Phoenix - BDA</t>
  </si>
  <si>
    <t>Philadelphia - BVA</t>
  </si>
  <si>
    <t>Pensacola - BLE</t>
  </si>
  <si>
    <t>Orlando - BMB</t>
  </si>
  <si>
    <t>Omaha - BFC</t>
  </si>
  <si>
    <t>Oklahoma City - BJC</t>
  </si>
  <si>
    <t>New York - BWA</t>
  </si>
  <si>
    <t>New Orleans - BLA</t>
  </si>
  <si>
    <t>Nashville - BUA</t>
  </si>
  <si>
    <t>Minneapolis - BFA</t>
  </si>
  <si>
    <t>Milwaukee - BGB</t>
  </si>
  <si>
    <t>Miami - BMA</t>
  </si>
  <si>
    <t>Memphis - BUB</t>
  </si>
  <si>
    <t>Maine - BYC</t>
  </si>
  <si>
    <t>Louisville - BUC</t>
  </si>
  <si>
    <t>Los Angeles - BCA</t>
  </si>
  <si>
    <t>Las Vegas - BDB</t>
  </si>
  <si>
    <t>Lafayette - BLB</t>
  </si>
  <si>
    <t>Kansas City - BFD</t>
  </si>
  <si>
    <t>Jamestown - BXE</t>
  </si>
  <si>
    <t>Jacksonville - BMD</t>
  </si>
  <si>
    <t>Jackson - BLC</t>
  </si>
  <si>
    <t>Inland NW - BAC</t>
  </si>
  <si>
    <t>Indianapolis - BSC</t>
  </si>
  <si>
    <t>Houston - BJA</t>
  </si>
  <si>
    <t>Hartford - BYB</t>
  </si>
  <si>
    <t>Harrisburg - BVB</t>
  </si>
  <si>
    <t>Greensboro - BNC</t>
  </si>
  <si>
    <t>Grand Rapids - BSB</t>
  </si>
  <si>
    <t>Fresno - BBC</t>
  </si>
  <si>
    <t>Detroit - BSA</t>
  </si>
  <si>
    <t>Des Moines - BFB</t>
  </si>
  <si>
    <t>Denver - BEA</t>
  </si>
  <si>
    <t>Dallas - BJB</t>
  </si>
  <si>
    <t>Columbus - BTA</t>
  </si>
  <si>
    <t>Colorado Springs - BEB</t>
  </si>
  <si>
    <t>Cleveland - BTC</t>
  </si>
  <si>
    <t>Cincinnati - BTB</t>
  </si>
  <si>
    <t>Chicago - BGA</t>
  </si>
  <si>
    <t>Charlotte - BND</t>
  </si>
  <si>
    <t>Buffalo - BXD</t>
  </si>
  <si>
    <t>Boston - BYA</t>
  </si>
  <si>
    <t>Boise - BED</t>
  </si>
  <si>
    <t>Bloomington - BGC</t>
  </si>
  <si>
    <t>Birmingham - BLD</t>
  </si>
  <si>
    <t>Bell South - BNG</t>
  </si>
  <si>
    <t>Baltimore - BRB</t>
  </si>
  <si>
    <t>Austin - BJD</t>
  </si>
  <si>
    <t>Return Core Credit</t>
  </si>
  <si>
    <t>Shipping</t>
  </si>
  <si>
    <t>Atlanta - BNA</t>
  </si>
  <si>
    <t>Return Upgrade</t>
  </si>
  <si>
    <t>Analysis Rep</t>
  </si>
  <si>
    <t>Anchorage - BAD</t>
  </si>
  <si>
    <t>Invoice Correction</t>
  </si>
  <si>
    <t>3rd Party Type</t>
  </si>
  <si>
    <t>Albuquerque - BDC</t>
  </si>
  <si>
    <t>Return Excess</t>
  </si>
  <si>
    <t>Return Type</t>
  </si>
  <si>
    <t>Albany - BXB</t>
  </si>
  <si>
    <t>Return Warranty</t>
  </si>
  <si>
    <t>Location</t>
  </si>
  <si>
    <t>Sales Office</t>
  </si>
  <si>
    <t>Replacement</t>
  </si>
  <si>
    <t>Under 150</t>
  </si>
  <si>
    <t>hours</t>
  </si>
  <si>
    <t>Minutes</t>
  </si>
  <si>
    <t>Hours</t>
  </si>
  <si>
    <t>Days</t>
  </si>
  <si>
    <t>Weeks</t>
  </si>
  <si>
    <t>Months</t>
  </si>
  <si>
    <t>Years</t>
  </si>
  <si>
    <t>Hour</t>
  </si>
  <si>
    <t>Month</t>
  </si>
  <si>
    <t>Day</t>
  </si>
  <si>
    <t>Week</t>
  </si>
  <si>
    <t>Year</t>
  </si>
  <si>
    <t>minutes</t>
  </si>
  <si>
    <t>days</t>
  </si>
  <si>
    <t>weeks</t>
  </si>
  <si>
    <t>months</t>
  </si>
  <si>
    <t>years</t>
  </si>
  <si>
    <t>hour</t>
  </si>
  <si>
    <t>month</t>
  </si>
  <si>
    <t>day</t>
  </si>
  <si>
    <t>week</t>
  </si>
  <si>
    <t>year</t>
  </si>
  <si>
    <t>Minute</t>
  </si>
  <si>
    <t>minute</t>
  </si>
  <si>
    <t>Email:*</t>
  </si>
  <si>
    <t>Return Service Bulletin</t>
  </si>
  <si>
    <t>Section 1a:  To be filled in by branch office personnel</t>
  </si>
  <si>
    <t xml:space="preserve"> Reason for the return. To be filled in by branch office personnel</t>
  </si>
  <si>
    <t>Section 1c:  To be filled in by branch office personnel</t>
  </si>
  <si>
    <t>Factory to pay for</t>
  </si>
  <si>
    <t>shipping?</t>
  </si>
  <si>
    <t>Shipping Notes:</t>
  </si>
  <si>
    <t>Siemens Building Technologies
1000 Deerfield Parkway
Buffalo Grove, IL 60089</t>
  </si>
  <si>
    <t>Note:  Pay particular attention to the information above for Account Assignment and Plant/Location information, correct project WBS element, service or sales order number.</t>
  </si>
  <si>
    <t>SSS Email Prefix:</t>
  </si>
  <si>
    <t>Unit Price</t>
  </si>
  <si>
    <t>Part # being returned</t>
  </si>
  <si>
    <r>
      <t xml:space="preserve">A Factory return's status can be viewed and tracked </t>
    </r>
    <r>
      <rPr>
        <u/>
        <sz val="8"/>
        <color indexed="57"/>
        <rFont val="Arial"/>
        <family val="2"/>
      </rPr>
      <t>around noon (CST) the day after the RPO is created</t>
    </r>
    <r>
      <rPr>
        <sz val="8"/>
        <color indexed="57"/>
        <rFont val="Arial"/>
        <family val="2"/>
      </rPr>
      <t>. Use the following link to view or request alerts.</t>
    </r>
  </si>
  <si>
    <t>Kit, Assembly or Bulk Pack Part #</t>
  </si>
  <si>
    <t>Location*:</t>
  </si>
  <si>
    <t>Email*:</t>
  </si>
  <si>
    <t>Technical Contact Name:</t>
  </si>
  <si>
    <t>Reason for the return:</t>
  </si>
  <si>
    <t>Declined Material Disposition:</t>
  </si>
  <si>
    <t>Factory to pay for shipping?</t>
  </si>
  <si>
    <t>Project, Service Order or Product Sale?</t>
  </si>
  <si>
    <t>This form is designed to support a quick way of entering the information in Sections 1 &amp; 2. It does not have all of the validation of the main page. However pressing either of the first two buttons below will validate the information and identify any missing or inaccurate information.</t>
  </si>
  <si>
    <t>3rd Party Return:</t>
  </si>
  <si>
    <t>Technical Contact Cell #:</t>
  </si>
  <si>
    <t>Product Sale Notes:</t>
  </si>
  <si>
    <t>Warehouse Email:</t>
  </si>
  <si>
    <t>If you are not seeing bar codes above you may double click on this true type font and press the Install button near the upper left.</t>
  </si>
  <si>
    <t>The license agreement identifies this font as free and unrestricted.</t>
  </si>
  <si>
    <t>Please fold the shipping label in half and apply it to the outside of all the return package(s) associated with this RPO# with the bar codes visible.</t>
  </si>
  <si>
    <t>Number of Packages:</t>
  </si>
  <si>
    <t>Part # being returned*</t>
  </si>
  <si>
    <r>
      <t xml:space="preserve">After Completing Sections 1 &amp; 2:
- Click Email to Warehouse to send this form to the warehouse.  
- Click Print then take the form to the warehouse with the return materials (if the material was not sent directly to the warehouse).  
</t>
    </r>
    <r>
      <rPr>
        <sz val="9"/>
        <color indexed="60"/>
        <rFont val="Arial"/>
        <family val="2"/>
      </rPr>
      <t>Note: If you fill in the Warehouse Email field in the section below, this will be used in the To: address field of the Email to Warehouse.</t>
    </r>
  </si>
  <si>
    <r>
      <t>After completing Section 3: 
- Click Email after Section 3, then enter the email address of your SSS or the PA for 3rd party returns.</t>
    </r>
    <r>
      <rPr>
        <sz val="9"/>
        <color indexed="62"/>
        <rFont val="Arial"/>
        <family val="2"/>
      </rPr>
      <t xml:space="preserve">
  Note: For Factory returns, if you enter the SSS Email Prefix in the section below, this will be used for To: address in the email.</t>
    </r>
  </si>
  <si>
    <t>Section 4:  Return Purchase Order # completed by the SSS in Customer Service &amp; the RMA to be completed by the Purchasing Agent.</t>
  </si>
  <si>
    <r>
      <t xml:space="preserve">After Completing Section 4: </t>
    </r>
    <r>
      <rPr>
        <sz val="8"/>
        <color indexed="57"/>
        <rFont val="Arial"/>
        <family val="2"/>
      </rPr>
      <t xml:space="preserve"> (and the Tracking # in Section 5 if shipping is Factory paid)</t>
    </r>
    <r>
      <rPr>
        <b/>
        <sz val="9"/>
        <color indexed="57"/>
        <rFont val="Arial"/>
        <family val="2"/>
      </rPr>
      <t xml:space="preserve">
- Click Return to Warehouse
</t>
    </r>
  </si>
  <si>
    <t>Section 5: For Factory paid shipping, the Tracking # is completed by the SSS.  All remaining content is to be completed by warehouse personnel.</t>
  </si>
  <si>
    <t xml:space="preserve">After Completing Section 5:  
- Click Email to Originator (and the Return Center or Factory returns)
- For Factory Returns:  Click Print Workbook, match package contents to the form, place the form in the package, the Shipping Label on the outside, and send to the Shipping Label address. </t>
  </si>
  <si>
    <t>Sales Office Name:*</t>
  </si>
  <si>
    <t>Storage Location:*</t>
  </si>
  <si>
    <t>Date:*</t>
  </si>
  <si>
    <t>Originator:*</t>
  </si>
  <si>
    <t>John Vorsten</t>
  </si>
  <si>
    <t>John.vorsten@siemens.com</t>
  </si>
  <si>
    <t>Omar Perez</t>
  </si>
  <si>
    <t>512-774-8794</t>
  </si>
  <si>
    <t>B100</t>
  </si>
  <si>
    <t>omar.perez@siemens.com</t>
  </si>
  <si>
    <t>ID String is deleted - PXC Modular: ID_STRING = BarCodeIsEmpty Causes Panel to Lose All Licenses and Results in Communication Issues</t>
  </si>
  <si>
    <t>Return</t>
  </si>
  <si>
    <t>PXC100-E96.A</t>
  </si>
  <si>
    <t>William P Clements AHU Replacement</t>
  </si>
  <si>
    <t>mikel.satterwhite@siemens.com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</si>
</sst>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167" formatCode="[$-409]mmmm\ d\,\ yyyy;@"/>
    <numFmt numFmtId="168" formatCode="\(###\)\ ###\-####"/>
    <numFmt numFmtId="169" formatCode="\1\-0000000000"/>
    <numFmt numFmtId="170" formatCode="\4\4&quot;OP&quot;\-000000.&quot;P&quot;.\1.0\1.0\3"/>
  </numFmts>
  <fonts count="54">
    <font>
      <sz val="11"/>
      <color theme="1"/>
      <name val="Calibri"/>
      <family val="2"/>
      <scheme val="minor"/>
    </font>
    <font>
      <sz val="10"/>
      <color indexed="17"/>
      <name val="Arial"/>
      <family val="2"/>
    </font>
    <font>
      <sz val="10"/>
      <color indexed="10"/>
      <name val="Arial"/>
      <family val="2"/>
    </font>
    <font>
      <sz val="11"/>
      <name val="Arial"/>
      <family val="2"/>
    </font>
    <font>
      <sz val="8"/>
      <name val="Arial"/>
      <family val="2"/>
    </font>
    <font>
      <b/>
      <sz val="9"/>
      <name val="Arial"/>
      <family val="2"/>
    </font>
    <font>
      <sz val="8"/>
      <color indexed="57"/>
      <name val="Arial"/>
      <family val="2"/>
    </font>
    <font>
      <b/>
      <sz val="9"/>
      <color indexed="17"/>
      <name val="Arial"/>
      <family val="2"/>
    </font>
    <font>
      <u/>
      <sz val="8"/>
      <color indexed="57"/>
      <name val="Arial"/>
      <family val="2"/>
    </font>
    <font>
      <sz val="11"/>
      <name val="Arial"/>
      <family val="2"/>
    </font>
    <font>
      <b/>
      <sz val="8"/>
      <name val="Arial"/>
      <family val="2"/>
    </font>
    <font>
      <sz val="10"/>
      <name val="Arial"/>
      <family val="2"/>
    </font>
    <font>
      <sz val="8"/>
      <color indexed="62"/>
      <name val="Arial"/>
      <family val="2"/>
    </font>
    <font>
      <sz val="8"/>
      <color indexed="22"/>
      <name val="Arial"/>
      <family val="2"/>
    </font>
    <font>
      <b/>
      <sz val="9"/>
      <color indexed="57"/>
      <name val="Arial"/>
      <family val="2"/>
    </font>
    <font>
      <sz val="10"/>
      <color indexed="57"/>
      <name val="Arial"/>
      <family val="2"/>
    </font>
    <font>
      <b/>
      <sz val="9"/>
      <color indexed="62"/>
      <name val="Arial"/>
      <family val="2"/>
    </font>
    <font>
      <sz val="1"/>
      <color indexed="22"/>
      <name val="Arial"/>
      <family val="2"/>
    </font>
    <font>
      <b/>
      <sz val="9"/>
      <color indexed="60"/>
      <name val="Arial"/>
      <family val="2"/>
    </font>
    <font>
      <sz val="9"/>
      <name val="Arial"/>
      <family val="2"/>
    </font>
    <font>
      <sz val="8"/>
      <color indexed="60"/>
      <name val="Arial"/>
      <family val="2"/>
    </font>
    <font>
      <b/>
      <sz val="8"/>
      <color indexed="10"/>
      <name val="Arial"/>
      <family val="2"/>
    </font>
    <font>
      <sz val="1"/>
      <color indexed="57"/>
      <name val="Arial"/>
      <family val="2"/>
    </font>
    <font>
      <sz val="7"/>
      <color indexed="57"/>
      <name val="Arial"/>
      <family val="2"/>
    </font>
    <font>
      <sz val="9"/>
      <color indexed="10"/>
      <name val="Arial"/>
      <family val="2"/>
    </font>
    <font>
      <b/>
      <sz val="15"/>
      <name val="Arial"/>
      <family val="2"/>
    </font>
    <font>
      <b/>
      <sz val="12"/>
      <name val="Arial"/>
      <family val="2"/>
    </font>
    <font>
      <sz val="8"/>
      <color indexed="81"/>
      <name val="Tahoma"/>
      <family val="2"/>
    </font>
    <font>
      <sz val="9"/>
      <color indexed="81"/>
      <name val="Tahoma"/>
      <family val="2"/>
    </font>
    <font>
      <b/>
      <sz val="8"/>
      <color indexed="81"/>
      <name val="Tahoma"/>
      <family val="2"/>
    </font>
    <font>
      <sz val="8"/>
      <name val="Tahoma"/>
      <family val="2"/>
    </font>
    <font>
      <sz val="10"/>
      <color indexed="37"/>
      <name val="Arial"/>
      <family val="2"/>
    </font>
    <font>
      <sz val="10"/>
      <color indexed="48"/>
      <name val="Arial"/>
      <family val="2"/>
    </font>
    <font>
      <sz val="11"/>
      <color indexed="10"/>
      <name val="Arial"/>
      <family val="2"/>
    </font>
    <font>
      <u/>
      <sz val="11"/>
      <name val="Arial"/>
      <family val="2"/>
    </font>
    <font>
      <b/>
      <u/>
      <sz val="8"/>
      <color indexed="81"/>
      <name val="Tahoma"/>
      <family val="2"/>
    </font>
    <font>
      <sz val="9"/>
      <color indexed="62"/>
      <name val="Arial"/>
      <family val="2"/>
    </font>
    <font>
      <sz val="16"/>
      <name val="Arial"/>
      <family val="2"/>
    </font>
    <font>
      <sz val="9"/>
      <color indexed="60"/>
      <name val="Arial"/>
      <family val="2"/>
    </font>
    <font>
      <sz val="14"/>
      <name val="Arial"/>
      <family val="2"/>
    </font>
    <font>
      <sz val="36"/>
      <name val="Free 3 of 9 Extended"/>
    </font>
    <font>
      <sz val="15"/>
      <name val="Arial"/>
      <family val="2"/>
    </font>
    <font>
      <u/>
      <sz val="11"/>
      <color theme="10"/>
      <name val="Arial"/>
      <family val="2"/>
    </font>
    <font>
      <u/>
      <sz val="8"/>
      <color theme="10"/>
      <name val="Arial"/>
      <family val="2"/>
    </font>
    <font>
      <sz val="8"/>
      <color theme="9" tint="0.39994506668294322"/>
      <name val="Arial"/>
      <family val="2"/>
    </font>
    <font>
      <sz val="8"/>
      <color theme="9" tint="0.39997558519241921"/>
      <name val="Arial"/>
      <family val="2"/>
    </font>
    <font>
      <sz val="8"/>
      <color rgb="FF7030A0"/>
      <name val="Arial"/>
      <family val="2"/>
    </font>
    <font>
      <sz val="8"/>
      <color theme="9" tint="-0.499984740745262"/>
      <name val="Arial"/>
      <family val="2"/>
    </font>
    <font>
      <sz val="8"/>
      <color theme="6" tint="-0.249977111117893"/>
      <name val="Arial"/>
      <family val="2"/>
    </font>
    <font>
      <sz val="8"/>
      <color rgb="FF339966"/>
      <name val="Arial"/>
      <family val="2"/>
    </font>
    <font>
      <sz val="11"/>
      <color theme="0"/>
      <name val="Calibri"/>
      <family val="2"/>
      <scheme val="minor"/>
    </font>
    <font>
      <sz val="12"/>
      <color theme="1"/>
      <name val="Arial"/>
      <family val="2"/>
    </font>
    <font>
      <sz val="8"/>
      <color rgb="FF339966"/>
      <name val="Calibri"/>
      <family val="2"/>
      <scheme val="minor"/>
    </font>
    <font>
      <u/>
      <sz val="8"/>
      <color rgb="FF0000FF"/>
      <name val="Arial"/>
      <family val="2"/>
    </font>
  </fonts>
  <fills count="7">
    <fill>
      <patternFill patternType="none"/>
    </fill>
    <fill>
      <patternFill patternType="gray125"/>
    </fill>
    <fill>
      <patternFill patternType="solid">
        <fgColor indexed="47"/>
        <bgColor indexed="64"/>
      </patternFill>
    </fill>
    <fill>
      <patternFill patternType="solid">
        <fgColor indexed="9"/>
        <bgColor indexed="64"/>
      </patternFill>
    </fill>
    <fill>
      <patternFill patternType="solid">
        <fgColor indexed="55"/>
        <bgColor indexed="64"/>
      </patternFill>
    </fill>
    <fill>
      <patternFill patternType="solid">
        <fgColor indexed="22"/>
        <bgColor indexed="64"/>
      </patternFill>
    </fill>
    <fill>
      <patternFill patternType="solid">
        <fgColor theme="0"/>
        <bgColor indexed="64"/>
      </patternFill>
    </fill>
  </fills>
  <borders count="43">
    <border>
      <left/>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style="medium">
        <color indexed="64"/>
      </top>
      <bottom style="thin">
        <color indexed="64"/>
      </bottom>
      <diagonal/>
    </border>
    <border>
      <left style="medium">
        <color indexed="64"/>
      </left>
      <right/>
      <top/>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style="medium">
        <color indexed="64"/>
      </right>
      <top/>
      <bottom/>
      <diagonal/>
    </border>
    <border>
      <left/>
      <right style="medium">
        <color indexed="64"/>
      </right>
      <top style="medium">
        <color indexed="64"/>
      </top>
      <bottom style="thin">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theme="0" tint="-0.14996795556505021"/>
      </left>
      <right style="medium">
        <color indexed="64"/>
      </right>
      <top style="thin">
        <color indexed="64"/>
      </top>
      <bottom style="medium">
        <color indexed="64"/>
      </bottom>
      <diagonal/>
    </border>
    <border>
      <left style="thin">
        <color theme="0" tint="-0.14996795556505021"/>
      </left>
      <right style="medium">
        <color indexed="64"/>
      </right>
      <top style="thin">
        <color indexed="64"/>
      </top>
      <bottom style="thin">
        <color indexed="64"/>
      </bottom>
      <diagonal/>
    </border>
    <border>
      <left style="thin">
        <color theme="0" tint="-0.14996795556505021"/>
      </left>
      <right style="thin">
        <color indexed="64"/>
      </right>
      <top style="thin">
        <color indexed="64"/>
      </top>
      <bottom style="thin">
        <color indexed="64"/>
      </bottom>
      <diagonal/>
    </border>
    <border>
      <left style="thick">
        <color theme="9" tint="0.39994506668294322"/>
      </left>
      <right/>
      <top/>
      <bottom/>
      <diagonal/>
    </border>
    <border>
      <left/>
      <right style="thin">
        <color theme="0" tint="-0.14996795556505021"/>
      </right>
      <top style="thin">
        <color indexed="64"/>
      </top>
      <bottom style="thin">
        <color indexed="64"/>
      </bottom>
      <diagonal/>
    </border>
    <border>
      <left/>
      <right style="thin">
        <color theme="0" tint="-0.14996795556505021"/>
      </right>
      <top style="thin">
        <color indexed="64"/>
      </top>
      <bottom style="medium">
        <color indexed="64"/>
      </bottom>
      <diagonal/>
    </border>
  </borders>
  <cellStyleXfs count="4">
    <xf numFmtId="0" fontId="0" fillId="0" borderId="0"/>
    <xf numFmtId="44" fontId="9" fillId="0" borderId="0" applyFont="0" applyFill="0" applyBorder="0" applyAlignment="0" applyProtection="0"/>
    <xf numFmtId="0" fontId="42" fillId="0" borderId="0" applyNumberFormat="0" applyFill="0" applyBorder="0" applyAlignment="0" applyProtection="0">
      <alignment vertical="top"/>
      <protection locked="0"/>
    </xf>
    <xf numFmtId="0" fontId="3" fillId="0" borderId="0"/>
  </cellStyleXfs>
  <cellXfs count="314">
    <xf numFmtId="0" fontId="0" fillId="0" borderId="0" xfId="0"/>
    <xf numFmtId="0" fontId="4" fillId="0" borderId="0" xfId="3" applyFont="1" applyAlignment="1" applyProtection="1">
      <alignment horizontal="left" vertical="center"/>
    </xf>
    <xf numFmtId="0" fontId="3" fillId="0" borderId="0" xfId="3" applyProtection="1"/>
    <xf numFmtId="0" fontId="4" fillId="0" borderId="0" xfId="3" applyFont="1" applyFill="1" applyAlignment="1" applyProtection="1">
      <alignment horizontal="left" vertical="center"/>
    </xf>
    <xf numFmtId="0" fontId="42" fillId="0" borderId="0" xfId="2" applyAlignment="1" applyProtection="1">
      <alignment horizontal="left" vertical="center"/>
    </xf>
    <xf numFmtId="0" fontId="4" fillId="2" borderId="0" xfId="3" applyFont="1" applyFill="1" applyAlignment="1" applyProtection="1">
      <alignment horizontal="left" vertical="center"/>
    </xf>
    <xf numFmtId="0" fontId="5" fillId="2" borderId="0" xfId="3" applyFont="1" applyFill="1" applyBorder="1" applyAlignment="1" applyProtection="1">
      <alignment vertical="center"/>
    </xf>
    <xf numFmtId="0" fontId="43" fillId="2" borderId="0" xfId="2" applyFont="1" applyFill="1" applyBorder="1" applyAlignment="1" applyProtection="1">
      <alignment horizontal="left" vertical="center"/>
    </xf>
    <xf numFmtId="0" fontId="5" fillId="2" borderId="0" xfId="3" applyFont="1" applyFill="1" applyBorder="1" applyAlignment="1" applyProtection="1">
      <alignment vertical="center" wrapText="1"/>
    </xf>
    <xf numFmtId="0" fontId="2" fillId="2" borderId="0" xfId="3" applyFont="1" applyFill="1" applyAlignment="1" applyProtection="1">
      <alignment horizontal="left" vertical="center"/>
    </xf>
    <xf numFmtId="0" fontId="6" fillId="2" borderId="0" xfId="3" applyFont="1" applyFill="1" applyBorder="1" applyAlignment="1" applyProtection="1">
      <alignment horizontal="right" vertical="center"/>
    </xf>
    <xf numFmtId="0" fontId="6" fillId="2" borderId="0" xfId="3" applyFont="1" applyFill="1" applyBorder="1" applyAlignment="1" applyProtection="1">
      <alignment horizontal="center" vertical="center"/>
    </xf>
    <xf numFmtId="0" fontId="4" fillId="0" borderId="0" xfId="3" applyFont="1" applyBorder="1" applyAlignment="1" applyProtection="1">
      <alignment horizontal="left" vertical="center"/>
    </xf>
    <xf numFmtId="0" fontId="3" fillId="0" borderId="0" xfId="3" applyBorder="1" applyProtection="1"/>
    <xf numFmtId="0" fontId="4" fillId="2" borderId="0" xfId="3" applyFont="1" applyFill="1" applyBorder="1" applyAlignment="1" applyProtection="1">
      <alignment horizontal="left" vertical="center"/>
    </xf>
    <xf numFmtId="0" fontId="7" fillId="2" borderId="0" xfId="3" applyFont="1" applyFill="1" applyBorder="1" applyAlignment="1" applyProtection="1">
      <alignment horizontal="left" vertical="center" wrapText="1"/>
    </xf>
    <xf numFmtId="0" fontId="7" fillId="2" borderId="0" xfId="3" applyFont="1" applyFill="1" applyBorder="1" applyAlignment="1" applyProtection="1">
      <alignment horizontal="left" vertical="center"/>
    </xf>
    <xf numFmtId="0" fontId="6" fillId="2" borderId="0" xfId="3" applyFont="1" applyFill="1" applyBorder="1" applyAlignment="1" applyProtection="1">
      <alignment vertical="center"/>
    </xf>
    <xf numFmtId="0" fontId="9" fillId="2" borderId="1" xfId="3" applyFont="1" applyFill="1" applyBorder="1" applyAlignment="1" applyProtection="1">
      <alignment vertical="center"/>
    </xf>
    <xf numFmtId="0" fontId="4" fillId="2" borderId="1" xfId="3" applyFont="1" applyFill="1" applyBorder="1" applyAlignment="1" applyProtection="1">
      <alignment horizontal="left" vertical="center"/>
    </xf>
    <xf numFmtId="0" fontId="4" fillId="2" borderId="2" xfId="3" applyFont="1" applyFill="1" applyBorder="1" applyAlignment="1" applyProtection="1">
      <alignment horizontal="left" vertical="center"/>
    </xf>
    <xf numFmtId="0" fontId="10" fillId="0" borderId="0" xfId="3" applyFont="1" applyBorder="1" applyAlignment="1" applyProtection="1">
      <alignment horizontal="left" vertical="center"/>
    </xf>
    <xf numFmtId="0" fontId="9" fillId="0" borderId="0" xfId="3" applyFont="1" applyBorder="1" applyProtection="1"/>
    <xf numFmtId="0" fontId="4" fillId="2" borderId="0" xfId="3" applyFont="1" applyFill="1" applyBorder="1" applyAlignment="1" applyProtection="1">
      <alignment horizontal="right" vertical="center"/>
    </xf>
    <xf numFmtId="0" fontId="11" fillId="2" borderId="0" xfId="3" applyFont="1" applyFill="1" applyBorder="1" applyAlignment="1" applyProtection="1">
      <alignment horizontal="center" vertical="center"/>
    </xf>
    <xf numFmtId="0" fontId="4" fillId="2" borderId="3" xfId="3" applyFont="1" applyFill="1" applyBorder="1" applyAlignment="1" applyProtection="1">
      <alignment vertical="center"/>
    </xf>
    <xf numFmtId="0" fontId="12" fillId="2" borderId="4" xfId="3" applyFont="1" applyFill="1" applyBorder="1" applyAlignment="1" applyProtection="1">
      <alignment vertical="center"/>
    </xf>
    <xf numFmtId="0" fontId="12" fillId="2" borderId="4" xfId="3" applyFont="1" applyFill="1" applyBorder="1" applyAlignment="1" applyProtection="1">
      <alignment horizontal="left" vertical="center"/>
    </xf>
    <xf numFmtId="0" fontId="13" fillId="2" borderId="4" xfId="3" applyFont="1" applyFill="1" applyBorder="1" applyAlignment="1" applyProtection="1">
      <alignment horizontal="left" vertical="center"/>
    </xf>
    <xf numFmtId="0" fontId="12" fillId="2" borderId="5" xfId="3" applyFont="1" applyFill="1" applyBorder="1" applyAlignment="1" applyProtection="1">
      <alignment horizontal="left" vertical="center"/>
    </xf>
    <xf numFmtId="0" fontId="10" fillId="2" borderId="0" xfId="3" applyFont="1" applyFill="1" applyAlignment="1" applyProtection="1">
      <alignment horizontal="left" vertical="center"/>
    </xf>
    <xf numFmtId="0" fontId="6" fillId="2" borderId="6" xfId="3" applyFont="1" applyFill="1" applyBorder="1" applyAlignment="1" applyProtection="1">
      <alignment horizontal="left" vertical="center"/>
    </xf>
    <xf numFmtId="0" fontId="6" fillId="2" borderId="1" xfId="3" applyFont="1" applyFill="1" applyBorder="1" applyAlignment="1" applyProtection="1">
      <alignment horizontal="left" vertical="center"/>
    </xf>
    <xf numFmtId="0" fontId="6" fillId="2" borderId="2" xfId="3" applyFont="1" applyFill="1" applyBorder="1" applyAlignment="1" applyProtection="1">
      <alignment horizontal="left" vertical="center"/>
    </xf>
    <xf numFmtId="0" fontId="9" fillId="0" borderId="0" xfId="3" applyFont="1" applyProtection="1"/>
    <xf numFmtId="0" fontId="15" fillId="2" borderId="0" xfId="3" applyFont="1" applyFill="1" applyBorder="1" applyAlignment="1" applyProtection="1">
      <alignment horizontal="center" vertical="center"/>
    </xf>
    <xf numFmtId="0" fontId="6" fillId="3" borderId="0" xfId="3" applyNumberFormat="1" applyFont="1" applyFill="1" applyBorder="1" applyAlignment="1" applyProtection="1">
      <alignment horizontal="left" vertical="center"/>
      <protection locked="0"/>
    </xf>
    <xf numFmtId="0" fontId="6" fillId="2" borderId="7" xfId="3" applyFont="1" applyFill="1" applyBorder="1" applyAlignment="1" applyProtection="1">
      <alignment horizontal="right" vertical="center"/>
    </xf>
    <xf numFmtId="0" fontId="6" fillId="2" borderId="0" xfId="3" applyFont="1" applyFill="1" applyBorder="1" applyAlignment="1" applyProtection="1">
      <alignment horizontal="left" vertical="center"/>
    </xf>
    <xf numFmtId="0" fontId="6" fillId="2" borderId="7" xfId="3" applyFont="1" applyFill="1" applyBorder="1" applyAlignment="1" applyProtection="1">
      <alignment horizontal="left" vertical="center"/>
    </xf>
    <xf numFmtId="0" fontId="10" fillId="0" borderId="0" xfId="3" applyFont="1" applyAlignment="1" applyProtection="1">
      <alignment horizontal="left" vertical="center"/>
    </xf>
    <xf numFmtId="0" fontId="6" fillId="2" borderId="8" xfId="3" applyFont="1" applyFill="1" applyBorder="1" applyAlignment="1" applyProtection="1">
      <alignment horizontal="left" vertical="center"/>
    </xf>
    <xf numFmtId="0" fontId="4" fillId="2" borderId="9" xfId="3" applyFont="1" applyFill="1" applyBorder="1" applyAlignment="1" applyProtection="1">
      <alignment vertical="center"/>
    </xf>
    <xf numFmtId="0" fontId="4" fillId="2" borderId="1" xfId="3" applyFont="1" applyFill="1" applyBorder="1" applyAlignment="1" applyProtection="1">
      <alignment vertical="center"/>
    </xf>
    <xf numFmtId="0" fontId="4" fillId="2" borderId="10" xfId="3" applyFont="1" applyFill="1" applyBorder="1" applyAlignment="1" applyProtection="1">
      <alignment vertical="top" wrapText="1"/>
    </xf>
    <xf numFmtId="0" fontId="12" fillId="2" borderId="0" xfId="3" applyFont="1" applyFill="1" applyBorder="1" applyAlignment="1" applyProtection="1">
      <alignment vertical="top" wrapText="1"/>
    </xf>
    <xf numFmtId="0" fontId="12" fillId="2" borderId="0" xfId="3" applyFont="1" applyFill="1" applyBorder="1" applyAlignment="1" applyProtection="1">
      <alignment horizontal="left" vertical="center"/>
    </xf>
    <xf numFmtId="0" fontId="17" fillId="2" borderId="0" xfId="3" applyFont="1" applyFill="1" applyBorder="1" applyAlignment="1" applyProtection="1">
      <alignment horizontal="left" vertical="center"/>
    </xf>
    <xf numFmtId="0" fontId="12" fillId="2" borderId="7" xfId="3" applyFont="1" applyFill="1" applyBorder="1" applyAlignment="1" applyProtection="1">
      <alignment horizontal="left" vertical="center"/>
    </xf>
    <xf numFmtId="0" fontId="12" fillId="2" borderId="10" xfId="3" applyFont="1" applyFill="1" applyBorder="1" applyAlignment="1" applyProtection="1">
      <alignment horizontal="left" vertical="center" indent="2"/>
    </xf>
    <xf numFmtId="0" fontId="12" fillId="2" borderId="0" xfId="3" applyFont="1" applyFill="1" applyBorder="1" applyAlignment="1" applyProtection="1">
      <alignment horizontal="left" vertical="center" indent="2"/>
    </xf>
    <xf numFmtId="0" fontId="4" fillId="2" borderId="11" xfId="3" applyFont="1" applyFill="1" applyBorder="1" applyAlignment="1" applyProtection="1">
      <alignment horizontal="left" vertical="center"/>
    </xf>
    <xf numFmtId="0" fontId="5" fillId="0" borderId="0" xfId="3" applyFont="1" applyAlignment="1" applyProtection="1">
      <alignment horizontal="left" vertical="center"/>
    </xf>
    <xf numFmtId="0" fontId="5" fillId="2" borderId="0" xfId="3" applyFont="1" applyFill="1" applyAlignment="1" applyProtection="1">
      <alignment horizontal="left" vertical="center"/>
    </xf>
    <xf numFmtId="0" fontId="19" fillId="2" borderId="0" xfId="3" applyFont="1" applyFill="1" applyBorder="1" applyAlignment="1" applyProtection="1">
      <alignment horizontal="left" vertical="center"/>
    </xf>
    <xf numFmtId="0" fontId="4" fillId="2" borderId="9" xfId="3" applyFont="1" applyFill="1" applyBorder="1" applyAlignment="1" applyProtection="1">
      <alignment horizontal="left" vertical="center"/>
    </xf>
    <xf numFmtId="0" fontId="20" fillId="2" borderId="10" xfId="3" applyFont="1" applyFill="1" applyBorder="1" applyAlignment="1" applyProtection="1">
      <alignment vertical="top" wrapText="1"/>
    </xf>
    <xf numFmtId="0" fontId="20" fillId="2" borderId="0" xfId="3" applyFont="1" applyFill="1" applyBorder="1" applyAlignment="1" applyProtection="1">
      <alignment vertical="top" wrapText="1"/>
    </xf>
    <xf numFmtId="0" fontId="20" fillId="2" borderId="0" xfId="3" applyFont="1" applyFill="1" applyBorder="1" applyAlignment="1" applyProtection="1">
      <alignment horizontal="left" vertical="center"/>
    </xf>
    <xf numFmtId="0" fontId="20" fillId="2" borderId="7" xfId="3" applyFont="1" applyFill="1" applyBorder="1" applyAlignment="1" applyProtection="1">
      <alignment horizontal="left" vertical="center"/>
    </xf>
    <xf numFmtId="1" fontId="20" fillId="2" borderId="0" xfId="3" applyNumberFormat="1" applyFont="1" applyFill="1" applyBorder="1" applyAlignment="1" applyProtection="1">
      <alignment horizontal="right" vertical="center"/>
    </xf>
    <xf numFmtId="0" fontId="20" fillId="2" borderId="10" xfId="3" applyFont="1" applyFill="1" applyBorder="1" applyAlignment="1" applyProtection="1">
      <alignment horizontal="left" vertical="center"/>
    </xf>
    <xf numFmtId="0" fontId="20" fillId="2" borderId="4" xfId="3" applyFont="1" applyFill="1" applyBorder="1" applyAlignment="1" applyProtection="1">
      <alignment horizontal="left" vertical="center"/>
    </xf>
    <xf numFmtId="0" fontId="20" fillId="2" borderId="5" xfId="3" applyFont="1" applyFill="1" applyBorder="1" applyAlignment="1" applyProtection="1">
      <alignment horizontal="left" vertical="center"/>
    </xf>
    <xf numFmtId="0" fontId="20" fillId="2" borderId="11" xfId="3" applyFont="1" applyFill="1" applyBorder="1" applyAlignment="1" applyProtection="1">
      <alignment horizontal="left" vertical="center"/>
    </xf>
    <xf numFmtId="0" fontId="20" fillId="2" borderId="12" xfId="3" applyFont="1" applyFill="1" applyBorder="1" applyAlignment="1" applyProtection="1">
      <alignment horizontal="left" vertical="center"/>
    </xf>
    <xf numFmtId="0" fontId="21" fillId="2" borderId="0" xfId="3" applyFont="1" applyFill="1" applyBorder="1" applyAlignment="1" applyProtection="1">
      <alignment horizontal="left" vertical="center"/>
    </xf>
    <xf numFmtId="0" fontId="5" fillId="2" borderId="1" xfId="3" applyFont="1" applyFill="1" applyBorder="1" applyAlignment="1" applyProtection="1">
      <alignment vertical="center"/>
    </xf>
    <xf numFmtId="0" fontId="4" fillId="2" borderId="2" xfId="3" applyFont="1" applyFill="1" applyBorder="1" applyAlignment="1" applyProtection="1">
      <alignment vertical="center"/>
    </xf>
    <xf numFmtId="0" fontId="2" fillId="2" borderId="0" xfId="3" applyFont="1" applyFill="1" applyBorder="1" applyAlignment="1" applyProtection="1">
      <alignment horizontal="left" vertical="center"/>
    </xf>
    <xf numFmtId="0" fontId="5" fillId="2" borderId="10" xfId="3" applyFont="1" applyFill="1" applyBorder="1" applyAlignment="1" applyProtection="1">
      <alignment vertical="center"/>
    </xf>
    <xf numFmtId="0" fontId="6" fillId="2" borderId="0" xfId="3" applyFont="1" applyFill="1" applyBorder="1" applyAlignment="1" applyProtection="1">
      <alignment horizontal="right" wrapText="1"/>
    </xf>
    <xf numFmtId="0" fontId="4" fillId="2" borderId="7" xfId="3" applyFont="1" applyFill="1" applyBorder="1" applyAlignment="1" applyProtection="1">
      <alignment vertical="center"/>
    </xf>
    <xf numFmtId="0" fontId="5" fillId="2" borderId="11" xfId="3" applyFont="1" applyFill="1" applyBorder="1" applyAlignment="1" applyProtection="1">
      <alignment horizontal="left" vertical="center"/>
    </xf>
    <xf numFmtId="0" fontId="5" fillId="2" borderId="6" xfId="3" applyFont="1" applyFill="1" applyBorder="1" applyAlignment="1" applyProtection="1">
      <alignment horizontal="left" vertical="center"/>
    </xf>
    <xf numFmtId="49" fontId="6" fillId="0" borderId="37" xfId="3" applyNumberFormat="1" applyFont="1" applyFill="1" applyBorder="1" applyAlignment="1" applyProtection="1">
      <alignment horizontal="left" vertical="center" wrapText="1"/>
      <protection locked="0"/>
    </xf>
    <xf numFmtId="44" fontId="6" fillId="0" borderId="13" xfId="1" applyFont="1" applyFill="1" applyBorder="1" applyAlignment="1" applyProtection="1">
      <alignment horizontal="right" vertical="center" wrapText="1"/>
      <protection locked="0"/>
    </xf>
    <xf numFmtId="1" fontId="6" fillId="3" borderId="14" xfId="3" applyNumberFormat="1" applyFont="1" applyFill="1" applyBorder="1" applyAlignment="1" applyProtection="1">
      <alignment horizontal="center" vertical="center"/>
      <protection locked="0"/>
    </xf>
    <xf numFmtId="49" fontId="6" fillId="0" borderId="38" xfId="3" applyNumberFormat="1" applyFont="1" applyFill="1" applyBorder="1" applyAlignment="1" applyProtection="1">
      <alignment horizontal="left" vertical="center" wrapText="1"/>
      <protection locked="0"/>
    </xf>
    <xf numFmtId="1" fontId="6" fillId="3" borderId="15" xfId="3" applyNumberFormat="1" applyFont="1" applyFill="1" applyBorder="1" applyAlignment="1" applyProtection="1">
      <alignment horizontal="center" vertical="center"/>
      <protection locked="0"/>
    </xf>
    <xf numFmtId="0" fontId="6" fillId="2" borderId="15" xfId="3" applyFont="1" applyFill="1" applyBorder="1" applyAlignment="1" applyProtection="1">
      <alignment horizontal="center" vertical="center"/>
    </xf>
    <xf numFmtId="0" fontId="6" fillId="2" borderId="16" xfId="3" applyFont="1" applyFill="1" applyBorder="1" applyAlignment="1" applyProtection="1">
      <alignment vertical="center"/>
    </xf>
    <xf numFmtId="0" fontId="6" fillId="2" borderId="17" xfId="3" applyFont="1" applyFill="1" applyBorder="1" applyAlignment="1" applyProtection="1">
      <alignment horizontal="left" vertical="center"/>
    </xf>
    <xf numFmtId="0" fontId="6" fillId="2" borderId="17" xfId="3" applyFont="1" applyFill="1" applyBorder="1" applyAlignment="1" applyProtection="1">
      <alignment vertical="center"/>
    </xf>
    <xf numFmtId="0" fontId="6" fillId="2" borderId="18" xfId="3" applyFont="1" applyFill="1" applyBorder="1" applyAlignment="1" applyProtection="1">
      <alignment horizontal="left" vertical="center"/>
    </xf>
    <xf numFmtId="0" fontId="6" fillId="2" borderId="10" xfId="3" applyFont="1" applyFill="1" applyBorder="1" applyAlignment="1" applyProtection="1">
      <alignment horizontal="left" vertical="center"/>
    </xf>
    <xf numFmtId="0" fontId="4" fillId="2" borderId="7" xfId="3" applyFont="1" applyFill="1" applyBorder="1" applyAlignment="1" applyProtection="1">
      <alignment horizontal="left" vertical="center"/>
    </xf>
    <xf numFmtId="0" fontId="6" fillId="2" borderId="16" xfId="3" applyFont="1" applyFill="1" applyBorder="1" applyAlignment="1" applyProtection="1">
      <alignment horizontal="left" vertical="center"/>
    </xf>
    <xf numFmtId="0" fontId="6" fillId="2" borderId="19" xfId="3" applyFont="1" applyFill="1" applyBorder="1" applyAlignment="1" applyProtection="1">
      <alignment vertical="center"/>
    </xf>
    <xf numFmtId="0" fontId="6" fillId="2" borderId="20" xfId="3" applyFont="1" applyFill="1" applyBorder="1" applyAlignment="1" applyProtection="1">
      <alignment vertical="center"/>
    </xf>
    <xf numFmtId="0" fontId="44" fillId="2" borderId="19" xfId="3" applyFont="1" applyFill="1" applyBorder="1" applyAlignment="1" applyProtection="1">
      <alignment vertical="center"/>
    </xf>
    <xf numFmtId="0" fontId="44" fillId="2" borderId="17" xfId="3" applyFont="1" applyFill="1" applyBorder="1" applyAlignment="1" applyProtection="1">
      <alignment vertical="center"/>
    </xf>
    <xf numFmtId="0" fontId="44" fillId="2" borderId="18" xfId="3" applyFont="1" applyFill="1" applyBorder="1" applyAlignment="1" applyProtection="1">
      <alignment vertical="center"/>
    </xf>
    <xf numFmtId="0" fontId="6" fillId="0" borderId="0" xfId="3" applyFont="1" applyFill="1" applyBorder="1" applyAlignment="1" applyProtection="1">
      <alignment horizontal="left" vertical="center"/>
      <protection locked="0"/>
    </xf>
    <xf numFmtId="0" fontId="6" fillId="2" borderId="21" xfId="3" applyFont="1" applyFill="1" applyBorder="1" applyAlignment="1" applyProtection="1">
      <alignment vertical="center"/>
    </xf>
    <xf numFmtId="0" fontId="6" fillId="2" borderId="22" xfId="3" applyFont="1" applyFill="1" applyBorder="1" applyAlignment="1" applyProtection="1">
      <alignment vertical="center"/>
    </xf>
    <xf numFmtId="0" fontId="44" fillId="2" borderId="21" xfId="3" applyFont="1" applyFill="1" applyBorder="1" applyAlignment="1" applyProtection="1">
      <alignment vertical="center"/>
    </xf>
    <xf numFmtId="0" fontId="44" fillId="2" borderId="0" xfId="3" applyFont="1" applyFill="1" applyBorder="1" applyAlignment="1" applyProtection="1">
      <alignment vertical="center"/>
    </xf>
    <xf numFmtId="0" fontId="44" fillId="2" borderId="7" xfId="3" applyFont="1" applyFill="1" applyBorder="1" applyAlignment="1" applyProtection="1">
      <alignment vertical="center"/>
    </xf>
    <xf numFmtId="0" fontId="6" fillId="2" borderId="23" xfId="3" applyFont="1" applyFill="1" applyBorder="1" applyAlignment="1" applyProtection="1">
      <alignment vertical="center"/>
    </xf>
    <xf numFmtId="0" fontId="6" fillId="2" borderId="4" xfId="3" applyFont="1" applyFill="1" applyBorder="1" applyAlignment="1" applyProtection="1">
      <alignment vertical="center"/>
    </xf>
    <xf numFmtId="0" fontId="6" fillId="2" borderId="24" xfId="3" applyFont="1" applyFill="1" applyBorder="1" applyAlignment="1" applyProtection="1">
      <alignment vertical="center"/>
    </xf>
    <xf numFmtId="0" fontId="44" fillId="2" borderId="23" xfId="3" applyFont="1" applyFill="1" applyBorder="1" applyAlignment="1" applyProtection="1">
      <alignment vertical="center"/>
    </xf>
    <xf numFmtId="0" fontId="44" fillId="2" borderId="4" xfId="3" applyFont="1" applyFill="1" applyBorder="1" applyAlignment="1" applyProtection="1">
      <alignment vertical="center"/>
    </xf>
    <xf numFmtId="0" fontId="44" fillId="2" borderId="5" xfId="3" applyFont="1" applyFill="1" applyBorder="1" applyAlignment="1" applyProtection="1">
      <alignment vertical="center"/>
    </xf>
    <xf numFmtId="0" fontId="6" fillId="2" borderId="18" xfId="3" applyFont="1" applyFill="1" applyBorder="1" applyAlignment="1" applyProtection="1">
      <alignment vertical="center"/>
    </xf>
    <xf numFmtId="1" fontId="6" fillId="2" borderId="10" xfId="3" applyNumberFormat="1" applyFont="1" applyFill="1" applyBorder="1" applyAlignment="1" applyProtection="1">
      <alignment vertical="center"/>
    </xf>
    <xf numFmtId="0" fontId="6" fillId="2" borderId="7" xfId="3" applyFont="1" applyFill="1" applyBorder="1" applyAlignment="1" applyProtection="1">
      <alignment vertical="center"/>
    </xf>
    <xf numFmtId="0" fontId="22" fillId="2" borderId="0" xfId="3" applyFont="1" applyFill="1" applyBorder="1" applyAlignment="1" applyProtection="1">
      <alignment horizontal="left" vertical="center"/>
    </xf>
    <xf numFmtId="0" fontId="6" fillId="2" borderId="10" xfId="3" applyFont="1" applyFill="1" applyBorder="1" applyAlignment="1" applyProtection="1">
      <alignment vertical="center"/>
    </xf>
    <xf numFmtId="1" fontId="45" fillId="2" borderId="10" xfId="3" applyNumberFormat="1" applyFont="1" applyFill="1" applyBorder="1" applyAlignment="1" applyProtection="1">
      <alignment vertical="center"/>
    </xf>
    <xf numFmtId="0" fontId="6" fillId="2" borderId="7" xfId="3" applyFont="1" applyFill="1" applyBorder="1" applyAlignment="1" applyProtection="1">
      <alignment horizontal="right"/>
    </xf>
    <xf numFmtId="167" fontId="6" fillId="2" borderId="10" xfId="3" applyNumberFormat="1" applyFont="1" applyFill="1" applyBorder="1" applyAlignment="1" applyProtection="1">
      <alignment vertical="center"/>
    </xf>
    <xf numFmtId="0" fontId="6" fillId="2" borderId="11" xfId="3" applyFont="1" applyFill="1" applyBorder="1" applyAlignment="1" applyProtection="1">
      <alignment horizontal="right" vertical="center"/>
    </xf>
    <xf numFmtId="0" fontId="6" fillId="2" borderId="6" xfId="3" applyFont="1" applyFill="1" applyBorder="1" applyAlignment="1" applyProtection="1">
      <alignment vertical="center"/>
    </xf>
    <xf numFmtId="0" fontId="6" fillId="2" borderId="8" xfId="3" applyFont="1" applyFill="1" applyBorder="1" applyAlignment="1" applyProtection="1">
      <alignment vertical="center"/>
    </xf>
    <xf numFmtId="0" fontId="4" fillId="2" borderId="0" xfId="3" applyFont="1" applyFill="1" applyBorder="1" applyAlignment="1" applyProtection="1">
      <alignment horizontal="center" vertical="top"/>
    </xf>
    <xf numFmtId="0" fontId="26" fillId="2" borderId="0" xfId="3" applyFont="1" applyFill="1" applyAlignment="1" applyProtection="1">
      <alignment vertical="center"/>
    </xf>
    <xf numFmtId="0" fontId="33" fillId="0" borderId="0" xfId="3" applyFont="1" applyProtection="1"/>
    <xf numFmtId="0" fontId="3" fillId="2" borderId="0" xfId="3" applyFill="1" applyProtection="1"/>
    <xf numFmtId="0" fontId="3" fillId="2" borderId="0" xfId="3" applyFill="1" applyAlignment="1" applyProtection="1">
      <alignment vertical="center"/>
    </xf>
    <xf numFmtId="0" fontId="3" fillId="0" borderId="0" xfId="3"/>
    <xf numFmtId="14" fontId="3" fillId="0" borderId="0" xfId="3" applyNumberFormat="1"/>
    <xf numFmtId="0" fontId="9" fillId="0" borderId="0" xfId="3" applyFont="1"/>
    <xf numFmtId="0" fontId="4" fillId="3" borderId="0" xfId="3" applyNumberFormat="1" applyFont="1" applyFill="1" applyBorder="1" applyAlignment="1" applyProtection="1">
      <alignment horizontal="left" vertical="center"/>
      <protection locked="0"/>
    </xf>
    <xf numFmtId="44" fontId="6" fillId="0" borderId="25" xfId="1" applyFont="1" applyFill="1" applyBorder="1" applyAlignment="1" applyProtection="1">
      <alignment horizontal="right" vertical="center" wrapText="1"/>
      <protection locked="0"/>
    </xf>
    <xf numFmtId="0" fontId="6" fillId="2" borderId="0" xfId="3" applyFont="1" applyFill="1" applyBorder="1" applyAlignment="1" applyProtection="1">
      <alignment vertical="top" wrapText="1"/>
    </xf>
    <xf numFmtId="0" fontId="6" fillId="2" borderId="10" xfId="3" applyFont="1" applyFill="1" applyBorder="1" applyAlignment="1" applyProtection="1">
      <alignment vertical="top" wrapText="1"/>
    </xf>
    <xf numFmtId="0" fontId="6" fillId="2" borderId="0" xfId="3" applyFont="1" applyFill="1" applyBorder="1" applyAlignment="1" applyProtection="1"/>
    <xf numFmtId="0" fontId="6" fillId="2" borderId="4" xfId="3" applyFont="1" applyFill="1" applyBorder="1" applyAlignment="1" applyProtection="1">
      <alignment horizontal="right" vertical="center"/>
    </xf>
    <xf numFmtId="0" fontId="6" fillId="2" borderId="4" xfId="3" applyFont="1" applyFill="1" applyBorder="1" applyAlignment="1" applyProtection="1">
      <alignment vertical="center" wrapText="1"/>
    </xf>
    <xf numFmtId="0" fontId="43" fillId="2" borderId="4" xfId="2" applyFont="1" applyFill="1" applyBorder="1" applyAlignment="1" applyProtection="1">
      <alignment horizontal="center" vertical="center"/>
    </xf>
    <xf numFmtId="0" fontId="6" fillId="0" borderId="18" xfId="3" applyFont="1" applyFill="1" applyBorder="1" applyAlignment="1" applyProtection="1">
      <alignment vertical="top" wrapText="1"/>
    </xf>
    <xf numFmtId="0" fontId="6" fillId="0" borderId="17" xfId="3" applyFont="1" applyFill="1" applyBorder="1" applyAlignment="1" applyProtection="1">
      <alignment vertical="top" wrapText="1"/>
    </xf>
    <xf numFmtId="0" fontId="6" fillId="0" borderId="16" xfId="3" applyFont="1" applyFill="1" applyBorder="1" applyAlignment="1" applyProtection="1">
      <alignment vertical="top" wrapText="1"/>
    </xf>
    <xf numFmtId="0" fontId="6" fillId="6" borderId="3" xfId="3" applyFont="1" applyFill="1" applyBorder="1" applyAlignment="1" applyProtection="1">
      <alignment horizontal="center" vertical="center"/>
      <protection locked="0"/>
    </xf>
    <xf numFmtId="0" fontId="46" fillId="2" borderId="0" xfId="3" applyFont="1" applyFill="1" applyBorder="1" applyAlignment="1" applyProtection="1">
      <alignment horizontal="center" vertical="center"/>
    </xf>
    <xf numFmtId="0" fontId="6" fillId="0" borderId="4" xfId="3" applyFont="1" applyFill="1" applyBorder="1" applyAlignment="1" applyProtection="1">
      <alignment horizontal="left" vertical="center" wrapText="1"/>
      <protection locked="0"/>
    </xf>
    <xf numFmtId="0" fontId="47" fillId="0" borderId="0" xfId="3" applyNumberFormat="1" applyFont="1" applyFill="1" applyBorder="1" applyAlignment="1" applyProtection="1">
      <alignment horizontal="left" vertical="center"/>
      <protection locked="0"/>
    </xf>
    <xf numFmtId="0" fontId="2" fillId="0" borderId="0" xfId="3" applyFont="1" applyFill="1" applyAlignment="1" applyProtection="1">
      <alignment horizontal="left" vertical="center"/>
    </xf>
    <xf numFmtId="0" fontId="4" fillId="0" borderId="0" xfId="3" applyFont="1" applyFill="1" applyBorder="1" applyAlignment="1" applyProtection="1">
      <alignment vertical="center"/>
    </xf>
    <xf numFmtId="0" fontId="5" fillId="0" borderId="0" xfId="3" applyFont="1" applyFill="1" applyBorder="1" applyAlignment="1" applyProtection="1">
      <alignment vertical="center"/>
    </xf>
    <xf numFmtId="0" fontId="43" fillId="0" borderId="0" xfId="2" applyFont="1" applyFill="1" applyBorder="1" applyAlignment="1" applyProtection="1">
      <alignment horizontal="left" vertical="center"/>
    </xf>
    <xf numFmtId="0" fontId="6" fillId="2" borderId="26" xfId="3" applyFont="1" applyFill="1" applyBorder="1" applyAlignment="1" applyProtection="1">
      <alignment horizontal="center" vertical="center"/>
    </xf>
    <xf numFmtId="0" fontId="6" fillId="0" borderId="0" xfId="3" applyNumberFormat="1" applyFont="1" applyFill="1" applyBorder="1" applyAlignment="1" applyProtection="1">
      <alignment horizontal="left" vertical="center"/>
      <protection locked="0"/>
    </xf>
    <xf numFmtId="0" fontId="20" fillId="2" borderId="0" xfId="3" applyFont="1" applyFill="1" applyBorder="1" applyAlignment="1" applyProtection="1">
      <alignment horizontal="right" vertical="center"/>
    </xf>
    <xf numFmtId="0" fontId="6" fillId="2" borderId="27" xfId="3" applyFont="1" applyFill="1" applyBorder="1" applyAlignment="1" applyProtection="1">
      <alignment horizontal="center" vertical="center"/>
    </xf>
    <xf numFmtId="0" fontId="0" fillId="0" borderId="0" xfId="0"/>
    <xf numFmtId="169" fontId="48" fillId="6" borderId="0" xfId="3" applyNumberFormat="1" applyFont="1" applyFill="1" applyBorder="1" applyAlignment="1" applyProtection="1">
      <alignment horizontal="left" vertical="center"/>
      <protection locked="0"/>
    </xf>
    <xf numFmtId="49" fontId="6" fillId="0" borderId="0" xfId="3" applyNumberFormat="1" applyFont="1" applyFill="1" applyBorder="1" applyAlignment="1" applyProtection="1">
      <alignment horizontal="left" vertical="center"/>
      <protection locked="0"/>
    </xf>
    <xf numFmtId="0" fontId="6" fillId="0" borderId="27" xfId="3" applyNumberFormat="1" applyFont="1" applyFill="1" applyBorder="1" applyAlignment="1" applyProtection="1">
      <alignment horizontal="right" vertical="center" wrapText="1"/>
      <protection locked="0"/>
    </xf>
    <xf numFmtId="167" fontId="6" fillId="2" borderId="0" xfId="3" applyNumberFormat="1" applyFont="1" applyFill="1" applyBorder="1" applyAlignment="1" applyProtection="1">
      <alignment horizontal="right" vertical="center"/>
    </xf>
    <xf numFmtId="0" fontId="49" fillId="2" borderId="0" xfId="3" applyFont="1" applyFill="1" applyBorder="1" applyAlignment="1" applyProtection="1">
      <alignment horizontal="right" vertical="center"/>
    </xf>
    <xf numFmtId="0" fontId="48" fillId="0" borderId="0" xfId="3" applyFont="1" applyFill="1" applyBorder="1" applyAlignment="1" applyProtection="1">
      <alignment horizontal="left" vertical="center"/>
      <protection locked="0"/>
    </xf>
    <xf numFmtId="0" fontId="43" fillId="0" borderId="0" xfId="2" applyNumberFormat="1" applyFont="1" applyFill="1" applyBorder="1" applyAlignment="1" applyProtection="1">
      <alignment horizontal="left" vertical="center"/>
      <protection locked="0"/>
    </xf>
    <xf numFmtId="14" fontId="6" fillId="0" borderId="0" xfId="3" applyNumberFormat="1" applyFont="1" applyFill="1" applyBorder="1" applyAlignment="1" applyProtection="1">
      <alignment horizontal="left" vertical="center"/>
      <protection locked="0"/>
    </xf>
    <xf numFmtId="168" fontId="6" fillId="0" borderId="0" xfId="3" applyNumberFormat="1" applyFont="1" applyFill="1" applyBorder="1" applyAlignment="1" applyProtection="1">
      <alignment horizontal="left" vertical="center"/>
      <protection locked="0"/>
    </xf>
    <xf numFmtId="0" fontId="6" fillId="0" borderId="0" xfId="3" applyFont="1" applyBorder="1" applyAlignment="1" applyProtection="1">
      <alignment horizontal="left" vertical="center"/>
      <protection locked="0"/>
    </xf>
    <xf numFmtId="0" fontId="0" fillId="0" borderId="0" xfId="0" applyAlignment="1">
      <alignment vertical="center"/>
    </xf>
    <xf numFmtId="0" fontId="48" fillId="0" borderId="0" xfId="0" applyFont="1" applyAlignment="1" applyProtection="1">
      <alignment horizontal="left" vertical="center"/>
      <protection locked="0"/>
    </xf>
    <xf numFmtId="0" fontId="6" fillId="2" borderId="0" xfId="3" applyFont="1" applyFill="1" applyBorder="1" applyAlignment="1" applyProtection="1">
      <alignment horizontal="right" vertical="center" wrapText="1"/>
    </xf>
    <xf numFmtId="0" fontId="48" fillId="0" borderId="0" xfId="0" applyFont="1" applyFill="1" applyAlignment="1" applyProtection="1">
      <alignment horizontal="left" vertical="center"/>
      <protection locked="0"/>
    </xf>
    <xf numFmtId="0" fontId="6" fillId="2" borderId="22" xfId="3" applyFont="1" applyFill="1" applyBorder="1" applyAlignment="1" applyProtection="1">
      <alignment horizontal="right" vertical="center"/>
    </xf>
    <xf numFmtId="0" fontId="50" fillId="0" borderId="0" xfId="0" applyFont="1"/>
    <xf numFmtId="0" fontId="6" fillId="2" borderId="27" xfId="3" applyFont="1" applyFill="1" applyBorder="1" applyAlignment="1" applyProtection="1">
      <alignment vertical="center"/>
    </xf>
    <xf numFmtId="49" fontId="6" fillId="0" borderId="39" xfId="3" applyNumberFormat="1" applyFont="1" applyFill="1" applyBorder="1" applyAlignment="1" applyProtection="1">
      <alignment horizontal="left" vertical="center" wrapText="1"/>
      <protection locked="0"/>
    </xf>
    <xf numFmtId="0" fontId="6" fillId="2" borderId="13" xfId="3" applyFont="1" applyFill="1" applyBorder="1" applyAlignment="1" applyProtection="1">
      <alignment vertical="center"/>
    </xf>
    <xf numFmtId="1" fontId="6" fillId="3" borderId="15" xfId="3" applyNumberFormat="1" applyFont="1" applyFill="1" applyBorder="1" applyAlignment="1" applyProtection="1">
      <alignment horizontal="right" vertical="center"/>
      <protection locked="0"/>
    </xf>
    <xf numFmtId="0" fontId="6" fillId="2" borderId="15" xfId="3" applyFont="1" applyFill="1" applyBorder="1" applyAlignment="1" applyProtection="1">
      <alignment horizontal="right" vertical="center"/>
    </xf>
    <xf numFmtId="0" fontId="6" fillId="3" borderId="28" xfId="3" applyNumberFormat="1" applyFont="1" applyFill="1" applyBorder="1" applyAlignment="1" applyProtection="1">
      <alignment horizontal="center" vertical="center" wrapText="1"/>
      <protection locked="0"/>
    </xf>
    <xf numFmtId="0" fontId="6" fillId="3" borderId="27" xfId="3" applyNumberFormat="1" applyFont="1" applyFill="1" applyBorder="1" applyAlignment="1" applyProtection="1">
      <alignment horizontal="center" vertical="center"/>
      <protection locked="0"/>
    </xf>
    <xf numFmtId="0" fontId="6" fillId="3" borderId="13" xfId="3" applyNumberFormat="1" applyFont="1" applyFill="1" applyBorder="1" applyAlignment="1" applyProtection="1">
      <alignment horizontal="center" vertical="center" wrapText="1"/>
      <protection locked="0"/>
    </xf>
    <xf numFmtId="0" fontId="0" fillId="0" borderId="0" xfId="0"/>
    <xf numFmtId="0" fontId="47" fillId="0" borderId="0" xfId="3" applyFont="1" applyFill="1" applyBorder="1" applyAlignment="1" applyProtection="1">
      <alignment vertical="top"/>
      <protection locked="0"/>
    </xf>
    <xf numFmtId="0" fontId="12" fillId="2" borderId="0" xfId="3" applyFont="1" applyFill="1" applyBorder="1" applyAlignment="1" applyProtection="1">
      <alignment horizontal="right" vertical="center"/>
    </xf>
    <xf numFmtId="0" fontId="12" fillId="2" borderId="8" xfId="3" applyFont="1" applyFill="1" applyBorder="1" applyAlignment="1" applyProtection="1">
      <alignment horizontal="left" vertical="center"/>
    </xf>
    <xf numFmtId="0" fontId="12" fillId="2" borderId="6" xfId="3" applyFont="1" applyFill="1" applyBorder="1" applyAlignment="1" applyProtection="1">
      <alignment horizontal="left" vertical="center"/>
    </xf>
    <xf numFmtId="0" fontId="6" fillId="6" borderId="0" xfId="3" applyFont="1" applyFill="1" applyBorder="1" applyAlignment="1" applyProtection="1">
      <alignment horizontal="left" vertical="center"/>
      <protection locked="0"/>
    </xf>
    <xf numFmtId="0" fontId="0" fillId="0" borderId="0" xfId="0"/>
    <xf numFmtId="0" fontId="0" fillId="0" borderId="0" xfId="0" applyProtection="1"/>
    <xf numFmtId="0" fontId="6" fillId="0" borderId="0" xfId="3" applyFont="1" applyBorder="1" applyAlignment="1" applyProtection="1">
      <alignment vertical="center"/>
    </xf>
    <xf numFmtId="0" fontId="3" fillId="0" borderId="0" xfId="3" applyAlignment="1" applyProtection="1">
      <alignment vertical="center"/>
    </xf>
    <xf numFmtId="0" fontId="3" fillId="4" borderId="0" xfId="3" applyFill="1" applyAlignment="1" applyProtection="1">
      <alignment horizontal="center" vertical="center" wrapText="1"/>
      <protection locked="0"/>
    </xf>
    <xf numFmtId="0" fontId="9" fillId="4" borderId="0" xfId="3" applyFont="1" applyFill="1" applyAlignment="1" applyProtection="1">
      <alignment horizontal="center" vertical="center" wrapText="1"/>
      <protection locked="0"/>
    </xf>
    <xf numFmtId="0" fontId="3" fillId="2" borderId="0" xfId="3" applyFill="1" applyProtection="1">
      <protection locked="0"/>
    </xf>
    <xf numFmtId="0" fontId="9" fillId="2" borderId="0" xfId="3" applyFont="1" applyFill="1" applyAlignment="1" applyProtection="1">
      <alignment horizontal="right" vertical="center"/>
      <protection locked="0"/>
    </xf>
    <xf numFmtId="0" fontId="3" fillId="2" borderId="0" xfId="3" applyFill="1" applyAlignment="1" applyProtection="1">
      <alignment vertical="center"/>
      <protection locked="0"/>
    </xf>
    <xf numFmtId="0" fontId="9" fillId="2" borderId="0" xfId="3" applyFont="1" applyFill="1" applyAlignment="1" applyProtection="1">
      <alignment horizontal="center"/>
      <protection locked="0"/>
    </xf>
    <xf numFmtId="0" fontId="3" fillId="5" borderId="0" xfId="3" applyFill="1" applyProtection="1">
      <protection locked="0"/>
    </xf>
    <xf numFmtId="0" fontId="3" fillId="2" borderId="0" xfId="3" applyFill="1" applyAlignment="1" applyProtection="1">
      <alignment vertical="center" wrapText="1"/>
      <protection locked="0"/>
    </xf>
    <xf numFmtId="0" fontId="43" fillId="3" borderId="0" xfId="2" applyNumberFormat="1" applyFont="1" applyFill="1" applyBorder="1" applyAlignment="1" applyProtection="1">
      <alignment horizontal="left" vertical="center"/>
      <protection locked="0"/>
    </xf>
    <xf numFmtId="0" fontId="0" fillId="0" borderId="0" xfId="0"/>
    <xf numFmtId="0" fontId="12" fillId="2" borderId="7" xfId="3" applyFont="1" applyFill="1" applyBorder="1" applyAlignment="1" applyProtection="1">
      <alignment horizontal="right" vertical="center"/>
    </xf>
    <xf numFmtId="0" fontId="0" fillId="0" borderId="0" xfId="0"/>
    <xf numFmtId="0" fontId="0" fillId="0" borderId="17" xfId="0" applyBorder="1" applyProtection="1"/>
    <xf numFmtId="0" fontId="0" fillId="0" borderId="0" xfId="0" applyBorder="1" applyProtection="1"/>
    <xf numFmtId="0" fontId="12" fillId="6" borderId="0" xfId="3" applyFont="1" applyFill="1" applyBorder="1" applyAlignment="1" applyProtection="1">
      <alignment vertical="center"/>
      <protection locked="0"/>
    </xf>
    <xf numFmtId="1" fontId="12" fillId="6" borderId="10" xfId="3" applyNumberFormat="1" applyFont="1" applyFill="1" applyBorder="1" applyAlignment="1" applyProtection="1">
      <alignment horizontal="left" vertical="center"/>
      <protection locked="0"/>
    </xf>
    <xf numFmtId="0" fontId="12" fillId="6" borderId="0" xfId="3" applyFont="1" applyFill="1" applyBorder="1" applyAlignment="1" applyProtection="1">
      <alignment horizontal="left" vertical="center"/>
      <protection locked="0"/>
    </xf>
    <xf numFmtId="1" fontId="12" fillId="6" borderId="0" xfId="3" applyNumberFormat="1" applyFont="1" applyFill="1" applyBorder="1" applyAlignment="1" applyProtection="1">
      <alignment horizontal="left" vertical="center"/>
      <protection locked="0"/>
    </xf>
    <xf numFmtId="0" fontId="6" fillId="2" borderId="27" xfId="3" applyFont="1" applyFill="1" applyBorder="1" applyAlignment="1" applyProtection="1">
      <alignment horizontal="center" vertical="center"/>
    </xf>
    <xf numFmtId="0" fontId="6" fillId="2" borderId="26" xfId="3" applyFont="1" applyFill="1" applyBorder="1" applyAlignment="1" applyProtection="1">
      <alignment horizontal="center" vertical="center"/>
    </xf>
    <xf numFmtId="0" fontId="51" fillId="0" borderId="24" xfId="0" applyFont="1" applyBorder="1" applyAlignment="1">
      <alignment horizontal="left" vertical="center" wrapText="1"/>
    </xf>
    <xf numFmtId="0" fontId="51" fillId="0" borderId="4" xfId="0" applyFont="1" applyBorder="1" applyAlignment="1">
      <alignment horizontal="left" vertical="center" wrapText="1"/>
    </xf>
    <xf numFmtId="0" fontId="51" fillId="0" borderId="23" xfId="0" applyFont="1" applyBorder="1" applyAlignment="1">
      <alignment horizontal="left" vertical="center" wrapText="1"/>
    </xf>
    <xf numFmtId="0" fontId="51" fillId="0" borderId="22" xfId="0" applyFont="1" applyBorder="1" applyAlignment="1">
      <alignment horizontal="left" vertical="center" wrapText="1"/>
    </xf>
    <xf numFmtId="0" fontId="51" fillId="0" borderId="0" xfId="0" applyFont="1" applyBorder="1" applyAlignment="1">
      <alignment horizontal="left" vertical="center" wrapText="1"/>
    </xf>
    <xf numFmtId="0" fontId="51" fillId="0" borderId="21" xfId="0" applyFont="1" applyBorder="1" applyAlignment="1">
      <alignment horizontal="left" vertical="center" wrapText="1"/>
    </xf>
    <xf numFmtId="0" fontId="51" fillId="0" borderId="20" xfId="0" applyFont="1" applyBorder="1" applyAlignment="1">
      <alignment horizontal="left" vertical="center" wrapText="1"/>
    </xf>
    <xf numFmtId="0" fontId="51" fillId="0" borderId="17" xfId="0" applyFont="1" applyBorder="1" applyAlignment="1">
      <alignment horizontal="left" vertical="center" wrapText="1"/>
    </xf>
    <xf numFmtId="0" fontId="51" fillId="0" borderId="19" xfId="0" applyFont="1" applyBorder="1" applyAlignment="1">
      <alignment horizontal="left" vertical="center" wrapText="1"/>
    </xf>
    <xf numFmtId="0" fontId="6" fillId="3" borderId="27" xfId="3" applyNumberFormat="1" applyFont="1" applyFill="1" applyBorder="1" applyAlignment="1" applyProtection="1">
      <alignment horizontal="center" vertical="center"/>
      <protection locked="0"/>
    </xf>
    <xf numFmtId="0" fontId="6" fillId="3" borderId="28" xfId="3" applyNumberFormat="1" applyFont="1" applyFill="1" applyBorder="1" applyAlignment="1" applyProtection="1">
      <alignment horizontal="center" vertical="center"/>
      <protection locked="0"/>
    </xf>
    <xf numFmtId="0" fontId="6" fillId="3" borderId="26" xfId="3" applyNumberFormat="1" applyFont="1" applyFill="1" applyBorder="1" applyAlignment="1" applyProtection="1">
      <alignment horizontal="center" vertical="center"/>
      <protection locked="0"/>
    </xf>
    <xf numFmtId="0" fontId="6" fillId="2" borderId="28" xfId="3" applyFont="1" applyFill="1" applyBorder="1" applyAlignment="1" applyProtection="1">
      <alignment horizontal="center" vertical="center"/>
    </xf>
    <xf numFmtId="0" fontId="6" fillId="2" borderId="17" xfId="3" applyFont="1" applyFill="1" applyBorder="1" applyAlignment="1" applyProtection="1">
      <alignment horizontal="left" vertical="top" wrapText="1"/>
    </xf>
    <xf numFmtId="0" fontId="6" fillId="2" borderId="16" xfId="3" applyFont="1" applyFill="1" applyBorder="1" applyAlignment="1" applyProtection="1">
      <alignment horizontal="left" vertical="top" wrapText="1"/>
    </xf>
    <xf numFmtId="0" fontId="6" fillId="0" borderId="27" xfId="3" applyNumberFormat="1" applyFont="1" applyFill="1" applyBorder="1" applyAlignment="1" applyProtection="1">
      <alignment horizontal="right" vertical="center" wrapText="1"/>
      <protection locked="0"/>
    </xf>
    <xf numFmtId="0" fontId="6" fillId="0" borderId="41" xfId="3" applyNumberFormat="1" applyFont="1" applyFill="1" applyBorder="1" applyAlignment="1" applyProtection="1">
      <alignment horizontal="right" vertical="center" wrapText="1"/>
      <protection locked="0"/>
    </xf>
    <xf numFmtId="0" fontId="6" fillId="3" borderId="27" xfId="3" applyFont="1" applyFill="1" applyBorder="1" applyAlignment="1" applyProtection="1">
      <alignment horizontal="center" vertical="center" wrapText="1"/>
      <protection locked="0"/>
    </xf>
    <xf numFmtId="0" fontId="6" fillId="3" borderId="28" xfId="3" applyFont="1" applyFill="1" applyBorder="1" applyAlignment="1" applyProtection="1">
      <alignment horizontal="center" vertical="center" wrapText="1"/>
      <protection locked="0"/>
    </xf>
    <xf numFmtId="0" fontId="6" fillId="3" borderId="26" xfId="3" applyFont="1" applyFill="1" applyBorder="1" applyAlignment="1" applyProtection="1">
      <alignment horizontal="center" vertical="center" wrapText="1"/>
      <protection locked="0"/>
    </xf>
    <xf numFmtId="0" fontId="6" fillId="0" borderId="30" xfId="3" applyNumberFormat="1" applyFont="1" applyFill="1" applyBorder="1" applyAlignment="1" applyProtection="1">
      <alignment horizontal="right" vertical="center" wrapText="1"/>
      <protection locked="0"/>
    </xf>
    <xf numFmtId="0" fontId="6" fillId="0" borderId="42" xfId="3" applyNumberFormat="1" applyFont="1" applyFill="1" applyBorder="1" applyAlignment="1" applyProtection="1">
      <alignment horizontal="right" vertical="center" wrapText="1"/>
      <protection locked="0"/>
    </xf>
    <xf numFmtId="0" fontId="6" fillId="0" borderId="30" xfId="3" applyFont="1" applyFill="1" applyBorder="1" applyAlignment="1" applyProtection="1">
      <alignment horizontal="center" vertical="center" wrapText="1"/>
      <protection locked="0"/>
    </xf>
    <xf numFmtId="0" fontId="6" fillId="0" borderId="31" xfId="3" applyFont="1" applyFill="1" applyBorder="1" applyAlignment="1" applyProtection="1">
      <alignment horizontal="center" vertical="center" wrapText="1"/>
      <protection locked="0"/>
    </xf>
    <xf numFmtId="0" fontId="6" fillId="0" borderId="32" xfId="3" applyFont="1" applyFill="1" applyBorder="1" applyAlignment="1" applyProtection="1">
      <alignment horizontal="center" vertical="center" wrapText="1"/>
      <protection locked="0"/>
    </xf>
    <xf numFmtId="0" fontId="6" fillId="2" borderId="36" xfId="3" applyFont="1" applyFill="1" applyBorder="1" applyAlignment="1" applyProtection="1">
      <alignment horizontal="center" vertical="center"/>
    </xf>
    <xf numFmtId="0" fontId="6" fillId="3" borderId="28" xfId="3" applyNumberFormat="1" applyFont="1" applyFill="1" applyBorder="1" applyAlignment="1" applyProtection="1">
      <alignment horizontal="center" vertical="center" wrapText="1"/>
      <protection locked="0"/>
    </xf>
    <xf numFmtId="0" fontId="6" fillId="3" borderId="26" xfId="3" applyNumberFormat="1" applyFont="1" applyFill="1" applyBorder="1" applyAlignment="1" applyProtection="1">
      <alignment horizontal="center" vertical="center" wrapText="1"/>
      <protection locked="0"/>
    </xf>
    <xf numFmtId="0" fontId="12" fillId="2" borderId="7" xfId="3" applyFont="1" applyFill="1" applyBorder="1" applyAlignment="1" applyProtection="1">
      <alignment horizontal="right" vertical="center"/>
    </xf>
    <xf numFmtId="0" fontId="12" fillId="2" borderId="0" xfId="3" applyFont="1" applyFill="1" applyBorder="1" applyAlignment="1" applyProtection="1">
      <alignment horizontal="right" vertical="center"/>
    </xf>
    <xf numFmtId="0" fontId="6" fillId="2" borderId="4" xfId="3" applyFont="1" applyFill="1" applyBorder="1" applyAlignment="1" applyProtection="1">
      <alignment horizontal="right" vertical="center" wrapText="1"/>
    </xf>
    <xf numFmtId="0" fontId="6" fillId="2" borderId="4" xfId="3" applyFont="1" applyFill="1" applyBorder="1" applyAlignment="1" applyProtection="1">
      <alignment horizontal="right" vertical="center"/>
    </xf>
    <xf numFmtId="0" fontId="6" fillId="0" borderId="35" xfId="3" applyFont="1" applyFill="1" applyBorder="1" applyAlignment="1" applyProtection="1">
      <alignment horizontal="left" vertical="top" wrapText="1"/>
      <protection locked="0"/>
    </xf>
    <xf numFmtId="0" fontId="6" fillId="0" borderId="28" xfId="3" applyFont="1" applyFill="1" applyBorder="1" applyAlignment="1" applyProtection="1">
      <alignment horizontal="left" vertical="top" wrapText="1"/>
      <protection locked="0"/>
    </xf>
    <xf numFmtId="0" fontId="6" fillId="0" borderId="36" xfId="3" applyFont="1" applyFill="1" applyBorder="1" applyAlignment="1" applyProtection="1">
      <alignment horizontal="left" vertical="top" wrapText="1"/>
      <protection locked="0"/>
    </xf>
    <xf numFmtId="0" fontId="53" fillId="2" borderId="0" xfId="2" applyFont="1" applyFill="1" applyBorder="1" applyAlignment="1" applyProtection="1">
      <alignment horizontal="left" vertical="center"/>
    </xf>
    <xf numFmtId="0" fontId="4" fillId="2" borderId="7" xfId="3" applyFont="1" applyFill="1" applyBorder="1" applyAlignment="1" applyProtection="1">
      <alignment horizontal="center" vertical="center"/>
    </xf>
    <xf numFmtId="0" fontId="4" fillId="2" borderId="0" xfId="3" applyFont="1" applyFill="1" applyBorder="1" applyAlignment="1" applyProtection="1">
      <alignment horizontal="center" vertical="center"/>
    </xf>
    <xf numFmtId="0" fontId="6" fillId="2" borderId="0" xfId="3" applyFont="1" applyFill="1" applyBorder="1" applyAlignment="1" applyProtection="1">
      <alignment horizontal="left" vertical="top" wrapText="1"/>
    </xf>
    <xf numFmtId="0" fontId="6" fillId="2" borderId="10" xfId="3" applyFont="1" applyFill="1" applyBorder="1" applyAlignment="1" applyProtection="1">
      <alignment horizontal="left" vertical="top" wrapText="1"/>
    </xf>
    <xf numFmtId="0" fontId="6" fillId="2" borderId="1" xfId="3" applyFont="1" applyFill="1" applyBorder="1" applyAlignment="1" applyProtection="1">
      <alignment horizontal="left" vertical="top" wrapText="1"/>
    </xf>
    <xf numFmtId="0" fontId="6" fillId="2" borderId="9" xfId="3" applyFont="1" applyFill="1" applyBorder="1" applyAlignment="1" applyProtection="1">
      <alignment horizontal="left" vertical="top" wrapText="1"/>
    </xf>
    <xf numFmtId="0" fontId="5" fillId="2" borderId="29" xfId="3" applyFont="1" applyFill="1" applyBorder="1" applyAlignment="1" applyProtection="1">
      <alignment horizontal="left" vertical="top" wrapText="1"/>
    </xf>
    <xf numFmtId="0" fontId="43" fillId="2" borderId="0" xfId="2" applyFont="1" applyFill="1" applyBorder="1" applyAlignment="1" applyProtection="1">
      <alignment horizontal="left" vertical="center"/>
    </xf>
    <xf numFmtId="49" fontId="4" fillId="3" borderId="0" xfId="3" applyNumberFormat="1" applyFont="1" applyFill="1" applyBorder="1" applyAlignment="1" applyProtection="1">
      <alignment horizontal="left" vertical="center"/>
      <protection locked="0"/>
    </xf>
    <xf numFmtId="0" fontId="14" fillId="2" borderId="29" xfId="3" applyFont="1" applyFill="1" applyBorder="1" applyAlignment="1" applyProtection="1">
      <alignment horizontal="left" vertical="top" wrapText="1"/>
    </xf>
    <xf numFmtId="0" fontId="6" fillId="6" borderId="0" xfId="3" applyFont="1" applyFill="1" applyBorder="1" applyAlignment="1" applyProtection="1">
      <alignment horizontal="left" vertical="center"/>
      <protection locked="0"/>
    </xf>
    <xf numFmtId="0" fontId="6" fillId="2" borderId="0" xfId="3" applyFont="1" applyFill="1" applyBorder="1" applyAlignment="1" applyProtection="1">
      <alignment horizontal="right" vertical="center"/>
    </xf>
    <xf numFmtId="0" fontId="6" fillId="2" borderId="7" xfId="3" applyFont="1" applyFill="1" applyBorder="1" applyAlignment="1" applyProtection="1">
      <alignment horizontal="right" vertical="center"/>
    </xf>
    <xf numFmtId="0" fontId="6" fillId="2" borderId="18" xfId="3" applyFont="1" applyFill="1" applyBorder="1" applyAlignment="1" applyProtection="1">
      <alignment horizontal="left" vertical="center"/>
    </xf>
    <xf numFmtId="0" fontId="6" fillId="2" borderId="17" xfId="3" applyFont="1" applyFill="1" applyBorder="1" applyAlignment="1" applyProtection="1">
      <alignment horizontal="left" vertical="center"/>
    </xf>
    <xf numFmtId="0" fontId="6" fillId="2" borderId="22" xfId="3" applyFont="1" applyFill="1" applyBorder="1" applyAlignment="1" applyProtection="1">
      <alignment horizontal="right" vertical="top" wrapText="1"/>
    </xf>
    <xf numFmtId="0" fontId="6" fillId="2" borderId="0" xfId="3" applyFont="1" applyFill="1" applyBorder="1" applyAlignment="1" applyProtection="1">
      <alignment horizontal="right" vertical="top" wrapText="1"/>
    </xf>
    <xf numFmtId="0" fontId="6" fillId="2" borderId="20" xfId="3" applyFont="1" applyFill="1" applyBorder="1" applyAlignment="1" applyProtection="1">
      <alignment horizontal="right" vertical="top" wrapText="1"/>
    </xf>
    <xf numFmtId="0" fontId="6" fillId="2" borderId="17" xfId="3" applyFont="1" applyFill="1" applyBorder="1" applyAlignment="1" applyProtection="1">
      <alignment horizontal="right" vertical="top" wrapText="1"/>
    </xf>
    <xf numFmtId="0" fontId="6" fillId="0" borderId="0" xfId="3" applyFont="1" applyFill="1" applyBorder="1" applyAlignment="1" applyProtection="1">
      <alignment horizontal="left" vertical="center" wrapText="1"/>
      <protection locked="0"/>
    </xf>
    <xf numFmtId="0" fontId="6" fillId="6" borderId="0" xfId="3" applyNumberFormat="1" applyFont="1" applyFill="1" applyBorder="1" applyAlignment="1" applyProtection="1">
      <alignment horizontal="left" vertical="center"/>
      <protection locked="0"/>
    </xf>
    <xf numFmtId="167" fontId="6" fillId="6" borderId="0" xfId="3" applyNumberFormat="1" applyFont="1" applyFill="1" applyBorder="1" applyAlignment="1" applyProtection="1">
      <alignment horizontal="left" vertical="center"/>
      <protection locked="0"/>
    </xf>
    <xf numFmtId="169" fontId="48" fillId="6" borderId="0" xfId="3" applyNumberFormat="1" applyFont="1" applyFill="1" applyBorder="1" applyAlignment="1" applyProtection="1">
      <alignment horizontal="left" vertical="center"/>
      <protection locked="0"/>
    </xf>
    <xf numFmtId="49" fontId="6" fillId="0" borderId="0" xfId="3" applyNumberFormat="1" applyFont="1" applyFill="1" applyBorder="1" applyAlignment="1" applyProtection="1">
      <alignment horizontal="left" vertical="center"/>
      <protection locked="0"/>
    </xf>
    <xf numFmtId="0" fontId="25" fillId="2" borderId="0" xfId="3" applyFont="1" applyFill="1" applyAlignment="1" applyProtection="1">
      <alignment horizontal="center" vertical="center"/>
    </xf>
    <xf numFmtId="0" fontId="23" fillId="2" borderId="0" xfId="3" applyFont="1" applyFill="1" applyBorder="1" applyAlignment="1" applyProtection="1">
      <alignment horizontal="left" vertical="center"/>
    </xf>
    <xf numFmtId="0" fontId="24" fillId="2" borderId="33" xfId="3" applyFont="1" applyFill="1" applyBorder="1" applyAlignment="1" applyProtection="1">
      <alignment horizontal="center" vertical="top" wrapText="1"/>
    </xf>
    <xf numFmtId="0" fontId="5" fillId="2" borderId="29" xfId="3" applyFont="1" applyFill="1" applyBorder="1" applyAlignment="1" applyProtection="1">
      <alignment horizontal="center" vertical="top" wrapText="1"/>
    </xf>
    <xf numFmtId="0" fontId="5" fillId="2" borderId="34" xfId="3" applyFont="1" applyFill="1" applyBorder="1" applyAlignment="1" applyProtection="1">
      <alignment horizontal="center" vertical="top" wrapText="1"/>
    </xf>
    <xf numFmtId="0" fontId="6" fillId="0" borderId="0" xfId="3" applyFont="1" applyFill="1" applyBorder="1" applyAlignment="1" applyProtection="1">
      <alignment horizontal="left" vertical="center"/>
      <protection locked="0"/>
    </xf>
    <xf numFmtId="170" fontId="6" fillId="0" borderId="0" xfId="3" applyNumberFormat="1" applyFont="1" applyFill="1" applyBorder="1" applyAlignment="1" applyProtection="1">
      <alignment horizontal="left" vertical="center"/>
      <protection locked="0"/>
    </xf>
    <xf numFmtId="0" fontId="43" fillId="3" borderId="0" xfId="2" applyNumberFormat="1" applyFont="1" applyFill="1" applyBorder="1" applyAlignment="1" applyProtection="1">
      <alignment horizontal="left" vertical="center"/>
      <protection locked="0"/>
    </xf>
    <xf numFmtId="0" fontId="0" fillId="0" borderId="0" xfId="0"/>
    <xf numFmtId="168" fontId="6" fillId="3" borderId="40" xfId="3" applyNumberFormat="1" applyFont="1" applyFill="1" applyBorder="1" applyAlignment="1" applyProtection="1">
      <alignment horizontal="center" vertical="center"/>
      <protection locked="0"/>
    </xf>
    <xf numFmtId="168" fontId="6" fillId="3" borderId="0" xfId="3" applyNumberFormat="1" applyFont="1" applyFill="1" applyBorder="1" applyAlignment="1" applyProtection="1">
      <alignment horizontal="center" vertical="center"/>
      <protection locked="0"/>
    </xf>
    <xf numFmtId="0" fontId="6" fillId="2" borderId="0" xfId="3" applyFont="1" applyFill="1" applyBorder="1" applyAlignment="1" applyProtection="1">
      <alignment horizontal="center" vertical="center"/>
    </xf>
    <xf numFmtId="0" fontId="52" fillId="2" borderId="0" xfId="2" applyFont="1" applyFill="1" applyBorder="1" applyAlignment="1" applyProtection="1">
      <alignment horizontal="center" vertical="center" wrapText="1"/>
    </xf>
    <xf numFmtId="0" fontId="6" fillId="2" borderId="5" xfId="3" applyFont="1" applyFill="1" applyBorder="1" applyAlignment="1" applyProtection="1">
      <alignment horizontal="right" vertical="center"/>
    </xf>
    <xf numFmtId="0" fontId="4" fillId="2" borderId="7" xfId="3" applyFont="1" applyFill="1" applyBorder="1" applyAlignment="1" applyProtection="1">
      <alignment horizontal="right" vertical="center"/>
    </xf>
    <xf numFmtId="0" fontId="4" fillId="2" borderId="0" xfId="3" applyFont="1" applyFill="1" applyBorder="1" applyAlignment="1" applyProtection="1">
      <alignment horizontal="right" vertical="center"/>
    </xf>
    <xf numFmtId="0" fontId="20" fillId="2" borderId="7" xfId="3" applyFont="1" applyFill="1" applyBorder="1" applyAlignment="1" applyProtection="1">
      <alignment horizontal="center" vertical="center"/>
    </xf>
    <xf numFmtId="0" fontId="20" fillId="2" borderId="0" xfId="3" applyFont="1" applyFill="1" applyBorder="1" applyAlignment="1" applyProtection="1">
      <alignment horizontal="center" vertical="center"/>
    </xf>
    <xf numFmtId="0" fontId="12" fillId="6" borderId="0" xfId="3" applyFont="1" applyFill="1" applyBorder="1" applyAlignment="1" applyProtection="1">
      <alignment horizontal="left" vertical="center" wrapText="1"/>
      <protection locked="0"/>
    </xf>
    <xf numFmtId="0" fontId="6" fillId="2" borderId="8" xfId="3" applyFont="1" applyFill="1" applyBorder="1" applyAlignment="1" applyProtection="1">
      <alignment horizontal="left" vertical="center"/>
    </xf>
    <xf numFmtId="0" fontId="6" fillId="2" borderId="6" xfId="3" applyFont="1" applyFill="1" applyBorder="1" applyAlignment="1" applyProtection="1">
      <alignment horizontal="left" vertical="center"/>
    </xf>
    <xf numFmtId="0" fontId="6" fillId="2" borderId="11" xfId="3" applyFont="1" applyFill="1" applyBorder="1" applyAlignment="1" applyProtection="1">
      <alignment horizontal="left" vertical="center"/>
    </xf>
    <xf numFmtId="0" fontId="16" fillId="2" borderId="29" xfId="3" applyFont="1" applyFill="1" applyBorder="1" applyAlignment="1" applyProtection="1">
      <alignment horizontal="left" vertical="center" wrapText="1"/>
    </xf>
    <xf numFmtId="0" fontId="6" fillId="0" borderId="30" xfId="3" applyNumberFormat="1" applyFont="1" applyFill="1" applyBorder="1" applyAlignment="1" applyProtection="1">
      <alignment horizontal="center" vertical="center"/>
      <protection locked="0"/>
    </xf>
    <xf numFmtId="0" fontId="6" fillId="0" borderId="31" xfId="3" applyNumberFormat="1" applyFont="1" applyFill="1" applyBorder="1" applyAlignment="1" applyProtection="1">
      <alignment horizontal="center" vertical="center"/>
      <protection locked="0"/>
    </xf>
    <xf numFmtId="0" fontId="6" fillId="0" borderId="32" xfId="3" applyNumberFormat="1" applyFont="1" applyFill="1" applyBorder="1" applyAlignment="1" applyProtection="1">
      <alignment horizontal="center" vertical="center"/>
      <protection locked="0"/>
    </xf>
    <xf numFmtId="0" fontId="47" fillId="0" borderId="0" xfId="3" applyFont="1" applyFill="1" applyBorder="1" applyAlignment="1" applyProtection="1">
      <alignment horizontal="left" vertical="top" wrapText="1"/>
      <protection locked="0"/>
    </xf>
    <xf numFmtId="0" fontId="47" fillId="0" borderId="10" xfId="3" applyFont="1" applyFill="1" applyBorder="1" applyAlignment="1" applyProtection="1">
      <alignment horizontal="left" vertical="top" wrapText="1"/>
      <protection locked="0"/>
    </xf>
    <xf numFmtId="0" fontId="6" fillId="3" borderId="31" xfId="3" applyNumberFormat="1" applyFont="1" applyFill="1" applyBorder="1" applyAlignment="1" applyProtection="1">
      <alignment horizontal="center" vertical="center" wrapText="1"/>
      <protection locked="0"/>
    </xf>
    <xf numFmtId="0" fontId="6" fillId="3" borderId="32" xfId="3" applyNumberFormat="1" applyFont="1" applyFill="1" applyBorder="1" applyAlignment="1" applyProtection="1">
      <alignment horizontal="center" vertical="center" wrapText="1"/>
      <protection locked="0"/>
    </xf>
    <xf numFmtId="0" fontId="12" fillId="6" borderId="10" xfId="3" applyFont="1" applyFill="1" applyBorder="1" applyAlignment="1" applyProtection="1">
      <alignment horizontal="left" vertical="center" wrapText="1"/>
      <protection locked="0"/>
    </xf>
    <xf numFmtId="0" fontId="4" fillId="2" borderId="8" xfId="3" applyFont="1" applyFill="1" applyBorder="1" applyAlignment="1" applyProtection="1">
      <alignment horizontal="left" vertical="center"/>
    </xf>
    <xf numFmtId="0" fontId="4" fillId="2" borderId="6" xfId="3" applyFont="1" applyFill="1" applyBorder="1" applyAlignment="1" applyProtection="1">
      <alignment horizontal="left" vertical="center"/>
    </xf>
    <xf numFmtId="0" fontId="4" fillId="2" borderId="11" xfId="3" applyFont="1" applyFill="1" applyBorder="1" applyAlignment="1" applyProtection="1">
      <alignment horizontal="left" vertical="center"/>
    </xf>
    <xf numFmtId="0" fontId="18" fillId="2" borderId="29" xfId="3" applyFont="1" applyFill="1" applyBorder="1" applyAlignment="1" applyProtection="1">
      <alignment horizontal="left" vertical="top" wrapText="1"/>
    </xf>
    <xf numFmtId="0" fontId="20" fillId="2" borderId="8" xfId="3" applyFont="1" applyFill="1" applyBorder="1" applyAlignment="1" applyProtection="1">
      <alignment horizontal="left" vertical="center"/>
    </xf>
    <xf numFmtId="0" fontId="20" fillId="2" borderId="6" xfId="3" applyFont="1" applyFill="1" applyBorder="1" applyAlignment="1" applyProtection="1">
      <alignment horizontal="left" vertical="center"/>
    </xf>
    <xf numFmtId="0" fontId="20" fillId="2" borderId="0" xfId="3" applyFont="1" applyFill="1" applyBorder="1" applyAlignment="1" applyProtection="1">
      <alignment horizontal="right" vertical="center"/>
    </xf>
    <xf numFmtId="0" fontId="46" fillId="6" borderId="0" xfId="3" applyFont="1" applyFill="1" applyBorder="1" applyAlignment="1" applyProtection="1">
      <alignment horizontal="left" vertical="center"/>
      <protection locked="0"/>
    </xf>
    <xf numFmtId="0" fontId="46" fillId="6" borderId="10" xfId="3" applyFont="1" applyFill="1" applyBorder="1" applyAlignment="1" applyProtection="1">
      <alignment horizontal="left" vertical="center"/>
      <protection locked="0"/>
    </xf>
    <xf numFmtId="1" fontId="3" fillId="2" borderId="0" xfId="3" applyNumberFormat="1" applyFill="1" applyAlignment="1" applyProtection="1">
      <alignment horizontal="center"/>
    </xf>
    <xf numFmtId="0" fontId="3" fillId="2" borderId="0" xfId="3" applyFill="1" applyAlignment="1" applyProtection="1">
      <alignment horizontal="center"/>
    </xf>
    <xf numFmtId="0" fontId="41" fillId="2" borderId="0" xfId="3" applyFont="1" applyFill="1" applyAlignment="1" applyProtection="1">
      <alignment horizontal="left" vertical="top" wrapText="1"/>
    </xf>
    <xf numFmtId="0" fontId="39" fillId="2" borderId="0" xfId="3" applyFont="1" applyFill="1" applyAlignment="1" applyProtection="1">
      <alignment horizontal="left" vertical="top" wrapText="1"/>
    </xf>
    <xf numFmtId="0" fontId="19" fillId="0" borderId="0" xfId="3" applyFont="1" applyFill="1" applyAlignment="1" applyProtection="1">
      <alignment horizontal="center" vertical="top"/>
      <protection locked="0"/>
    </xf>
    <xf numFmtId="0" fontId="34" fillId="2" borderId="0" xfId="3" applyFont="1" applyFill="1" applyAlignment="1" applyProtection="1">
      <alignment horizontal="left"/>
    </xf>
    <xf numFmtId="0" fontId="3" fillId="3" borderId="0" xfId="3" applyFont="1" applyFill="1" applyAlignment="1" applyProtection="1">
      <alignment horizontal="center" vertical="center" wrapText="1"/>
      <protection locked="0"/>
    </xf>
    <xf numFmtId="0" fontId="3" fillId="3" borderId="0" xfId="3" applyFill="1" applyAlignment="1" applyProtection="1">
      <alignment horizontal="center" vertical="center" wrapText="1"/>
      <protection locked="0"/>
    </xf>
    <xf numFmtId="0" fontId="3" fillId="0" borderId="0" xfId="3" applyFill="1" applyAlignment="1" applyProtection="1">
      <alignment horizontal="center" vertical="center" wrapText="1"/>
      <protection locked="0"/>
    </xf>
    <xf numFmtId="1" fontId="3" fillId="0" borderId="0" xfId="3" applyNumberFormat="1" applyFill="1" applyAlignment="1" applyProtection="1">
      <alignment horizontal="center"/>
      <protection locked="0"/>
    </xf>
    <xf numFmtId="0" fontId="40" fillId="0" borderId="0" xfId="3" applyFont="1" applyFill="1" applyAlignment="1" applyProtection="1">
      <alignment horizontal="center" vertical="top"/>
      <protection locked="0"/>
    </xf>
    <xf numFmtId="0" fontId="37" fillId="0" borderId="0" xfId="3" applyFont="1" applyFill="1" applyAlignment="1" applyProtection="1">
      <alignment horizontal="center" vertical="center"/>
      <protection locked="0"/>
    </xf>
  </cellXfs>
  <cellStyles count="4">
    <cellStyle name="Currency 2" xfId="1"/>
    <cellStyle name="Hyperlink" xfId="2" builtinId="8"/>
    <cellStyle name="Normal" xfId="0" builtinId="0"/>
    <cellStyle name="Normal 2" xfId="3"/>
  </cellStyles>
  <dxfs count="5">
    <dxf>
      <font>
        <u/>
        <color rgb="FF0000FF"/>
      </font>
    </dxf>
    <dxf>
      <font>
        <b val="0"/>
        <i val="0"/>
        <u/>
        <color rgb="FF0000FF"/>
      </font>
    </dxf>
    <dxf>
      <font>
        <b val="0"/>
        <i val="0"/>
        <u/>
        <color rgb="FF0000FF"/>
      </font>
    </dxf>
    <dxf>
      <font>
        <color theme="9" tint="-0.499984740745262"/>
      </font>
    </dxf>
    <dxf>
      <font>
        <color theme="9" tint="-0.49998474074526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Radio" checked="Checked" firstButton="1" fmlaLink="'Background Info'!$D$1"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fmlaLink="Third_Party_Type"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Radio" checked="Checked" firstButton="1" fmlaLink="Return_Type"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Radio"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CheckBox" checked="Checked" fmlaLink="Analysis_Rep" lockText="1"/>
</file>

<file path=xl/ctrlProps/ctrlProp20.xml><?xml version="1.0" encoding="utf-8"?>
<formControlPr xmlns="http://schemas.microsoft.com/office/spreadsheetml/2009/9/main" objectType="GBox"/>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CheckBox" checked="Checked" fmlaLink="Shipping"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20</xdr:row>
          <xdr:rowOff>123825</xdr:rowOff>
        </xdr:from>
        <xdr:to>
          <xdr:col>5</xdr:col>
          <xdr:colOff>9525</xdr:colOff>
          <xdr:row>22</xdr:row>
          <xdr:rowOff>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6E5EA209-C99C-482D-AA5D-39749D49FC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00000"/>
                  </a:solidFill>
                  <a:latin typeface="Arial"/>
                  <a:cs typeface="Arial"/>
                </a:rPr>
                <a:t>Validate, Print &amp;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20</xdr:row>
          <xdr:rowOff>123825</xdr:rowOff>
        </xdr:from>
        <xdr:to>
          <xdr:col>2</xdr:col>
          <xdr:colOff>1552575</xdr:colOff>
          <xdr:row>22</xdr:row>
          <xdr:rowOff>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2CA15BAA-2324-499C-94A4-119BCBF127D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00000"/>
                  </a:solidFill>
                  <a:latin typeface="Arial"/>
                  <a:cs typeface="Arial"/>
                </a:rPr>
                <a:t>Copy &amp; Return to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20</xdr:row>
          <xdr:rowOff>123825</xdr:rowOff>
        </xdr:from>
        <xdr:to>
          <xdr:col>6</xdr:col>
          <xdr:colOff>600075</xdr:colOff>
          <xdr:row>22</xdr:row>
          <xdr:rowOff>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FC991FCA-7A63-4B45-AE0B-A1153C6ED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00000"/>
                  </a:solidFill>
                  <a:latin typeface="Arial"/>
                  <a:cs typeface="Arial"/>
                </a:rPr>
                <a:t>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6</xdr:row>
          <xdr:rowOff>66675</xdr:rowOff>
        </xdr:from>
        <xdr:to>
          <xdr:col>13</xdr:col>
          <xdr:colOff>695325</xdr:colOff>
          <xdr:row>14</xdr:row>
          <xdr:rowOff>57150</xdr:rowOff>
        </xdr:to>
        <xdr:sp macro="" textlink="">
          <xdr:nvSpPr>
            <xdr:cNvPr id="1058" name="Grp_Location" hidden="1">
              <a:extLst>
                <a:ext uri="{63B3BB69-23CF-44E3-9099-C40C66FF867C}">
                  <a14:compatExt spid="_x0000_s1058"/>
                </a:ext>
                <a:ext uri="{FF2B5EF4-FFF2-40B4-BE49-F238E27FC236}">
                  <a16:creationId xmlns:a16="http://schemas.microsoft.com/office/drawing/2014/main" id="{D14AEA82-CA02-4F51-9BBB-0600C5853F3A}"/>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Location*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6</xdr:row>
          <xdr:rowOff>142875</xdr:rowOff>
        </xdr:from>
        <xdr:to>
          <xdr:col>13</xdr:col>
          <xdr:colOff>609600</xdr:colOff>
          <xdr:row>9</xdr:row>
          <xdr:rowOff>19050</xdr:rowOff>
        </xdr:to>
        <xdr:sp macro="" textlink="">
          <xdr:nvSpPr>
            <xdr:cNvPr id="1059" name="Opt_BG" hidden="1">
              <a:extLst>
                <a:ext uri="{63B3BB69-23CF-44E3-9099-C40C66FF867C}">
                  <a14:compatExt spid="_x0000_s1059"/>
                </a:ext>
                <a:ext uri="{FF2B5EF4-FFF2-40B4-BE49-F238E27FC236}">
                  <a16:creationId xmlns:a16="http://schemas.microsoft.com/office/drawing/2014/main" id="{79113EE7-53FB-4192-9F6A-3DE43643B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9525</xdr:rowOff>
        </xdr:from>
        <xdr:to>
          <xdr:col>13</xdr:col>
          <xdr:colOff>590550</xdr:colOff>
          <xdr:row>11</xdr:row>
          <xdr:rowOff>9525</xdr:rowOff>
        </xdr:to>
        <xdr:sp macro="" textlink="">
          <xdr:nvSpPr>
            <xdr:cNvPr id="1060" name="Opt_FP" hidden="1">
              <a:extLst>
                <a:ext uri="{63B3BB69-23CF-44E3-9099-C40C66FF867C}">
                  <a14:compatExt spid="_x0000_s1060"/>
                </a:ext>
                <a:ext uri="{FF2B5EF4-FFF2-40B4-BE49-F238E27FC236}">
                  <a16:creationId xmlns:a16="http://schemas.microsoft.com/office/drawing/2014/main" id="{407849DA-9679-49B1-9C8C-4C0B4BD2CA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9525</xdr:rowOff>
        </xdr:from>
        <xdr:to>
          <xdr:col>13</xdr:col>
          <xdr:colOff>666750</xdr:colOff>
          <xdr:row>14</xdr:row>
          <xdr:rowOff>0</xdr:rowOff>
        </xdr:to>
        <xdr:sp macro="" textlink="">
          <xdr:nvSpPr>
            <xdr:cNvPr id="1061" name="Opt_3rd_Party" hidden="1">
              <a:extLst>
                <a:ext uri="{63B3BB69-23CF-44E3-9099-C40C66FF867C}">
                  <a14:compatExt spid="_x0000_s1061"/>
                </a:ext>
                <a:ext uri="{FF2B5EF4-FFF2-40B4-BE49-F238E27FC236}">
                  <a16:creationId xmlns:a16="http://schemas.microsoft.com/office/drawing/2014/main" id="{3F933F8B-DC73-4FB7-B48A-8A21DC5E82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3rd Party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51</xdr:row>
          <xdr:rowOff>28575</xdr:rowOff>
        </xdr:from>
        <xdr:to>
          <xdr:col>10</xdr:col>
          <xdr:colOff>38100</xdr:colOff>
          <xdr:row>51</xdr:row>
          <xdr:rowOff>238125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991137-C79D-40E0-87FF-FC7D49E31B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800000"/>
                  </a:solidFill>
                  <a:latin typeface="Arial"/>
                  <a:cs typeface="Arial"/>
                </a:rPr>
                <a:t>Print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51</xdr:row>
          <xdr:rowOff>38100</xdr:rowOff>
        </xdr:from>
        <xdr:to>
          <xdr:col>13</xdr:col>
          <xdr:colOff>609600</xdr:colOff>
          <xdr:row>51</xdr:row>
          <xdr:rowOff>238125</xdr:rowOff>
        </xdr:to>
        <xdr:sp macro="" textlink="">
          <xdr:nvSpPr>
            <xdr:cNvPr id="1063" name="Button 39" hidden="1">
              <a:extLst>
                <a:ext uri="{63B3BB69-23CF-44E3-9099-C40C66FF867C}">
                  <a14:compatExt spid="_x0000_s1063"/>
                </a:ext>
                <a:ext uri="{FF2B5EF4-FFF2-40B4-BE49-F238E27FC236}">
                  <a16:creationId xmlns:a16="http://schemas.microsoft.com/office/drawing/2014/main" id="{DBEA94AF-DCD9-4CE3-837B-047E6C1A75D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800000"/>
                  </a:solidFill>
                  <a:latin typeface="Arial"/>
                  <a:cs typeface="Arial"/>
                </a:rPr>
                <a:t>Email to Warehouse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60</xdr:row>
          <xdr:rowOff>57150</xdr:rowOff>
        </xdr:from>
        <xdr:to>
          <xdr:col>13</xdr:col>
          <xdr:colOff>619125</xdr:colOff>
          <xdr:row>60</xdr:row>
          <xdr:rowOff>247650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99AE2E28-CBF4-4FE6-B7B1-D9B3AB8B8A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3366FF"/>
                  </a:solidFill>
                  <a:latin typeface="Arial"/>
                  <a:cs typeface="Arial"/>
                </a:rPr>
                <a:t>Email after Section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66</xdr:row>
          <xdr:rowOff>47625</xdr:rowOff>
        </xdr:from>
        <xdr:to>
          <xdr:col>13</xdr:col>
          <xdr:colOff>619125</xdr:colOff>
          <xdr:row>66</xdr:row>
          <xdr:rowOff>257175</xdr:rowOff>
        </xdr:to>
        <xdr:sp macro="" textlink="">
          <xdr:nvSpPr>
            <xdr:cNvPr id="1065" name="Button 41" hidden="1">
              <a:extLst>
                <a:ext uri="{63B3BB69-23CF-44E3-9099-C40C66FF867C}">
                  <a14:compatExt spid="_x0000_s1065"/>
                </a:ext>
                <a:ext uri="{FF2B5EF4-FFF2-40B4-BE49-F238E27FC236}">
                  <a16:creationId xmlns:a16="http://schemas.microsoft.com/office/drawing/2014/main" id="{C811383A-B15D-4F24-84A4-E3912EBC41F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8000"/>
                  </a:solidFill>
                  <a:latin typeface="Arial"/>
                  <a:cs typeface="Arial"/>
                </a:rPr>
                <a:t>Return to Warehouse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24</xdr:row>
          <xdr:rowOff>171450</xdr:rowOff>
        </xdr:from>
        <xdr:to>
          <xdr:col>6</xdr:col>
          <xdr:colOff>171450</xdr:colOff>
          <xdr:row>25</xdr:row>
          <xdr:rowOff>114300</xdr:rowOff>
        </xdr:to>
        <xdr:sp macro="" textlink="">
          <xdr:nvSpPr>
            <xdr:cNvPr id="1066" name="Opt_Asset" hidden="1">
              <a:extLst>
                <a:ext uri="{63B3BB69-23CF-44E3-9099-C40C66FF867C}">
                  <a14:compatExt spid="_x0000_s1066"/>
                </a:ext>
                <a:ext uri="{FF2B5EF4-FFF2-40B4-BE49-F238E27FC236}">
                  <a16:creationId xmlns:a16="http://schemas.microsoft.com/office/drawing/2014/main" id="{BB8A76DC-8B8E-4858-A367-9DA41B5901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Asset/BOE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25</xdr:row>
          <xdr:rowOff>85725</xdr:rowOff>
        </xdr:from>
        <xdr:to>
          <xdr:col>6</xdr:col>
          <xdr:colOff>95250</xdr:colOff>
          <xdr:row>26</xdr:row>
          <xdr:rowOff>133350</xdr:rowOff>
        </xdr:to>
        <xdr:sp macro="" textlink="">
          <xdr:nvSpPr>
            <xdr:cNvPr id="1067" name="Opt_Material" hidden="1">
              <a:extLst>
                <a:ext uri="{63B3BB69-23CF-44E3-9099-C40C66FF867C}">
                  <a14:compatExt spid="_x0000_s1067"/>
                </a:ext>
                <a:ext uri="{FF2B5EF4-FFF2-40B4-BE49-F238E27FC236}">
                  <a16:creationId xmlns:a16="http://schemas.microsoft.com/office/drawing/2014/main" id="{368C852C-E404-487B-B4A4-DA636B5032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Material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xdr:row>
          <xdr:rowOff>66675</xdr:rowOff>
        </xdr:from>
        <xdr:to>
          <xdr:col>3</xdr:col>
          <xdr:colOff>676275</xdr:colOff>
          <xdr:row>26</xdr:row>
          <xdr:rowOff>142875</xdr:rowOff>
        </xdr:to>
        <xdr:sp macro="" textlink="">
          <xdr:nvSpPr>
            <xdr:cNvPr id="1068" name="grp_Return_Type" hidden="1">
              <a:extLst>
                <a:ext uri="{63B3BB69-23CF-44E3-9099-C40C66FF867C}">
                  <a14:compatExt spid="_x0000_s1068"/>
                </a:ext>
                <a:ext uri="{FF2B5EF4-FFF2-40B4-BE49-F238E27FC236}">
                  <a16:creationId xmlns:a16="http://schemas.microsoft.com/office/drawing/2014/main" id="{3314EAA0-2BDA-4E3E-B3F6-6FB64BDC5E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Return Type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24</xdr:row>
          <xdr:rowOff>85725</xdr:rowOff>
        </xdr:from>
        <xdr:to>
          <xdr:col>2</xdr:col>
          <xdr:colOff>9525</xdr:colOff>
          <xdr:row>25</xdr:row>
          <xdr:rowOff>38100</xdr:rowOff>
        </xdr:to>
        <xdr:sp macro="" textlink="">
          <xdr:nvSpPr>
            <xdr:cNvPr id="1069" name="Opt_Warranty" hidden="1">
              <a:extLst>
                <a:ext uri="{63B3BB69-23CF-44E3-9099-C40C66FF867C}">
                  <a14:compatExt spid="_x0000_s1069"/>
                </a:ext>
                <a:ext uri="{FF2B5EF4-FFF2-40B4-BE49-F238E27FC236}">
                  <a16:creationId xmlns:a16="http://schemas.microsoft.com/office/drawing/2014/main" id="{E9D84824-FE90-41BE-A3A2-0C898D2A6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Warranty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24</xdr:row>
          <xdr:rowOff>228600</xdr:rowOff>
        </xdr:from>
        <xdr:to>
          <xdr:col>2</xdr:col>
          <xdr:colOff>9525</xdr:colOff>
          <xdr:row>26</xdr:row>
          <xdr:rowOff>0</xdr:rowOff>
        </xdr:to>
        <xdr:sp macro="" textlink="">
          <xdr:nvSpPr>
            <xdr:cNvPr id="1070" name="Opt_Excess" hidden="1">
              <a:extLst>
                <a:ext uri="{63B3BB69-23CF-44E3-9099-C40C66FF867C}">
                  <a14:compatExt spid="_x0000_s1070"/>
                </a:ext>
                <a:ext uri="{FF2B5EF4-FFF2-40B4-BE49-F238E27FC236}">
                  <a16:creationId xmlns:a16="http://schemas.microsoft.com/office/drawing/2014/main" id="{BD7BFEB4-9740-43C9-A9B6-3FECAADEB5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Excess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742950</xdr:colOff>
          <xdr:row>24</xdr:row>
          <xdr:rowOff>85725</xdr:rowOff>
        </xdr:from>
        <xdr:to>
          <xdr:col>3</xdr:col>
          <xdr:colOff>581025</xdr:colOff>
          <xdr:row>25</xdr:row>
          <xdr:rowOff>28575</xdr:rowOff>
        </xdr:to>
        <xdr:sp macro="" textlink="">
          <xdr:nvSpPr>
            <xdr:cNvPr id="1071" name="Opt_Ship_Error" hidden="1">
              <a:extLst>
                <a:ext uri="{63B3BB69-23CF-44E3-9099-C40C66FF867C}">
                  <a14:compatExt spid="_x0000_s1071"/>
                </a:ext>
                <a:ext uri="{FF2B5EF4-FFF2-40B4-BE49-F238E27FC236}">
                  <a16:creationId xmlns:a16="http://schemas.microsoft.com/office/drawing/2014/main" id="{15C79D21-C595-4DE3-B96D-B6B33F073D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Shipping Error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742950</xdr:colOff>
          <xdr:row>24</xdr:row>
          <xdr:rowOff>228600</xdr:rowOff>
        </xdr:from>
        <xdr:to>
          <xdr:col>3</xdr:col>
          <xdr:colOff>609600</xdr:colOff>
          <xdr:row>26</xdr:row>
          <xdr:rowOff>0</xdr:rowOff>
        </xdr:to>
        <xdr:sp macro="" textlink="">
          <xdr:nvSpPr>
            <xdr:cNvPr id="1072" name="Opt_Upgrade" hidden="1">
              <a:extLst>
                <a:ext uri="{63B3BB69-23CF-44E3-9099-C40C66FF867C}">
                  <a14:compatExt spid="_x0000_s1072"/>
                </a:ext>
                <a:ext uri="{FF2B5EF4-FFF2-40B4-BE49-F238E27FC236}">
                  <a16:creationId xmlns:a16="http://schemas.microsoft.com/office/drawing/2014/main" id="{AC12C5C3-5FB3-4931-84E6-1E03D3C905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Upgrade Rebate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23</xdr:row>
          <xdr:rowOff>104775</xdr:rowOff>
        </xdr:from>
        <xdr:to>
          <xdr:col>10</xdr:col>
          <xdr:colOff>304800</xdr:colOff>
          <xdr:row>24</xdr:row>
          <xdr:rowOff>200025</xdr:rowOff>
        </xdr:to>
        <xdr:sp macro="" textlink="">
          <xdr:nvSpPr>
            <xdr:cNvPr id="1073" name="chk_MAR" hidden="1">
              <a:extLst>
                <a:ext uri="{63B3BB69-23CF-44E3-9099-C40C66FF867C}">
                  <a14:compatExt spid="_x0000_s1073"/>
                </a:ext>
                <a:ext uri="{FF2B5EF4-FFF2-40B4-BE49-F238E27FC236}">
                  <a16:creationId xmlns:a16="http://schemas.microsoft.com/office/drawing/2014/main" id="{DA4228F1-C221-4A19-93B8-2111F2BE29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24</xdr:row>
          <xdr:rowOff>85725</xdr:rowOff>
        </xdr:from>
        <xdr:to>
          <xdr:col>6</xdr:col>
          <xdr:colOff>352425</xdr:colOff>
          <xdr:row>26</xdr:row>
          <xdr:rowOff>142875</xdr:rowOff>
        </xdr:to>
        <xdr:sp macro="" textlink="">
          <xdr:nvSpPr>
            <xdr:cNvPr id="1074" name="Group Box 50" hidden="1">
              <a:extLst>
                <a:ext uri="{63B3BB69-23CF-44E3-9099-C40C66FF867C}">
                  <a14:compatExt spid="_x0000_s1074"/>
                </a:ext>
                <a:ext uri="{FF2B5EF4-FFF2-40B4-BE49-F238E27FC236}">
                  <a16:creationId xmlns:a16="http://schemas.microsoft.com/office/drawing/2014/main" id="{4D945FA7-29D1-4AE1-9004-38BF32F92B8A}"/>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3rd Party Return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742950</xdr:colOff>
          <xdr:row>25</xdr:row>
          <xdr:rowOff>85725</xdr:rowOff>
        </xdr:from>
        <xdr:to>
          <xdr:col>3</xdr:col>
          <xdr:colOff>457200</xdr:colOff>
          <xdr:row>26</xdr:row>
          <xdr:rowOff>133350</xdr:rowOff>
        </xdr:to>
        <xdr:sp macro="" textlink="">
          <xdr:nvSpPr>
            <xdr:cNvPr id="1075" name="Opt_Core" hidden="1">
              <a:extLst>
                <a:ext uri="{63B3BB69-23CF-44E3-9099-C40C66FF867C}">
                  <a14:compatExt spid="_x0000_s1075"/>
                </a:ext>
                <a:ext uri="{FF2B5EF4-FFF2-40B4-BE49-F238E27FC236}">
                  <a16:creationId xmlns:a16="http://schemas.microsoft.com/office/drawing/2014/main" id="{072C7DC5-435A-4B0E-84AF-1F4642BAA3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Core Rebate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352425</xdr:colOff>
          <xdr:row>25</xdr:row>
          <xdr:rowOff>152400</xdr:rowOff>
        </xdr:from>
        <xdr:to>
          <xdr:col>13</xdr:col>
          <xdr:colOff>657225</xdr:colOff>
          <xdr:row>27</xdr:row>
          <xdr:rowOff>0</xdr:rowOff>
        </xdr:to>
        <xdr:sp macro="" textlink="">
          <xdr:nvSpPr>
            <xdr:cNvPr id="1076" name="chk_Shipping" hidden="1">
              <a:extLst>
                <a:ext uri="{63B3BB69-23CF-44E3-9099-C40C66FF867C}">
                  <a14:compatExt spid="_x0000_s1076"/>
                </a:ext>
                <a:ext uri="{FF2B5EF4-FFF2-40B4-BE49-F238E27FC236}">
                  <a16:creationId xmlns:a16="http://schemas.microsoft.com/office/drawing/2014/main" id="{78E6B7A4-23E0-4F36-A92A-6317565D2B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25</xdr:row>
          <xdr:rowOff>95250</xdr:rowOff>
        </xdr:from>
        <xdr:to>
          <xdr:col>1</xdr:col>
          <xdr:colOff>723900</xdr:colOff>
          <xdr:row>26</xdr:row>
          <xdr:rowOff>142875</xdr:rowOff>
        </xdr:to>
        <xdr:sp macro="" textlink="">
          <xdr:nvSpPr>
            <xdr:cNvPr id="1083" name="Opt_Core" hidden="1">
              <a:extLst>
                <a:ext uri="{63B3BB69-23CF-44E3-9099-C40C66FF867C}">
                  <a14:compatExt spid="_x0000_s1083"/>
                </a:ext>
                <a:ext uri="{FF2B5EF4-FFF2-40B4-BE49-F238E27FC236}">
                  <a16:creationId xmlns:a16="http://schemas.microsoft.com/office/drawing/2014/main" id="{0342A3F4-75D7-4B34-84FE-0D4F5F0306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Recall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71</xdr:row>
          <xdr:rowOff>38100</xdr:rowOff>
        </xdr:from>
        <xdr:to>
          <xdr:col>10</xdr:col>
          <xdr:colOff>9525</xdr:colOff>
          <xdr:row>71</xdr:row>
          <xdr:rowOff>257175</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7F5BBD4-133F-4A3E-AF0D-C01B3B6DE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71</xdr:row>
          <xdr:rowOff>38100</xdr:rowOff>
        </xdr:from>
        <xdr:to>
          <xdr:col>13</xdr:col>
          <xdr:colOff>619125</xdr:colOff>
          <xdr:row>71</xdr:row>
          <xdr:rowOff>257175</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A8BE09B8-20C8-44AB-8F95-2E5021B67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Email to Originator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2</xdr:row>
          <xdr:rowOff>57150</xdr:rowOff>
        </xdr:from>
        <xdr:to>
          <xdr:col>13</xdr:col>
          <xdr:colOff>628650</xdr:colOff>
          <xdr:row>2</xdr:row>
          <xdr:rowOff>257175</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25D5B6D2-9119-47C2-9AEF-CE0164255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800000"/>
                  </a:solidFill>
                  <a:latin typeface="Arial"/>
                  <a:cs typeface="Arial"/>
                </a:rPr>
                <a:t>Quick Entry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28</xdr:row>
          <xdr:rowOff>152400</xdr:rowOff>
        </xdr:from>
        <xdr:to>
          <xdr:col>1</xdr:col>
          <xdr:colOff>638175</xdr:colOff>
          <xdr:row>31</xdr:row>
          <xdr:rowOff>123825</xdr:rowOff>
        </xdr:to>
        <xdr:sp macro="" textlink="">
          <xdr:nvSpPr>
            <xdr:cNvPr id="3074" name="Object 2" hidden="1">
              <a:extLst>
                <a:ext uri="{63B3BB69-23CF-44E3-9099-C40C66FF867C}">
                  <a14:compatExt spid="_x0000_s3074"/>
                </a:ext>
                <a:ext uri="{FF2B5EF4-FFF2-40B4-BE49-F238E27FC236}">
                  <a16:creationId xmlns:a16="http://schemas.microsoft.com/office/drawing/2014/main" id="{420B8582-28B5-4660-A03C-1951EBC9524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24</xdr:row>
          <xdr:rowOff>95250</xdr:rowOff>
        </xdr:from>
        <xdr:to>
          <xdr:col>1</xdr:col>
          <xdr:colOff>600075</xdr:colOff>
          <xdr:row>27</xdr:row>
          <xdr:rowOff>66675</xdr:rowOff>
        </xdr:to>
        <xdr:sp macro="" textlink="">
          <xdr:nvSpPr>
            <xdr:cNvPr id="3075" name="Object 3" hidden="1">
              <a:extLst>
                <a:ext uri="{63B3BB69-23CF-44E3-9099-C40C66FF867C}">
                  <a14:compatExt spid="_x0000_s3075"/>
                </a:ext>
                <a:ext uri="{FF2B5EF4-FFF2-40B4-BE49-F238E27FC236}">
                  <a16:creationId xmlns:a16="http://schemas.microsoft.com/office/drawing/2014/main" id="{870ECF34-FA5F-47B8-A397-3A45A0E6AF5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hyperlink" Target="mailto:support.industry@siemens.com%22" TargetMode="Externa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hyperlink" Target="https://ishare.siemens.com/sii/bt/factwarranty/Returns" TargetMode="Externa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hyperlink" Target="https://ishare.siemens.com/sii/bt/factwarranty/Returns/Support/Return%20Status%20Instructions.doc" TargetMode="External"/><Relationship Id="rId6" Type="http://schemas.openxmlformats.org/officeDocument/2006/relationships/vmlDrawing" Target="../drawings/vmlDrawing2.v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drawing" Target="../drawings/drawing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printerSettings" Target="../printerSettings/printerSettings1.bin"/><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57"/>
  <sheetViews>
    <sheetView showGridLines="0" workbookViewId="0">
      <selection activeCell="B1" sqref="B1"/>
    </sheetView>
  </sheetViews>
  <sheetFormatPr defaultRowHeight="15"/>
  <cols>
    <col min="1" max="1" width="28.7109375" style="158" bestFit="1" customWidth="1"/>
    <col min="2" max="2" width="23.5703125" style="158" customWidth="1"/>
    <col min="3" max="3" width="24.140625" bestFit="1" customWidth="1"/>
    <col min="4" max="4" width="12.28515625" bestFit="1" customWidth="1"/>
    <col min="6" max="6" width="4.7109375" customWidth="1"/>
    <col min="9" max="9" width="18" customWidth="1"/>
  </cols>
  <sheetData>
    <row r="1" spans="1:15">
      <c r="A1" s="10" t="s">
        <v>36</v>
      </c>
      <c r="B1" s="93"/>
      <c r="C1" s="147"/>
      <c r="D1" s="147"/>
      <c r="E1" s="147"/>
      <c r="H1" s="147"/>
      <c r="I1" s="147"/>
      <c r="J1" s="147"/>
      <c r="K1" s="147"/>
      <c r="L1" s="147"/>
      <c r="M1" s="147"/>
      <c r="N1" s="147"/>
      <c r="O1" s="147"/>
    </row>
    <row r="2" spans="1:15">
      <c r="A2" s="10" t="s">
        <v>171</v>
      </c>
      <c r="B2" s="154"/>
      <c r="C2" s="147"/>
      <c r="D2" s="147"/>
      <c r="H2" s="147"/>
      <c r="I2" s="147"/>
      <c r="J2" s="147"/>
      <c r="K2" s="147"/>
      <c r="L2" s="147"/>
      <c r="M2" s="147"/>
      <c r="N2" s="147"/>
      <c r="O2" s="147"/>
    </row>
    <row r="3" spans="1:15" s="147" customFormat="1" ht="15" customHeight="1">
      <c r="A3" s="10" t="s">
        <v>29</v>
      </c>
      <c r="B3" s="93"/>
      <c r="D3" s="202" t="s">
        <v>177</v>
      </c>
      <c r="E3" s="203"/>
      <c r="F3" s="204"/>
    </row>
    <row r="4" spans="1:15" ht="15" customHeight="1">
      <c r="A4" s="10" t="s">
        <v>33</v>
      </c>
      <c r="B4" s="149"/>
      <c r="C4" s="147"/>
      <c r="D4" s="205"/>
      <c r="E4" s="206"/>
      <c r="F4" s="207"/>
      <c r="H4" s="147"/>
      <c r="I4" s="147"/>
      <c r="J4" s="147"/>
      <c r="K4" s="147"/>
      <c r="L4" s="147"/>
      <c r="M4" s="147"/>
      <c r="N4" s="147"/>
      <c r="O4" s="147"/>
    </row>
    <row r="5" spans="1:15" s="147" customFormat="1" ht="15" customHeight="1">
      <c r="A5" s="10" t="s">
        <v>31</v>
      </c>
      <c r="B5" s="144"/>
      <c r="D5" s="205"/>
      <c r="E5" s="206"/>
      <c r="F5" s="207"/>
    </row>
    <row r="6" spans="1:15" ht="15" customHeight="1">
      <c r="A6" s="10" t="s">
        <v>176</v>
      </c>
      <c r="B6" s="159"/>
      <c r="D6" s="205"/>
      <c r="E6" s="206"/>
      <c r="F6" s="207"/>
      <c r="H6" s="147"/>
      <c r="I6" s="147"/>
      <c r="J6" s="147"/>
      <c r="K6" s="147"/>
      <c r="L6" s="147"/>
      <c r="M6" s="147"/>
      <c r="N6" s="147"/>
      <c r="O6" s="147"/>
    </row>
    <row r="7" spans="1:15" s="147" customFormat="1" ht="15" customHeight="1">
      <c r="A7" s="10" t="str">
        <f>IF(B6="","",IF(LOWER(B6)="project","Project WBS:",IF(LOWER(B6)="service order","Service Order #:","Return Sales Order #:")))</f>
        <v/>
      </c>
      <c r="B7" s="159"/>
      <c r="C7" s="163" t="b">
        <f>OR(AND(A7="Service Order #:",LEN(B7)=10,OR(LEFT(TEXT(B7,0),2)="50",LEFT(TEXT(B7,0),2)="52")),AND(A7="Project WBS:",OR(AND(LEN(B7)&lt;7,ISNUMBER(VALUE(B7))),AND(UPPER(LEFT(B7,5))="44OP-",LEN(B7)=21))),AND(A7="Return Sales Order #:",LEN(B7)=10,LEFT(TEXT(B7,0),2)="35"))</f>
        <v>0</v>
      </c>
      <c r="D7" s="205"/>
      <c r="E7" s="206"/>
      <c r="F7" s="207"/>
    </row>
    <row r="8" spans="1:15" s="147" customFormat="1" ht="15" customHeight="1">
      <c r="A8" s="145" t="s">
        <v>13</v>
      </c>
      <c r="B8" s="138"/>
      <c r="D8" s="205"/>
      <c r="E8" s="206"/>
      <c r="F8" s="207"/>
    </row>
    <row r="9" spans="1:15" s="172" customFormat="1" ht="15" customHeight="1">
      <c r="A9" s="60" t="s">
        <v>180</v>
      </c>
      <c r="B9" s="173"/>
      <c r="D9" s="205"/>
      <c r="E9" s="206"/>
      <c r="F9" s="207"/>
    </row>
    <row r="10" spans="1:15" s="147" customFormat="1" ht="15" customHeight="1">
      <c r="A10" s="10" t="s">
        <v>28</v>
      </c>
      <c r="B10" s="153" t="str">
        <f>IF(A7="Service Order #:","B700","")</f>
        <v/>
      </c>
      <c r="D10" s="205"/>
      <c r="E10" s="206"/>
      <c r="F10" s="207"/>
    </row>
    <row r="11" spans="1:15">
      <c r="A11" s="10" t="s">
        <v>30</v>
      </c>
      <c r="B11" s="155"/>
      <c r="C11" s="147"/>
      <c r="D11" s="205"/>
      <c r="E11" s="206"/>
      <c r="F11" s="207"/>
      <c r="H11" s="147"/>
      <c r="I11" s="147"/>
      <c r="J11" s="147"/>
      <c r="K11" s="147"/>
      <c r="L11" s="147"/>
      <c r="M11" s="147"/>
      <c r="N11" s="147"/>
      <c r="O11" s="147"/>
    </row>
    <row r="12" spans="1:15">
      <c r="A12" s="151" t="s">
        <v>170</v>
      </c>
      <c r="B12" s="159"/>
      <c r="D12" s="205"/>
      <c r="E12" s="206"/>
      <c r="F12" s="207"/>
      <c r="H12" s="147"/>
      <c r="I12" s="147"/>
      <c r="J12" s="147"/>
      <c r="K12" s="147"/>
      <c r="L12" s="147"/>
      <c r="M12" s="147"/>
      <c r="N12" s="147"/>
      <c r="O12" s="147"/>
    </row>
    <row r="13" spans="1:15" s="147" customFormat="1">
      <c r="A13" s="152" t="s">
        <v>40</v>
      </c>
      <c r="B13" s="159"/>
      <c r="D13" s="205"/>
      <c r="E13" s="206"/>
      <c r="F13" s="207"/>
    </row>
    <row r="14" spans="1:15" s="147" customFormat="1">
      <c r="A14" s="10" t="s">
        <v>178</v>
      </c>
      <c r="B14" s="159" t="str">
        <f>IF(B12="3rd Party","Material","")</f>
        <v/>
      </c>
      <c r="D14" s="205"/>
      <c r="E14" s="206"/>
      <c r="F14" s="207"/>
    </row>
    <row r="15" spans="1:15" s="147" customFormat="1">
      <c r="A15" s="160" t="s">
        <v>175</v>
      </c>
      <c r="B15" s="161" t="str">
        <f>IF(AND(B12&lt;&gt;"BG",B12&lt;&gt;"FP"),"",IF(AND(B13&lt;&gt;"Warranty",B13&lt;&gt;"Shipping Error",B13&lt;&gt;"Recall"),"","Yes"))</f>
        <v/>
      </c>
      <c r="D15" s="208"/>
      <c r="E15" s="209"/>
      <c r="F15" s="210"/>
    </row>
    <row r="16" spans="1:15" s="147" customFormat="1" ht="15" customHeight="1">
      <c r="A16" s="10" t="s">
        <v>32</v>
      </c>
      <c r="B16" s="148"/>
    </row>
    <row r="17" spans="1:15">
      <c r="A17" s="10" t="s">
        <v>172</v>
      </c>
      <c r="B17" s="93"/>
      <c r="C17" s="147"/>
      <c r="H17" s="147"/>
      <c r="I17" s="147"/>
      <c r="J17" s="147"/>
      <c r="K17" s="147"/>
      <c r="L17" s="147"/>
      <c r="M17" s="147"/>
      <c r="N17" s="147"/>
      <c r="O17" s="147"/>
    </row>
    <row r="18" spans="1:15">
      <c r="A18" s="10" t="s">
        <v>179</v>
      </c>
      <c r="B18" s="156"/>
      <c r="C18" s="147"/>
      <c r="D18" s="172"/>
      <c r="E18" s="172"/>
      <c r="F18" s="172"/>
      <c r="G18" s="172"/>
      <c r="H18" s="172"/>
      <c r="I18" s="172"/>
      <c r="J18" s="147"/>
      <c r="K18" s="147"/>
      <c r="L18" s="147"/>
      <c r="M18" s="147"/>
      <c r="N18" s="147"/>
      <c r="O18" s="147"/>
    </row>
    <row r="19" spans="1:15">
      <c r="A19" s="10" t="s">
        <v>26</v>
      </c>
      <c r="B19" s="154"/>
      <c r="C19" s="147"/>
      <c r="D19" s="147"/>
      <c r="E19" s="147"/>
      <c r="F19" s="147"/>
      <c r="H19" s="147"/>
      <c r="I19" s="147"/>
      <c r="J19" s="147"/>
      <c r="K19" s="147"/>
      <c r="L19" s="147"/>
      <c r="M19" s="147"/>
      <c r="N19" s="147"/>
      <c r="O19" s="147"/>
    </row>
    <row r="20" spans="1:15">
      <c r="A20" s="10" t="s">
        <v>173</v>
      </c>
      <c r="B20" s="93"/>
      <c r="C20" s="147"/>
      <c r="D20" s="147"/>
      <c r="E20" s="147"/>
      <c r="F20" s="147"/>
      <c r="G20" s="147"/>
      <c r="H20" s="147"/>
      <c r="I20" s="147"/>
      <c r="J20" s="147"/>
      <c r="K20" s="147"/>
      <c r="L20" s="147"/>
      <c r="M20" s="147"/>
      <c r="N20" s="147"/>
      <c r="O20" s="147"/>
    </row>
    <row r="21" spans="1:15">
      <c r="A21" s="10" t="s">
        <v>23</v>
      </c>
      <c r="B21" s="161"/>
      <c r="C21" s="147"/>
      <c r="H21" s="147"/>
      <c r="I21" s="147"/>
      <c r="J21" s="147"/>
      <c r="K21" s="147"/>
      <c r="L21" s="147"/>
      <c r="M21" s="147"/>
      <c r="N21" s="147"/>
      <c r="O21" s="147"/>
    </row>
    <row r="22" spans="1:15" ht="15" customHeight="1">
      <c r="A22" s="10" t="str">
        <f>IF(B12="FP",HYPERLINK("http://iknow.us009.siemens.net/infolink/fire%20safety/Product%20Line%20News/MaintenanceInformation.htm","Product Line News #:"),IF(B12="BG",HYPERLINK("http://iknow.us009.siemens.net/infolink/automation/sbmaintoc.htm","Service Bulletin #:"),"Service Bulletin or Product Line News:"))</f>
        <v>Service Bulletin or Product Line News:</v>
      </c>
      <c r="B22" s="93"/>
      <c r="C22" s="147"/>
      <c r="H22" s="147"/>
      <c r="I22" s="147"/>
      <c r="J22" s="147"/>
      <c r="K22" s="147"/>
      <c r="L22" s="147"/>
      <c r="M22" s="147"/>
      <c r="N22" s="147"/>
      <c r="O22" s="147"/>
    </row>
    <row r="23" spans="1:15">
      <c r="A23" s="162" t="s">
        <v>174</v>
      </c>
      <c r="B23" s="93"/>
      <c r="C23" s="179"/>
      <c r="D23" s="179"/>
      <c r="E23" s="179"/>
      <c r="F23" s="179"/>
      <c r="G23" s="179"/>
      <c r="H23" s="147"/>
      <c r="I23" s="147"/>
      <c r="J23" s="147"/>
      <c r="K23" s="147"/>
      <c r="L23" s="147"/>
      <c r="M23" s="147"/>
      <c r="N23" s="147"/>
      <c r="O23" s="147"/>
    </row>
    <row r="24" spans="1:15">
      <c r="A24" s="37" t="s">
        <v>21</v>
      </c>
      <c r="B24" s="157"/>
      <c r="C24" s="179"/>
      <c r="D24" s="179"/>
      <c r="E24" s="179"/>
      <c r="F24" s="180"/>
      <c r="G24" s="179"/>
      <c r="H24" s="147"/>
      <c r="I24" s="147"/>
      <c r="J24" s="147"/>
      <c r="K24" s="147"/>
      <c r="L24" s="147"/>
      <c r="M24" s="147"/>
      <c r="N24" s="147"/>
      <c r="O24" s="147"/>
    </row>
    <row r="25" spans="1:15">
      <c r="A25" s="10" t="s">
        <v>20</v>
      </c>
      <c r="B25" s="93"/>
      <c r="C25" s="179"/>
      <c r="D25" s="179"/>
      <c r="E25" s="179"/>
      <c r="F25" s="179"/>
      <c r="G25" s="179"/>
      <c r="H25" s="147"/>
      <c r="I25" s="147"/>
      <c r="J25" s="147"/>
      <c r="K25" s="147"/>
      <c r="L25" s="147"/>
      <c r="M25" s="147"/>
      <c r="N25" s="147"/>
      <c r="O25" s="147"/>
    </row>
    <row r="26" spans="1:15" s="178" customFormat="1">
      <c r="A26" s="174" t="s">
        <v>181</v>
      </c>
      <c r="B26" s="190"/>
      <c r="C26" s="179"/>
      <c r="D26" s="179"/>
      <c r="E26" s="179"/>
      <c r="F26" s="179"/>
      <c r="G26" s="179"/>
    </row>
    <row r="27" spans="1:15" s="191" customFormat="1">
      <c r="A27" s="174" t="s">
        <v>185</v>
      </c>
      <c r="B27" s="199"/>
      <c r="C27" s="195"/>
      <c r="D27" s="179"/>
      <c r="E27" s="179"/>
      <c r="F27" s="179"/>
      <c r="G27" s="179"/>
    </row>
    <row r="28" spans="1:15" s="193" customFormat="1">
      <c r="A28" s="192" t="s">
        <v>16</v>
      </c>
      <c r="B28" s="196"/>
      <c r="C28" s="195"/>
      <c r="D28" s="179"/>
      <c r="E28" s="179"/>
      <c r="F28" s="179"/>
      <c r="G28" s="179"/>
    </row>
    <row r="29" spans="1:15" s="191" customFormat="1">
      <c r="A29" s="174" t="s">
        <v>162</v>
      </c>
      <c r="B29" s="198"/>
      <c r="C29" s="194"/>
      <c r="D29" s="179"/>
      <c r="E29" s="179"/>
      <c r="F29" s="179"/>
      <c r="G29" s="179"/>
    </row>
    <row r="30" spans="1:15">
      <c r="A30" s="168" t="s">
        <v>19</v>
      </c>
      <c r="B30" s="146" t="s">
        <v>167</v>
      </c>
      <c r="C30" s="164" t="s">
        <v>169</v>
      </c>
      <c r="D30" s="166" t="s">
        <v>18</v>
      </c>
      <c r="E30" s="143" t="s">
        <v>166</v>
      </c>
      <c r="F30" s="200" t="s">
        <v>17</v>
      </c>
      <c r="G30" s="201"/>
      <c r="H30" s="147"/>
      <c r="I30" s="147"/>
      <c r="J30" s="147"/>
      <c r="K30" s="147"/>
      <c r="L30" s="147"/>
      <c r="M30" s="147"/>
      <c r="N30" s="147"/>
      <c r="O30" s="147"/>
    </row>
    <row r="31" spans="1:15">
      <c r="A31" s="167"/>
      <c r="B31" s="170"/>
      <c r="C31" s="171"/>
      <c r="D31" s="169"/>
      <c r="E31" s="76"/>
      <c r="F31" s="150"/>
      <c r="G31" s="165"/>
      <c r="H31" s="147"/>
      <c r="I31" s="147"/>
      <c r="J31" s="147"/>
      <c r="K31" s="147"/>
      <c r="L31" s="147"/>
      <c r="M31" s="147"/>
      <c r="N31" s="147"/>
      <c r="O31" s="147"/>
    </row>
    <row r="32" spans="1:15">
      <c r="A32" s="167"/>
      <c r="B32" s="170"/>
      <c r="C32" s="171"/>
      <c r="D32" s="169"/>
      <c r="E32" s="76"/>
      <c r="F32" s="150"/>
      <c r="G32" s="165"/>
      <c r="H32" s="147"/>
      <c r="I32" s="147"/>
      <c r="J32" s="147"/>
      <c r="K32" s="147"/>
      <c r="L32" s="147"/>
      <c r="M32" s="147"/>
      <c r="N32" s="147"/>
      <c r="O32" s="147"/>
    </row>
    <row r="33" spans="1:15">
      <c r="A33" s="167"/>
      <c r="B33" s="170"/>
      <c r="C33" s="171"/>
      <c r="D33" s="169"/>
      <c r="E33" s="76"/>
      <c r="F33" s="150"/>
      <c r="G33" s="165"/>
      <c r="H33" s="147"/>
      <c r="I33" s="147"/>
      <c r="J33" s="147"/>
      <c r="K33" s="147"/>
      <c r="L33" s="147"/>
      <c r="M33" s="147"/>
      <c r="N33" s="147"/>
      <c r="O33" s="147"/>
    </row>
    <row r="34" spans="1:15">
      <c r="A34" s="167"/>
      <c r="B34" s="170"/>
      <c r="C34" s="171"/>
      <c r="D34" s="169"/>
      <c r="E34" s="76"/>
      <c r="F34" s="150"/>
      <c r="G34" s="165"/>
      <c r="H34" s="147"/>
      <c r="I34" s="147"/>
      <c r="J34" s="147"/>
      <c r="K34" s="147"/>
      <c r="L34" s="147"/>
      <c r="M34" s="147"/>
      <c r="N34" s="147"/>
      <c r="O34" s="147"/>
    </row>
    <row r="35" spans="1:15">
      <c r="A35" s="167"/>
      <c r="B35" s="170"/>
      <c r="C35" s="171"/>
      <c r="D35" s="169"/>
      <c r="E35" s="76"/>
      <c r="F35" s="150"/>
      <c r="G35" s="165"/>
      <c r="H35" s="147"/>
      <c r="I35" s="147"/>
      <c r="J35" s="147"/>
      <c r="K35" s="147"/>
      <c r="L35" s="147"/>
      <c r="M35" s="147"/>
      <c r="N35" s="147"/>
      <c r="O35" s="147"/>
    </row>
    <row r="36" spans="1:15">
      <c r="A36" s="167"/>
      <c r="B36" s="170"/>
      <c r="C36" s="171"/>
      <c r="D36" s="169"/>
      <c r="E36" s="76"/>
      <c r="F36" s="150"/>
      <c r="G36" s="165"/>
      <c r="H36" s="147"/>
      <c r="I36" s="147"/>
      <c r="J36" s="147"/>
      <c r="K36" s="147"/>
      <c r="L36" s="147"/>
      <c r="M36" s="147"/>
      <c r="N36" s="147"/>
      <c r="O36" s="147"/>
    </row>
    <row r="37" spans="1:15">
      <c r="A37" s="167"/>
      <c r="B37" s="170"/>
      <c r="C37" s="171"/>
      <c r="D37" s="169"/>
      <c r="E37" s="76"/>
      <c r="F37" s="150"/>
      <c r="G37" s="165"/>
      <c r="H37" s="147"/>
      <c r="I37" s="147"/>
      <c r="J37" s="147"/>
      <c r="K37" s="147"/>
      <c r="L37" s="147"/>
      <c r="M37" s="147"/>
      <c r="N37" s="147"/>
      <c r="O37" s="147"/>
    </row>
    <row r="38" spans="1:15">
      <c r="A38" s="167"/>
      <c r="B38" s="170"/>
      <c r="C38" s="171"/>
      <c r="D38" s="169"/>
      <c r="E38" s="76"/>
      <c r="F38" s="150"/>
      <c r="G38" s="165"/>
      <c r="H38" s="147"/>
      <c r="I38" s="147"/>
      <c r="J38" s="147"/>
      <c r="K38" s="147"/>
      <c r="L38" s="147"/>
      <c r="M38" s="147"/>
      <c r="N38" s="147"/>
      <c r="O38" s="147"/>
    </row>
    <row r="39" spans="1:15">
      <c r="C39" s="147"/>
      <c r="D39" s="147"/>
      <c r="E39" s="147"/>
      <c r="F39" s="147"/>
      <c r="G39" s="147"/>
      <c r="H39" s="147"/>
      <c r="I39" s="147"/>
      <c r="J39" s="147"/>
      <c r="K39" s="147"/>
      <c r="L39" s="147"/>
      <c r="M39" s="147"/>
    </row>
    <row r="40" spans="1:15">
      <c r="C40" s="147"/>
      <c r="D40" s="147"/>
      <c r="E40" s="147"/>
      <c r="F40" s="147"/>
      <c r="G40" s="147"/>
      <c r="H40" s="147"/>
      <c r="I40" s="147"/>
      <c r="J40" s="147"/>
      <c r="K40" s="147"/>
      <c r="L40" s="147"/>
      <c r="M40" s="147"/>
    </row>
    <row r="41" spans="1:15">
      <c r="C41" s="147"/>
      <c r="D41" s="147"/>
      <c r="E41" s="147"/>
      <c r="F41" s="147"/>
      <c r="G41" s="147"/>
      <c r="H41" s="147"/>
      <c r="I41" s="147"/>
      <c r="J41" s="147"/>
      <c r="K41" s="147"/>
      <c r="L41" s="147"/>
      <c r="M41" s="147"/>
    </row>
    <row r="42" spans="1:15">
      <c r="C42" s="147"/>
      <c r="D42" s="147"/>
      <c r="E42" s="147"/>
      <c r="F42" s="147"/>
      <c r="G42" s="147"/>
      <c r="H42" s="147"/>
      <c r="I42" s="147"/>
      <c r="J42" s="147"/>
      <c r="K42" s="147"/>
      <c r="L42" s="147"/>
      <c r="M42" s="147"/>
    </row>
    <row r="43" spans="1:15">
      <c r="C43" s="147"/>
      <c r="D43" s="147"/>
      <c r="E43" s="147"/>
      <c r="F43" s="147"/>
      <c r="G43" s="147"/>
      <c r="H43" s="147"/>
      <c r="I43" s="147"/>
      <c r="J43" s="147"/>
      <c r="K43" s="147"/>
      <c r="L43" s="147"/>
      <c r="M43" s="147"/>
    </row>
    <row r="44" spans="1:15">
      <c r="C44" s="147"/>
      <c r="D44" s="147"/>
      <c r="E44" s="147"/>
      <c r="F44" s="147"/>
      <c r="G44" s="147"/>
      <c r="H44" s="147"/>
      <c r="I44" s="147"/>
      <c r="J44" s="147"/>
      <c r="K44" s="147"/>
      <c r="L44" s="147"/>
      <c r="M44" s="147"/>
    </row>
    <row r="45" spans="1:15">
      <c r="C45" s="147"/>
      <c r="D45" s="147"/>
      <c r="E45" s="147"/>
      <c r="F45" s="147"/>
      <c r="G45" s="147"/>
      <c r="H45" s="147"/>
      <c r="I45" s="147"/>
      <c r="J45" s="147"/>
      <c r="K45" s="147"/>
      <c r="L45" s="147"/>
      <c r="M45" s="147"/>
    </row>
    <row r="46" spans="1:15">
      <c r="C46" s="147"/>
      <c r="D46" s="147"/>
      <c r="E46" s="147"/>
      <c r="F46" s="147"/>
      <c r="G46" s="147"/>
      <c r="H46" s="147"/>
      <c r="I46" s="147"/>
      <c r="J46" s="147"/>
      <c r="K46" s="147"/>
      <c r="L46" s="147"/>
      <c r="M46" s="147"/>
    </row>
    <row r="47" spans="1:15">
      <c r="C47" s="147"/>
      <c r="D47" s="147"/>
      <c r="E47" s="147"/>
      <c r="F47" s="147"/>
      <c r="G47" s="147"/>
      <c r="H47" s="147"/>
      <c r="I47" s="147"/>
      <c r="J47" s="147"/>
      <c r="K47" s="147"/>
      <c r="L47" s="147"/>
      <c r="M47" s="147"/>
    </row>
    <row r="48" spans="1:15">
      <c r="C48" s="147"/>
      <c r="D48" s="147"/>
      <c r="E48" s="147"/>
      <c r="F48" s="147"/>
      <c r="G48" s="147"/>
      <c r="H48" s="147"/>
      <c r="I48" s="147"/>
      <c r="J48" s="147"/>
      <c r="K48" s="147"/>
      <c r="L48" s="147"/>
      <c r="M48" s="147"/>
    </row>
    <row r="49" spans="3:13">
      <c r="C49" s="147"/>
      <c r="D49" s="147"/>
      <c r="E49" s="147"/>
      <c r="F49" s="147"/>
      <c r="G49" s="147"/>
      <c r="H49" s="147"/>
      <c r="I49" s="147"/>
      <c r="J49" s="147"/>
      <c r="K49" s="147"/>
      <c r="L49" s="147"/>
      <c r="M49" s="147"/>
    </row>
    <row r="50" spans="3:13">
      <c r="C50" s="147"/>
      <c r="D50" s="147"/>
      <c r="E50" s="147"/>
      <c r="F50" s="147"/>
      <c r="G50" s="147"/>
      <c r="H50" s="147"/>
      <c r="I50" s="147"/>
      <c r="J50" s="147"/>
      <c r="K50" s="147"/>
      <c r="L50" s="147"/>
      <c r="M50" s="147"/>
    </row>
    <row r="51" spans="3:13">
      <c r="C51" s="147"/>
      <c r="D51" s="147"/>
      <c r="E51" s="147"/>
      <c r="F51" s="147"/>
      <c r="G51" s="147"/>
      <c r="H51" s="147"/>
      <c r="I51" s="147"/>
      <c r="J51" s="147"/>
      <c r="K51" s="147"/>
      <c r="L51" s="147"/>
      <c r="M51" s="147"/>
    </row>
    <row r="52" spans="3:13">
      <c r="C52" s="147"/>
      <c r="D52" s="147"/>
      <c r="E52" s="147"/>
      <c r="F52" s="147"/>
      <c r="G52" s="147"/>
      <c r="H52" s="147"/>
      <c r="I52" s="147"/>
      <c r="J52" s="147"/>
      <c r="K52" s="147"/>
      <c r="L52" s="147"/>
      <c r="M52" s="147"/>
    </row>
    <row r="53" spans="3:13">
      <c r="C53" s="147"/>
      <c r="D53" s="147"/>
      <c r="E53" s="147"/>
      <c r="F53" s="147"/>
      <c r="G53" s="147"/>
      <c r="H53" s="147"/>
      <c r="I53" s="147"/>
      <c r="J53" s="147"/>
      <c r="K53" s="147"/>
      <c r="L53" s="147"/>
      <c r="M53" s="147"/>
    </row>
    <row r="54" spans="3:13">
      <c r="C54" s="147"/>
      <c r="D54" s="147"/>
      <c r="E54" s="147"/>
      <c r="F54" s="147"/>
      <c r="G54" s="147"/>
      <c r="H54" s="147"/>
      <c r="I54" s="147"/>
      <c r="J54" s="147"/>
      <c r="K54" s="147"/>
      <c r="L54" s="147"/>
      <c r="M54" s="147"/>
    </row>
    <row r="55" spans="3:13">
      <c r="C55" s="147"/>
      <c r="D55" s="147"/>
      <c r="E55" s="147"/>
      <c r="F55" s="147"/>
      <c r="G55" s="147"/>
      <c r="H55" s="147"/>
      <c r="I55" s="147"/>
      <c r="J55" s="147"/>
      <c r="K55" s="147"/>
      <c r="L55" s="147"/>
      <c r="M55" s="147"/>
    </row>
    <row r="56" spans="3:13">
      <c r="C56" s="147"/>
      <c r="D56" s="147"/>
      <c r="E56" s="147"/>
      <c r="F56" s="147"/>
      <c r="G56" s="147"/>
      <c r="H56" s="147"/>
      <c r="I56" s="147"/>
      <c r="J56" s="147"/>
      <c r="K56" s="147"/>
      <c r="L56" s="147"/>
      <c r="M56" s="147"/>
    </row>
    <row r="57" spans="3:13">
      <c r="C57" s="147"/>
      <c r="D57" s="147"/>
      <c r="E57" s="147"/>
      <c r="F57" s="147"/>
      <c r="G57" s="147"/>
      <c r="H57" s="147"/>
      <c r="I57" s="147"/>
      <c r="J57" s="147"/>
      <c r="K57" s="147"/>
      <c r="L57" s="147"/>
      <c r="M57" s="147"/>
    </row>
  </sheetData>
  <sheetProtection sheet="1"/>
  <mergeCells count="2">
    <mergeCell ref="F30:G30"/>
    <mergeCell ref="D3:F15"/>
  </mergeCells>
  <conditionalFormatting sqref="A7">
    <cfRule type="expression" dxfId="4" priority="2" stopIfTrue="1">
      <formula>LOWER(B6)="product sale"</formula>
    </cfRule>
  </conditionalFormatting>
  <conditionalFormatting sqref="B7">
    <cfRule type="expression" dxfId="3" priority="1" stopIfTrue="1">
      <formula>LOWER(B6)="product sale"</formula>
    </cfRule>
  </conditionalFormatting>
  <conditionalFormatting sqref="A22">
    <cfRule type="expression" dxfId="2" priority="4" stopIfTrue="1">
      <formula>AND(B13="Recall",OR(A22="Service Bulletin #:",A22="Product Line News #:"))</formula>
    </cfRule>
  </conditionalFormatting>
  <dataValidations count="35">
    <dataValidation type="custom" allowBlank="1" showInputMessage="1" showErrorMessage="1" error="For Service Orders - 10 digits starting with 50 or 52_x000a_For Return Sales Orders - 10 digits starting with 35_x000a_For Project WBS - either &lt; 7 digits or 21 characters starting with 44OP- &amp; ending a netowrk extension, e.g. .P.1.01.03" prompt="For Service Orders - 10 digits starting with 50 or 52._x000a_For Return Sales Orders - 10 digits starting with 35._x000a_For Project WBS -Either enter the 6 digit Project WBS or the whole Project WBS with the prefix 44OP- and correct network extension." sqref="B7">
      <formula1>C7</formula1>
    </dataValidation>
    <dataValidation type="list" allowBlank="1" showInputMessage="1" showErrorMessage="1" prompt="Enter the location where the product is to be returned." sqref="B13">
      <formula1>"Warranty,Excess,Recall,Shipping Error,Upgrade Rebate, Core Rebate"</formula1>
    </dataValidation>
    <dataValidation type="list" allowBlank="1" showInputMessage="1" showErrorMessage="1" prompt="Select or enter the location where the product is to be returned - BG, FP or 3rd Party." sqref="B12">
      <formula1>"BG,FP,3rd Party"</formula1>
    </dataValidation>
    <dataValidation allowBlank="1" showInputMessage="1" showErrorMessage="1" prompt="The factory will pay for shipping on Factory Warranty, Recall, and Shipping Error returns.  Enter No, if you wish to pay for the shipping.  Otherwise, leave empty." sqref="B15"/>
    <dataValidation allowBlank="1" showInputMessage="1" showErrorMessage="1" prompt="For Warranty returns, please provide the name of the technician who investigated the product failure." sqref="B17"/>
    <dataValidation allowBlank="1" showInputMessage="1" showErrorMessage="1" prompt="Starting with the area code, just enter the technician's cell phone numbers.  Formatting will be applied when you leave the cell." sqref="B18"/>
    <dataValidation type="custom" allowBlank="1" showInputMessage="1" showErrorMessage="1" error="The email address must end with @siemens.com" prompt="For Warranty returns, enter the Technical Contact's email address ending with @siemens.com so that they may be contacted when a return with no fault found is being evaluated." sqref="B19">
      <formula1>RIGHT(B19,12)="@siemens.com"</formula1>
    </dataValidation>
    <dataValidation type="textLength" allowBlank="1" showInputMessage="1" showErrorMessage="1" error="Must be less than 256 characters. If you need more space for a Warrranty or Shipping Error return, leave it empty and fill it in on the main form page. " prompt=" For Warranty returns, please provide as much detail as possible (upto 255 characters) regarding how the product was failing. For Shipping Errors, enter what the error was. Note: if you need more space leave it empty and fill it in on the main form page. " sqref="B20">
      <formula1>0</formula1>
      <formula2>255</formula2>
    </dataValidation>
    <dataValidation type="whole" allowBlank="1" showInputMessage="1" showErrorMessage="1" error="Must be a number between 100 and 999." prompt="For Recall returns, enter the Service Bulletin or Product Line News number (3 digits long).  (E.g. for PLNs:  213 if the communication is TA_14_213_MI_NCC.)  Click on the title for a list of bulletins for the selected location." sqref="B22">
      <formula1>100</formula1>
      <formula2>999</formula2>
    </dataValidation>
    <dataValidation type="list" allowBlank="1" showInputMessage="1" showErrorMessage="1" prompt="For Warranty, Recall, and Excess returns, select either to Return or Destroy the materials, if the Return Center denies the claim. See the Warranty and Returns Policy for charges that may be applied to returning the materials." sqref="B23">
      <formula1>"Return,Destroy,return,destroy"</formula1>
    </dataValidation>
    <dataValidation allowBlank="1" showInputMessage="1" showErrorMessage="1" prompt="You can enter an alternate address, if needed, for sending back the product if the warranty or excess claim is declined. " sqref="F24"/>
    <dataValidation allowBlank="1" showInputMessage="1" showErrorMessage="1" prompt="If you entered an alternate address, you must provide a shipping account number (e.g. UPS 37B84B)." sqref="B25"/>
    <dataValidation type="custom" allowBlank="1" showInputMessage="1" showErrorMessage="1" prompt="For Warranty returns, you MUST select or ente Yes or No about requesting a Material Analysis Report." sqref="B21">
      <formula1>OR(LOWER(LEFT(B21,1))="n",LOWER(LEFT(B21,1))="y")</formula1>
    </dataValidation>
    <dataValidation type="list" allowBlank="1" showInputMessage="1" showErrorMessage="1" prompt="Select or enter the source of the return - Project, Service Order, or Product Sale." sqref="B6">
      <formula1>"Project, Service Order, Product Sale, project, service order, product sale"</formula1>
    </dataValidation>
    <dataValidation type="whole" allowBlank="1" showInputMessage="1" showErrorMessage="1" error="It must be 10 digits and start with 47." prompt="For product sale returns, enter the Return Delivery number.  The Delivery # is 10 digits and starts with 47." sqref="B8">
      <formula1>4700000000</formula1>
      <formula2>4799999999</formula2>
    </dataValidation>
    <dataValidation type="date" operator="lessThan" allowBlank="1" showInputMessage="1" showErrorMessage="1" errorTitle="Invalid PO/Ship Date" error="Please enter a date less than today." prompt="For Warranty and Excess returns, please enter either the Ship Date or the date of the original PO." sqref="B11">
      <formula1>TODAY()</formula1>
    </dataValidation>
    <dataValidation type="list" allowBlank="1" showInputMessage="1" showErrorMessage="1" prompt="Select or enter either B100 or B700 for the warehouse Plant location.  This information can be found on the original PO." sqref="B10">
      <formula1>"B100,B700,b100,b700"</formula1>
    </dataValidation>
    <dataValidation type="custom" allowBlank="1" showInputMessage="1" showErrorMessage="1" error="The PO # must be 10 digits starting with 45." prompt="Enter the number of the original purchase order of the parts listed in section 1c below. The PO # is 10 digits starting with 45." sqref="B5">
      <formula1>AND(LEN(B5)=10,OR(LEFT(B5,2)="45",LEFT(B5,2)="93"))</formula1>
    </dataValidation>
    <dataValidation allowBlank="1" showInputMessage="1" showErrorMessage="1" prompt="Enter the name of the branch office personnel completing Section 1.  For more information, please read the title and field pop-up information available on nearly every field." sqref="B1"/>
    <dataValidation type="custom" allowBlank="1" showInputMessage="1" showErrorMessage="1" error="The email address must end with @siemens.com" prompt="Enter your email address ending with @siemens.com" sqref="B2">
      <formula1>RIGHT(B2,12)="@siemens.com"</formula1>
    </dataValidation>
    <dataValidation type="list" allowBlank="1" showInputMessage="1" showErrorMessage="1" prompt="Select your Sales Office from the drop-down list." sqref="B3">
      <formula1>lst_Branch</formula1>
    </dataValidation>
    <dataValidation allowBlank="1" showInputMessage="1" showErrorMessage="1" prompt="Leave empty unless the part being returned is part of a Kit,  Assembly or Bulk Pack. Otherwise enter the part number that was purchased on the original PO." sqref="C31:C38"/>
    <dataValidation allowBlank="1" showInputMessage="1" showErrorMessage="1" prompt="Enter the part number for the individual component being returned" sqref="B31:B38"/>
    <dataValidation type="list" allowBlank="1" showInputMessage="1" showErrorMessage="1" sqref="G31:G38">
      <formula1>Units</formula1>
    </dataValidation>
    <dataValidation type="whole" allowBlank="1" showInputMessage="1" showErrorMessage="1" error="Must be 10 digits and start with 45." prompt="If a replacement part was purchased, enter the PO #.  The PO # is 10 digits and starts with 45." sqref="D38">
      <formula1>4500000000</formula1>
      <formula2>4599999999</formula2>
    </dataValidation>
    <dataValidation type="decimal" operator="greaterThanOrEqual" allowBlank="1" showInputMessage="1" showErrorMessage="1" error="Must be greater than or equal to 0." sqref="F31:F38">
      <formula1>0</formula1>
    </dataValidation>
    <dataValidation allowBlank="1" showInputMessage="1" showErrorMessage="1" prompt="If Technical Support was involved in investigating this issue, enter the Technical Support ticket #. You may leave off the initial 1- and just enter the remaining 10 characters." sqref="B16"/>
    <dataValidation type="list" allowBlank="1" showInputMessage="1" showErrorMessage="1" prompt="If you select 3rd Party, this group wiill default to Material.  Select Asset/BOE, if appropriate." sqref="B14">
      <formula1>"Asset/BOE,Material"</formula1>
    </dataValidation>
    <dataValidation type="textLength" allowBlank="1" showInputMessage="1" showErrorMessage="1" error="Please limit the notes to 255 characters." sqref="B9">
      <formula1>0</formula1>
      <formula2>255</formula2>
    </dataValidation>
    <dataValidation type="custom" allowBlank="1" showInputMessage="1" showErrorMessage="1" error="The email address must end with siemens.com" prompt="Enter the Warehouse (or Warehouse Coordinator's) email address ending with siemens.com." sqref="B26">
      <formula1>RIGHT(B26,11)="siemens.com"</formula1>
    </dataValidation>
    <dataValidation operator="greaterThan" allowBlank="1" showInputMessage="1" showErrorMessage="1" prompt="Identify the number of packages being returned - particularly if it is more then 1 package." sqref="B27"/>
    <dataValidation allowBlank="1" showInputMessage="1" showErrorMessage="1" prompt="If pick-up location is different from the Sales Office Warehouse and the &quot;Factory to pay for shipping&quot; checkbox is selected, please enter the alternate address." sqref="B28"/>
    <dataValidation allowBlank="1" showInputMessage="1" showErrorMessage="1" prompt="When the factory is to pay for shipping, enter any special instructions:  e.g. 2 packages - 1st for 30 lbs and 2nd for 20 lbs." sqref="B29"/>
    <dataValidation allowBlank="1" showInputMessage="1" showErrorMessage="1" prompt="You can enter an alternate address, if needed, for sending back the product if the Warranty or Excess claim is declined. " sqref="B24"/>
    <dataValidation type="whole" allowBlank="1" showInputMessage="1" showErrorMessage="1" error="Must be 10 digits and start with 45." prompt="If a replacement part was purchased, enter the PO #.  The PO # is 10 digits and starts with 45." sqref="D31 D32 D33 D34 D35 D36 D37">
      <formula1>4500000000</formula1>
      <formula2>4599999999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84" r:id="rId3" name="Button 36">
              <controlPr defaultSize="0" print="0" autoFill="0" autoPict="0" macro="[0]!Validate_Print_And_Email">
                <anchor moveWithCells="1">
                  <from>
                    <xdr:col>3</xdr:col>
                    <xdr:colOff>9525</xdr:colOff>
                    <xdr:row>20</xdr:row>
                    <xdr:rowOff>123825</xdr:rowOff>
                  </from>
                  <to>
                    <xdr:col>5</xdr:col>
                    <xdr:colOff>9525</xdr:colOff>
                    <xdr:row>22</xdr:row>
                    <xdr:rowOff>0</xdr:rowOff>
                  </to>
                </anchor>
              </controlPr>
            </control>
          </mc:Choice>
        </mc:AlternateContent>
        <mc:AlternateContent xmlns:mc="http://schemas.openxmlformats.org/markup-compatibility/2006">
          <mc:Choice Requires="x14">
            <control shapeId="2085" r:id="rId4" name="Button 37">
              <controlPr defaultSize="0" print="0" autoFill="0" autoPict="0" macro="[0]!Copy_and_Return">
                <anchor moveWithCells="1">
                  <from>
                    <xdr:col>2</xdr:col>
                    <xdr:colOff>38100</xdr:colOff>
                    <xdr:row>20</xdr:row>
                    <xdr:rowOff>123825</xdr:rowOff>
                  </from>
                  <to>
                    <xdr:col>2</xdr:col>
                    <xdr:colOff>1552575</xdr:colOff>
                    <xdr:row>22</xdr:row>
                    <xdr:rowOff>0</xdr:rowOff>
                  </to>
                </anchor>
              </controlPr>
            </control>
          </mc:Choice>
        </mc:AlternateContent>
        <mc:AlternateContent xmlns:mc="http://schemas.openxmlformats.org/markup-compatibility/2006">
          <mc:Choice Requires="x14">
            <control shapeId="2086" r:id="rId5" name="Button 38">
              <controlPr defaultSize="0" print="0" autoFill="0" autoPict="0" macro="[0]!Cancel_Quick_Entry">
                <anchor moveWithCells="1">
                  <from>
                    <xdr:col>5</xdr:col>
                    <xdr:colOff>57150</xdr:colOff>
                    <xdr:row>20</xdr:row>
                    <xdr:rowOff>123825</xdr:rowOff>
                  </from>
                  <to>
                    <xdr:col>6</xdr:col>
                    <xdr:colOff>600075</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V84"/>
  <sheetViews>
    <sheetView showGridLines="0" tabSelected="1" zoomScaleNormal="100" workbookViewId="0">
      <selection activeCell="P21" sqref="P21"/>
    </sheetView>
  </sheetViews>
  <sheetFormatPr defaultColWidth="9.85546875" defaultRowHeight="12" customHeight="1"/>
  <cols>
    <col min="1" max="1" width="1.85546875" style="3" customWidth="1"/>
    <col min="2" max="2" width="13.42578125" style="1" customWidth="1"/>
    <col min="3" max="3" width="3.28515625" style="1" customWidth="1"/>
    <col min="4" max="4" width="11.28515625" style="1" customWidth="1"/>
    <col min="5" max="5" width="9.5703125" style="1" customWidth="1"/>
    <col min="6" max="6" width="5" style="1" customWidth="1"/>
    <col min="7" max="7" width="9.85546875" style="1" customWidth="1"/>
    <col min="8" max="8" width="11.28515625" style="1" customWidth="1"/>
    <col min="9" max="9" width="5.5703125" style="1" customWidth="1"/>
    <col min="10" max="10" width="10.28515625" style="1" customWidth="1"/>
    <col min="11" max="11" width="12.7109375" style="1" customWidth="1"/>
    <col min="12" max="12" width="3.28515625" style="1" customWidth="1"/>
    <col min="13" max="13" width="0.42578125" style="1" customWidth="1"/>
    <col min="14" max="14" width="11" style="3" customWidth="1"/>
    <col min="15" max="15" width="2.28515625" style="1" customWidth="1"/>
    <col min="16" max="16" width="68.85546875" style="2" customWidth="1"/>
    <col min="17" max="22" width="10.28515625" style="2" customWidth="1"/>
    <col min="23" max="16384" width="9.85546875" style="1"/>
  </cols>
  <sheetData>
    <row r="1" spans="1:22" ht="7.5" customHeight="1">
      <c r="A1" s="117"/>
      <c r="B1" s="262" t="s">
        <v>39</v>
      </c>
      <c r="C1" s="262"/>
      <c r="D1" s="262"/>
      <c r="E1" s="262"/>
      <c r="F1" s="262"/>
      <c r="G1" s="262"/>
      <c r="H1" s="262"/>
      <c r="I1" s="262"/>
      <c r="J1" s="262"/>
      <c r="K1" s="262"/>
      <c r="L1" s="262"/>
      <c r="M1" s="262"/>
      <c r="N1" s="262"/>
      <c r="O1" s="5"/>
    </row>
    <row r="2" spans="1:22" ht="12" customHeight="1" thickBot="1">
      <c r="A2" s="117"/>
      <c r="B2" s="262"/>
      <c r="C2" s="262"/>
      <c r="D2" s="262"/>
      <c r="E2" s="262"/>
      <c r="F2" s="262"/>
      <c r="G2" s="262"/>
      <c r="H2" s="262"/>
      <c r="I2" s="262"/>
      <c r="J2" s="262"/>
      <c r="K2" s="262"/>
      <c r="L2" s="262"/>
      <c r="M2" s="262"/>
      <c r="N2" s="262"/>
      <c r="O2" s="5"/>
    </row>
    <row r="3" spans="1:22" ht="24" customHeight="1" thickBot="1">
      <c r="A3" s="14"/>
      <c r="B3" s="264" t="s">
        <v>38</v>
      </c>
      <c r="C3" s="265"/>
      <c r="D3" s="265"/>
      <c r="E3" s="265"/>
      <c r="F3" s="265"/>
      <c r="G3" s="265"/>
      <c r="H3" s="265"/>
      <c r="I3" s="265"/>
      <c r="J3" s="265"/>
      <c r="K3" s="265"/>
      <c r="L3" s="265"/>
      <c r="M3" s="265"/>
      <c r="N3" s="266"/>
      <c r="O3" s="5"/>
    </row>
    <row r="4" spans="1:22" ht="3" customHeight="1" thickBot="1">
      <c r="A4" s="14"/>
      <c r="B4" s="116"/>
      <c r="C4" s="116"/>
      <c r="D4" s="116"/>
      <c r="E4" s="116"/>
      <c r="F4" s="116"/>
      <c r="G4" s="116"/>
      <c r="H4" s="116"/>
      <c r="I4" s="116"/>
      <c r="J4" s="116"/>
      <c r="K4" s="116"/>
      <c r="L4" s="116"/>
      <c r="M4" s="116"/>
      <c r="N4" s="116"/>
      <c r="O4" s="5"/>
    </row>
    <row r="5" spans="1:22" ht="12" customHeight="1">
      <c r="A5" s="5"/>
      <c r="B5" s="115" t="s">
        <v>157</v>
      </c>
      <c r="C5" s="114"/>
      <c r="D5" s="114"/>
      <c r="E5" s="114"/>
      <c r="F5" s="114"/>
      <c r="G5" s="114"/>
      <c r="H5" s="114"/>
      <c r="I5" s="114"/>
      <c r="J5" s="114"/>
      <c r="K5" s="114"/>
      <c r="L5" s="114"/>
      <c r="M5" s="114"/>
      <c r="N5" s="113" t="s">
        <v>37</v>
      </c>
      <c r="O5" s="5"/>
    </row>
    <row r="6" spans="1:22" s="12" customFormat="1" ht="3" customHeight="1">
      <c r="A6" s="14"/>
      <c r="B6" s="111"/>
      <c r="C6" s="17"/>
      <c r="D6" s="17"/>
      <c r="E6" s="17"/>
      <c r="F6" s="17"/>
      <c r="G6" s="38"/>
      <c r="H6" s="38"/>
      <c r="I6" s="38"/>
      <c r="J6" s="38"/>
      <c r="K6" s="38"/>
      <c r="L6" s="38"/>
      <c r="M6" s="38"/>
      <c r="N6" s="85"/>
      <c r="O6" s="14"/>
      <c r="P6" s="13"/>
      <c r="Q6" s="13"/>
      <c r="R6" s="13"/>
      <c r="S6" s="13"/>
      <c r="T6" s="13"/>
      <c r="U6" s="13"/>
      <c r="V6" s="13"/>
    </row>
    <row r="7" spans="1:22" ht="12" customHeight="1">
      <c r="A7" s="5"/>
      <c r="B7" s="37" t="s">
        <v>195</v>
      </c>
      <c r="C7" s="259">
        <f ca="1">TODAY()</f>
        <v>43528</v>
      </c>
      <c r="D7" s="259"/>
      <c r="E7" s="10" t="s">
        <v>196</v>
      </c>
      <c r="F7" s="248" t="s">
        <v>197</v>
      </c>
      <c r="G7" s="248"/>
      <c r="H7" s="248"/>
      <c r="I7" s="10" t="s">
        <v>155</v>
      </c>
      <c r="J7" s="269" t="s">
        <v>198</v>
      </c>
      <c r="K7" s="270"/>
      <c r="L7" s="270"/>
      <c r="M7" s="38"/>
      <c r="N7" s="112"/>
      <c r="O7" s="5"/>
    </row>
    <row r="8" spans="1:22" ht="3" customHeight="1">
      <c r="A8" s="5"/>
      <c r="B8" s="111"/>
      <c r="C8" s="17"/>
      <c r="D8" s="17"/>
      <c r="E8" s="17"/>
      <c r="F8" s="17"/>
      <c r="G8" s="38"/>
      <c r="H8" s="38"/>
      <c r="I8" s="38"/>
      <c r="J8" s="38"/>
      <c r="K8" s="38"/>
      <c r="L8" s="38"/>
      <c r="M8" s="38"/>
      <c r="N8" s="85"/>
      <c r="O8" s="5"/>
      <c r="P8" s="34"/>
    </row>
    <row r="9" spans="1:22" ht="12" customHeight="1">
      <c r="A9" s="5"/>
      <c r="B9" s="37" t="s">
        <v>35</v>
      </c>
      <c r="C9" s="268">
        <v>245597</v>
      </c>
      <c r="D9" s="268"/>
      <c r="E9" s="268"/>
      <c r="F9" s="17"/>
      <c r="G9" s="38"/>
      <c r="H9" s="249" t="s">
        <v>34</v>
      </c>
      <c r="I9" s="249"/>
      <c r="J9" s="267"/>
      <c r="K9" s="267"/>
      <c r="L9" s="267"/>
      <c r="M9" s="38"/>
      <c r="N9" s="110"/>
      <c r="O9" s="5"/>
      <c r="P9" s="34"/>
    </row>
    <row r="10" spans="1:22" ht="5.25" customHeight="1">
      <c r="A10" s="5"/>
      <c r="B10" s="37"/>
      <c r="C10" s="263"/>
      <c r="D10" s="263"/>
      <c r="E10" s="263"/>
      <c r="F10" s="263"/>
      <c r="G10" s="263"/>
      <c r="H10" s="11"/>
      <c r="I10" s="10"/>
      <c r="J10" s="11"/>
      <c r="K10" s="11"/>
      <c r="L10" s="11"/>
      <c r="M10" s="38"/>
      <c r="N10" s="85"/>
      <c r="O10" s="5"/>
      <c r="P10" s="34"/>
    </row>
    <row r="11" spans="1:22" ht="12" customHeight="1">
      <c r="A11" s="5"/>
      <c r="B11" s="37"/>
      <c r="C11" s="17"/>
      <c r="D11" s="37" t="s">
        <v>33</v>
      </c>
      <c r="E11" s="261" t="s">
        <v>206</v>
      </c>
      <c r="F11" s="261"/>
      <c r="G11" s="261"/>
      <c r="H11" s="261"/>
      <c r="I11" s="10"/>
      <c r="J11" s="10" t="s">
        <v>32</v>
      </c>
      <c r="K11" s="260"/>
      <c r="L11" s="260"/>
      <c r="M11" s="38"/>
      <c r="N11" s="109"/>
      <c r="O11" s="5"/>
      <c r="P11" s="34"/>
    </row>
    <row r="12" spans="1:22" ht="3" customHeight="1">
      <c r="A12" s="5"/>
      <c r="B12" s="39"/>
      <c r="C12" s="38"/>
      <c r="D12" s="38"/>
      <c r="E12" s="38"/>
      <c r="F12" s="38"/>
      <c r="G12" s="38"/>
      <c r="H12" s="38"/>
      <c r="I12" s="38"/>
      <c r="J12" s="38"/>
      <c r="K12" s="38"/>
      <c r="L12" s="38"/>
      <c r="M12" s="38"/>
      <c r="N12" s="85"/>
      <c r="O12" s="5"/>
      <c r="P12" s="34"/>
    </row>
    <row r="13" spans="1:22" ht="12" customHeight="1">
      <c r="A13" s="5"/>
      <c r="B13" s="250" t="s">
        <v>31</v>
      </c>
      <c r="C13" s="249"/>
      <c r="D13" s="249"/>
      <c r="E13" s="258">
        <v>4507408788</v>
      </c>
      <c r="F13" s="258"/>
      <c r="G13" s="258"/>
      <c r="H13" s="17"/>
      <c r="I13" s="17"/>
      <c r="J13" s="10" t="s">
        <v>30</v>
      </c>
      <c r="K13" s="259">
        <v>43417</v>
      </c>
      <c r="L13" s="259"/>
      <c r="M13" s="38"/>
      <c r="N13" s="109"/>
      <c r="O13" s="5"/>
      <c r="P13" s="34"/>
    </row>
    <row r="14" spans="1:22" ht="3" customHeight="1">
      <c r="A14" s="5"/>
      <c r="B14" s="39"/>
      <c r="C14" s="10"/>
      <c r="D14" s="108"/>
      <c r="E14" s="38"/>
      <c r="F14" s="38"/>
      <c r="G14" s="38"/>
      <c r="H14" s="11"/>
      <c r="I14" s="10"/>
      <c r="J14" s="38"/>
      <c r="K14" s="38"/>
      <c r="L14" s="38"/>
      <c r="M14" s="38"/>
      <c r="N14" s="109"/>
      <c r="O14" s="5"/>
      <c r="P14" s="34"/>
    </row>
    <row r="15" spans="1:22" ht="12" customHeight="1">
      <c r="A15" s="5"/>
      <c r="B15" s="250" t="s">
        <v>193</v>
      </c>
      <c r="C15" s="249"/>
      <c r="D15" s="248" t="s">
        <v>113</v>
      </c>
      <c r="E15" s="248"/>
      <c r="F15" s="10"/>
      <c r="G15" s="10" t="s">
        <v>28</v>
      </c>
      <c r="H15" s="93" t="s">
        <v>201</v>
      </c>
      <c r="I15" s="10"/>
      <c r="J15" s="10" t="s">
        <v>194</v>
      </c>
      <c r="K15" s="38" t="str">
        <f>IF(OR(D15="",H15=""),"",RIGHT(D15,2)&amp;IF(H15="B100","10","20"))</f>
        <v>JD10</v>
      </c>
      <c r="L15" s="38"/>
      <c r="M15" s="38"/>
      <c r="N15" s="109"/>
      <c r="O15" s="5"/>
      <c r="P15" s="34"/>
    </row>
    <row r="16" spans="1:22" ht="3.95" customHeight="1">
      <c r="A16" s="5"/>
      <c r="B16" s="39"/>
      <c r="C16" s="10"/>
      <c r="D16" s="108"/>
      <c r="E16" s="38"/>
      <c r="F16" s="38"/>
      <c r="G16" s="38"/>
      <c r="H16" s="38"/>
      <c r="I16" s="38"/>
      <c r="J16" s="38"/>
      <c r="K16" s="38"/>
      <c r="L16" s="38"/>
      <c r="M16" s="38"/>
      <c r="N16" s="85"/>
      <c r="O16" s="5"/>
      <c r="P16" s="34"/>
    </row>
    <row r="17" spans="1:16" s="1" customFormat="1" ht="12" customHeight="1">
      <c r="A17" s="5"/>
      <c r="B17" s="107" t="s">
        <v>27</v>
      </c>
      <c r="C17" s="248" t="s">
        <v>199</v>
      </c>
      <c r="D17" s="248"/>
      <c r="E17" s="248"/>
      <c r="F17" s="271" t="s">
        <v>200</v>
      </c>
      <c r="G17" s="272"/>
      <c r="H17" s="249" t="s">
        <v>26</v>
      </c>
      <c r="I17" s="249"/>
      <c r="J17" s="269" t="s">
        <v>202</v>
      </c>
      <c r="K17" s="258"/>
      <c r="L17" s="258"/>
      <c r="M17" s="38"/>
      <c r="N17" s="106"/>
      <c r="O17" s="5"/>
      <c r="P17" s="34"/>
    </row>
    <row r="18" spans="1:16" s="1" customFormat="1" ht="5.25" customHeight="1">
      <c r="A18" s="5"/>
      <c r="B18" s="84"/>
      <c r="C18" s="82"/>
      <c r="D18" s="82"/>
      <c r="E18" s="82"/>
      <c r="F18" s="83"/>
      <c r="G18" s="83"/>
      <c r="H18" s="83"/>
      <c r="I18" s="83"/>
      <c r="J18" s="83"/>
      <c r="K18" s="83"/>
      <c r="L18" s="83"/>
      <c r="M18" s="82"/>
      <c r="N18" s="81"/>
      <c r="O18" s="5"/>
      <c r="P18" s="34"/>
    </row>
    <row r="19" spans="1:16" s="1" customFormat="1" ht="3" customHeight="1">
      <c r="A19" s="5"/>
      <c r="B19" s="39"/>
      <c r="C19" s="38"/>
      <c r="D19" s="38"/>
      <c r="E19" s="38"/>
      <c r="F19" s="38"/>
      <c r="G19" s="38"/>
      <c r="H19" s="38"/>
      <c r="I19" s="38"/>
      <c r="J19" s="38"/>
      <c r="K19" s="38"/>
      <c r="L19" s="38"/>
      <c r="M19" s="38"/>
      <c r="N19" s="85"/>
      <c r="O19" s="5"/>
      <c r="P19" s="34"/>
    </row>
    <row r="20" spans="1:16" s="1" customFormat="1" ht="11.1" customHeight="1">
      <c r="A20" s="5"/>
      <c r="B20" s="105" t="s">
        <v>25</v>
      </c>
      <c r="C20" s="83" t="s">
        <v>158</v>
      </c>
      <c r="D20" s="83"/>
      <c r="E20" s="83"/>
      <c r="F20" s="83"/>
      <c r="G20" s="83"/>
      <c r="H20" s="83"/>
      <c r="I20" s="83"/>
      <c r="J20" s="83"/>
      <c r="K20" s="83"/>
      <c r="L20" s="83"/>
      <c r="M20" s="83"/>
      <c r="N20" s="87"/>
      <c r="O20" s="5"/>
      <c r="P20" s="34"/>
    </row>
    <row r="21" spans="1:16" s="1" customFormat="1" ht="22.5" customHeight="1">
      <c r="A21" s="5"/>
      <c r="B21" s="234" t="s">
        <v>203</v>
      </c>
      <c r="C21" s="235"/>
      <c r="D21" s="235"/>
      <c r="E21" s="235"/>
      <c r="F21" s="235"/>
      <c r="G21" s="235"/>
      <c r="H21" s="235"/>
      <c r="I21" s="235"/>
      <c r="J21" s="235"/>
      <c r="K21" s="235"/>
      <c r="L21" s="235"/>
      <c r="M21" s="235"/>
      <c r="N21" s="236"/>
      <c r="O21" s="5"/>
      <c r="P21" s="34"/>
    </row>
    <row r="22" spans="1:16" s="1" customFormat="1" ht="12" hidden="1" customHeight="1">
      <c r="A22" s="5"/>
      <c r="B22" s="132"/>
      <c r="C22" s="133"/>
      <c r="D22" s="133"/>
      <c r="E22" s="133"/>
      <c r="F22" s="133"/>
      <c r="G22" s="133"/>
      <c r="H22" s="133"/>
      <c r="I22" s="133"/>
      <c r="J22" s="133"/>
      <c r="K22" s="133"/>
      <c r="L22" s="133"/>
      <c r="M22" s="133"/>
      <c r="N22" s="134"/>
      <c r="O22" s="86"/>
      <c r="P22" s="34"/>
    </row>
    <row r="23" spans="1:16" s="1" customFormat="1" ht="3" customHeight="1">
      <c r="A23" s="5"/>
      <c r="B23" s="39"/>
      <c r="C23" s="38"/>
      <c r="D23" s="38"/>
      <c r="E23" s="38"/>
      <c r="F23" s="38"/>
      <c r="G23" s="38"/>
      <c r="H23" s="38"/>
      <c r="I23" s="38"/>
      <c r="J23" s="38"/>
      <c r="K23" s="38"/>
      <c r="L23" s="38"/>
      <c r="M23" s="38"/>
      <c r="N23" s="85"/>
      <c r="O23" s="86"/>
      <c r="P23" s="34"/>
    </row>
    <row r="24" spans="1:16" s="1" customFormat="1" ht="11.1" customHeight="1">
      <c r="A24" s="5"/>
      <c r="B24" s="251" t="s">
        <v>159</v>
      </c>
      <c r="C24" s="252"/>
      <c r="D24" s="252"/>
      <c r="E24" s="252"/>
      <c r="F24" s="252"/>
      <c r="G24" s="252"/>
      <c r="H24" s="38"/>
      <c r="I24" s="38"/>
      <c r="J24" s="38"/>
      <c r="K24" s="38"/>
      <c r="L24" s="38"/>
      <c r="M24" s="38"/>
      <c r="N24" s="87"/>
      <c r="O24" s="5"/>
      <c r="P24" s="34"/>
    </row>
    <row r="25" spans="1:16" s="1" customFormat="1" ht="21.75" customHeight="1">
      <c r="A25" s="5"/>
      <c r="B25" s="104"/>
      <c r="C25" s="103"/>
      <c r="D25" s="102"/>
      <c r="E25" s="101"/>
      <c r="F25" s="100"/>
      <c r="G25" s="99" t="s">
        <v>24</v>
      </c>
      <c r="H25" s="233" t="s">
        <v>23</v>
      </c>
      <c r="I25" s="233"/>
      <c r="J25" s="233"/>
      <c r="K25" s="232" t="str">
        <f>IF(Location = 2,HYPERLINK("http://iknow.us009.siemens.net/infolink/fire%20safety/Product%20Line%20News/MaintenanceInformation.htm","Product Line 
News #"),IF(Location = 1,HYPERLINK("http://iknow.us009.siemens.net/infolink/automation/sbmaintoc.htm","Service Bulletin #"),"Service Bulletin or 
Product Line News"))</f>
        <v>Service Bulletin #</v>
      </c>
      <c r="L25" s="233"/>
      <c r="M25" s="233"/>
      <c r="N25" s="135"/>
      <c r="O25" s="5"/>
      <c r="P25" s="34"/>
    </row>
    <row r="26" spans="1:16" s="1" customFormat="1" ht="13.5" customHeight="1">
      <c r="A26" s="5"/>
      <c r="B26" s="98"/>
      <c r="C26" s="97"/>
      <c r="D26" s="96"/>
      <c r="E26" s="95"/>
      <c r="F26" s="17"/>
      <c r="G26" s="94"/>
      <c r="H26" s="253" t="s">
        <v>22</v>
      </c>
      <c r="I26" s="254"/>
      <c r="J26" s="254"/>
      <c r="K26" s="93" t="s">
        <v>204</v>
      </c>
      <c r="L26" s="128" t="s">
        <v>160</v>
      </c>
      <c r="M26" s="126"/>
      <c r="N26" s="127"/>
      <c r="O26" s="5"/>
      <c r="P26" s="34"/>
    </row>
    <row r="27" spans="1:16" s="1" customFormat="1" ht="15.75" customHeight="1">
      <c r="A27" s="5"/>
      <c r="B27" s="92"/>
      <c r="C27" s="91"/>
      <c r="D27" s="90"/>
      <c r="E27" s="89"/>
      <c r="F27" s="83"/>
      <c r="G27" s="88"/>
      <c r="H27" s="255"/>
      <c r="I27" s="256"/>
      <c r="J27" s="256"/>
      <c r="K27" s="82"/>
      <c r="L27" s="215" t="s">
        <v>161</v>
      </c>
      <c r="M27" s="215"/>
      <c r="N27" s="216"/>
      <c r="O27" s="5"/>
      <c r="P27" s="34"/>
    </row>
    <row r="28" spans="1:16" s="1" customFormat="1" ht="3" customHeight="1">
      <c r="A28" s="5"/>
      <c r="B28" s="39"/>
      <c r="C28" s="38"/>
      <c r="D28" s="38"/>
      <c r="E28" s="38"/>
      <c r="F28" s="38"/>
      <c r="G28" s="38"/>
      <c r="H28" s="38"/>
      <c r="I28" s="38"/>
      <c r="J28" s="38"/>
      <c r="K28" s="38"/>
      <c r="L28" s="38"/>
      <c r="M28" s="38"/>
      <c r="N28" s="85"/>
      <c r="O28" s="86"/>
      <c r="P28" s="34"/>
    </row>
    <row r="29" spans="1:16" s="1" customFormat="1" ht="45" customHeight="1">
      <c r="A29" s="14"/>
      <c r="B29" s="250" t="s">
        <v>21</v>
      </c>
      <c r="C29" s="249"/>
      <c r="D29" s="257"/>
      <c r="E29" s="257"/>
      <c r="F29" s="257"/>
      <c r="G29" s="257"/>
      <c r="H29" s="257"/>
      <c r="I29" s="17"/>
      <c r="J29" s="10" t="s">
        <v>20</v>
      </c>
      <c r="K29" s="177"/>
      <c r="L29" s="10"/>
      <c r="M29" s="10"/>
      <c r="N29" s="106"/>
      <c r="O29" s="5"/>
      <c r="P29" s="34"/>
    </row>
    <row r="30" spans="1:16" s="1" customFormat="1" ht="5.25" customHeight="1">
      <c r="A30" s="5"/>
      <c r="B30" s="84"/>
      <c r="C30" s="82"/>
      <c r="D30" s="82"/>
      <c r="E30" s="82"/>
      <c r="F30" s="83"/>
      <c r="G30" s="83"/>
      <c r="H30" s="83"/>
      <c r="I30" s="83"/>
      <c r="J30" s="83"/>
      <c r="K30" s="83"/>
      <c r="L30" s="83"/>
      <c r="M30" s="82"/>
      <c r="N30" s="81"/>
      <c r="O30" s="5"/>
      <c r="P30" s="34"/>
    </row>
    <row r="31" spans="1:16" s="1" customFormat="1" ht="12" customHeight="1">
      <c r="A31" s="5"/>
      <c r="B31" s="80" t="s">
        <v>19</v>
      </c>
      <c r="C31" s="200" t="s">
        <v>186</v>
      </c>
      <c r="D31" s="214"/>
      <c r="E31" s="201"/>
      <c r="F31" s="200" t="s">
        <v>169</v>
      </c>
      <c r="G31" s="214"/>
      <c r="H31" s="201"/>
      <c r="I31" s="200" t="s">
        <v>18</v>
      </c>
      <c r="J31" s="201"/>
      <c r="K31" s="143" t="s">
        <v>166</v>
      </c>
      <c r="L31" s="200" t="s">
        <v>17</v>
      </c>
      <c r="M31" s="214"/>
      <c r="N31" s="227"/>
      <c r="O31" s="5"/>
      <c r="P31" s="34"/>
    </row>
    <row r="32" spans="1:16" s="1" customFormat="1" ht="12" customHeight="1">
      <c r="A32" s="5"/>
      <c r="B32" s="79">
        <v>1</v>
      </c>
      <c r="C32" s="211" t="s">
        <v>205</v>
      </c>
      <c r="D32" s="212"/>
      <c r="E32" s="213"/>
      <c r="F32" s="219"/>
      <c r="G32" s="220"/>
      <c r="H32" s="221"/>
      <c r="I32" s="228"/>
      <c r="J32" s="229"/>
      <c r="K32" s="76">
        <v>1404.54</v>
      </c>
      <c r="L32" s="217">
        <v>0</v>
      </c>
      <c r="M32" s="218"/>
      <c r="N32" s="78" t="s">
        <v>133</v>
      </c>
      <c r="O32" s="5"/>
      <c r="P32" s="34"/>
    </row>
    <row r="33" spans="1:22" ht="12" customHeight="1">
      <c r="A33" s="5"/>
      <c r="B33" s="79"/>
      <c r="C33" s="211"/>
      <c r="D33" s="212"/>
      <c r="E33" s="213"/>
      <c r="F33" s="219"/>
      <c r="G33" s="220"/>
      <c r="H33" s="221"/>
      <c r="I33" s="228"/>
      <c r="J33" s="229"/>
      <c r="K33" s="76"/>
      <c r="L33" s="217"/>
      <c r="M33" s="218"/>
      <c r="N33" s="78"/>
      <c r="O33" s="5"/>
      <c r="P33" s="34"/>
    </row>
    <row r="34" spans="1:22" ht="12" customHeight="1">
      <c r="A34" s="5"/>
      <c r="B34" s="79"/>
      <c r="C34" s="211"/>
      <c r="D34" s="212"/>
      <c r="E34" s="213"/>
      <c r="F34" s="219"/>
      <c r="G34" s="220"/>
      <c r="H34" s="221"/>
      <c r="I34" s="228"/>
      <c r="J34" s="229"/>
      <c r="K34" s="76"/>
      <c r="L34" s="217"/>
      <c r="M34" s="218"/>
      <c r="N34" s="78"/>
      <c r="O34" s="5"/>
      <c r="P34" s="34"/>
    </row>
    <row r="35" spans="1:22" ht="12" customHeight="1">
      <c r="A35" s="5"/>
      <c r="B35" s="79"/>
      <c r="C35" s="211"/>
      <c r="D35" s="212"/>
      <c r="E35" s="213"/>
      <c r="F35" s="219"/>
      <c r="G35" s="220"/>
      <c r="H35" s="221"/>
      <c r="I35" s="228"/>
      <c r="J35" s="229"/>
      <c r="K35" s="76"/>
      <c r="L35" s="217"/>
      <c r="M35" s="218"/>
      <c r="N35" s="78"/>
      <c r="O35" s="5"/>
      <c r="P35" s="34"/>
    </row>
    <row r="36" spans="1:22" ht="12" customHeight="1">
      <c r="A36" s="5"/>
      <c r="B36" s="79"/>
      <c r="C36" s="211"/>
      <c r="D36" s="212"/>
      <c r="E36" s="213"/>
      <c r="F36" s="219"/>
      <c r="G36" s="220"/>
      <c r="H36" s="221"/>
      <c r="I36" s="228"/>
      <c r="J36" s="229"/>
      <c r="K36" s="76"/>
      <c r="L36" s="217"/>
      <c r="M36" s="218"/>
      <c r="N36" s="78"/>
      <c r="O36" s="5"/>
      <c r="P36" s="34"/>
    </row>
    <row r="37" spans="1:22" ht="12" customHeight="1">
      <c r="A37" s="5"/>
      <c r="B37" s="79"/>
      <c r="C37" s="211"/>
      <c r="D37" s="212"/>
      <c r="E37" s="213"/>
      <c r="F37" s="219"/>
      <c r="G37" s="220"/>
      <c r="H37" s="221"/>
      <c r="I37" s="228"/>
      <c r="J37" s="229"/>
      <c r="K37" s="76"/>
      <c r="L37" s="217"/>
      <c r="M37" s="218"/>
      <c r="N37" s="78"/>
      <c r="O37" s="5"/>
      <c r="P37" s="34"/>
    </row>
    <row r="38" spans="1:22" ht="12" customHeight="1">
      <c r="A38" s="5"/>
      <c r="B38" s="79"/>
      <c r="C38" s="211"/>
      <c r="D38" s="212"/>
      <c r="E38" s="213"/>
      <c r="F38" s="219"/>
      <c r="G38" s="220"/>
      <c r="H38" s="221"/>
      <c r="I38" s="228"/>
      <c r="J38" s="229"/>
      <c r="K38" s="76"/>
      <c r="L38" s="217"/>
      <c r="M38" s="218"/>
      <c r="N38" s="78"/>
      <c r="O38" s="5"/>
      <c r="P38" s="34"/>
    </row>
    <row r="39" spans="1:22" ht="12" customHeight="1" thickBot="1">
      <c r="A39" s="5"/>
      <c r="B39" s="77"/>
      <c r="C39" s="285"/>
      <c r="D39" s="286"/>
      <c r="E39" s="287"/>
      <c r="F39" s="224"/>
      <c r="G39" s="225"/>
      <c r="H39" s="226"/>
      <c r="I39" s="290"/>
      <c r="J39" s="291"/>
      <c r="K39" s="125"/>
      <c r="L39" s="222"/>
      <c r="M39" s="223"/>
      <c r="N39" s="75"/>
      <c r="O39" s="5"/>
      <c r="P39" s="34"/>
    </row>
    <row r="40" spans="1:22" ht="14.25" hidden="1" customHeight="1">
      <c r="A40" s="69"/>
      <c r="B40" s="41"/>
      <c r="C40" s="31"/>
      <c r="D40" s="31"/>
      <c r="E40" s="31"/>
      <c r="F40" s="31"/>
      <c r="G40" s="31"/>
      <c r="H40" s="74"/>
      <c r="I40" s="74"/>
      <c r="J40" s="74"/>
      <c r="K40" s="74"/>
      <c r="L40" s="74"/>
      <c r="M40" s="74"/>
      <c r="N40" s="73"/>
      <c r="O40" s="14"/>
      <c r="P40" s="34"/>
    </row>
    <row r="41" spans="1:22" ht="3.75" hidden="1" customHeight="1">
      <c r="A41" s="69"/>
      <c r="B41" s="72"/>
      <c r="C41" s="6"/>
      <c r="D41" s="6"/>
      <c r="E41" s="6"/>
      <c r="F41" s="6"/>
      <c r="G41" s="6"/>
      <c r="H41" s="6"/>
      <c r="I41" s="6"/>
      <c r="J41" s="6"/>
      <c r="K41" s="6"/>
      <c r="L41" s="6"/>
      <c r="M41" s="6"/>
      <c r="N41" s="70"/>
      <c r="O41" s="14"/>
      <c r="P41" s="34"/>
    </row>
    <row r="42" spans="1:22" ht="12.75" hidden="1" customHeight="1">
      <c r="A42" s="69"/>
      <c r="B42" s="238"/>
      <c r="C42" s="239"/>
      <c r="D42" s="6"/>
      <c r="E42" s="6"/>
      <c r="F42" s="6"/>
      <c r="G42" s="6"/>
      <c r="H42" s="6"/>
      <c r="I42" s="6"/>
      <c r="J42" s="6"/>
      <c r="K42" s="71"/>
      <c r="L42" s="6"/>
      <c r="M42" s="6"/>
      <c r="N42" s="70"/>
      <c r="O42" s="14"/>
      <c r="P42" s="34"/>
    </row>
    <row r="43" spans="1:22" ht="11.25" hidden="1" customHeight="1">
      <c r="A43" s="69"/>
      <c r="B43" s="238"/>
      <c r="C43" s="239"/>
      <c r="D43" s="6"/>
      <c r="E43" s="6"/>
      <c r="F43" s="6"/>
      <c r="G43" s="6"/>
      <c r="H43" s="6"/>
      <c r="I43" s="6"/>
      <c r="J43" s="6"/>
      <c r="K43" s="71"/>
      <c r="L43" s="6"/>
      <c r="M43" s="6"/>
      <c r="N43" s="70"/>
      <c r="O43" s="14"/>
      <c r="P43" s="34"/>
    </row>
    <row r="44" spans="1:22" ht="12.75" hidden="1" customHeight="1">
      <c r="A44" s="69"/>
      <c r="B44" s="250"/>
      <c r="C44" s="249"/>
      <c r="D44" s="10"/>
      <c r="E44" s="10"/>
      <c r="F44" s="10"/>
      <c r="G44" s="10"/>
      <c r="H44" s="10"/>
      <c r="I44" s="10"/>
      <c r="J44" s="10"/>
      <c r="K44" s="10"/>
      <c r="L44" s="10"/>
      <c r="M44" s="10"/>
      <c r="N44" s="85"/>
      <c r="O44" s="5"/>
    </row>
    <row r="45" spans="1:22" s="40" customFormat="1" ht="3.75" hidden="1" customHeight="1" thickBot="1">
      <c r="A45" s="9"/>
      <c r="B45" s="68"/>
      <c r="C45" s="67"/>
      <c r="D45" s="67"/>
      <c r="E45" s="67"/>
      <c r="F45" s="67"/>
      <c r="G45" s="67"/>
      <c r="H45" s="67"/>
      <c r="I45" s="67"/>
      <c r="J45" s="67"/>
      <c r="K45" s="67"/>
      <c r="L45" s="67"/>
      <c r="M45" s="67"/>
      <c r="N45" s="55"/>
      <c r="O45" s="5"/>
      <c r="P45" s="2"/>
      <c r="Q45" s="2"/>
      <c r="R45" s="2"/>
      <c r="S45" s="2"/>
      <c r="T45" s="2"/>
      <c r="U45" s="2"/>
      <c r="V45" s="2"/>
    </row>
    <row r="46" spans="1:22" ht="3" customHeight="1" thickBot="1">
      <c r="A46" s="5"/>
      <c r="B46" s="66"/>
      <c r="C46" s="14"/>
      <c r="D46" s="14"/>
      <c r="E46" s="14"/>
      <c r="F46" s="14"/>
      <c r="G46" s="14"/>
      <c r="H46" s="14"/>
      <c r="I46" s="14"/>
      <c r="J46" s="14"/>
      <c r="K46" s="14"/>
      <c r="L46" s="14"/>
      <c r="M46" s="14"/>
      <c r="N46" s="14"/>
      <c r="O46" s="5"/>
    </row>
    <row r="47" spans="1:22" ht="12" customHeight="1">
      <c r="A47" s="5"/>
      <c r="B47" s="297" t="s">
        <v>15</v>
      </c>
      <c r="C47" s="298"/>
      <c r="D47" s="298"/>
      <c r="E47" s="298"/>
      <c r="F47" s="298"/>
      <c r="G47" s="298"/>
      <c r="H47" s="298"/>
      <c r="I47" s="298"/>
      <c r="J47" s="298"/>
      <c r="K47" s="298"/>
      <c r="L47" s="65"/>
      <c r="M47" s="65"/>
      <c r="N47" s="64"/>
      <c r="O47" s="5"/>
    </row>
    <row r="48" spans="1:22" ht="3" customHeight="1">
      <c r="A48" s="5"/>
      <c r="B48" s="63"/>
      <c r="C48" s="62"/>
      <c r="D48" s="62"/>
      <c r="E48" s="62"/>
      <c r="F48" s="62"/>
      <c r="G48" s="62"/>
      <c r="H48" s="62"/>
      <c r="I48" s="62"/>
      <c r="J48" s="62"/>
      <c r="K48" s="62"/>
      <c r="L48" s="62"/>
      <c r="M48" s="62"/>
      <c r="N48" s="61"/>
      <c r="O48" s="5"/>
    </row>
    <row r="49" spans="1:22" ht="12" customHeight="1">
      <c r="A49" s="5"/>
      <c r="B49" s="278" t="s">
        <v>14</v>
      </c>
      <c r="C49" s="279"/>
      <c r="D49" s="138"/>
      <c r="E49" s="299" t="s">
        <v>13</v>
      </c>
      <c r="F49" s="299"/>
      <c r="G49" s="138"/>
      <c r="H49" s="60" t="s">
        <v>12</v>
      </c>
      <c r="I49" s="288"/>
      <c r="J49" s="288"/>
      <c r="K49" s="288"/>
      <c r="L49" s="288"/>
      <c r="M49" s="288"/>
      <c r="N49" s="289"/>
      <c r="O49" s="5"/>
    </row>
    <row r="50" spans="1:22" ht="2.1" customHeight="1">
      <c r="A50" s="5"/>
      <c r="B50" s="59"/>
      <c r="C50" s="58"/>
      <c r="D50" s="58"/>
      <c r="E50" s="58"/>
      <c r="F50" s="58"/>
      <c r="G50" s="58"/>
      <c r="H50" s="58"/>
      <c r="I50" s="57"/>
      <c r="J50" s="57"/>
      <c r="K50" s="57"/>
      <c r="L50" s="57"/>
      <c r="M50" s="57"/>
      <c r="N50" s="56"/>
      <c r="O50" s="5"/>
    </row>
    <row r="51" spans="1:22" ht="4.5" customHeight="1" thickBot="1">
      <c r="A51" s="5"/>
      <c r="B51" s="20"/>
      <c r="C51" s="19"/>
      <c r="D51" s="19"/>
      <c r="E51" s="19"/>
      <c r="F51" s="19"/>
      <c r="G51" s="19"/>
      <c r="H51" s="19"/>
      <c r="I51" s="19"/>
      <c r="J51" s="19"/>
      <c r="K51" s="19"/>
      <c r="L51" s="19"/>
      <c r="M51" s="19"/>
      <c r="N51" s="55"/>
      <c r="O51" s="5"/>
    </row>
    <row r="52" spans="1:22" s="52" customFormat="1" ht="50.25" customHeight="1" thickBot="1">
      <c r="A52" s="54"/>
      <c r="B52" s="296" t="s">
        <v>187</v>
      </c>
      <c r="C52" s="296"/>
      <c r="D52" s="296"/>
      <c r="E52" s="296"/>
      <c r="F52" s="296"/>
      <c r="G52" s="296"/>
      <c r="H52" s="296"/>
      <c r="I52" s="296"/>
      <c r="J52" s="296"/>
      <c r="K52" s="296"/>
      <c r="L52" s="296"/>
      <c r="M52" s="296"/>
      <c r="N52" s="296"/>
      <c r="O52" s="53"/>
      <c r="P52" s="2"/>
      <c r="Q52" s="2"/>
      <c r="R52" s="2"/>
      <c r="S52" s="2"/>
      <c r="T52" s="2"/>
      <c r="U52" s="2"/>
      <c r="V52" s="2"/>
    </row>
    <row r="53" spans="1:22" ht="11.1" customHeight="1">
      <c r="A53" s="5"/>
      <c r="B53" s="175" t="s">
        <v>11</v>
      </c>
      <c r="C53" s="176"/>
      <c r="D53" s="176"/>
      <c r="E53" s="176"/>
      <c r="F53" s="176"/>
      <c r="G53" s="176"/>
      <c r="H53" s="176"/>
      <c r="I53" s="176"/>
      <c r="J53" s="176"/>
      <c r="K53" s="176"/>
      <c r="L53" s="176"/>
      <c r="M53" s="176"/>
      <c r="N53" s="51"/>
      <c r="O53" s="5"/>
    </row>
    <row r="54" spans="1:22" s="40" customFormat="1" ht="4.5" customHeight="1">
      <c r="A54" s="14"/>
      <c r="B54" s="39"/>
      <c r="C54" s="38"/>
      <c r="D54" s="38"/>
      <c r="E54" s="38"/>
      <c r="F54" s="38"/>
      <c r="G54" s="38"/>
      <c r="H54" s="38"/>
      <c r="I54" s="38"/>
      <c r="J54" s="38"/>
      <c r="K54" s="38"/>
      <c r="L54" s="38"/>
      <c r="M54" s="38"/>
      <c r="N54" s="85"/>
      <c r="O54" s="30"/>
      <c r="P54" s="2"/>
      <c r="Q54" s="2"/>
      <c r="R54" s="2"/>
      <c r="S54" s="2"/>
      <c r="T54" s="2"/>
      <c r="U54" s="2"/>
      <c r="V54" s="2"/>
    </row>
    <row r="55" spans="1:22" ht="15" customHeight="1">
      <c r="A55" s="5"/>
      <c r="B55" s="230" t="s">
        <v>10</v>
      </c>
      <c r="C55" s="231"/>
      <c r="D55" s="231"/>
      <c r="E55" s="136" t="str">
        <f>IF(RSO&lt;&gt;"","E",IF(OR(Service_Order&lt;&gt;"",Project_WBS=""),"","Q"))</f>
        <v>Q</v>
      </c>
      <c r="F55" s="10"/>
      <c r="G55" s="174" t="s">
        <v>181</v>
      </c>
      <c r="H55" s="269" t="s">
        <v>207</v>
      </c>
      <c r="I55" s="258"/>
      <c r="J55" s="258"/>
      <c r="K55" s="231" t="s">
        <v>185</v>
      </c>
      <c r="L55" s="231"/>
      <c r="M55" s="10"/>
      <c r="N55" s="197"/>
      <c r="O55" s="5"/>
    </row>
    <row r="56" spans="1:22" ht="3.75" customHeight="1">
      <c r="A56" s="5"/>
      <c r="B56" s="48"/>
      <c r="C56" s="50"/>
      <c r="D56" s="50"/>
      <c r="E56" s="50"/>
      <c r="F56" s="50"/>
      <c r="G56" s="50"/>
      <c r="H56" s="50"/>
      <c r="I56" s="50"/>
      <c r="J56" s="50"/>
      <c r="K56" s="50"/>
      <c r="L56" s="50"/>
      <c r="M56" s="50"/>
      <c r="N56" s="49"/>
      <c r="O56" s="5"/>
      <c r="P56" s="34"/>
    </row>
    <row r="57" spans="1:22" ht="45" customHeight="1">
      <c r="A57" s="5"/>
      <c r="B57" s="230" t="s">
        <v>16</v>
      </c>
      <c r="C57" s="231"/>
      <c r="D57" s="280"/>
      <c r="E57" s="280"/>
      <c r="F57" s="280"/>
      <c r="G57" s="280"/>
      <c r="H57" s="174" t="s">
        <v>162</v>
      </c>
      <c r="I57" s="280"/>
      <c r="J57" s="280"/>
      <c r="K57" s="280"/>
      <c r="L57" s="280"/>
      <c r="M57" s="280"/>
      <c r="N57" s="292"/>
      <c r="O57" s="5"/>
    </row>
    <row r="58" spans="1:22" ht="3.75" customHeight="1">
      <c r="A58" s="5"/>
      <c r="B58" s="48"/>
      <c r="C58" s="46"/>
      <c r="D58" s="46"/>
      <c r="E58" s="47"/>
      <c r="F58" s="46"/>
      <c r="G58" s="46"/>
      <c r="H58" s="46"/>
      <c r="I58" s="45"/>
      <c r="J58" s="45"/>
      <c r="K58" s="45"/>
      <c r="L58" s="45"/>
      <c r="M58" s="45"/>
      <c r="N58" s="44"/>
      <c r="O58" s="5"/>
    </row>
    <row r="59" spans="1:22" ht="14.25">
      <c r="A59" s="5"/>
      <c r="B59" s="230" t="s">
        <v>9</v>
      </c>
      <c r="C59" s="231"/>
      <c r="D59" s="231"/>
      <c r="E59" s="300"/>
      <c r="F59" s="300"/>
      <c r="G59" s="300"/>
      <c r="H59" s="300"/>
      <c r="I59" s="300"/>
      <c r="J59" s="300"/>
      <c r="K59" s="300"/>
      <c r="L59" s="300"/>
      <c r="M59" s="300"/>
      <c r="N59" s="301"/>
      <c r="O59" s="5"/>
    </row>
    <row r="60" spans="1:22" ht="3.75" customHeight="1" thickBot="1">
      <c r="A60" s="5"/>
      <c r="B60" s="20"/>
      <c r="C60" s="19"/>
      <c r="D60" s="19"/>
      <c r="E60" s="19"/>
      <c r="F60" s="19"/>
      <c r="G60" s="19"/>
      <c r="H60" s="19"/>
      <c r="I60" s="19"/>
      <c r="J60" s="43"/>
      <c r="K60" s="43"/>
      <c r="L60" s="43"/>
      <c r="M60" s="43"/>
      <c r="N60" s="42"/>
      <c r="O60" s="5"/>
    </row>
    <row r="61" spans="1:22" ht="38.25" customHeight="1" thickBot="1">
      <c r="A61" s="5"/>
      <c r="B61" s="284" t="s">
        <v>188</v>
      </c>
      <c r="C61" s="284"/>
      <c r="D61" s="284"/>
      <c r="E61" s="284"/>
      <c r="F61" s="284"/>
      <c r="G61" s="284"/>
      <c r="H61" s="284"/>
      <c r="I61" s="284"/>
      <c r="J61" s="284"/>
      <c r="K61" s="284"/>
      <c r="L61" s="284"/>
      <c r="M61" s="284"/>
      <c r="N61" s="284"/>
      <c r="O61" s="5"/>
      <c r="P61" s="34"/>
    </row>
    <row r="62" spans="1:22" ht="11.1" customHeight="1">
      <c r="A62" s="5"/>
      <c r="B62" s="281" t="s">
        <v>189</v>
      </c>
      <c r="C62" s="282"/>
      <c r="D62" s="282"/>
      <c r="E62" s="282"/>
      <c r="F62" s="282"/>
      <c r="G62" s="282"/>
      <c r="H62" s="282"/>
      <c r="I62" s="282"/>
      <c r="J62" s="282"/>
      <c r="K62" s="282"/>
      <c r="L62" s="282"/>
      <c r="M62" s="282"/>
      <c r="N62" s="283"/>
      <c r="O62" s="30"/>
    </row>
    <row r="63" spans="1:22" s="40" customFormat="1" ht="13.5" customHeight="1">
      <c r="A63" s="5"/>
      <c r="B63" s="275" t="s">
        <v>8</v>
      </c>
      <c r="C63" s="233"/>
      <c r="D63" s="233"/>
      <c r="E63" s="144"/>
      <c r="F63" s="35"/>
      <c r="G63" s="35"/>
      <c r="H63" s="129" t="s">
        <v>165</v>
      </c>
      <c r="I63" s="137"/>
      <c r="J63" s="35"/>
      <c r="K63" s="131" t="str">
        <f>IF(I63="","",I63&amp;"support.industry@siemens.com")</f>
        <v/>
      </c>
      <c r="L63" s="130"/>
      <c r="M63" s="130"/>
      <c r="N63" s="49"/>
      <c r="O63" s="5"/>
      <c r="P63" s="34"/>
      <c r="Q63" s="2"/>
      <c r="R63" s="2"/>
      <c r="S63" s="2"/>
      <c r="T63" s="2"/>
      <c r="U63" s="2"/>
      <c r="V63" s="2"/>
    </row>
    <row r="64" spans="1:22" ht="3.95" customHeight="1">
      <c r="A64" s="5"/>
      <c r="B64" s="39"/>
      <c r="C64" s="38"/>
      <c r="D64" s="38"/>
      <c r="E64" s="38"/>
      <c r="F64" s="126"/>
      <c r="G64" s="240" t="s">
        <v>164</v>
      </c>
      <c r="H64" s="240"/>
      <c r="I64" s="240"/>
      <c r="J64" s="240"/>
      <c r="K64" s="240"/>
      <c r="L64" s="240"/>
      <c r="M64" s="240"/>
      <c r="N64" s="241"/>
      <c r="O64" s="5"/>
    </row>
    <row r="65" spans="1:22" ht="13.5" customHeight="1">
      <c r="A65" s="5"/>
      <c r="B65" s="250" t="s">
        <v>7</v>
      </c>
      <c r="C65" s="249"/>
      <c r="D65" s="249"/>
      <c r="E65" s="36"/>
      <c r="F65" s="126"/>
      <c r="G65" s="240"/>
      <c r="H65" s="240"/>
      <c r="I65" s="240"/>
      <c r="J65" s="240"/>
      <c r="K65" s="240"/>
      <c r="L65" s="240"/>
      <c r="M65" s="240"/>
      <c r="N65" s="241"/>
      <c r="O65" s="5"/>
      <c r="P65" s="34"/>
    </row>
    <row r="66" spans="1:22" ht="6.75" customHeight="1" thickBot="1">
      <c r="A66" s="5"/>
      <c r="B66" s="33"/>
      <c r="C66" s="32"/>
      <c r="D66" s="32"/>
      <c r="E66" s="32"/>
      <c r="F66" s="32"/>
      <c r="G66" s="242"/>
      <c r="H66" s="242"/>
      <c r="I66" s="242"/>
      <c r="J66" s="242"/>
      <c r="K66" s="242"/>
      <c r="L66" s="242"/>
      <c r="M66" s="242"/>
      <c r="N66" s="243"/>
      <c r="O66" s="5"/>
    </row>
    <row r="67" spans="1:22" ht="25.5" customHeight="1" thickBot="1">
      <c r="A67" s="14"/>
      <c r="B67" s="247" t="s">
        <v>190</v>
      </c>
      <c r="C67" s="247"/>
      <c r="D67" s="247"/>
      <c r="E67" s="247"/>
      <c r="F67" s="247"/>
      <c r="G67" s="247"/>
      <c r="H67" s="247"/>
      <c r="I67" s="247"/>
      <c r="J67" s="247"/>
      <c r="K67" s="247"/>
      <c r="L67" s="247"/>
      <c r="M67" s="247"/>
      <c r="N67" s="247"/>
      <c r="O67" s="5"/>
    </row>
    <row r="68" spans="1:22" ht="11.1" customHeight="1">
      <c r="A68" s="5"/>
      <c r="B68" s="293" t="s">
        <v>191</v>
      </c>
      <c r="C68" s="294"/>
      <c r="D68" s="294"/>
      <c r="E68" s="294"/>
      <c r="F68" s="294"/>
      <c r="G68" s="294"/>
      <c r="H68" s="294"/>
      <c r="I68" s="294"/>
      <c r="J68" s="294"/>
      <c r="K68" s="294"/>
      <c r="L68" s="294"/>
      <c r="M68" s="294"/>
      <c r="N68" s="295"/>
      <c r="O68" s="30"/>
    </row>
    <row r="69" spans="1:22" s="12" customFormat="1" ht="3.75" customHeight="1">
      <c r="A69" s="14"/>
      <c r="B69" s="29"/>
      <c r="C69" s="27"/>
      <c r="D69" s="27"/>
      <c r="E69" s="28"/>
      <c r="F69" s="27"/>
      <c r="G69" s="27"/>
      <c r="H69" s="27"/>
      <c r="I69" s="27"/>
      <c r="J69" s="26"/>
      <c r="K69" s="26"/>
      <c r="L69" s="26"/>
      <c r="M69" s="26"/>
      <c r="N69" s="25"/>
      <c r="O69" s="5"/>
      <c r="P69" s="13"/>
      <c r="Q69" s="13"/>
      <c r="R69" s="13"/>
      <c r="S69" s="13"/>
      <c r="T69" s="13"/>
      <c r="U69" s="13"/>
      <c r="V69" s="13"/>
    </row>
    <row r="70" spans="1:22" s="21" customFormat="1" ht="13.5" customHeight="1">
      <c r="A70" s="14"/>
      <c r="B70" s="276" t="s">
        <v>6</v>
      </c>
      <c r="C70" s="277"/>
      <c r="D70" s="246"/>
      <c r="E70" s="246"/>
      <c r="F70" s="24"/>
      <c r="G70" s="23" t="s">
        <v>5</v>
      </c>
      <c r="H70" s="124"/>
      <c r="I70" s="277" t="str">
        <f>IF(LEFT(Tracking,2)="1Z","Track UPS Package:","")</f>
        <v/>
      </c>
      <c r="J70" s="277"/>
      <c r="K70" s="245" t="str">
        <f>IF(LEFT(Tracking,2)&lt;&gt;"1Z","",HYPERLINK("http://wwwapps.ups.com/WebTracking/processInputRequest?sort_by=status&amp;tracknums_displayed=1&amp;TypeOfInquiryNumber=T&amp;loc=en_us&amp;InquiryNumber1="&amp;Tracking&amp;"&amp;track.x=0&amp;track.y=0",Tracking))</f>
        <v/>
      </c>
      <c r="L70" s="245"/>
      <c r="M70" s="245"/>
      <c r="N70" s="49"/>
      <c r="O70" s="5"/>
      <c r="P70" s="22"/>
      <c r="Q70" s="13"/>
      <c r="R70" s="13"/>
      <c r="S70" s="13"/>
      <c r="T70" s="13"/>
      <c r="U70" s="13"/>
      <c r="V70" s="13"/>
    </row>
    <row r="71" spans="1:22" ht="4.5" customHeight="1" thickBot="1">
      <c r="A71" s="5"/>
      <c r="B71" s="20"/>
      <c r="C71" s="19"/>
      <c r="D71" s="19"/>
      <c r="E71" s="19"/>
      <c r="F71" s="19"/>
      <c r="G71" s="18"/>
      <c r="H71" s="18"/>
      <c r="I71" s="18"/>
      <c r="J71" s="245"/>
      <c r="K71" s="245"/>
      <c r="L71" s="245"/>
      <c r="M71" s="18"/>
      <c r="N71" s="42"/>
      <c r="O71" s="5"/>
    </row>
    <row r="72" spans="1:22" ht="48" customHeight="1" thickBot="1">
      <c r="A72" s="14"/>
      <c r="B72" s="244" t="s">
        <v>192</v>
      </c>
      <c r="C72" s="244"/>
      <c r="D72" s="244"/>
      <c r="E72" s="244"/>
      <c r="F72" s="244"/>
      <c r="G72" s="244"/>
      <c r="H72" s="244"/>
      <c r="I72" s="244"/>
      <c r="J72" s="244"/>
      <c r="K72" s="244"/>
      <c r="L72" s="244"/>
      <c r="M72" s="244"/>
      <c r="N72" s="244"/>
      <c r="O72" s="5"/>
    </row>
    <row r="73" spans="1:22" s="12" customFormat="1" ht="3.75" customHeight="1">
      <c r="A73" s="14"/>
      <c r="B73" s="15"/>
      <c r="C73" s="15"/>
      <c r="D73" s="15"/>
      <c r="E73" s="15"/>
      <c r="F73" s="15"/>
      <c r="G73" s="15"/>
      <c r="H73" s="15"/>
      <c r="I73" s="15"/>
      <c r="J73" s="15"/>
      <c r="K73" s="15"/>
      <c r="L73" s="15"/>
      <c r="M73" s="15"/>
      <c r="N73" s="15"/>
      <c r="O73" s="14"/>
      <c r="P73" s="13"/>
      <c r="Q73" s="13"/>
      <c r="R73" s="13"/>
      <c r="S73" s="13"/>
      <c r="T73" s="13"/>
      <c r="U73" s="13"/>
      <c r="V73" s="13"/>
    </row>
    <row r="74" spans="1:22" s="12" customFormat="1" ht="10.5" customHeight="1">
      <c r="A74" s="14"/>
      <c r="B74" s="17" t="s">
        <v>168</v>
      </c>
      <c r="C74" s="17"/>
      <c r="D74" s="17"/>
      <c r="E74" s="16"/>
      <c r="F74" s="15"/>
      <c r="G74" s="15"/>
      <c r="H74" s="15"/>
      <c r="I74" s="15"/>
      <c r="J74" s="15"/>
      <c r="K74" s="15"/>
      <c r="L74" s="15"/>
      <c r="M74" s="15"/>
      <c r="N74" s="15"/>
      <c r="O74" s="14"/>
      <c r="P74" s="13"/>
      <c r="Q74" s="13"/>
      <c r="R74" s="13"/>
      <c r="S74" s="13"/>
      <c r="T74" s="13"/>
      <c r="U74" s="13"/>
      <c r="V74" s="13"/>
    </row>
    <row r="75" spans="1:22" s="12" customFormat="1" ht="14.25">
      <c r="A75" s="14"/>
      <c r="B75" s="273" t="s">
        <v>4</v>
      </c>
      <c r="C75" s="273"/>
      <c r="D75" s="273"/>
      <c r="E75" s="274" t="str">
        <f>IF(E63="","",IF(E63="Rebate","N/A for Rebates",IF('Background Info'!D1=3,"N/A for Third Party Returns",HYPERLINK("https://ishare.siemens.com/sii/bt/factwarranty/Returns/Lists/Return%20Status/View%20Status.aspx?n="&amp;VALUE(E63),E63))))</f>
        <v/>
      </c>
      <c r="F75" s="15"/>
      <c r="G75" s="15"/>
      <c r="H75" s="10" t="s">
        <v>3</v>
      </c>
      <c r="I75" s="237" t="s">
        <v>2</v>
      </c>
      <c r="J75" s="237"/>
      <c r="K75" s="237"/>
      <c r="L75" s="15"/>
      <c r="M75" s="15"/>
      <c r="N75" s="15"/>
      <c r="O75" s="14"/>
      <c r="P75" s="13"/>
      <c r="Q75" s="13"/>
      <c r="R75" s="13"/>
      <c r="S75" s="13"/>
      <c r="T75" s="13"/>
      <c r="U75" s="13"/>
      <c r="V75" s="13"/>
    </row>
    <row r="76" spans="1:22" ht="9.75" customHeight="1">
      <c r="A76" s="9"/>
      <c r="B76" s="273"/>
      <c r="C76" s="273"/>
      <c r="D76" s="273"/>
      <c r="E76" s="274"/>
      <c r="F76" s="6"/>
      <c r="G76" s="6"/>
      <c r="H76" s="10" t="s">
        <v>1</v>
      </c>
      <c r="I76" s="245" t="s">
        <v>0</v>
      </c>
      <c r="J76" s="245"/>
      <c r="K76" s="245"/>
      <c r="L76" s="245"/>
      <c r="M76" s="245"/>
      <c r="N76" s="245"/>
      <c r="O76" s="5"/>
    </row>
    <row r="77" spans="1:22" ht="3" customHeight="1">
      <c r="A77" s="9"/>
      <c r="B77" s="8"/>
      <c r="C77" s="6"/>
      <c r="D77" s="6"/>
      <c r="E77" s="6"/>
      <c r="F77" s="6"/>
      <c r="G77" s="6"/>
      <c r="H77" s="6"/>
      <c r="I77" s="7"/>
      <c r="J77" s="6"/>
      <c r="K77" s="6"/>
      <c r="L77" s="6"/>
      <c r="M77" s="6"/>
      <c r="N77" s="6"/>
      <c r="O77" s="5"/>
    </row>
    <row r="78" spans="1:22" ht="12" customHeight="1">
      <c r="A78" s="139"/>
      <c r="B78" s="140"/>
      <c r="C78" s="141"/>
      <c r="D78" s="141"/>
      <c r="E78" s="141"/>
      <c r="F78" s="141"/>
      <c r="G78" s="141"/>
      <c r="H78" s="141"/>
      <c r="I78" s="142"/>
      <c r="J78" s="141"/>
      <c r="K78" s="141"/>
      <c r="L78" s="141"/>
      <c r="M78" s="141"/>
      <c r="N78" s="141"/>
      <c r="O78" s="3"/>
    </row>
    <row r="79" spans="1:22" ht="12" customHeight="1">
      <c r="E79" s="4"/>
    </row>
    <row r="81" spans="1:22" ht="12" customHeight="1">
      <c r="A81" s="1"/>
      <c r="E81" s="4"/>
      <c r="N81" s="1"/>
      <c r="P81" s="1"/>
      <c r="Q81" s="1"/>
      <c r="R81" s="1"/>
      <c r="S81" s="1"/>
      <c r="T81" s="1"/>
      <c r="U81" s="1"/>
      <c r="V81" s="1"/>
    </row>
    <row r="84" spans="1:22" ht="12" customHeight="1">
      <c r="A84" s="1"/>
      <c r="E84" s="4"/>
      <c r="N84" s="1"/>
      <c r="P84" s="1"/>
      <c r="Q84" s="1"/>
      <c r="R84" s="1"/>
      <c r="S84" s="1"/>
      <c r="T84" s="1"/>
      <c r="U84" s="1"/>
      <c r="V84" s="1"/>
    </row>
  </sheetData>
  <sheetProtection sheet="1"/>
  <dataConsolidate/>
  <mergeCells count="97">
    <mergeCell ref="F38:H38"/>
    <mergeCell ref="K55:L55"/>
    <mergeCell ref="I57:N57"/>
    <mergeCell ref="K70:M70"/>
    <mergeCell ref="I70:J70"/>
    <mergeCell ref="B68:N68"/>
    <mergeCell ref="B52:N52"/>
    <mergeCell ref="B47:K47"/>
    <mergeCell ref="E49:F49"/>
    <mergeCell ref="E59:N59"/>
    <mergeCell ref="B43:C43"/>
    <mergeCell ref="C39:E39"/>
    <mergeCell ref="I49:N49"/>
    <mergeCell ref="B44:C44"/>
    <mergeCell ref="H55:J55"/>
    <mergeCell ref="C37:E37"/>
    <mergeCell ref="C38:E38"/>
    <mergeCell ref="I39:J39"/>
    <mergeCell ref="I38:J38"/>
    <mergeCell ref="B55:D55"/>
    <mergeCell ref="B75:D76"/>
    <mergeCell ref="E75:E76"/>
    <mergeCell ref="B63:D63"/>
    <mergeCell ref="B65:D65"/>
    <mergeCell ref="B70:C70"/>
    <mergeCell ref="B49:C49"/>
    <mergeCell ref="D57:G57"/>
    <mergeCell ref="B62:N62"/>
    <mergeCell ref="I76:N76"/>
    <mergeCell ref="B61:N61"/>
    <mergeCell ref="I36:J36"/>
    <mergeCell ref="I37:J37"/>
    <mergeCell ref="F33:H33"/>
    <mergeCell ref="J7:L7"/>
    <mergeCell ref="H25:J25"/>
    <mergeCell ref="J17:L17"/>
    <mergeCell ref="I34:J34"/>
    <mergeCell ref="I35:J35"/>
    <mergeCell ref="F17:G17"/>
    <mergeCell ref="I33:J33"/>
    <mergeCell ref="B1:N2"/>
    <mergeCell ref="C10:G10"/>
    <mergeCell ref="F7:H7"/>
    <mergeCell ref="C7:D7"/>
    <mergeCell ref="B3:N3"/>
    <mergeCell ref="J9:L9"/>
    <mergeCell ref="C9:E9"/>
    <mergeCell ref="H9:I9"/>
    <mergeCell ref="B13:D13"/>
    <mergeCell ref="E13:G13"/>
    <mergeCell ref="D15:E15"/>
    <mergeCell ref="K13:L13"/>
    <mergeCell ref="B15:C15"/>
    <mergeCell ref="K11:L11"/>
    <mergeCell ref="E11:H11"/>
    <mergeCell ref="C17:E17"/>
    <mergeCell ref="H17:I17"/>
    <mergeCell ref="B29:C29"/>
    <mergeCell ref="B24:G24"/>
    <mergeCell ref="H26:J27"/>
    <mergeCell ref="D29:H29"/>
    <mergeCell ref="G64:N66"/>
    <mergeCell ref="B72:N72"/>
    <mergeCell ref="J71:L71"/>
    <mergeCell ref="D70:E70"/>
    <mergeCell ref="B67:N67"/>
    <mergeCell ref="B59:D59"/>
    <mergeCell ref="B57:C57"/>
    <mergeCell ref="I31:J31"/>
    <mergeCell ref="L32:M32"/>
    <mergeCell ref="K25:M25"/>
    <mergeCell ref="B21:N21"/>
    <mergeCell ref="I75:K75"/>
    <mergeCell ref="C33:E33"/>
    <mergeCell ref="B42:C42"/>
    <mergeCell ref="C34:E34"/>
    <mergeCell ref="F37:H37"/>
    <mergeCell ref="F34:H34"/>
    <mergeCell ref="L34:M34"/>
    <mergeCell ref="L39:M39"/>
    <mergeCell ref="L38:M38"/>
    <mergeCell ref="F31:H31"/>
    <mergeCell ref="F39:H39"/>
    <mergeCell ref="F32:H32"/>
    <mergeCell ref="L31:N31"/>
    <mergeCell ref="I32:J32"/>
    <mergeCell ref="L35:M35"/>
    <mergeCell ref="C36:E36"/>
    <mergeCell ref="C31:E31"/>
    <mergeCell ref="L27:N27"/>
    <mergeCell ref="C32:E32"/>
    <mergeCell ref="C35:E35"/>
    <mergeCell ref="L37:M37"/>
    <mergeCell ref="L33:M33"/>
    <mergeCell ref="L36:M36"/>
    <mergeCell ref="F35:H35"/>
    <mergeCell ref="F36:H36"/>
  </mergeCells>
  <conditionalFormatting sqref="K25:M25">
    <cfRule type="expression" dxfId="1" priority="2" stopIfTrue="1">
      <formula>AND(Return_Type=6,OR(Location=1,Location=2))</formula>
    </cfRule>
  </conditionalFormatting>
  <conditionalFormatting sqref="E75:E76">
    <cfRule type="expression" dxfId="0" priority="1" stopIfTrue="1">
      <formula>AND(OR(Location=1,Location=2),OR(E63&lt;&gt;"Rebate",E63&lt;&gt;""))</formula>
    </cfRule>
  </conditionalFormatting>
  <dataValidations xWindow="593" yWindow="350" count="35">
    <dataValidation type="whole" allowBlank="1" showInputMessage="1" showErrorMessage="1" error="It must be 8 digits and start with 80." prompt="Enter the Outbound Delivery number.  The delivery # is 8 digits and starts with 80." sqref="H70">
      <formula1>80000000</formula1>
      <formula2>80999999</formula2>
    </dataValidation>
    <dataValidation allowBlank="1" showInputMessage="1" showErrorMessage="1" prompt="Enter the first Tracking number that can be used to track the status of the shipment." sqref="D70:E70"/>
    <dataValidation allowBlank="1" showInputMessage="1" showErrorMessage="1" prompt="Enter the Return Material Authorization number provided by the 3rd Party Vendor." sqref="E65"/>
    <dataValidation type="custom" allowBlank="1" showInputMessage="1" showErrorMessage="1" error="It must be 10 digits and start with 44." prompt="Enter a Return Purchase Order number for Factory Warranty, Excess, Recall and Shipping Error returns.  The RPO # is 10 digits and starts with 44 (and 35 for some Recalls)." sqref="E63">
      <formula1>OR(E63="Rebate",OR(AND(Return_Type=6,E63&gt;3499999999,E63&lt;3600000000),AND(E63&gt;4399999999,E63&lt;4500000000)))</formula1>
    </dataValidation>
    <dataValidation allowBlank="1" showInputMessage="1" showErrorMessage="1" prompt="If pick-up location is different from the Sales Office Warehouse and the &quot;Factory to pay for shipping&quot; checkbox is selected, please enter the alternate address." sqref="D57:G57"/>
    <dataValidation allowBlank="1" showInputMessage="1" showErrorMessage="1" prompt="For Factory Returns, enter the unique portion of the SSS business email address, generally the first 2 or 3 letters of the first and last name." sqref="I63"/>
    <dataValidation type="custom" allowBlank="1" showInputMessage="1" showErrorMessage="1" error="The email address must end with siemens.com" prompt="Enter the Warehouse (or Warehouse Coordinator's) email address ending with siemens.com." sqref="H55:J55">
      <formula1>RIGHT(H55,11)="siemens.com"</formula1>
    </dataValidation>
    <dataValidation allowBlank="1" showInputMessage="1" showErrorMessage="1" prompt="No need _x000a_to edit _x000a_this date." sqref="C7:D7"/>
    <dataValidation allowBlank="1" showInputMessage="1" showErrorMessage="1" prompt="Enter the name of the branch office personnel completing Section 1.  For more information, please read the title and field pop-up information available on nearly every field." sqref="F7:H7"/>
    <dataValidation type="custom" allowBlank="1" showInputMessage="1" showErrorMessage="1" error="The email address must end with @siemens.com" prompt="Enter your email address ending with @siemens.com" sqref="J7">
      <formula1>RIGHT(J7,12)="@siemens.com"</formula1>
    </dataValidation>
    <dataValidation type="decimal" operator="greaterThanOrEqual" allowBlank="1" showInputMessage="1" showErrorMessage="1" error="Must be greater than or equal to 0." sqref="L32:M39">
      <formula1>0</formula1>
    </dataValidation>
    <dataValidation type="whole" allowBlank="1" showInputMessage="1" showErrorMessage="1" error="Must be 10 digits and start with 45." prompt="If a replacement part was purchased, enter the PO #.  The PO # is 10 digits and starts with 45." sqref="I39:J39">
      <formula1>4500000000</formula1>
      <formula2>4599999999</formula2>
    </dataValidation>
    <dataValidation type="custom" allowBlank="1" showInputMessage="1" showErrorMessage="1" error="The email address must end with @siemens.com" prompt="For Warranty returns, enter the Technical Contact's email address ending with @siemens.com, so they may be contacted when a return with no fault found is being evaluated." sqref="J17:L17">
      <formula1>RIGHT(J17,12)="@siemens.com"</formula1>
    </dataValidation>
    <dataValidation type="list" allowBlank="1" showInputMessage="1" showErrorMessage="1" prompt="Select your Sales Office from the drop-down list." sqref="D15:E15">
      <formula1>lst_Branch</formula1>
    </dataValidation>
    <dataValidation allowBlank="1" showInputMessage="1" showErrorMessage="1" prompt="If Technical Support was involved in investigating this issue, enter the Technical Support ticket #.  You may leave off the initial 1- and just enter the remaining 10 characters." sqref="K11:L11"/>
    <dataValidation type="custom" allowBlank="1" showInputMessage="1" showErrorMessage="1" error="Service Order #s must start with 50 or 52 and be 10 digits long." prompt="If applicable, enter the Service Order #.  The number starts with 50 or 52 and must be 10 digits long." sqref="J9:L9">
      <formula1 xml:space="preserve"> OR(AND(J9&gt;4999999999,J9&lt;5100000000),AND(J9&gt;5199999999,J9&lt;5300000000))</formula1>
    </dataValidation>
    <dataValidation type="custom" allowBlank="1" showInputMessage="1" showErrorMessage="1" error="Must be either less then 7 digits or must be 21 characters long starting with 44OP- and ending with the network extension (e.g. P.1.01.03)." prompt="If applicable, enter the 6 digit Project WBS.  The prefix and default network extension will be added for you.  Note:  if the network extension is different than .P.1.01.03, enter the whole Project WBS with the prefix 44OP- and correct network extension." sqref="C9:E9">
      <formula1>OR(AND(LEN(C9)&lt;7,ISNUMBER(C9)),AND(UPPER(LEFT(C9,5))="44OP-",MID(C9,12,3)=".P.",LEN(C9)=21))</formula1>
    </dataValidation>
    <dataValidation type="list" allowBlank="1" showInputMessage="1" showErrorMessage="1" sqref="N32:N39">
      <formula1>Units</formula1>
    </dataValidation>
    <dataValidation type="custom" allowBlank="1" showInputMessage="1" showErrorMessage="1" error="The PO # must be 10 digits starting with 45." prompt="Enter the number of the original purchase order of the parts listed in section 1c below.  The PO # is 10 digits starting with 45." sqref="E13:G13">
      <formula1>AND(LEN(E13)=10,OR(LEFT(E13,2)="45",LEFT(E13,2)="93"))</formula1>
    </dataValidation>
    <dataValidation type="whole" allowBlank="1" showInputMessage="1" showErrorMessage="1" error="It must be 10 digits and start with 47." prompt="For product sale returns, enter the Return Delivery number.  The Delivery # is 10 digits and starts with 47." sqref="G49">
      <formula1>4700000000</formula1>
      <formula2>4799999999</formula2>
    </dataValidation>
    <dataValidation type="whole" allowBlank="1" showInputMessage="1" showErrorMessage="1" error="It must be 10 digits and start with 35." prompt="If applicable, please enter the Return Sales order for the product sale.  The Order # is 10 digits and starts with 35." sqref="D49">
      <formula1>3500000000</formula1>
      <formula2>3599999999</formula2>
    </dataValidation>
    <dataValidation allowBlank="1" showInputMessage="1" showErrorMessage="1" prompt="Starting with the area code, just enter the technician's cell phone numbers.  Formatting will be applied when you leave the cell." sqref="F17:G17"/>
    <dataValidation allowBlank="1" showInputMessage="1" showErrorMessage="1" prompt="For Warranty returns, please provide the name of the technician who investigated the product failure." sqref="C17:E17"/>
    <dataValidation type="list" allowBlank="1" showInputMessage="1" showErrorMessage="1" prompt="For Warranty, Recall, and Excess returns, select either to Return or Destroy the materials, if the Return Center denies the claim. See the Warranty and Returns Policy for charges that may be applied to returning the materials." sqref="K26">
      <formula1>"Return,Destroy,return,destroy"</formula1>
    </dataValidation>
    <dataValidation type="list" allowBlank="1" showInputMessage="1" showErrorMessage="1" prompt="Select or Enter either B100 or B700 for the warehouse Plant location.  This information can be found on the original PO." sqref="H15">
      <formula1>"B100,B700,b100,b700"</formula1>
    </dataValidation>
    <dataValidation type="whole" allowBlank="1" showInputMessage="1" showErrorMessage="1" error="Must be a number between 100 and 999." prompt="For Recall returns, enter the Service Bulletin or Product Line News number (3 digits long).  (E.g. For PLNs:  213 if the communication is TA_14_213_MI_NCC.)  Click on the title for a list of bulletins for the selected location." sqref="N25">
      <formula1>100</formula1>
      <formula2>999</formula2>
    </dataValidation>
    <dataValidation allowBlank="1" showInputMessage="1" showErrorMessage="1" prompt="Enter the part number for the individual component being returned" sqref="C32:C39"/>
    <dataValidation allowBlank="1" showInputMessage="1" showErrorMessage="1" prompt="Leave empty unless the part being returned is part of a Kit,  Assembly or Bulk Pack. Otherwise enter the part number that was purchased on the original PO." sqref="F33:H39"/>
    <dataValidation allowBlank="1" showInputMessage="1" showErrorMessage="1" prompt="If you entered an alternate address, you must provide a shipping account number (e.g. UPS 37B84B)." sqref="K29"/>
    <dataValidation operator="greaterThan" allowBlank="1" showInputMessage="1" showErrorMessage="1" prompt="Identify the number of packages being returned - particularly if it is more then 1 package." sqref="N55"/>
    <dataValidation allowBlank="1" showInputMessage="1" showErrorMessage="1" prompt="When the factory is to pay for shipping, enter any special instructions:  e.g. 2 packages - 1st for 30 lbs and 2nd for 20 lbs, additional tracking numbers." sqref="I57:N57"/>
    <dataValidation allowBlank="1" showInputMessage="1" showErrorMessage="1" prompt="Leave empty unless the part being returned is part of a Kit,  Assembly or Bulk Pack.  Otherwise enter the part number that was purchased on the original PO." sqref="F32:H32"/>
    <dataValidation type="whole" allowBlank="1" showInputMessage="1" showErrorMessage="1" error="Must be 10 digits and start with 45." prompt="If a replacement part was purchased, enter the PO #.  The PO # is 10 digits and starts with 45." sqref="I32:J32 I33:J33 I34:J34 I35:J35 I36:J36 I37:J37 I38:J38">
      <formula1>4500000000</formula1>
      <formula2>4599999999</formula2>
    </dataValidation>
    <dataValidation type="date" operator="lessThan" allowBlank="1" showInputMessage="1" showErrorMessage="1" errorTitle="Invalid PO/Ship Date" error="Please enter a date less than today." prompt="For Warranty and Excess returns, please enter either the Ship Date or the date of the original PO." sqref="K13:L13">
      <formula1>TODAY()</formula1>
    </dataValidation>
    <dataValidation allowBlank="1" showInputMessage="1" showErrorMessage="1" prompt="For Warranty returns, please provide as much detail as possible regarding how the product was failing.  For Shipping Errors, enter what the error was." sqref="B21:N21"/>
  </dataValidations>
  <hyperlinks>
    <hyperlink ref="I75" r:id="rId1"/>
    <hyperlink ref="I76" r:id="rId2"/>
    <hyperlink ref="K63" r:id="rId3" display="support.industry@siemens.com&quot;"/>
  </hyperlinks>
  <printOptions horizontalCentered="1"/>
  <pageMargins left="0.25" right="0.25" top="0.5" bottom="0.5" header="0.25" footer="0.25"/>
  <pageSetup scale="88" orientation="portrait" r:id="rId4"/>
  <headerFooter alignWithMargins="0">
    <oddHeader>&amp;R&amp;"Arial,Regular"&amp;8Siemens Industry, Inc.
Building Technologies Division</oddHeader>
    <oddFooter>&amp;L&amp;"Arial,Regular"&amp;7Document Number:  B02_99_FM0006
Version:  4.0 / Date:  08/28/2014 / Restricted&amp;C&amp;"Arial,Regular"&amp;7&amp;A Tab
Department:  Customer Service&amp;R&amp;"Arial,Regular"&amp;7Document Owner:  Mark Gorke 
Page &amp;P of &amp;P</oddFooter>
  </headerFooter>
  <rowBreaks count="1" manualBreakCount="1">
    <brk id="77" max="16383" man="1"/>
  </rowBreaks>
  <drawing r:id="rId5"/>
  <legacyDrawing r:id="rId6"/>
  <mc:AlternateContent xmlns:mc="http://schemas.openxmlformats.org/markup-compatibility/2006">
    <mc:Choice Requires="x14">
      <controls>
        <mc:AlternateContent xmlns:mc="http://schemas.openxmlformats.org/markup-compatibility/2006">
          <mc:Choice Requires="x14">
            <control shapeId="1058" r:id="rId7" name="Grp_Location">
              <controlPr defaultSize="0" autoFill="0" autoPict="0">
                <anchor moveWithCells="1">
                  <from>
                    <xdr:col>12</xdr:col>
                    <xdr:colOff>9525</xdr:colOff>
                    <xdr:row>6</xdr:row>
                    <xdr:rowOff>66675</xdr:rowOff>
                  </from>
                  <to>
                    <xdr:col>13</xdr:col>
                    <xdr:colOff>695325</xdr:colOff>
                    <xdr:row>14</xdr:row>
                    <xdr:rowOff>57150</xdr:rowOff>
                  </to>
                </anchor>
              </controlPr>
            </control>
          </mc:Choice>
        </mc:AlternateContent>
        <mc:AlternateContent xmlns:mc="http://schemas.openxmlformats.org/markup-compatibility/2006">
          <mc:Choice Requires="x14">
            <control shapeId="1059" r:id="rId8" name="Opt_BG">
              <controlPr locked="0" defaultSize="0" autoFill="0" autoLine="0" autoPict="0" macro="[0]!BGPackingSlip">
                <anchor moveWithCells="1">
                  <from>
                    <xdr:col>13</xdr:col>
                    <xdr:colOff>38100</xdr:colOff>
                    <xdr:row>6</xdr:row>
                    <xdr:rowOff>142875</xdr:rowOff>
                  </from>
                  <to>
                    <xdr:col>13</xdr:col>
                    <xdr:colOff>609600</xdr:colOff>
                    <xdr:row>9</xdr:row>
                    <xdr:rowOff>19050</xdr:rowOff>
                  </to>
                </anchor>
              </controlPr>
            </control>
          </mc:Choice>
        </mc:AlternateContent>
        <mc:AlternateContent xmlns:mc="http://schemas.openxmlformats.org/markup-compatibility/2006">
          <mc:Choice Requires="x14">
            <control shapeId="1060" r:id="rId9" name="Opt_FP">
              <controlPr locked="0" defaultSize="0" autoFill="0" autoLine="0" autoPict="0" macro="[0]!FPPackingSlip">
                <anchor moveWithCells="1">
                  <from>
                    <xdr:col>13</xdr:col>
                    <xdr:colOff>38100</xdr:colOff>
                    <xdr:row>9</xdr:row>
                    <xdr:rowOff>9525</xdr:rowOff>
                  </from>
                  <to>
                    <xdr:col>13</xdr:col>
                    <xdr:colOff>590550</xdr:colOff>
                    <xdr:row>11</xdr:row>
                    <xdr:rowOff>9525</xdr:rowOff>
                  </to>
                </anchor>
              </controlPr>
            </control>
          </mc:Choice>
        </mc:AlternateContent>
        <mc:AlternateContent xmlns:mc="http://schemas.openxmlformats.org/markup-compatibility/2006">
          <mc:Choice Requires="x14">
            <control shapeId="1061" r:id="rId10" name="Opt_3rd_Party">
              <controlPr locked="0" defaultSize="0" autoFill="0" autoLine="0" autoPict="0" macro="[0]!ThirdPartyButton1">
                <anchor moveWithCells="1">
                  <from>
                    <xdr:col>13</xdr:col>
                    <xdr:colOff>38100</xdr:colOff>
                    <xdr:row>11</xdr:row>
                    <xdr:rowOff>9525</xdr:rowOff>
                  </from>
                  <to>
                    <xdr:col>13</xdr:col>
                    <xdr:colOff>666750</xdr:colOff>
                    <xdr:row>14</xdr:row>
                    <xdr:rowOff>0</xdr:rowOff>
                  </to>
                </anchor>
              </controlPr>
            </control>
          </mc:Choice>
        </mc:AlternateContent>
        <mc:AlternateContent xmlns:mc="http://schemas.openxmlformats.org/markup-compatibility/2006">
          <mc:Choice Requires="x14">
            <control shapeId="1062" r:id="rId11" name="Button 38">
              <controlPr defaultSize="0" print="0" autoFill="0" autoPict="0" macro="[0]!PrintCurrentWorksheet">
                <anchor moveWithCells="1">
                  <from>
                    <xdr:col>8</xdr:col>
                    <xdr:colOff>76200</xdr:colOff>
                    <xdr:row>51</xdr:row>
                    <xdr:rowOff>28575</xdr:rowOff>
                  </from>
                  <to>
                    <xdr:col>10</xdr:col>
                    <xdr:colOff>38100</xdr:colOff>
                    <xdr:row>51</xdr:row>
                    <xdr:rowOff>238125</xdr:rowOff>
                  </to>
                </anchor>
              </controlPr>
            </control>
          </mc:Choice>
        </mc:AlternateContent>
        <mc:AlternateContent xmlns:mc="http://schemas.openxmlformats.org/markup-compatibility/2006">
          <mc:Choice Requires="x14">
            <control shapeId="1063" r:id="rId12" name="Button 39">
              <controlPr defaultSize="0" print="0" autoFill="0" autoPict="0" macro="[0]!EmailtoWarehouse">
                <anchor moveWithCells="1">
                  <from>
                    <xdr:col>10</xdr:col>
                    <xdr:colOff>314325</xdr:colOff>
                    <xdr:row>51</xdr:row>
                    <xdr:rowOff>38100</xdr:rowOff>
                  </from>
                  <to>
                    <xdr:col>13</xdr:col>
                    <xdr:colOff>609600</xdr:colOff>
                    <xdr:row>51</xdr:row>
                    <xdr:rowOff>238125</xdr:rowOff>
                  </to>
                </anchor>
              </controlPr>
            </control>
          </mc:Choice>
        </mc:AlternateContent>
        <mc:AlternateContent xmlns:mc="http://schemas.openxmlformats.org/markup-compatibility/2006">
          <mc:Choice Requires="x14">
            <control shapeId="1064" r:id="rId13" name="Button 40">
              <controlPr defaultSize="0" print="0" autoFill="0" autoPict="0" macro="[0]!EmailAfterSection3">
                <anchor moveWithCells="1">
                  <from>
                    <xdr:col>10</xdr:col>
                    <xdr:colOff>342900</xdr:colOff>
                    <xdr:row>60</xdr:row>
                    <xdr:rowOff>57150</xdr:rowOff>
                  </from>
                  <to>
                    <xdr:col>13</xdr:col>
                    <xdr:colOff>619125</xdr:colOff>
                    <xdr:row>60</xdr:row>
                    <xdr:rowOff>247650</xdr:rowOff>
                  </to>
                </anchor>
              </controlPr>
            </control>
          </mc:Choice>
        </mc:AlternateContent>
        <mc:AlternateContent xmlns:mc="http://schemas.openxmlformats.org/markup-compatibility/2006">
          <mc:Choice Requires="x14">
            <control shapeId="1065" r:id="rId14" name="Button 41">
              <controlPr defaultSize="0" print="0" autoFill="0" autoPict="0" macro="[0]!EmailtoWarehouse2">
                <anchor moveWithCells="1">
                  <from>
                    <xdr:col>10</xdr:col>
                    <xdr:colOff>323850</xdr:colOff>
                    <xdr:row>66</xdr:row>
                    <xdr:rowOff>47625</xdr:rowOff>
                  </from>
                  <to>
                    <xdr:col>13</xdr:col>
                    <xdr:colOff>619125</xdr:colOff>
                    <xdr:row>66</xdr:row>
                    <xdr:rowOff>257175</xdr:rowOff>
                  </to>
                </anchor>
              </controlPr>
            </control>
          </mc:Choice>
        </mc:AlternateContent>
        <mc:AlternateContent xmlns:mc="http://schemas.openxmlformats.org/markup-compatibility/2006">
          <mc:Choice Requires="x14">
            <control shapeId="1066" r:id="rId15" name="Opt_Asset">
              <controlPr locked="0" defaultSize="0" autoFill="0" autoLine="0" autoPict="0">
                <anchor moveWithCells="1">
                  <from>
                    <xdr:col>4</xdr:col>
                    <xdr:colOff>314325</xdr:colOff>
                    <xdr:row>24</xdr:row>
                    <xdr:rowOff>171450</xdr:rowOff>
                  </from>
                  <to>
                    <xdr:col>6</xdr:col>
                    <xdr:colOff>171450</xdr:colOff>
                    <xdr:row>25</xdr:row>
                    <xdr:rowOff>114300</xdr:rowOff>
                  </to>
                </anchor>
              </controlPr>
            </control>
          </mc:Choice>
        </mc:AlternateContent>
        <mc:AlternateContent xmlns:mc="http://schemas.openxmlformats.org/markup-compatibility/2006">
          <mc:Choice Requires="x14">
            <control shapeId="1067" r:id="rId16" name="Opt_Material">
              <controlPr locked="0" defaultSize="0" autoFill="0" autoLine="0" autoPict="0">
                <anchor moveWithCells="1">
                  <from>
                    <xdr:col>4</xdr:col>
                    <xdr:colOff>314325</xdr:colOff>
                    <xdr:row>25</xdr:row>
                    <xdr:rowOff>85725</xdr:rowOff>
                  </from>
                  <to>
                    <xdr:col>6</xdr:col>
                    <xdr:colOff>95250</xdr:colOff>
                    <xdr:row>26</xdr:row>
                    <xdr:rowOff>133350</xdr:rowOff>
                  </to>
                </anchor>
              </controlPr>
            </control>
          </mc:Choice>
        </mc:AlternateContent>
        <mc:AlternateContent xmlns:mc="http://schemas.openxmlformats.org/markup-compatibility/2006">
          <mc:Choice Requires="x14">
            <control shapeId="1068" r:id="rId17" name="grp_Return_Type">
              <controlPr defaultSize="0" autoFill="0" autoPict="0">
                <anchor moveWithCells="1">
                  <from>
                    <xdr:col>1</xdr:col>
                    <xdr:colOff>28575</xdr:colOff>
                    <xdr:row>24</xdr:row>
                    <xdr:rowOff>66675</xdr:rowOff>
                  </from>
                  <to>
                    <xdr:col>3</xdr:col>
                    <xdr:colOff>676275</xdr:colOff>
                    <xdr:row>26</xdr:row>
                    <xdr:rowOff>142875</xdr:rowOff>
                  </to>
                </anchor>
              </controlPr>
            </control>
          </mc:Choice>
        </mc:AlternateContent>
        <mc:AlternateContent xmlns:mc="http://schemas.openxmlformats.org/markup-compatibility/2006">
          <mc:Choice Requires="x14">
            <control shapeId="1069" r:id="rId18" name="Opt_Warranty">
              <controlPr locked="0" defaultSize="0" autoFill="0" autoLine="0" autoPict="0">
                <anchor moveWithCells="1">
                  <from>
                    <xdr:col>1</xdr:col>
                    <xdr:colOff>104775</xdr:colOff>
                    <xdr:row>24</xdr:row>
                    <xdr:rowOff>85725</xdr:rowOff>
                  </from>
                  <to>
                    <xdr:col>2</xdr:col>
                    <xdr:colOff>9525</xdr:colOff>
                    <xdr:row>25</xdr:row>
                    <xdr:rowOff>38100</xdr:rowOff>
                  </to>
                </anchor>
              </controlPr>
            </control>
          </mc:Choice>
        </mc:AlternateContent>
        <mc:AlternateContent xmlns:mc="http://schemas.openxmlformats.org/markup-compatibility/2006">
          <mc:Choice Requires="x14">
            <control shapeId="1070" r:id="rId19" name="Opt_Excess">
              <controlPr locked="0" defaultSize="0" autoFill="0" autoLine="0" autoPict="0">
                <anchor moveWithCells="1">
                  <from>
                    <xdr:col>1</xdr:col>
                    <xdr:colOff>104775</xdr:colOff>
                    <xdr:row>24</xdr:row>
                    <xdr:rowOff>228600</xdr:rowOff>
                  </from>
                  <to>
                    <xdr:col>2</xdr:col>
                    <xdr:colOff>9525</xdr:colOff>
                    <xdr:row>26</xdr:row>
                    <xdr:rowOff>0</xdr:rowOff>
                  </to>
                </anchor>
              </controlPr>
            </control>
          </mc:Choice>
        </mc:AlternateContent>
        <mc:AlternateContent xmlns:mc="http://schemas.openxmlformats.org/markup-compatibility/2006">
          <mc:Choice Requires="x14">
            <control shapeId="1071" r:id="rId20" name="Opt_Ship_Error">
              <controlPr locked="0" defaultSize="0" autoFill="0" autoLine="0" autoPict="0">
                <anchor moveWithCells="1">
                  <from>
                    <xdr:col>1</xdr:col>
                    <xdr:colOff>742950</xdr:colOff>
                    <xdr:row>24</xdr:row>
                    <xdr:rowOff>85725</xdr:rowOff>
                  </from>
                  <to>
                    <xdr:col>3</xdr:col>
                    <xdr:colOff>581025</xdr:colOff>
                    <xdr:row>25</xdr:row>
                    <xdr:rowOff>28575</xdr:rowOff>
                  </to>
                </anchor>
              </controlPr>
            </control>
          </mc:Choice>
        </mc:AlternateContent>
        <mc:AlternateContent xmlns:mc="http://schemas.openxmlformats.org/markup-compatibility/2006">
          <mc:Choice Requires="x14">
            <control shapeId="1072" r:id="rId21" name="Opt_Upgrade">
              <controlPr locked="0" defaultSize="0" autoFill="0" autoLine="0" autoPict="0">
                <anchor moveWithCells="1">
                  <from>
                    <xdr:col>1</xdr:col>
                    <xdr:colOff>742950</xdr:colOff>
                    <xdr:row>24</xdr:row>
                    <xdr:rowOff>228600</xdr:rowOff>
                  </from>
                  <to>
                    <xdr:col>3</xdr:col>
                    <xdr:colOff>609600</xdr:colOff>
                    <xdr:row>26</xdr:row>
                    <xdr:rowOff>0</xdr:rowOff>
                  </to>
                </anchor>
              </controlPr>
            </control>
          </mc:Choice>
        </mc:AlternateContent>
        <mc:AlternateContent xmlns:mc="http://schemas.openxmlformats.org/markup-compatibility/2006">
          <mc:Choice Requires="x14">
            <control shapeId="1073" r:id="rId22" name="chk_MAR">
              <controlPr locked="0" defaultSize="0" autoFill="0" autoLine="0" autoPict="0">
                <anchor moveWithCells="1">
                  <from>
                    <xdr:col>10</xdr:col>
                    <xdr:colOff>0</xdr:colOff>
                    <xdr:row>23</xdr:row>
                    <xdr:rowOff>104775</xdr:rowOff>
                  </from>
                  <to>
                    <xdr:col>10</xdr:col>
                    <xdr:colOff>304800</xdr:colOff>
                    <xdr:row>24</xdr:row>
                    <xdr:rowOff>200025</xdr:rowOff>
                  </to>
                </anchor>
              </controlPr>
            </control>
          </mc:Choice>
        </mc:AlternateContent>
        <mc:AlternateContent xmlns:mc="http://schemas.openxmlformats.org/markup-compatibility/2006">
          <mc:Choice Requires="x14">
            <control shapeId="1074" r:id="rId23" name="Group Box 50">
              <controlPr defaultSize="0" autoFill="0" autoPict="0">
                <anchor moveWithCells="1">
                  <from>
                    <xdr:col>4</xdr:col>
                    <xdr:colOff>180975</xdr:colOff>
                    <xdr:row>24</xdr:row>
                    <xdr:rowOff>85725</xdr:rowOff>
                  </from>
                  <to>
                    <xdr:col>6</xdr:col>
                    <xdr:colOff>352425</xdr:colOff>
                    <xdr:row>26</xdr:row>
                    <xdr:rowOff>142875</xdr:rowOff>
                  </to>
                </anchor>
              </controlPr>
            </control>
          </mc:Choice>
        </mc:AlternateContent>
        <mc:AlternateContent xmlns:mc="http://schemas.openxmlformats.org/markup-compatibility/2006">
          <mc:Choice Requires="x14">
            <control shapeId="1075" r:id="rId24" name="Opt_Core">
              <controlPr locked="0" defaultSize="0" autoFill="0" autoLine="0" autoPict="0">
                <anchor moveWithCells="1">
                  <from>
                    <xdr:col>1</xdr:col>
                    <xdr:colOff>742950</xdr:colOff>
                    <xdr:row>25</xdr:row>
                    <xdr:rowOff>85725</xdr:rowOff>
                  </from>
                  <to>
                    <xdr:col>3</xdr:col>
                    <xdr:colOff>457200</xdr:colOff>
                    <xdr:row>26</xdr:row>
                    <xdr:rowOff>133350</xdr:rowOff>
                  </to>
                </anchor>
              </controlPr>
            </control>
          </mc:Choice>
        </mc:AlternateContent>
        <mc:AlternateContent xmlns:mc="http://schemas.openxmlformats.org/markup-compatibility/2006">
          <mc:Choice Requires="x14">
            <control shapeId="1076" r:id="rId25" name="chk_Shipping">
              <controlPr locked="0" defaultSize="0" autoFill="0" autoLine="0" autoPict="0">
                <anchor moveWithCells="1">
                  <from>
                    <xdr:col>13</xdr:col>
                    <xdr:colOff>352425</xdr:colOff>
                    <xdr:row>25</xdr:row>
                    <xdr:rowOff>152400</xdr:rowOff>
                  </from>
                  <to>
                    <xdr:col>13</xdr:col>
                    <xdr:colOff>657225</xdr:colOff>
                    <xdr:row>27</xdr:row>
                    <xdr:rowOff>0</xdr:rowOff>
                  </to>
                </anchor>
              </controlPr>
            </control>
          </mc:Choice>
        </mc:AlternateContent>
        <mc:AlternateContent xmlns:mc="http://schemas.openxmlformats.org/markup-compatibility/2006">
          <mc:Choice Requires="x14">
            <control shapeId="1083" r:id="rId26" name="Option Button 59">
              <controlPr locked="0" defaultSize="0" autoFill="0" autoLine="0" autoPict="0" macro="[0]!MoveToBulletin">
                <anchor moveWithCells="1">
                  <from>
                    <xdr:col>1</xdr:col>
                    <xdr:colOff>104775</xdr:colOff>
                    <xdr:row>25</xdr:row>
                    <xdr:rowOff>95250</xdr:rowOff>
                  </from>
                  <to>
                    <xdr:col>1</xdr:col>
                    <xdr:colOff>723900</xdr:colOff>
                    <xdr:row>26</xdr:row>
                    <xdr:rowOff>142875</xdr:rowOff>
                  </to>
                </anchor>
              </controlPr>
            </control>
          </mc:Choice>
        </mc:AlternateContent>
        <mc:AlternateContent xmlns:mc="http://schemas.openxmlformats.org/markup-compatibility/2006">
          <mc:Choice Requires="x14">
            <control shapeId="1125" r:id="rId27" name="Button 101">
              <controlPr defaultSize="0" print="0" autoFill="0" autoPict="0" macro="[0]!PrintEntireWorkbook">
                <anchor moveWithCells="1">
                  <from>
                    <xdr:col>8</xdr:col>
                    <xdr:colOff>57150</xdr:colOff>
                    <xdr:row>71</xdr:row>
                    <xdr:rowOff>38100</xdr:rowOff>
                  </from>
                  <to>
                    <xdr:col>10</xdr:col>
                    <xdr:colOff>9525</xdr:colOff>
                    <xdr:row>71</xdr:row>
                    <xdr:rowOff>257175</xdr:rowOff>
                  </to>
                </anchor>
              </controlPr>
            </control>
          </mc:Choice>
        </mc:AlternateContent>
        <mc:AlternateContent xmlns:mc="http://schemas.openxmlformats.org/markup-compatibility/2006">
          <mc:Choice Requires="x14">
            <control shapeId="1126" r:id="rId28" name="Button 102">
              <controlPr defaultSize="0" print="0" autoFill="0" autoPict="0" macro="[0]!EmailReturnCenter">
                <anchor moveWithCells="1">
                  <from>
                    <xdr:col>10</xdr:col>
                    <xdr:colOff>333375</xdr:colOff>
                    <xdr:row>71</xdr:row>
                    <xdr:rowOff>38100</xdr:rowOff>
                  </from>
                  <to>
                    <xdr:col>13</xdr:col>
                    <xdr:colOff>619125</xdr:colOff>
                    <xdr:row>71</xdr:row>
                    <xdr:rowOff>257175</xdr:rowOff>
                  </to>
                </anchor>
              </controlPr>
            </control>
          </mc:Choice>
        </mc:AlternateContent>
        <mc:AlternateContent xmlns:mc="http://schemas.openxmlformats.org/markup-compatibility/2006">
          <mc:Choice Requires="x14">
            <control shapeId="1129" r:id="rId29" name="Button 105">
              <controlPr defaultSize="0" print="0" autoFill="0" autoPict="0" macro="[0]!Quick_Entry">
                <anchor moveWithCells="1">
                  <from>
                    <xdr:col>10</xdr:col>
                    <xdr:colOff>333375</xdr:colOff>
                    <xdr:row>2</xdr:row>
                    <xdr:rowOff>57150</xdr:rowOff>
                  </from>
                  <to>
                    <xdr:col>13</xdr:col>
                    <xdr:colOff>628650</xdr:colOff>
                    <xdr:row>2</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47"/>
  <sheetViews>
    <sheetView showGridLines="0" zoomScale="80" zoomScaleNormal="80" zoomScalePageLayoutView="70" workbookViewId="0">
      <selection activeCell="B3" sqref="B3:G5"/>
    </sheetView>
  </sheetViews>
  <sheetFormatPr defaultRowHeight="14.25"/>
  <cols>
    <col min="1" max="1" width="6.42578125" style="2" customWidth="1"/>
    <col min="2" max="2" width="16.7109375" style="2" bestFit="1" customWidth="1"/>
    <col min="3" max="4" width="9.140625" style="2"/>
    <col min="5" max="5" width="21.28515625" style="2" customWidth="1"/>
    <col min="6" max="6" width="23.5703125" style="2" customWidth="1"/>
    <col min="7" max="7" width="8.28515625" style="2" customWidth="1"/>
    <col min="8" max="8" width="6.5703125" style="2" customWidth="1"/>
    <col min="9" max="9" width="12.42578125" style="118" bestFit="1" customWidth="1"/>
    <col min="10" max="16384" width="9.140625" style="2"/>
  </cols>
  <sheetData>
    <row r="1" spans="1:9">
      <c r="A1" s="119"/>
      <c r="B1" s="119"/>
      <c r="C1" s="119"/>
      <c r="D1" s="119"/>
      <c r="E1" s="119"/>
      <c r="F1" s="119"/>
      <c r="G1" s="119"/>
      <c r="H1" s="119"/>
      <c r="I1" s="2"/>
    </row>
    <row r="2" spans="1:9">
      <c r="A2" s="307"/>
      <c r="B2" s="307"/>
      <c r="C2" s="307"/>
      <c r="D2" s="119"/>
      <c r="E2" s="119"/>
      <c r="F2" s="119"/>
      <c r="G2" s="119"/>
      <c r="H2" s="119"/>
      <c r="I2" s="2"/>
    </row>
    <row r="3" spans="1:9">
      <c r="A3" s="119"/>
      <c r="B3" s="308" t="s">
        <v>163</v>
      </c>
      <c r="C3" s="309"/>
      <c r="D3" s="309"/>
      <c r="E3" s="309"/>
      <c r="F3" s="309"/>
      <c r="G3" s="309"/>
      <c r="H3" s="119"/>
      <c r="I3" s="2"/>
    </row>
    <row r="4" spans="1:9">
      <c r="A4" s="120"/>
      <c r="B4" s="309"/>
      <c r="C4" s="309"/>
      <c r="D4" s="309"/>
      <c r="E4" s="309"/>
      <c r="F4" s="309"/>
      <c r="G4" s="309"/>
      <c r="H4" s="119"/>
      <c r="I4" s="2"/>
    </row>
    <row r="5" spans="1:9">
      <c r="A5" s="120"/>
      <c r="B5" s="309"/>
      <c r="C5" s="309"/>
      <c r="D5" s="309"/>
      <c r="E5" s="309"/>
      <c r="F5" s="309"/>
      <c r="G5" s="309"/>
      <c r="H5" s="119"/>
      <c r="I5" s="2"/>
    </row>
    <row r="6" spans="1:9" hidden="1">
      <c r="A6" s="120"/>
      <c r="B6" s="182"/>
      <c r="C6" s="182"/>
      <c r="D6" s="182"/>
      <c r="E6" s="182"/>
      <c r="F6" s="182"/>
      <c r="G6" s="182"/>
      <c r="H6" s="119"/>
      <c r="I6" s="2"/>
    </row>
    <row r="7" spans="1:9" hidden="1">
      <c r="A7" s="120"/>
      <c r="B7" s="183" t="s">
        <v>44</v>
      </c>
      <c r="C7" s="310">
        <f>'Material Return Form'!H70</f>
        <v>0</v>
      </c>
      <c r="D7" s="310"/>
      <c r="E7" s="310"/>
      <c r="F7" s="310"/>
      <c r="G7" s="182"/>
      <c r="H7" s="119"/>
      <c r="I7" s="2"/>
    </row>
    <row r="8" spans="1:9">
      <c r="A8" s="119"/>
      <c r="B8" s="184"/>
      <c r="C8" s="184"/>
      <c r="D8" s="184"/>
      <c r="E8" s="184"/>
      <c r="F8" s="184"/>
      <c r="G8" s="184"/>
      <c r="H8" s="119"/>
      <c r="I8" s="2"/>
    </row>
    <row r="9" spans="1:9" s="181" customFormat="1" ht="40.5" customHeight="1">
      <c r="A9" s="120"/>
      <c r="B9" s="185" t="s">
        <v>5</v>
      </c>
      <c r="C9" s="312" t="str">
        <f>IF(C7=0,"","*"&amp;C7&amp;"*")</f>
        <v/>
      </c>
      <c r="D9" s="312"/>
      <c r="E9" s="312"/>
      <c r="F9" s="312"/>
      <c r="G9" s="186"/>
      <c r="H9" s="120"/>
    </row>
    <row r="10" spans="1:9" s="181" customFormat="1" ht="13.5" customHeight="1">
      <c r="A10" s="120"/>
      <c r="B10" s="185"/>
      <c r="C10" s="306" t="str">
        <f>IF(C7=0,"",C7)</f>
        <v/>
      </c>
      <c r="D10" s="306"/>
      <c r="E10" s="306"/>
      <c r="F10" s="306"/>
      <c r="G10" s="186"/>
      <c r="H10" s="120"/>
    </row>
    <row r="11" spans="1:9" ht="29.25" customHeight="1">
      <c r="A11" s="119"/>
      <c r="B11" s="184"/>
      <c r="C11" s="184"/>
      <c r="D11" s="184"/>
      <c r="E11" s="184"/>
      <c r="F11" s="184"/>
      <c r="G11" s="184"/>
      <c r="H11" s="119"/>
      <c r="I11" s="2"/>
    </row>
    <row r="12" spans="1:9" hidden="1">
      <c r="A12" s="119"/>
      <c r="B12" s="187" t="s">
        <v>43</v>
      </c>
      <c r="C12" s="311">
        <f>'Material Return Form'!E63</f>
        <v>0</v>
      </c>
      <c r="D12" s="311"/>
      <c r="E12" s="311"/>
      <c r="F12" s="311"/>
      <c r="G12" s="184"/>
      <c r="H12" s="119"/>
      <c r="I12" s="2"/>
    </row>
    <row r="13" spans="1:9" hidden="1">
      <c r="A13" s="119"/>
      <c r="B13" s="184"/>
      <c r="C13" s="188"/>
      <c r="D13" s="188"/>
      <c r="E13" s="188"/>
      <c r="F13" s="188"/>
      <c r="G13" s="184"/>
      <c r="H13" s="119"/>
      <c r="I13" s="2"/>
    </row>
    <row r="14" spans="1:9" s="181" customFormat="1" ht="40.5" customHeight="1">
      <c r="A14" s="120"/>
      <c r="B14" s="185" t="s">
        <v>42</v>
      </c>
      <c r="C14" s="312" t="str">
        <f>IF(C12=0,"","*"&amp;C12&amp;"*")</f>
        <v/>
      </c>
      <c r="D14" s="312"/>
      <c r="E14" s="312"/>
      <c r="F14" s="312"/>
      <c r="G14" s="186"/>
      <c r="H14" s="120"/>
    </row>
    <row r="15" spans="1:9" s="181" customFormat="1" ht="13.5" customHeight="1">
      <c r="A15" s="120"/>
      <c r="B15" s="185"/>
      <c r="C15" s="306" t="str">
        <f>IF(C12=0,"",C12)</f>
        <v/>
      </c>
      <c r="D15" s="306"/>
      <c r="E15" s="306"/>
      <c r="F15" s="306"/>
      <c r="G15" s="186"/>
      <c r="H15" s="120"/>
    </row>
    <row r="16" spans="1:9" ht="29.25" customHeight="1">
      <c r="A16" s="119"/>
      <c r="B16" s="184"/>
      <c r="C16" s="184"/>
      <c r="D16" s="184"/>
      <c r="E16" s="184"/>
      <c r="F16" s="184"/>
      <c r="G16" s="184"/>
      <c r="H16" s="119"/>
      <c r="I16" s="2"/>
    </row>
    <row r="17" spans="1:9" hidden="1">
      <c r="A17" s="119"/>
      <c r="B17" s="187" t="s">
        <v>41</v>
      </c>
      <c r="C17" s="311">
        <f>'Material Return Form'!D70</f>
        <v>0</v>
      </c>
      <c r="D17" s="311"/>
      <c r="E17" s="311"/>
      <c r="F17" s="311"/>
      <c r="G17" s="184"/>
      <c r="H17" s="119"/>
      <c r="I17" s="2"/>
    </row>
    <row r="18" spans="1:9" hidden="1">
      <c r="A18" s="119"/>
      <c r="B18" s="184"/>
      <c r="C18" s="188"/>
      <c r="D18" s="188"/>
      <c r="E18" s="188"/>
      <c r="F18" s="188"/>
      <c r="G18" s="184"/>
      <c r="H18" s="119"/>
      <c r="I18" s="2"/>
    </row>
    <row r="19" spans="1:9" s="181" customFormat="1" ht="40.5" customHeight="1">
      <c r="A19" s="120"/>
      <c r="B19" s="185" t="s">
        <v>6</v>
      </c>
      <c r="C19" s="312" t="str">
        <f>IF(C17=0,"","*"&amp;C17&amp;"*")</f>
        <v/>
      </c>
      <c r="D19" s="312"/>
      <c r="E19" s="312"/>
      <c r="F19" s="312"/>
      <c r="G19" s="186"/>
      <c r="H19" s="120"/>
    </row>
    <row r="20" spans="1:9" s="181" customFormat="1" ht="13.5" customHeight="1">
      <c r="A20" s="120"/>
      <c r="B20" s="185"/>
      <c r="C20" s="306" t="str">
        <f>IF(C17=0,"",C17)</f>
        <v/>
      </c>
      <c r="D20" s="306"/>
      <c r="E20" s="306"/>
      <c r="F20" s="306"/>
      <c r="G20" s="186"/>
      <c r="H20" s="120"/>
    </row>
    <row r="21" spans="1:9">
      <c r="A21" s="119"/>
      <c r="B21" s="189"/>
      <c r="C21" s="189"/>
      <c r="D21" s="189"/>
      <c r="E21" s="189"/>
      <c r="F21" s="184"/>
      <c r="G21" s="184"/>
      <c r="H21" s="119"/>
      <c r="I21" s="2"/>
    </row>
    <row r="22" spans="1:9" ht="33.75" customHeight="1">
      <c r="A22" s="119"/>
      <c r="B22" s="185" t="s">
        <v>40</v>
      </c>
      <c r="C22" s="313" t="str">
        <f>IF(Return_Type=0,"",IF(Return_Type=1,"Warranty",IF(Return_Type = 2,"Excess",IF(Return_Type = 3,"Shipping Error",IF(Return_Type = 4, "Upgrade Rebate",IF(Return_Type = 5,"Core Rebate", "Recall "&amp; 'Material Return Form'!N25))))))</f>
        <v>Warranty</v>
      </c>
      <c r="D22" s="313"/>
      <c r="E22" s="313"/>
      <c r="F22" s="313"/>
      <c r="G22" s="184"/>
      <c r="H22" s="119"/>
      <c r="I22" s="2"/>
    </row>
    <row r="23" spans="1:9">
      <c r="A23" s="119"/>
      <c r="B23" s="119"/>
      <c r="C23" s="119"/>
      <c r="D23" s="119"/>
      <c r="E23" s="119"/>
      <c r="F23" s="119"/>
      <c r="G23" s="119"/>
      <c r="H23" s="119"/>
      <c r="I23" s="2"/>
    </row>
    <row r="24" spans="1:9">
      <c r="A24" s="119"/>
      <c r="B24" s="119"/>
      <c r="C24" s="302"/>
      <c r="D24" s="303"/>
      <c r="E24" s="303"/>
      <c r="F24" s="119"/>
      <c r="G24" s="119"/>
      <c r="H24" s="119"/>
      <c r="I24" s="2"/>
    </row>
    <row r="25" spans="1:9">
      <c r="A25" s="119"/>
      <c r="B25" s="119"/>
      <c r="C25" s="305" t="s">
        <v>182</v>
      </c>
      <c r="D25" s="305"/>
      <c r="E25" s="305"/>
      <c r="F25" s="305"/>
      <c r="G25" s="305"/>
      <c r="H25" s="119"/>
      <c r="I25" s="2"/>
    </row>
    <row r="26" spans="1:9">
      <c r="A26" s="119"/>
      <c r="B26" s="119"/>
      <c r="C26" s="305"/>
      <c r="D26" s="305"/>
      <c r="E26" s="305"/>
      <c r="F26" s="305"/>
      <c r="G26" s="305"/>
      <c r="H26" s="119"/>
      <c r="I26" s="2"/>
    </row>
    <row r="27" spans="1:9">
      <c r="A27" s="119"/>
      <c r="B27" s="119"/>
      <c r="C27" s="305"/>
      <c r="D27" s="305"/>
      <c r="E27" s="305"/>
      <c r="F27" s="305"/>
      <c r="G27" s="305"/>
      <c r="H27" s="119"/>
      <c r="I27" s="2"/>
    </row>
    <row r="28" spans="1:9">
      <c r="A28" s="119"/>
      <c r="B28" s="119"/>
      <c r="C28" s="305"/>
      <c r="D28" s="305"/>
      <c r="E28" s="305"/>
      <c r="F28" s="305"/>
      <c r="G28" s="305"/>
      <c r="H28" s="119"/>
      <c r="I28" s="2"/>
    </row>
    <row r="29" spans="1:9">
      <c r="A29" s="119"/>
      <c r="B29" s="119"/>
      <c r="C29" s="119"/>
      <c r="D29" s="119"/>
      <c r="E29" s="119"/>
      <c r="F29" s="119"/>
      <c r="G29" s="119"/>
      <c r="H29" s="119"/>
      <c r="I29" s="2"/>
    </row>
    <row r="30" spans="1:9">
      <c r="A30" s="119"/>
      <c r="B30" s="119"/>
      <c r="C30" s="305" t="s">
        <v>183</v>
      </c>
      <c r="D30" s="305"/>
      <c r="E30" s="305"/>
      <c r="F30" s="305"/>
      <c r="G30" s="305"/>
      <c r="H30" s="119"/>
      <c r="I30" s="2"/>
    </row>
    <row r="31" spans="1:9">
      <c r="A31" s="119"/>
      <c r="B31" s="119"/>
      <c r="C31" s="305"/>
      <c r="D31" s="305"/>
      <c r="E31" s="305"/>
      <c r="F31" s="305"/>
      <c r="G31" s="305"/>
      <c r="H31" s="119"/>
      <c r="I31" s="2"/>
    </row>
    <row r="32" spans="1:9">
      <c r="A32" s="119"/>
      <c r="B32" s="119"/>
      <c r="C32" s="305"/>
      <c r="D32" s="305"/>
      <c r="E32" s="305"/>
      <c r="F32" s="305"/>
      <c r="G32" s="305"/>
      <c r="H32" s="119"/>
      <c r="I32" s="2"/>
    </row>
    <row r="33" spans="1:9">
      <c r="A33" s="119"/>
      <c r="B33" s="119"/>
      <c r="C33" s="119"/>
      <c r="D33" s="119"/>
      <c r="E33" s="119"/>
      <c r="F33" s="119"/>
      <c r="G33" s="119"/>
      <c r="H33" s="119"/>
      <c r="I33" s="2"/>
    </row>
    <row r="34" spans="1:9">
      <c r="A34" s="119"/>
      <c r="B34" s="119"/>
      <c r="C34" s="119"/>
      <c r="D34" s="119"/>
      <c r="E34" s="119"/>
      <c r="F34" s="119"/>
      <c r="G34" s="119"/>
      <c r="H34" s="119"/>
      <c r="I34" s="2"/>
    </row>
    <row r="35" spans="1:9">
      <c r="A35" s="119"/>
      <c r="B35" s="119"/>
      <c r="C35" s="119"/>
      <c r="D35" s="119"/>
      <c r="E35" s="119"/>
      <c r="F35" s="119"/>
      <c r="G35" s="119"/>
      <c r="H35" s="119"/>
      <c r="I35" s="2"/>
    </row>
    <row r="36" spans="1:9">
      <c r="A36" s="119"/>
      <c r="B36" s="119"/>
      <c r="C36" s="119"/>
      <c r="D36" s="119"/>
      <c r="E36" s="119"/>
      <c r="F36" s="119"/>
      <c r="G36" s="119"/>
      <c r="H36" s="119"/>
      <c r="I36" s="2"/>
    </row>
    <row r="37" spans="1:9">
      <c r="A37" s="119"/>
      <c r="B37" s="119"/>
      <c r="C37" s="119"/>
      <c r="D37" s="119"/>
      <c r="E37" s="119"/>
      <c r="F37" s="119"/>
      <c r="G37" s="119"/>
      <c r="H37" s="119"/>
      <c r="I37" s="2"/>
    </row>
    <row r="38" spans="1:9">
      <c r="A38" s="119"/>
      <c r="B38" s="119"/>
      <c r="C38" s="119"/>
      <c r="D38" s="119"/>
      <c r="E38" s="119"/>
      <c r="F38" s="119"/>
      <c r="G38" s="119"/>
      <c r="H38" s="119"/>
      <c r="I38" s="2"/>
    </row>
    <row r="39" spans="1:9" ht="14.25" customHeight="1">
      <c r="A39" s="119"/>
      <c r="B39" s="119"/>
      <c r="C39" s="304" t="s">
        <v>184</v>
      </c>
      <c r="D39" s="304"/>
      <c r="E39" s="304"/>
      <c r="F39" s="304"/>
      <c r="G39" s="304"/>
      <c r="H39" s="119"/>
      <c r="I39" s="2"/>
    </row>
    <row r="40" spans="1:9" ht="14.25" customHeight="1">
      <c r="A40" s="119"/>
      <c r="B40" s="119"/>
      <c r="C40" s="304"/>
      <c r="D40" s="304"/>
      <c r="E40" s="304"/>
      <c r="F40" s="304"/>
      <c r="G40" s="304"/>
      <c r="H40" s="119"/>
      <c r="I40" s="2"/>
    </row>
    <row r="41" spans="1:9" ht="14.25" customHeight="1">
      <c r="A41" s="119"/>
      <c r="B41" s="119"/>
      <c r="C41" s="304"/>
      <c r="D41" s="304"/>
      <c r="E41" s="304"/>
      <c r="F41" s="304"/>
      <c r="G41" s="304"/>
      <c r="H41" s="119"/>
      <c r="I41" s="2"/>
    </row>
    <row r="42" spans="1:9">
      <c r="A42" s="119"/>
      <c r="B42" s="119"/>
      <c r="C42" s="304"/>
      <c r="D42" s="304"/>
      <c r="E42" s="304"/>
      <c r="F42" s="304"/>
      <c r="G42" s="304"/>
      <c r="H42" s="119"/>
      <c r="I42" s="2"/>
    </row>
    <row r="43" spans="1:9">
      <c r="A43" s="119"/>
      <c r="B43" s="119"/>
      <c r="C43" s="119"/>
      <c r="D43" s="119"/>
      <c r="E43" s="119"/>
      <c r="F43" s="119"/>
      <c r="G43" s="119"/>
      <c r="H43" s="119"/>
      <c r="I43" s="2"/>
    </row>
    <row r="44" spans="1:9">
      <c r="A44" s="119"/>
      <c r="B44" s="119"/>
      <c r="C44" s="119"/>
      <c r="D44" s="119"/>
      <c r="E44" s="119"/>
      <c r="F44" s="119"/>
      <c r="G44" s="119"/>
      <c r="H44" s="119"/>
      <c r="I44" s="2"/>
    </row>
    <row r="45" spans="1:9">
      <c r="A45" s="119"/>
      <c r="B45" s="119"/>
      <c r="C45" s="119"/>
      <c r="D45" s="119"/>
      <c r="E45" s="119"/>
      <c r="F45" s="119"/>
      <c r="G45" s="119"/>
      <c r="H45" s="119"/>
      <c r="I45" s="2"/>
    </row>
    <row r="46" spans="1:9">
      <c r="A46" s="119"/>
      <c r="B46" s="119"/>
      <c r="C46" s="119"/>
      <c r="D46" s="119"/>
      <c r="E46" s="119"/>
      <c r="F46" s="119"/>
      <c r="G46" s="119"/>
      <c r="H46" s="119"/>
      <c r="I46" s="2"/>
    </row>
    <row r="47" spans="1:9">
      <c r="A47" s="119"/>
      <c r="B47" s="119"/>
      <c r="C47" s="119"/>
      <c r="D47" s="119"/>
      <c r="E47" s="119"/>
      <c r="F47" s="119"/>
      <c r="G47" s="119"/>
      <c r="H47" s="119"/>
    </row>
  </sheetData>
  <sheetProtection sheet="1"/>
  <mergeCells count="16">
    <mergeCell ref="A2:C2"/>
    <mergeCell ref="B3:G5"/>
    <mergeCell ref="C7:F7"/>
    <mergeCell ref="C12:F12"/>
    <mergeCell ref="C14:F14"/>
    <mergeCell ref="C25:G28"/>
    <mergeCell ref="C9:F9"/>
    <mergeCell ref="C17:F17"/>
    <mergeCell ref="C22:F22"/>
    <mergeCell ref="C19:F19"/>
    <mergeCell ref="C24:E24"/>
    <mergeCell ref="C39:G42"/>
    <mergeCell ref="C30:G32"/>
    <mergeCell ref="C10:F10"/>
    <mergeCell ref="C15:F15"/>
    <mergeCell ref="C20:F20"/>
  </mergeCells>
  <printOptions horizontalCentered="1"/>
  <pageMargins left="0.25" right="0.25" top="0.5" bottom="0.5" header="0.25" footer="0.25"/>
  <pageSetup orientation="portrait" r:id="rId1"/>
  <headerFooter alignWithMargins="0">
    <oddHeader>&amp;C&amp;"Arial,Regular"&amp;8BT Material Return Form
Shipping Label&amp;R&amp;"Arial,Regular"&amp;8Siemens Industry, Inc.
Building Technologies Division</oddHeader>
    <oddFooter>&amp;L&amp;"Arial,Regular"&amp;7Document Number:  B02_99_FM0006
Version:  4.0 / Date:  08/28/2014 / Restricted&amp;C&amp;"Arial,Regular"&amp;7&amp;A Tab
Department:  Customer Service    &amp;R&amp;"Arial,Regular"&amp;7Document Owner:  Mark Gorke 
Page &amp;P of &amp;N</oddFooter>
  </headerFooter>
  <drawing r:id="rId2"/>
  <legacyDrawing r:id="rId3"/>
  <oleObjects>
    <mc:AlternateContent xmlns:mc="http://schemas.openxmlformats.org/markup-compatibility/2006">
      <mc:Choice Requires="x14">
        <oleObject progId="Packager Shell Object" dvAspect="DVASPECT_ICON" shapeId="3074" r:id="rId4">
          <objectPr defaultSize="0" r:id="rId5">
            <anchor moveWithCells="1">
              <from>
                <xdr:col>1</xdr:col>
                <xdr:colOff>9525</xdr:colOff>
                <xdr:row>28</xdr:row>
                <xdr:rowOff>152400</xdr:rowOff>
              </from>
              <to>
                <xdr:col>1</xdr:col>
                <xdr:colOff>638175</xdr:colOff>
                <xdr:row>31</xdr:row>
                <xdr:rowOff>123825</xdr:rowOff>
              </to>
            </anchor>
          </objectPr>
        </oleObject>
      </mc:Choice>
      <mc:Fallback>
        <oleObject progId="Packager Shell Object" dvAspect="DVASPECT_ICON" shapeId="3074" r:id="rId4"/>
      </mc:Fallback>
    </mc:AlternateContent>
    <mc:AlternateContent xmlns:mc="http://schemas.openxmlformats.org/markup-compatibility/2006">
      <mc:Choice Requires="x14">
        <oleObject progId="Packager Shell Object" dvAspect="DVASPECT_ICON" shapeId="3075" r:id="rId6">
          <objectPr defaultSize="0" r:id="rId7">
            <anchor moveWithCells="1">
              <from>
                <xdr:col>0</xdr:col>
                <xdr:colOff>342900</xdr:colOff>
                <xdr:row>24</xdr:row>
                <xdr:rowOff>95250</xdr:rowOff>
              </from>
              <to>
                <xdr:col>1</xdr:col>
                <xdr:colOff>600075</xdr:colOff>
                <xdr:row>27</xdr:row>
                <xdr:rowOff>66675</xdr:rowOff>
              </to>
            </anchor>
          </objectPr>
        </oleObject>
      </mc:Choice>
      <mc:Fallback>
        <oleObject progId="Packager Shell Object" dvAspect="DVASPECT_ICON" shapeId="3075"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74"/>
  <sheetViews>
    <sheetView workbookViewId="0">
      <selection activeCell="I16" sqref="I16"/>
    </sheetView>
  </sheetViews>
  <sheetFormatPr defaultRowHeight="14.25"/>
  <cols>
    <col min="1" max="2" width="9.140625" style="121"/>
    <col min="3" max="3" width="14.5703125" style="121" bestFit="1" customWidth="1"/>
    <col min="4" max="4" width="10.140625" style="121" bestFit="1" customWidth="1"/>
    <col min="5" max="6" width="9.140625" style="121"/>
    <col min="7" max="7" width="18.85546875" style="121" bestFit="1" customWidth="1"/>
    <col min="8" max="8" width="10.5703125" style="121" bestFit="1" customWidth="1"/>
    <col min="9" max="16384" width="9.140625" style="121"/>
  </cols>
  <sheetData>
    <row r="1" spans="1:12">
      <c r="A1" s="123" t="s">
        <v>128</v>
      </c>
      <c r="C1" s="121" t="s">
        <v>127</v>
      </c>
      <c r="D1" s="121">
        <v>1</v>
      </c>
      <c r="E1" s="121" t="str">
        <f>IF(Location=1,"BG",IF(Location=2,"FP",""))</f>
        <v>BG</v>
      </c>
      <c r="F1" s="121">
        <v>1</v>
      </c>
      <c r="G1" s="121" t="s">
        <v>126</v>
      </c>
    </row>
    <row r="2" spans="1:12">
      <c r="A2" s="121" t="s">
        <v>125</v>
      </c>
      <c r="C2" s="121" t="s">
        <v>124</v>
      </c>
      <c r="D2" s="121">
        <v>1</v>
      </c>
      <c r="E2" s="121" t="str">
        <f>IF(Return_Type=0,"",VLOOKUP(Return_Type,F1:G6,2,0))</f>
        <v>Return Warranty</v>
      </c>
      <c r="F2" s="121">
        <v>2</v>
      </c>
      <c r="G2" s="121" t="s">
        <v>123</v>
      </c>
    </row>
    <row r="3" spans="1:12">
      <c r="A3" s="121" t="s">
        <v>122</v>
      </c>
      <c r="C3" s="121" t="s">
        <v>121</v>
      </c>
      <c r="D3" s="121">
        <v>0</v>
      </c>
      <c r="F3" s="121">
        <v>3</v>
      </c>
      <c r="G3" s="121" t="s">
        <v>120</v>
      </c>
    </row>
    <row r="4" spans="1:12">
      <c r="A4" s="121" t="s">
        <v>119</v>
      </c>
      <c r="C4" s="121" t="s">
        <v>118</v>
      </c>
      <c r="D4" s="121" t="b">
        <v>1</v>
      </c>
      <c r="E4" s="121" t="b">
        <f>IF(ISERROR(Analysis_Rep),FALSE,Analysis_Rep)</f>
        <v>1</v>
      </c>
      <c r="F4" s="121">
        <v>4</v>
      </c>
      <c r="G4" s="121" t="s">
        <v>117</v>
      </c>
    </row>
    <row r="5" spans="1:12">
      <c r="A5" s="121" t="s">
        <v>116</v>
      </c>
      <c r="C5" s="123" t="s">
        <v>115</v>
      </c>
      <c r="D5" s="121">
        <f>IF(OR(AND(Location=1,OR(Return_Type=1,Return_Type=3,Return_Type=6)),AND(Location=2,OR(Return_Type=1,Return_Type=6))),1,#N/A)</f>
        <v>1</v>
      </c>
      <c r="F5" s="121">
        <v>5</v>
      </c>
      <c r="G5" s="121" t="s">
        <v>114</v>
      </c>
    </row>
    <row r="6" spans="1:12">
      <c r="A6" s="121" t="s">
        <v>113</v>
      </c>
      <c r="D6" s="122">
        <v>43528</v>
      </c>
      <c r="F6" s="121">
        <v>6</v>
      </c>
      <c r="G6" s="121" t="s">
        <v>156</v>
      </c>
    </row>
    <row r="7" spans="1:12">
      <c r="A7" s="121" t="s">
        <v>112</v>
      </c>
      <c r="D7" s="122">
        <f ca="1">TODAY()</f>
        <v>43528</v>
      </c>
      <c r="G7" s="121" t="s">
        <v>129</v>
      </c>
      <c r="H7" s="121" t="s">
        <v>130</v>
      </c>
      <c r="I7" s="121" t="s">
        <v>131</v>
      </c>
      <c r="K7" s="122" t="s">
        <v>132</v>
      </c>
      <c r="L7" s="121">
        <f>1/60</f>
        <v>1.6666666666666666E-2</v>
      </c>
    </row>
    <row r="8" spans="1:12">
      <c r="A8" s="121" t="s">
        <v>111</v>
      </c>
      <c r="F8" s="121">
        <v>1</v>
      </c>
      <c r="G8" s="121" t="str">
        <f>IF(OR(Return_Type&lt;&gt;1,'Material Return Form'!$B32=""),"",IF('Material Return Form'!I32="","",TRUE))</f>
        <v/>
      </c>
      <c r="H8" s="121" t="str">
        <f>IF(OR(Return_Type&lt;&gt;1,'Material Return Form'!$B32="",'Material Return Form'!K32=""),"",IF('Material Return Form'!K32&gt;=150,"",TRUE))</f>
        <v/>
      </c>
      <c r="I8" s="121" t="str">
        <f>IF('Material Return Form'!L32&lt;&gt;0,'Material Return Form'!L32*VLOOKUP('Material Return Form'!N32,$K$7:$L$30,2,0),"")</f>
        <v/>
      </c>
      <c r="K8" s="121" t="s">
        <v>133</v>
      </c>
      <c r="L8" s="121">
        <v>1</v>
      </c>
    </row>
    <row r="9" spans="1:12">
      <c r="A9" s="121" t="s">
        <v>110</v>
      </c>
      <c r="F9" s="121">
        <v>2</v>
      </c>
      <c r="G9" s="121" t="str">
        <f>IF(OR(Return_Type&lt;&gt;1,'Material Return Form'!$B33=""),"",IF('Material Return Form'!I33="","",TRUE))</f>
        <v/>
      </c>
      <c r="H9" s="121" t="str">
        <f>IF(OR(Return_Type&lt;&gt;1,'Material Return Form'!$B33="",'Material Return Form'!K33=""),"",IF('Material Return Form'!K33&gt;=150,"",TRUE))</f>
        <v/>
      </c>
      <c r="I9" s="121" t="str">
        <f>IF('Material Return Form'!L33&lt;&gt;0,'Material Return Form'!L33*VLOOKUP('Material Return Form'!N33,$K$7:$L$30,2,0),"")</f>
        <v/>
      </c>
      <c r="K9" s="121" t="s">
        <v>134</v>
      </c>
      <c r="L9" s="121">
        <v>24</v>
      </c>
    </row>
    <row r="10" spans="1:12">
      <c r="A10" s="121" t="s">
        <v>109</v>
      </c>
      <c r="F10" s="121">
        <v>3</v>
      </c>
      <c r="G10" s="121" t="str">
        <f>IF(OR(Return_Type&lt;&gt;1,'Material Return Form'!$B34=""),"",IF('Material Return Form'!I34="","",TRUE))</f>
        <v/>
      </c>
      <c r="H10" s="121" t="str">
        <f>IF(OR(Return_Type&lt;&gt;1,'Material Return Form'!$B34="",'Material Return Form'!K34=""),"",IF('Material Return Form'!K34&gt;=150,"",TRUE))</f>
        <v/>
      </c>
      <c r="I10" s="121" t="str">
        <f>IF('Material Return Form'!L34&lt;&gt;0,'Material Return Form'!L34*VLOOKUP('Material Return Form'!N34,$K$7:$L$30,2,0),"")</f>
        <v/>
      </c>
      <c r="K10" s="121" t="s">
        <v>135</v>
      </c>
      <c r="L10" s="121">
        <f>24*7</f>
        <v>168</v>
      </c>
    </row>
    <row r="11" spans="1:12">
      <c r="A11" s="121" t="s">
        <v>108</v>
      </c>
      <c r="F11" s="121">
        <v>4</v>
      </c>
      <c r="G11" s="121" t="str">
        <f>IF(OR(Return_Type&lt;&gt;1,'Material Return Form'!$B35=""),"",IF('Material Return Form'!I35="","",TRUE))</f>
        <v/>
      </c>
      <c r="H11" s="121" t="str">
        <f>IF(OR(Return_Type&lt;&gt;1,'Material Return Form'!$B35="",'Material Return Form'!K35=""),"",IF('Material Return Form'!K35&gt;=150,"",TRUE))</f>
        <v/>
      </c>
      <c r="I11" s="121" t="str">
        <f>IF('Material Return Form'!L35&lt;&gt;0,'Material Return Form'!L35*VLOOKUP('Material Return Form'!N35,$K$7:$L$30,2,0),"")</f>
        <v/>
      </c>
      <c r="K11" s="121" t="s">
        <v>136</v>
      </c>
      <c r="L11" s="121">
        <f>L12/12</f>
        <v>730</v>
      </c>
    </row>
    <row r="12" spans="1:12">
      <c r="A12" s="121" t="s">
        <v>107</v>
      </c>
      <c r="F12" s="121">
        <v>5</v>
      </c>
      <c r="G12" s="121" t="str">
        <f>IF(OR(Return_Type&lt;&gt;1,'Material Return Form'!$B36=""),"",IF('Material Return Form'!I36="","",TRUE))</f>
        <v/>
      </c>
      <c r="H12" s="121" t="str">
        <f>IF(OR(Return_Type&lt;&gt;1,'Material Return Form'!$B36="",'Material Return Form'!K36=""),"",IF('Material Return Form'!K36&gt;=150,"",TRUE))</f>
        <v/>
      </c>
      <c r="I12" s="121" t="str">
        <f>IF('Material Return Form'!L36&lt;&gt;0,'Material Return Form'!L36*VLOOKUP('Material Return Form'!N36,$K$7:$L$30,2,0),"")</f>
        <v/>
      </c>
      <c r="K12" s="121" t="s">
        <v>137</v>
      </c>
      <c r="L12" s="121">
        <f>365*24</f>
        <v>8760</v>
      </c>
    </row>
    <row r="13" spans="1:12">
      <c r="A13" s="121" t="s">
        <v>106</v>
      </c>
      <c r="F13" s="121">
        <v>6</v>
      </c>
      <c r="G13" s="121" t="str">
        <f>IF(OR(Return_Type&lt;&gt;1,'Material Return Form'!$B37=""),"",IF('Material Return Form'!I37="","",TRUE))</f>
        <v/>
      </c>
      <c r="H13" s="121" t="str">
        <f>IF(OR(Return_Type&lt;&gt;1,'Material Return Form'!$B37="",'Material Return Form'!K37=""),"",IF('Material Return Form'!K37&gt;=150,"",TRUE))</f>
        <v/>
      </c>
      <c r="I13" s="121" t="str">
        <f>IF('Material Return Form'!L37&lt;&gt;0,'Material Return Form'!L37*VLOOKUP('Material Return Form'!N37,$K$7:$L$30,2,0),"")</f>
        <v/>
      </c>
      <c r="K13" s="121" t="s">
        <v>153</v>
      </c>
      <c r="L13" s="121">
        <f>1/60</f>
        <v>1.6666666666666666E-2</v>
      </c>
    </row>
    <row r="14" spans="1:12">
      <c r="A14" s="121" t="s">
        <v>105</v>
      </c>
      <c r="F14" s="121">
        <v>7</v>
      </c>
      <c r="G14" s="121" t="str">
        <f>IF(OR(Return_Type&lt;&gt;1,'Material Return Form'!$B38=""),"",IF('Material Return Form'!I38="","",TRUE))</f>
        <v/>
      </c>
      <c r="H14" s="121" t="str">
        <f>IF(OR(Return_Type&lt;&gt;1,'Material Return Form'!$B38="",'Material Return Form'!K38=""),"",IF('Material Return Form'!K38&gt;=150,"",TRUE))</f>
        <v/>
      </c>
      <c r="I14" s="121" t="str">
        <f>IF('Material Return Form'!L38&lt;&gt;0,'Material Return Form'!L38*VLOOKUP('Material Return Form'!N38,$K$7:$L$30,2,0),"")</f>
        <v/>
      </c>
      <c r="K14" s="121" t="s">
        <v>138</v>
      </c>
      <c r="L14" s="121">
        <v>1</v>
      </c>
    </row>
    <row r="15" spans="1:12">
      <c r="A15" s="121" t="s">
        <v>104</v>
      </c>
      <c r="F15" s="121">
        <v>8</v>
      </c>
      <c r="G15" s="121" t="str">
        <f>IF(OR(Return_Type&lt;&gt;1,'Material Return Form'!$B39=""),"",IF('Material Return Form'!I39="","",TRUE))</f>
        <v/>
      </c>
      <c r="H15" s="121" t="str">
        <f>IF(OR(Return_Type&lt;&gt;1,'Material Return Form'!$B39="",'Material Return Form'!K39=""),"",IF('Material Return Form'!K39&gt;=150,"",TRUE))</f>
        <v/>
      </c>
      <c r="I15" s="121" t="str">
        <f>IF('Material Return Form'!L39&lt;&gt;0,'Material Return Form'!L39*VLOOKUP('Material Return Form'!N39,$K$7:$L$30,2,0),"")</f>
        <v/>
      </c>
      <c r="K15" s="121" t="s">
        <v>140</v>
      </c>
      <c r="L15" s="121">
        <v>24</v>
      </c>
    </row>
    <row r="16" spans="1:12">
      <c r="A16" s="121" t="s">
        <v>103</v>
      </c>
      <c r="I16" s="121" t="b">
        <f>IF(ISERROR(SUM(I8:I15)),TRUE,FALSE)</f>
        <v>0</v>
      </c>
      <c r="K16" s="121" t="s">
        <v>141</v>
      </c>
      <c r="L16" s="121">
        <f>24*7</f>
        <v>168</v>
      </c>
    </row>
    <row r="17" spans="1:12">
      <c r="A17" s="121" t="s">
        <v>102</v>
      </c>
      <c r="K17" s="121" t="s">
        <v>139</v>
      </c>
      <c r="L17" s="121">
        <f>L18/12</f>
        <v>730</v>
      </c>
    </row>
    <row r="18" spans="1:12">
      <c r="A18" s="121" t="s">
        <v>101</v>
      </c>
      <c r="K18" s="121" t="s">
        <v>142</v>
      </c>
      <c r="L18" s="121">
        <f>365*24</f>
        <v>8760</v>
      </c>
    </row>
    <row r="19" spans="1:12">
      <c r="A19" s="121" t="s">
        <v>100</v>
      </c>
      <c r="K19" s="121" t="s">
        <v>143</v>
      </c>
      <c r="L19" s="121">
        <f>1/60</f>
        <v>1.6666666666666666E-2</v>
      </c>
    </row>
    <row r="20" spans="1:12">
      <c r="A20" s="121" t="s">
        <v>99</v>
      </c>
      <c r="K20" s="121" t="s">
        <v>131</v>
      </c>
      <c r="L20" s="121">
        <v>1</v>
      </c>
    </row>
    <row r="21" spans="1:12">
      <c r="A21" s="121" t="s">
        <v>98</v>
      </c>
      <c r="K21" s="121" t="s">
        <v>144</v>
      </c>
      <c r="L21" s="121">
        <v>24</v>
      </c>
    </row>
    <row r="22" spans="1:12">
      <c r="A22" s="121" t="s">
        <v>97</v>
      </c>
      <c r="K22" s="121" t="s">
        <v>145</v>
      </c>
      <c r="L22" s="121">
        <f>24*7</f>
        <v>168</v>
      </c>
    </row>
    <row r="23" spans="1:12">
      <c r="A23" s="121" t="s">
        <v>96</v>
      </c>
      <c r="K23" s="121" t="s">
        <v>146</v>
      </c>
      <c r="L23" s="121">
        <f>L24/12</f>
        <v>730</v>
      </c>
    </row>
    <row r="24" spans="1:12">
      <c r="A24" s="121" t="s">
        <v>95</v>
      </c>
      <c r="K24" s="121" t="s">
        <v>147</v>
      </c>
      <c r="L24" s="121">
        <f>365*24</f>
        <v>8760</v>
      </c>
    </row>
    <row r="25" spans="1:12">
      <c r="A25" s="121" t="s">
        <v>94</v>
      </c>
      <c r="K25" s="121" t="s">
        <v>154</v>
      </c>
      <c r="L25" s="121">
        <f>1/60</f>
        <v>1.6666666666666666E-2</v>
      </c>
    </row>
    <row r="26" spans="1:12">
      <c r="A26" s="121" t="s">
        <v>93</v>
      </c>
      <c r="K26" s="121" t="s">
        <v>148</v>
      </c>
      <c r="L26" s="121">
        <v>1</v>
      </c>
    </row>
    <row r="27" spans="1:12">
      <c r="A27" s="121" t="s">
        <v>92</v>
      </c>
      <c r="K27" s="121" t="s">
        <v>150</v>
      </c>
      <c r="L27" s="121">
        <v>24</v>
      </c>
    </row>
    <row r="28" spans="1:12">
      <c r="A28" s="121" t="s">
        <v>91</v>
      </c>
      <c r="K28" s="121" t="s">
        <v>151</v>
      </c>
      <c r="L28" s="121">
        <f>24*7</f>
        <v>168</v>
      </c>
    </row>
    <row r="29" spans="1:12">
      <c r="A29" s="121" t="s">
        <v>90</v>
      </c>
      <c r="K29" s="121" t="s">
        <v>149</v>
      </c>
      <c r="L29" s="121">
        <f>L30/12</f>
        <v>730</v>
      </c>
    </row>
    <row r="30" spans="1:12">
      <c r="A30" s="121" t="s">
        <v>89</v>
      </c>
      <c r="K30" s="121" t="s">
        <v>152</v>
      </c>
      <c r="L30" s="121">
        <f>365*24</f>
        <v>8760</v>
      </c>
    </row>
    <row r="31" spans="1:12">
      <c r="A31" s="121" t="s">
        <v>88</v>
      </c>
    </row>
    <row r="32" spans="1:12">
      <c r="A32" s="121" t="s">
        <v>87</v>
      </c>
    </row>
    <row r="33" spans="1:1">
      <c r="A33" s="121" t="s">
        <v>86</v>
      </c>
    </row>
    <row r="34" spans="1:1">
      <c r="A34" s="121" t="s">
        <v>85</v>
      </c>
    </row>
    <row r="35" spans="1:1">
      <c r="A35" s="121" t="s">
        <v>84</v>
      </c>
    </row>
    <row r="36" spans="1:1">
      <c r="A36" s="121" t="s">
        <v>83</v>
      </c>
    </row>
    <row r="37" spans="1:1">
      <c r="A37" s="121" t="s">
        <v>82</v>
      </c>
    </row>
    <row r="38" spans="1:1">
      <c r="A38" s="121" t="s">
        <v>81</v>
      </c>
    </row>
    <row r="39" spans="1:1">
      <c r="A39" s="121" t="s">
        <v>80</v>
      </c>
    </row>
    <row r="40" spans="1:1">
      <c r="A40" s="121" t="s">
        <v>79</v>
      </c>
    </row>
    <row r="41" spans="1:1">
      <c r="A41" s="121" t="s">
        <v>78</v>
      </c>
    </row>
    <row r="42" spans="1:1">
      <c r="A42" s="121" t="s">
        <v>77</v>
      </c>
    </row>
    <row r="43" spans="1:1">
      <c r="A43" s="121" t="s">
        <v>76</v>
      </c>
    </row>
    <row r="44" spans="1:1">
      <c r="A44" s="121" t="s">
        <v>75</v>
      </c>
    </row>
    <row r="45" spans="1:1">
      <c r="A45" s="121" t="s">
        <v>74</v>
      </c>
    </row>
    <row r="46" spans="1:1">
      <c r="A46" s="121" t="s">
        <v>73</v>
      </c>
    </row>
    <row r="47" spans="1:1">
      <c r="A47" s="121" t="s">
        <v>72</v>
      </c>
    </row>
    <row r="48" spans="1:1">
      <c r="A48" s="121" t="s">
        <v>71</v>
      </c>
    </row>
    <row r="49" spans="1:1">
      <c r="A49" s="121" t="s">
        <v>70</v>
      </c>
    </row>
    <row r="50" spans="1:1">
      <c r="A50" s="121" t="s">
        <v>69</v>
      </c>
    </row>
    <row r="51" spans="1:1">
      <c r="A51" s="121" t="s">
        <v>68</v>
      </c>
    </row>
    <row r="52" spans="1:1">
      <c r="A52" s="121" t="s">
        <v>67</v>
      </c>
    </row>
    <row r="53" spans="1:1">
      <c r="A53" s="121" t="s">
        <v>66</v>
      </c>
    </row>
    <row r="54" spans="1:1">
      <c r="A54" s="121" t="s">
        <v>65</v>
      </c>
    </row>
    <row r="55" spans="1:1">
      <c r="A55" s="121" t="s">
        <v>64</v>
      </c>
    </row>
    <row r="56" spans="1:1">
      <c r="A56" s="121" t="s">
        <v>63</v>
      </c>
    </row>
    <row r="57" spans="1:1">
      <c r="A57" s="121" t="s">
        <v>62</v>
      </c>
    </row>
    <row r="58" spans="1:1">
      <c r="A58" s="121" t="s">
        <v>61</v>
      </c>
    </row>
    <row r="59" spans="1:1">
      <c r="A59" s="121" t="s">
        <v>60</v>
      </c>
    </row>
    <row r="60" spans="1:1">
      <c r="A60" s="121" t="s">
        <v>59</v>
      </c>
    </row>
    <row r="61" spans="1:1">
      <c r="A61" s="121" t="s">
        <v>58</v>
      </c>
    </row>
    <row r="62" spans="1:1">
      <c r="A62" s="121" t="s">
        <v>57</v>
      </c>
    </row>
    <row r="63" spans="1:1">
      <c r="A63" s="121" t="s">
        <v>56</v>
      </c>
    </row>
    <row r="64" spans="1:1">
      <c r="A64" s="121" t="s">
        <v>55</v>
      </c>
    </row>
    <row r="65" spans="1:1">
      <c r="A65" s="121" t="s">
        <v>54</v>
      </c>
    </row>
    <row r="66" spans="1:1">
      <c r="A66" s="121" t="s">
        <v>53</v>
      </c>
    </row>
    <row r="67" spans="1:1">
      <c r="A67" s="121" t="s">
        <v>52</v>
      </c>
    </row>
    <row r="68" spans="1:1">
      <c r="A68" s="121" t="s">
        <v>51</v>
      </c>
    </row>
    <row r="69" spans="1:1">
      <c r="A69" s="121" t="s">
        <v>50</v>
      </c>
    </row>
    <row r="70" spans="1:1">
      <c r="A70" s="121" t="s">
        <v>49</v>
      </c>
    </row>
    <row r="71" spans="1:1">
      <c r="A71" s="121" t="s">
        <v>48</v>
      </c>
    </row>
    <row r="72" spans="1:1">
      <c r="A72" s="121" t="s">
        <v>47</v>
      </c>
    </row>
    <row r="73" spans="1:1">
      <c r="A73" s="121" t="s">
        <v>46</v>
      </c>
    </row>
    <row r="74" spans="1:1">
      <c r="A74" s="121" t="s">
        <v>45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
  <cached>True</cached>
  <openByDefault>True</openByDefault>
  <xsnScope>/Published Documents</xsnScope>
</customXsn>
</file>

<file path=customXml/item2.xml><?xml version="1.0" encoding="utf-8"?>
<ct:contentTypeSchema xmlns:ct="http://schemas.microsoft.com/office/2006/metadata/contentType" xmlns:ma="http://schemas.microsoft.com/office/2006/metadata/properties/metaAttributes" ct:_="" ma:_="" ma:contentTypeName="Forms" ma:contentTypeID="0x01010052DF770625CABB4995DA816243A4991505002AD298095E5EC84599BFDE06C689B380" ma:contentTypeVersion="51" ma:contentTypeDescription="" ma:contentTypeScope="" ma:versionID="9fe5548132c4e42acc98759587e36b11">
  <xsd:schema xmlns:xsd="http://www.w3.org/2001/XMLSchema" xmlns:xs="http://www.w3.org/2001/XMLSchema" xmlns:p="http://schemas.microsoft.com/office/2006/metadata/properties" xmlns:ns2="4b23d414-79e9-47a8-9f8c-c958f35fa4da" xmlns:ns3="5badabc8-73dd-4a5d-9bd2-940caaa80e7f" xmlns:ns4="c6a3cb07-c5e0-45ed-a632-fa63495d881d" xmlns:ns5="3a7abc34-3e37-4604-b3ed-3ff77a428e7a" xmlns:ns7="4028cd8a-2b69-439d-bc77-c0122bc4f792" xmlns:ns8="7a29fe32-3519-4b03-9018-aa2af856c3e8" targetNamespace="http://schemas.microsoft.com/office/2006/metadata/properties" ma:root="true" ma:fieldsID="5e8a5b54aa7fee4b6912a094ccaa0a7f" ns2:_="" ns3:_="" ns4:_="" ns5:_="" ns7:_="" ns8:_="">
    <xsd:import namespace="4b23d414-79e9-47a8-9f8c-c958f35fa4da"/>
    <xsd:import namespace="5badabc8-73dd-4a5d-9bd2-940caaa80e7f"/>
    <xsd:import namespace="c6a3cb07-c5e0-45ed-a632-fa63495d881d"/>
    <xsd:import namespace="3a7abc34-3e37-4604-b3ed-3ff77a428e7a"/>
    <xsd:import namespace="4028cd8a-2b69-439d-bc77-c0122bc4f792"/>
    <xsd:import namespace="7a29fe32-3519-4b03-9018-aa2af856c3e8"/>
    <xsd:element name="properties">
      <xsd:complexType>
        <xsd:sequence>
          <xsd:element name="documentManagement">
            <xsd:complexType>
              <xsd:all>
                <xsd:element ref="ns2:Friendly_x0020_Name"/>
                <xsd:element ref="ns3:Review_x0020_Schedule"/>
                <xsd:element ref="ns3:Reference_x0020_Document_x0020_Number" minOccurs="0"/>
                <xsd:element ref="ns3:Published_x0020_Date"/>
                <xsd:element ref="ns4:Group_x0020_Function"/>
                <xsd:element ref="ns5:Location_x0028_s_x0029_" minOccurs="0"/>
                <xsd:element ref="ns3:Document_x0020_Author"/>
                <xsd:element ref="ns4:Business_x0020_Unit" minOccurs="0"/>
                <xsd:element ref="ns4:Document_x0020_Status"/>
                <xsd:element ref="ns4:Classification"/>
                <xsd:element ref="ns4:Document_x0020_Type"/>
                <xsd:element ref="ns7:Chapter_x0020_No"/>
                <xsd:element ref="ns5:Chapter"/>
                <xsd:element ref="ns5:Category"/>
                <xsd:element ref="ns5:Subcategory"/>
                <xsd:element ref="ns4:SII_x0020__x002f__x0020_Division" minOccurs="0"/>
                <xsd:element ref="ns4:Business_x0020_Segment" minOccurs="0"/>
                <xsd:element ref="ns8:Owner" minOccurs="0"/>
                <xsd:element ref="ns3:_dlc_Exemp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3d414-79e9-47a8-9f8c-c958f35fa4da" elementFormDefault="qualified">
    <xsd:import namespace="http://schemas.microsoft.com/office/2006/documentManagement/types"/>
    <xsd:import namespace="http://schemas.microsoft.com/office/infopath/2007/PartnerControls"/>
    <xsd:element name="Friendly_x0020_Name" ma:index="1" ma:displayName="Friendly Name" ma:default="" ma:description="Enter a friendly document name in this field, example:&#10;&#10;Original Name - CC_Circular_012005_Integration_Of_Corporate_Communications.pdf&#10;&#10;Friendly Name -&#10;Integration Of Corporate Communications" ma:internalName="Friendly_x0020_Name"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badabc8-73dd-4a5d-9bd2-940caaa80e7f" elementFormDefault="qualified">
    <xsd:import namespace="http://schemas.microsoft.com/office/2006/documentManagement/types"/>
    <xsd:import namespace="http://schemas.microsoft.com/office/infopath/2007/PartnerControls"/>
    <xsd:element name="Review_x0020_Schedule" ma:index="2" ma:displayName="Review Schedule" ma:format="DateOnly" ma:internalName="Review_x0020_Schedule" ma:readOnly="false">
      <xsd:simpleType>
        <xsd:restriction base="dms:DateTime"/>
      </xsd:simpleType>
    </xsd:element>
    <xsd:element name="Reference_x0020_Document_x0020_Number" ma:index="3" nillable="true" ma:displayName="Reference Document Number(s)" ma:default="" ma:internalName="Reference_x0020_Document_x0020_Number">
      <xsd:simpleType>
        <xsd:restriction base="dms:Text">
          <xsd:maxLength value="255"/>
        </xsd:restriction>
      </xsd:simpleType>
    </xsd:element>
    <xsd:element name="Published_x0020_Date" ma:index="4" ma:displayName="Published Date" ma:default="[today]" ma:description="Date the document was published." ma:format="DateOnly" ma:internalName="Published_x0020_Date">
      <xsd:simpleType>
        <xsd:restriction base="dms:DateTime"/>
      </xsd:simpleType>
    </xsd:element>
    <xsd:element name="Document_x0020_Author" ma:index="7" ma:displayName="Document Author" ma:description="The primary Author" ma:list="UserInfo" ma:SharePointGroup="0" ma:internalName="Document_x0020_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_dlc_Exempt" ma:index="23"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6a3cb07-c5e0-45ed-a632-fa63495d881d" elementFormDefault="qualified">
    <xsd:import namespace="http://schemas.microsoft.com/office/2006/documentManagement/types"/>
    <xsd:import namespace="http://schemas.microsoft.com/office/infopath/2007/PartnerControls"/>
    <xsd:element name="Group_x0020_Function" ma:index="5" ma:displayName="Group Function" ma:description="Owner or unit of this document" ma:list="{08f444d1-54b1-4714-ae11-50d401d64d76}" ma:internalName="Group_x0020_Function" ma:showField="Group_x0020_Function" ma:web="c6a3cb07-c5e0-45ed-a632-fa63495d881d">
      <xsd:simpleType>
        <xsd:restriction base="dms:Lookup"/>
      </xsd:simpleType>
    </xsd:element>
    <xsd:element name="Business_x0020_Unit" ma:index="8" nillable="true" ma:displayName="Business Unit" ma:description="The organizational unit this document applies to." ma:list="{35fe1287-cc2c-4eb5-bcf5-c9ae0cdd4cac}" ma:internalName="Business_x0020_Unit" ma:showField="Business_x0020_Unit" ma:web="c6a3cb07-c5e0-45ed-a632-fa63495d881d" ma:requiredMultiChoice="true">
      <xsd:complexType>
        <xsd:complexContent>
          <xsd:extension base="dms:MultiChoiceLookup">
            <xsd:sequence>
              <xsd:element name="Value" type="dms:Lookup" maxOccurs="unbounded" minOccurs="0" nillable="true"/>
            </xsd:sequence>
          </xsd:extension>
        </xsd:complexContent>
      </xsd:complexType>
    </xsd:element>
    <xsd:element name="Document_x0020_Status" ma:index="9" ma:displayName="Document Status" ma:description="Used to show status such as published or draft." ma:list="{144db52e-61df-4109-888e-43487cd5b336}" ma:internalName="Document_x0020_Status" ma:showField="Document_x0020_Status" ma:web="c6a3cb07-c5e0-45ed-a632-fa63495d881d">
      <xsd:simpleType>
        <xsd:restriction base="dms:Lookup"/>
      </xsd:simpleType>
    </xsd:element>
    <xsd:element name="Classification" ma:index="10" ma:displayName="Classification" ma:description="Used to define document classification to comply with the Protection of Corporate Proprietary Information." ma:list="{5db57616-f94e-4c9a-9475-bb3b6eff094c}" ma:internalName="Classification" ma:showField="Classification" ma:web="c6a3cb07-c5e0-45ed-a632-fa63495d881d">
      <xsd:simpleType>
        <xsd:restriction base="dms:Lookup"/>
      </xsd:simpleType>
    </xsd:element>
    <xsd:element name="Document_x0020_Type" ma:index="11" ma:displayName="Document Type" ma:description="Used to define the appropriate document type which is usually also associated with the content type." ma:list="{8df13396-fa4f-48e8-b519-428cd266a455}" ma:internalName="Document_x0020_Type" ma:showField="Document_x0020_Type" ma:web="c6a3cb07-c5e0-45ed-a632-fa63495d881d">
      <xsd:simpleType>
        <xsd:restriction base="dms:Lookup"/>
      </xsd:simpleType>
    </xsd:element>
    <xsd:element name="SII_x0020__x002f__x0020_Division" ma:index="20" nillable="true" ma:displayName="SII / Division" ma:list="{835e1770-057c-4afa-850d-2be56ee1308d}" ma:internalName="SII_x0020__x002F__x0020_Division" ma:showField="SII_x0020__x002f__x0020_Division" ma:web="c6a3cb07-c5e0-45ed-a632-fa63495d881d" ma:requiredMultiChoice="true">
      <xsd:complexType>
        <xsd:complexContent>
          <xsd:extension base="dms:MultiChoiceLookup">
            <xsd:sequence>
              <xsd:element name="Value" type="dms:Lookup" maxOccurs="unbounded" minOccurs="0" nillable="true"/>
            </xsd:sequence>
          </xsd:extension>
        </xsd:complexContent>
      </xsd:complexType>
    </xsd:element>
    <xsd:element name="Business_x0020_Segment" ma:index="21" nillable="true" ma:displayName="Business Segment" ma:list="{1de22153-5c25-43ae-a0f0-b84087fd896f}" ma:internalName="Business_x0020_Segment" ma:showField="Business_x0020_Segment" ma:web="c6a3cb07-c5e0-45ed-a632-fa63495d881d">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3a7abc34-3e37-4604-b3ed-3ff77a428e7a" elementFormDefault="qualified">
    <xsd:import namespace="http://schemas.microsoft.com/office/2006/documentManagement/types"/>
    <xsd:import namespace="http://schemas.microsoft.com/office/infopath/2007/PartnerControls"/>
    <xsd:element name="Location_x0028_s_x0029_" ma:index="6" nillable="true" ma:displayName="Location(s)" ma:list="{9f6d7c75-58a0-4393-8c77-f26adcb7256c}" ma:internalName="Location_x0028_s_x0029_" ma:showField="Location" ma:web="c6a3cb07-c5e0-45ed-a632-fa63495d881d">
      <xsd:complexType>
        <xsd:complexContent>
          <xsd:extension base="dms:MultiChoiceLookup">
            <xsd:sequence>
              <xsd:element name="Value" type="dms:Lookup" maxOccurs="unbounded" minOccurs="0" nillable="true"/>
            </xsd:sequence>
          </xsd:extension>
        </xsd:complexContent>
      </xsd:complexType>
    </xsd:element>
    <xsd:element name="Chapter" ma:index="16" ma:displayName="Chapter" ma:list="{fc23d58d-7fc0-4cc8-a900-b456579d5ec0}" ma:internalName="Chapter" ma:readOnly="false" ma:showField="Chapter" ma:web="c6a3cb07-c5e0-45ed-a632-fa63495d881d">
      <xsd:simpleType>
        <xsd:restriction base="dms:Lookup"/>
      </xsd:simpleType>
    </xsd:element>
    <xsd:element name="Category" ma:index="17" ma:displayName="Category" ma:list="{0cf333a7-9e06-4197-898b-d3bd3102fb65}" ma:internalName="Category" ma:readOnly="false" ma:showField="Category" ma:web="c6a3cb07-c5e0-45ed-a632-fa63495d881d">
      <xsd:simpleType>
        <xsd:restriction base="dms:Lookup"/>
      </xsd:simpleType>
    </xsd:element>
    <xsd:element name="Subcategory" ma:index="18" ma:displayName="Subcategory" ma:list="{94cbe552-f144-446f-8a4e-e9093e06e7d6}" ma:internalName="Subcategory" ma:readOnly="false" ma:showField="SubCategory" ma:web="c6a3cb07-c5e0-45ed-a632-fa63495d881d">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4028cd8a-2b69-439d-bc77-c0122bc4f792" elementFormDefault="qualified">
    <xsd:import namespace="http://schemas.microsoft.com/office/2006/documentManagement/types"/>
    <xsd:import namespace="http://schemas.microsoft.com/office/infopath/2007/PartnerControls"/>
    <xsd:element name="Chapter_x0020_No" ma:index="14" ma:displayName="Chapter No" ma:decimals="2" ma:internalName="Chapter_x0020_No" ma:readOnly="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7a29fe32-3519-4b03-9018-aa2af856c3e8" elementFormDefault="qualified">
    <xsd:import namespace="http://schemas.microsoft.com/office/2006/documentManagement/types"/>
    <xsd:import namespace="http://schemas.microsoft.com/office/infopath/2007/PartnerControls"/>
    <xsd:element name="Owner" ma:index="22" nillable="true" ma:displayName="Owner" ma:description="The Owner" ma:list="UserInfo" ma:SharePointGroup="0" ma:internalName="Owne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ma:readOnly="true"/>
        <xsd:element ref="dc:title" minOccurs="0" maxOccurs="1" ma:index="13" ma:displayName="Title"/>
        <xsd:element ref="dc:subject" minOccurs="0" maxOccurs="1"/>
        <xsd:element ref="dc:description" minOccurs="0" maxOccurs="1"/>
        <xsd:element name="keywords" minOccurs="0" maxOccurs="1" type="xsd:string" ma:index="12"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5.xml><?xml version="1.0" encoding="utf-8"?>
<?mso-contentType ?>
<p:Policy xmlns:p="office.server.policy" id="90695b5f-34e3-4e81-b373-b44699abea0d" local="false">
  <p:Name>Document Center Policy</p:Name>
  <p:Description>This policy is for defining policy statements and auditing for the content types associated with the different document types housed in the document center.</p:Description>
  <p:Statement/>
  <p:PolicyItems>
    <p:PolicyItem featureId="Microsoft.Office.RecordsManagement.PolicyFeatures.PolicyAudit">
      <p:Name>Auditing</p:Name>
      <p:Description>Audits user actions on documents and list items to the Audit Log.</p:Description>
      <p:CustomData>
        <Audit>
          <Update/>
          <CheckInOut/>
          <MoveCopy/>
          <DeleteRestore/>
        </Audit>
      </p:CustomData>
    </p:PolicyItem>
  </p:PolicyItems>
</p:Policy>
</file>

<file path=customXml/item6.xml><?xml version="1.0" encoding="utf-8"?>
<?mso-contentType ?>
<spe:Receivers xmlns:spe="http://schemas.microsoft.com/sharepoint/events">
  <Receiver>
    <Name>Policy Auditing</Name>
    <Type>10001</Type>
    <SequenceNumber>1100</SequenceNumber>
    <Assembly>Microsoft.Office.Policy, Version=14.0.0.0, Culture=neutral, PublicKeyToken=71e9bce111e9429c</Assembly>
    <Class>Microsoft.Office.RecordsManagement.Internal.AuditHandler</Class>
    <Data/>
    <Filter/>
  </Receiver>
  <Receiver>
    <Name>Policy Auditing</Name>
    <Type>10002</Type>
    <SequenceNumber>1101</SequenceNumber>
    <Assembly>Microsoft.Office.Policy, Version=14.0.0.0, Culture=neutral, PublicKeyToken=71e9bce111e9429c</Assembly>
    <Class>Microsoft.Office.RecordsManagement.Internal.AuditHandler</Class>
    <Data/>
    <Filter/>
  </Receiver>
  <Receiver>
    <Name>Policy Auditing</Name>
    <Type>10004</Type>
    <SequenceNumber>1102</SequenceNumber>
    <Assembly>Microsoft.Office.Policy, Version=14.0.0.0, Culture=neutral, PublicKeyToken=71e9bce111e9429c</Assembly>
    <Class>Microsoft.Office.RecordsManagement.Internal.AuditHandler</Class>
    <Data/>
    <Filter/>
  </Receiver>
  <Receiver>
    <Name>Policy Auditing</Name>
    <Type>10006</Type>
    <SequenceNumber>1103</SequenceNumber>
    <Assembly>Microsoft.Office.Policy, Version=14.0.0.0, Culture=neutral, PublicKeyToken=71e9bce111e9429c</Assembly>
    <Class>Microsoft.Office.RecordsManagement.Internal.AuditHandler</Class>
    <Data/>
    <Filter/>
  </Receiver>
</spe:Receivers>
</file>

<file path=customXml/itemProps1.xml><?xml version="1.0" encoding="utf-8"?>
<ds:datastoreItem xmlns:ds="http://schemas.openxmlformats.org/officeDocument/2006/customXml" ds:itemID="{75A6D308-7A84-426C-ADE8-E90E3D58EC48}">
  <ds:schemaRefs>
    <ds:schemaRef ds:uri="http://schemas.microsoft.com/office/2006/metadata/customXsn"/>
  </ds:schemaRefs>
</ds:datastoreItem>
</file>

<file path=customXml/itemProps2.xml><?xml version="1.0" encoding="utf-8"?>
<ds:datastoreItem xmlns:ds="http://schemas.openxmlformats.org/officeDocument/2006/customXml" ds:itemID="{8883FA10-7683-4D58-B2D4-064E2406F4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3d414-79e9-47a8-9f8c-c958f35fa4da"/>
    <ds:schemaRef ds:uri="5badabc8-73dd-4a5d-9bd2-940caaa80e7f"/>
    <ds:schemaRef ds:uri="c6a3cb07-c5e0-45ed-a632-fa63495d881d"/>
    <ds:schemaRef ds:uri="3a7abc34-3e37-4604-b3ed-3ff77a428e7a"/>
    <ds:schemaRef ds:uri="4028cd8a-2b69-439d-bc77-c0122bc4f792"/>
    <ds:schemaRef ds:uri="7a29fe32-3519-4b03-9018-aa2af856c3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D20632-DB8D-469C-89F6-47EA90171673}">
  <ds:schemaRefs>
    <ds:schemaRef ds:uri="http://schemas.microsoft.com/sharepoint/v3/contenttype/forms"/>
  </ds:schemaRefs>
</ds:datastoreItem>
</file>

<file path=customXml/itemProps4.xml><?xml version="1.0" encoding="utf-8"?>
<ds:datastoreItem xmlns:ds="http://schemas.openxmlformats.org/officeDocument/2006/customXml" ds:itemID="{760B8555-B837-4751-B689-E03E81A2B07B}">
  <ds:schemaRefs>
    <ds:schemaRef ds:uri="http://schemas.microsoft.com/office/2006/metadata/longProperties"/>
  </ds:schemaRefs>
</ds:datastoreItem>
</file>

<file path=customXml/itemProps5.xml><?xml version="1.0" encoding="utf-8"?>
<ds:datastoreItem xmlns:ds="http://schemas.openxmlformats.org/officeDocument/2006/customXml" ds:itemID="{DEA2E0C7-28D6-4091-B82C-7CFC3BEFB339}">
  <ds:schemaRefs>
    <ds:schemaRef ds:uri="office.server.policy"/>
  </ds:schemaRefs>
</ds:datastoreItem>
</file>

<file path=customXml/itemProps6.xml><?xml version="1.0" encoding="utf-8"?>
<ds:datastoreItem xmlns:ds="http://schemas.openxmlformats.org/officeDocument/2006/customXml" ds:itemID="{114C8FCD-EFC9-4F6C-8819-552C6D179690}">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Quick Entry</vt:lpstr>
      <vt:lpstr>Material Return Form</vt:lpstr>
      <vt:lpstr>Shipping Label</vt:lpstr>
      <vt:lpstr>Background Info</vt:lpstr>
      <vt:lpstr>Analysis_Rep</vt:lpstr>
      <vt:lpstr>Category</vt:lpstr>
      <vt:lpstr>Location</vt:lpstr>
      <vt:lpstr>lst_Branch</vt:lpstr>
      <vt:lpstr>'Material Return Form'!Print_Area</vt:lpstr>
      <vt:lpstr>'Shipping Label'!Print_Area</vt:lpstr>
      <vt:lpstr>Project_WBS</vt:lpstr>
      <vt:lpstr>Return_Type</vt:lpstr>
      <vt:lpstr>RMA_or_RPO</vt:lpstr>
      <vt:lpstr>RSO</vt:lpstr>
      <vt:lpstr>Service_Order</vt:lpstr>
      <vt:lpstr>Shipping</vt:lpstr>
      <vt:lpstr>Third_Party_Type</vt:lpstr>
      <vt:lpstr>Tracking</vt:lpstr>
      <vt:lpstr>Units</vt:lpstr>
      <vt:lpstr>WarehouseDate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BT Material Return Form</dc:title>
  <dc:creator/>
  <cp:keywords>Material Return Form, factory returns, shipping label, warranty, third party returns, 3rd party returns, MRF, RPO, return product</cp:keywords>
  <cp:lastModifiedBy/>
  <dcterms:created xsi:type="dcterms:W3CDTF">2006-09-16T00:00:00Z</dcterms:created>
  <dcterms:modified xsi:type="dcterms:W3CDTF">2019-03-04T18:16:27Z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0x01010052DF770625CABB4995DA816243A4991505002AD298095E5EC84599BFDE06C689B380</vt:lpwstr>
  </property>
  <property fmtid="{D5CDD505-2E9C-101B-9397-08002B2CF9AE}" pid="3" name="Category">
    <vt:lpwstr>6</vt:lpwstr>
  </property>
  <property fmtid="{D5CDD505-2E9C-101B-9397-08002B2CF9AE}" pid="4" name="EmailTo">
    <vt:lpwstr/>
  </property>
  <property fmtid="{D5CDD505-2E9C-101B-9397-08002B2CF9AE}" pid="5" name="RMA / RPO #">
    <vt:lpwstr/>
  </property>
  <property fmtid="{D5CDD505-2E9C-101B-9397-08002B2CF9AE}" pid="6" name="EmailSender">
    <vt:lpwstr/>
  </property>
  <property fmtid="{D5CDD505-2E9C-101B-9397-08002B2CF9AE}" pid="7" name="EmailFrom">
    <vt:lpwstr/>
  </property>
  <property fmtid="{D5CDD505-2E9C-101B-9397-08002B2CF9AE}" pid="8" name="Location">
    <vt:lpwstr/>
  </property>
  <property fmtid="{D5CDD505-2E9C-101B-9397-08002B2CF9AE}" pid="9" name="EmailSubject">
    <vt:lpwstr/>
  </property>
  <property fmtid="{D5CDD505-2E9C-101B-9397-08002B2CF9AE}" pid="10" name="EmailCc">
    <vt:lpwstr/>
  </property>
  <property fmtid="{D5CDD505-2E9C-101B-9397-08002B2CF9AE}" pid="11" name="Tracking #">
    <vt:lpwstr/>
  </property>
  <property fmtid="{D5CDD505-2E9C-101B-9397-08002B2CF9AE}" pid="12" name="Archive">
    <vt:lpwstr>0</vt:lpwstr>
  </property>
  <property fmtid="{D5CDD505-2E9C-101B-9397-08002B2CF9AE}" pid="13" name="Time_Value4">
    <vt:lpwstr/>
  </property>
  <property fmtid="{D5CDD505-2E9C-101B-9397-08002B2CF9AE}" pid="14" name="Replace5">
    <vt:lpwstr>0</vt:lpwstr>
  </property>
  <property fmtid="{D5CDD505-2E9C-101B-9397-08002B2CF9AE}" pid="15" name="Part8">
    <vt:lpwstr/>
  </property>
  <property fmtid="{D5CDD505-2E9C-101B-9397-08002B2CF9AE}" pid="16" name="PO_Ship_Date">
    <vt:lpwstr/>
  </property>
  <property fmtid="{D5CDD505-2E9C-101B-9397-08002B2CF9AE}" pid="17" name="Under_150_1">
    <vt:lpwstr>0</vt:lpwstr>
  </property>
  <property fmtid="{D5CDD505-2E9C-101B-9397-08002B2CF9AE}" pid="18" name="Time_Value5">
    <vt:lpwstr/>
  </property>
  <property fmtid="{D5CDD505-2E9C-101B-9397-08002B2CF9AE}" pid="19" name="Qty2">
    <vt:lpwstr/>
  </property>
  <property fmtid="{D5CDD505-2E9C-101B-9397-08002B2CF9AE}" pid="20" name="Under_150_2">
    <vt:lpwstr>0</vt:lpwstr>
  </property>
  <property fmtid="{D5CDD505-2E9C-101B-9397-08002B2CF9AE}" pid="21" name="Time_Value6">
    <vt:lpwstr/>
  </property>
  <property fmtid="{D5CDD505-2E9C-101B-9397-08002B2CF9AE}" pid="22" name="Qty7">
    <vt:lpwstr/>
  </property>
  <property fmtid="{D5CDD505-2E9C-101B-9397-08002B2CF9AE}" pid="23" name="Qty8">
    <vt:lpwstr/>
  </property>
  <property fmtid="{D5CDD505-2E9C-101B-9397-08002B2CF9AE}" pid="24" name="Under_150_3">
    <vt:lpwstr>0</vt:lpwstr>
  </property>
  <property fmtid="{D5CDD505-2E9C-101B-9397-08002B2CF9AE}" pid="25" name="Descr7">
    <vt:lpwstr/>
  </property>
  <property fmtid="{D5CDD505-2E9C-101B-9397-08002B2CF9AE}" pid="26" name="Time_Value7">
    <vt:lpwstr/>
  </property>
  <property fmtid="{D5CDD505-2E9C-101B-9397-08002B2CF9AE}" pid="27" name="Tech_Phone">
    <vt:lpwstr/>
  </property>
  <property fmtid="{D5CDD505-2E9C-101B-9397-08002B2CF9AE}" pid="28" name="Replace3">
    <vt:lpwstr>0</vt:lpwstr>
  </property>
  <property fmtid="{D5CDD505-2E9C-101B-9397-08002B2CF9AE}" pid="29" name="Replace4">
    <vt:lpwstr>0</vt:lpwstr>
  </property>
  <property fmtid="{D5CDD505-2E9C-101B-9397-08002B2CF9AE}" pid="30" name="Time_Value1">
    <vt:lpwstr/>
  </property>
  <property fmtid="{D5CDD505-2E9C-101B-9397-08002B2CF9AE}" pid="31" name="Report">
    <vt:lpwstr>0</vt:lpwstr>
  </property>
  <property fmtid="{D5CDD505-2E9C-101B-9397-08002B2CF9AE}" pid="32" name="Alternate_Address">
    <vt:lpwstr/>
  </property>
  <property fmtid="{D5CDD505-2E9C-101B-9397-08002B2CF9AE}" pid="33" name="Time_Value2">
    <vt:lpwstr/>
  </property>
  <property fmtid="{D5CDD505-2E9C-101B-9397-08002B2CF9AE}" pid="34" name="Qty4">
    <vt:lpwstr/>
  </property>
  <property fmtid="{D5CDD505-2E9C-101B-9397-08002B2CF9AE}" pid="35" name="Qyt3">
    <vt:lpwstr/>
  </property>
  <property fmtid="{D5CDD505-2E9C-101B-9397-08002B2CF9AE}" pid="36" name="Descr3">
    <vt:lpwstr/>
  </property>
  <property fmtid="{D5CDD505-2E9C-101B-9397-08002B2CF9AE}" pid="37" name="Time_Value3">
    <vt:lpwstr/>
  </property>
  <property fmtid="{D5CDD505-2E9C-101B-9397-08002B2CF9AE}" pid="38" name="Descr6">
    <vt:lpwstr/>
  </property>
  <property fmtid="{D5CDD505-2E9C-101B-9397-08002B2CF9AE}" pid="39" name="Replace2">
    <vt:lpwstr>0</vt:lpwstr>
  </property>
  <property fmtid="{D5CDD505-2E9C-101B-9397-08002B2CF9AE}" pid="40" name="Part4">
    <vt:lpwstr/>
  </property>
  <property fmtid="{D5CDD505-2E9C-101B-9397-08002B2CF9AE}" pid="41" name="Replace7">
    <vt:lpwstr>0</vt:lpwstr>
  </property>
  <property fmtid="{D5CDD505-2E9C-101B-9397-08002B2CF9AE}" pid="42" name="Under_150_8">
    <vt:lpwstr>0</vt:lpwstr>
  </property>
  <property fmtid="{D5CDD505-2E9C-101B-9397-08002B2CF9AE}" pid="43" name="Part5">
    <vt:lpwstr/>
  </property>
  <property fmtid="{D5CDD505-2E9C-101B-9397-08002B2CF9AE}" pid="44" name="Shipping_Acct">
    <vt:lpwstr/>
  </property>
  <property fmtid="{D5CDD505-2E9C-101B-9397-08002B2CF9AE}" pid="45" name="Qty5">
    <vt:lpwstr/>
  </property>
  <property fmtid="{D5CDD505-2E9C-101B-9397-08002B2CF9AE}" pid="46" name="Part6">
    <vt:lpwstr/>
  </property>
  <property fmtid="{D5CDD505-2E9C-101B-9397-08002B2CF9AE}" pid="47" name="Descr2">
    <vt:lpwstr/>
  </property>
  <property fmtid="{D5CDD505-2E9C-101B-9397-08002B2CF9AE}" pid="48" name="Part7">
    <vt:lpwstr/>
  </property>
  <property fmtid="{D5CDD505-2E9C-101B-9397-08002B2CF9AE}" pid="49" name="Descr8">
    <vt:lpwstr/>
  </property>
  <property fmtid="{D5CDD505-2E9C-101B-9397-08002B2CF9AE}" pid="50" name="Technical Contact">
    <vt:lpwstr/>
  </property>
  <property fmtid="{D5CDD505-2E9C-101B-9397-08002B2CF9AE}" pid="51" name="Replace6">
    <vt:lpwstr>0</vt:lpwstr>
  </property>
  <property fmtid="{D5CDD505-2E9C-101B-9397-08002B2CF9AE}" pid="52" name="Replace8">
    <vt:lpwstr>0</vt:lpwstr>
  </property>
  <property fmtid="{D5CDD505-2E9C-101B-9397-08002B2CF9AE}" pid="53" name="Time_Value8">
    <vt:lpwstr/>
  </property>
  <property fmtid="{D5CDD505-2E9C-101B-9397-08002B2CF9AE}" pid="54" name="Part1">
    <vt:lpwstr/>
  </property>
  <property fmtid="{D5CDD505-2E9C-101B-9397-08002B2CF9AE}" pid="55" name="Tech_Support_SR_No">
    <vt:lpwstr/>
  </property>
  <property fmtid="{D5CDD505-2E9C-101B-9397-08002B2CF9AE}" pid="56" name="Reason">
    <vt:lpwstr/>
  </property>
  <property fmtid="{D5CDD505-2E9C-101B-9397-08002B2CF9AE}" pid="57" name="Qty1">
    <vt:lpwstr/>
  </property>
  <property fmtid="{D5CDD505-2E9C-101B-9397-08002B2CF9AE}" pid="58" name="Part2">
    <vt:lpwstr/>
  </property>
  <property fmtid="{D5CDD505-2E9C-101B-9397-08002B2CF9AE}" pid="59" name="Part3">
    <vt:lpwstr/>
  </property>
  <property fmtid="{D5CDD505-2E9C-101B-9397-08002B2CF9AE}" pid="60" name="Descr5">
    <vt:lpwstr/>
  </property>
  <property fmtid="{D5CDD505-2E9C-101B-9397-08002B2CF9AE}" pid="61" name="Replace1">
    <vt:lpwstr>0</vt:lpwstr>
  </property>
  <property fmtid="{D5CDD505-2E9C-101B-9397-08002B2CF9AE}" pid="62" name="Under_150_4">
    <vt:lpwstr>0</vt:lpwstr>
  </property>
  <property fmtid="{D5CDD505-2E9C-101B-9397-08002B2CF9AE}" pid="63" name="Under_150_5">
    <vt:lpwstr>0</vt:lpwstr>
  </property>
  <property fmtid="{D5CDD505-2E9C-101B-9397-08002B2CF9AE}" pid="64" name="Tech_Email">
    <vt:lpwstr/>
  </property>
  <property fmtid="{D5CDD505-2E9C-101B-9397-08002B2CF9AE}" pid="65" name="Qty6">
    <vt:lpwstr/>
  </property>
  <property fmtid="{D5CDD505-2E9C-101B-9397-08002B2CF9AE}" pid="66" name="Under_150_6">
    <vt:lpwstr>0</vt:lpwstr>
  </property>
  <property fmtid="{D5CDD505-2E9C-101B-9397-08002B2CF9AE}" pid="67" name="Return_Destroy">
    <vt:lpwstr/>
  </property>
  <property fmtid="{D5CDD505-2E9C-101B-9397-08002B2CF9AE}" pid="68" name="Descr1">
    <vt:lpwstr/>
  </property>
  <property fmtid="{D5CDD505-2E9C-101B-9397-08002B2CF9AE}" pid="69" name="Descr4">
    <vt:lpwstr/>
  </property>
  <property fmtid="{D5CDD505-2E9C-101B-9397-08002B2CF9AE}" pid="70" name="Under_150_7">
    <vt:lpwstr>0</vt:lpwstr>
  </property>
  <property fmtid="{D5CDD505-2E9C-101B-9397-08002B2CF9AE}" pid="71" name="Pickup_Date">
    <vt:lpwstr/>
  </property>
  <property fmtid="{D5CDD505-2E9C-101B-9397-08002B2CF9AE}" pid="72" name="Originator">
    <vt:lpwstr/>
  </property>
  <property fmtid="{D5CDD505-2E9C-101B-9397-08002B2CF9AE}" pid="73" name="Email">
    <vt:lpwstr/>
  </property>
  <property fmtid="{D5CDD505-2E9C-101B-9397-08002B2CF9AE}" pid="74" name="Project_WBS">
    <vt:lpwstr/>
  </property>
  <property fmtid="{D5CDD505-2E9C-101B-9397-08002B2CF9AE}" pid="75" name="Bulletin">
    <vt:lpwstr/>
  </property>
  <property fmtid="{D5CDD505-2E9C-101B-9397-08002B2CF9AE}" pid="76" name="Journal Entry">
    <vt:lpwstr/>
  </property>
  <property fmtid="{D5CDD505-2E9C-101B-9397-08002B2CF9AE}" pid="77" name="Channel">
    <vt:lpwstr>Sales Office</vt:lpwstr>
  </property>
  <property fmtid="{D5CDD505-2E9C-101B-9397-08002B2CF9AE}" pid="78" name="Customer_Name">
    <vt:lpwstr/>
  </property>
  <property fmtid="{D5CDD505-2E9C-101B-9397-08002B2CF9AE}" pid="79" name="Service_No">
    <vt:lpwstr/>
  </property>
  <property fmtid="{D5CDD505-2E9C-101B-9397-08002B2CF9AE}" pid="80" name="Sales_Office">
    <vt:lpwstr/>
  </property>
  <property fmtid="{D5CDD505-2E9C-101B-9397-08002B2CF9AE}" pid="81" name="ProjServ_Name">
    <vt:lpwstr/>
  </property>
  <property fmtid="{D5CDD505-2E9C-101B-9397-08002B2CF9AE}" pid="82" name="License Only 3">
    <vt:lpwstr>0</vt:lpwstr>
  </property>
  <property fmtid="{D5CDD505-2E9C-101B-9397-08002B2CF9AE}" pid="83" name="L12 Sales Order">
    <vt:lpwstr/>
  </property>
  <property fmtid="{D5CDD505-2E9C-101B-9397-08002B2CF9AE}" pid="84" name="License Only 2">
    <vt:lpwstr>0</vt:lpwstr>
  </property>
  <property fmtid="{D5CDD505-2E9C-101B-9397-08002B2CF9AE}" pid="85" name="Status">
    <vt:lpwstr/>
  </property>
  <property fmtid="{D5CDD505-2E9C-101B-9397-08002B2CF9AE}" pid="86" name="License Only 1">
    <vt:lpwstr>0</vt:lpwstr>
  </property>
  <property fmtid="{D5CDD505-2E9C-101B-9397-08002B2CF9AE}" pid="87" name="MRF Lookup">
    <vt:lpwstr/>
  </property>
  <property fmtid="{D5CDD505-2E9C-101B-9397-08002B2CF9AE}" pid="88" name="Created_">
    <vt:lpwstr/>
  </property>
  <property fmtid="{D5CDD505-2E9C-101B-9397-08002B2CF9AE}" pid="89" name="Received">
    <vt:lpwstr/>
  </property>
  <property fmtid="{D5CDD505-2E9C-101B-9397-08002B2CF9AE}" pid="90" name="SSS_Originator">
    <vt:lpwstr/>
  </property>
  <property fmtid="{D5CDD505-2E9C-101B-9397-08002B2CF9AE}" pid="91" name="Vendor RMA">
    <vt:lpwstr/>
  </property>
  <property fmtid="{D5CDD505-2E9C-101B-9397-08002B2CF9AE}" pid="92" name="Warehouse Date">
    <vt:lpwstr/>
  </property>
  <property fmtid="{D5CDD505-2E9C-101B-9397-08002B2CF9AE}" pid="93" name="SSS Date">
    <vt:lpwstr/>
  </property>
  <property fmtid="{D5CDD505-2E9C-101B-9397-08002B2CF9AE}" pid="94" name="Warehouse Email">
    <vt:lpwstr/>
  </property>
  <property fmtid="{D5CDD505-2E9C-101B-9397-08002B2CF9AE}" pid="95" name="Number of Packages">
    <vt:lpwstr/>
  </property>
  <property fmtid="{D5CDD505-2E9C-101B-9397-08002B2CF9AE}" pid="96" name="Shipping Notes">
    <vt:lpwstr/>
  </property>
  <property fmtid="{D5CDD505-2E9C-101B-9397-08002B2CF9AE}" pid="97" name="Link to Archive">
    <vt:lpwstr/>
  </property>
  <property fmtid="{D5CDD505-2E9C-101B-9397-08002B2CF9AE}" pid="98" name="Link to Status">
    <vt:lpwstr/>
  </property>
  <property fmtid="{D5CDD505-2E9C-101B-9397-08002B2CF9AE}" pid="99" name="Reference Document Number">
    <vt:lpwstr>B02_99_FM0006</vt:lpwstr>
  </property>
  <property fmtid="{D5CDD505-2E9C-101B-9397-08002B2CF9AE}" pid="100" name="display_urn:schemas-microsoft-com:office:office#Document_x0020_Author">
    <vt:lpwstr>Gorke, Mark</vt:lpwstr>
  </property>
  <property fmtid="{D5CDD505-2E9C-101B-9397-08002B2CF9AE}" pid="101" name="display_urn:schemas-microsoft-com:office:office#Editor">
    <vt:lpwstr>Marchant, Lance_w99sb9u0</vt:lpwstr>
  </property>
  <property fmtid="{D5CDD505-2E9C-101B-9397-08002B2CF9AE}" pid="102" name="Business Unit">
    <vt:lpwstr>1;#Building Technologies / All BUs</vt:lpwstr>
  </property>
  <property fmtid="{D5CDD505-2E9C-101B-9397-08002B2CF9AE}" pid="103" name="Order">
    <vt:lpwstr>49900.0000000000</vt:lpwstr>
  </property>
  <property fmtid="{D5CDD505-2E9C-101B-9397-08002B2CF9AE}" pid="104" name="display_urn:schemas-microsoft-com:office:office#Author">
    <vt:lpwstr>Marchant, Lance_w99sb9u0</vt:lpwstr>
  </property>
  <property fmtid="{D5CDD505-2E9C-101B-9397-08002B2CF9AE}" pid="105" name="Review Schedule">
    <vt:lpwstr>2015-08-15T00:00:00Z</vt:lpwstr>
  </property>
  <property fmtid="{D5CDD505-2E9C-101B-9397-08002B2CF9AE}" pid="106" name="Document Status">
    <vt:lpwstr>1</vt:lpwstr>
  </property>
  <property fmtid="{D5CDD505-2E9C-101B-9397-08002B2CF9AE}" pid="107" name="Owner">
    <vt:lpwstr>3559;#i:05.t|adfs|mark.gorke@siemens.com</vt:lpwstr>
  </property>
  <property fmtid="{D5CDD505-2E9C-101B-9397-08002B2CF9AE}" pid="108" name="Document Author">
    <vt:lpwstr>3559;#i:05.t|adfs|mark.gorke@siemens.com</vt:lpwstr>
  </property>
  <property fmtid="{D5CDD505-2E9C-101B-9397-08002B2CF9AE}" pid="109" name="Chapter">
    <vt:lpwstr>2</vt:lpwstr>
  </property>
  <property fmtid="{D5CDD505-2E9C-101B-9397-08002B2CF9AE}" pid="110" name="display_urn:schemas-microsoft-com:office:office#Owner">
    <vt:lpwstr>Gorke, Mark</vt:lpwstr>
  </property>
  <property fmtid="{D5CDD505-2E9C-101B-9397-08002B2CF9AE}" pid="111" name="Published Date">
    <vt:lpwstr>2014-09-10T00:00:00Z</vt:lpwstr>
  </property>
  <property fmtid="{D5CDD505-2E9C-101B-9397-08002B2CF9AE}" pid="112" name="Chapter No">
    <vt:lpwstr>2.99000000000000</vt:lpwstr>
  </property>
  <property fmtid="{D5CDD505-2E9C-101B-9397-08002B2CF9AE}" pid="113" name="Document Type">
    <vt:lpwstr>5</vt:lpwstr>
  </property>
  <property fmtid="{D5CDD505-2E9C-101B-9397-08002B2CF9AE}" pid="114" name="Friendly Name">
    <vt:lpwstr>BT Material Return Form</vt:lpwstr>
  </property>
  <property fmtid="{D5CDD505-2E9C-101B-9397-08002B2CF9AE}" pid="115" name="Location(s)">
    <vt:lpwstr/>
  </property>
  <property fmtid="{D5CDD505-2E9C-101B-9397-08002B2CF9AE}" pid="116" name="Classification">
    <vt:lpwstr>1</vt:lpwstr>
  </property>
  <property fmtid="{D5CDD505-2E9C-101B-9397-08002B2CF9AE}" pid="117" name="SII / Division">
    <vt:lpwstr>2;#Building Technologies</vt:lpwstr>
  </property>
  <property fmtid="{D5CDD505-2E9C-101B-9397-08002B2CF9AE}" pid="118" name="Group Function">
    <vt:lpwstr>2</vt:lpwstr>
  </property>
  <property fmtid="{D5CDD505-2E9C-101B-9397-08002B2CF9AE}" pid="119" name="Subcategory">
    <vt:lpwstr>91</vt:lpwstr>
  </property>
  <property fmtid="{D5CDD505-2E9C-101B-9397-08002B2CF9AE}" pid="120" name="Business Segment">
    <vt:lpwstr/>
  </property>
</Properties>
</file>