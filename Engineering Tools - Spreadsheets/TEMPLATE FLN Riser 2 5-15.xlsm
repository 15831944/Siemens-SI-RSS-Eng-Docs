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JOBS\0 - Engineering_Quality\Helpful Documents\Engineering Tools - Spreadsheets\"/>
    </mc:Choice>
  </mc:AlternateContent>
  <xr:revisionPtr revIDLastSave="0" documentId="8_{30E33677-14EE-4FC8-8331-EE58F17D98C6}" xr6:coauthVersionLast="40" xr6:coauthVersionMax="40" xr10:uidLastSave="{00000000-0000-0000-0000-000000000000}"/>
  <bookViews>
    <workbookView xWindow="2625" yWindow="2625" windowWidth="15000" windowHeight="13065" tabRatio="742" activeTab="3" xr2:uid="{00000000-000D-0000-FFFF-FFFF00000000}"/>
  </bookViews>
  <sheets>
    <sheet name="Joined" sheetId="8" r:id="rId1"/>
    <sheet name="PanelInstance" sheetId="15" r:id="rId2"/>
    <sheet name="ABT" sheetId="10" r:id="rId3"/>
    <sheet name="Schedule" sheetId="17" r:id="rId4"/>
  </sheets>
  <functionGroups builtInGroupCount="19"/>
  <definedNames>
    <definedName name="_xlnm._FilterDatabase" localSheetId="2" hidden="1">ABT!$A$1:$AI$348</definedName>
    <definedName name="_xlnm._FilterDatabase" localSheetId="0" hidden="1">Joined!$A$2:$J$349</definedName>
    <definedName name="_xlnm.Criteria" localSheetId="0">Joined!$J$3:$J$338</definedName>
    <definedName name="ExternalData_1" localSheetId="3" hidden="1">Schedule!$A$1:$J$571</definedName>
    <definedName name="Joined">Joined!$A$331:$K$1004</definedName>
    <definedName name="SchedMark">#REF!</definedName>
    <definedName name="Schedule">#REF!</definedName>
    <definedName name="SystemName">Joined!$I$331:$I$1004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9" i="17" l="1"/>
  <c r="B3" i="10" l="1"/>
  <c r="C3" i="10"/>
  <c r="R3" i="10" s="1"/>
  <c r="D3" i="10"/>
  <c r="E3" i="10"/>
  <c r="I3" i="10"/>
  <c r="K3" i="10"/>
  <c r="AE3" i="10"/>
  <c r="AF3" i="10"/>
  <c r="AG3" i="10"/>
  <c r="AH3" i="10"/>
  <c r="B4" i="10"/>
  <c r="C4" i="10"/>
  <c r="Z4" i="10" s="1"/>
  <c r="D4" i="10"/>
  <c r="E4" i="10"/>
  <c r="I4" i="10"/>
  <c r="K4" i="10"/>
  <c r="AE4" i="10"/>
  <c r="AF4" i="10"/>
  <c r="AG4" i="10"/>
  <c r="AH4" i="10"/>
  <c r="B5" i="10"/>
  <c r="C5" i="10"/>
  <c r="N5" i="10" s="1"/>
  <c r="D5" i="10"/>
  <c r="E5" i="10"/>
  <c r="I5" i="10"/>
  <c r="K5" i="10"/>
  <c r="AE5" i="10"/>
  <c r="AF5" i="10"/>
  <c r="AG5" i="10"/>
  <c r="AH5" i="10"/>
  <c r="B6" i="10"/>
  <c r="C6" i="10"/>
  <c r="N6" i="10" s="1"/>
  <c r="D6" i="10"/>
  <c r="E6" i="10"/>
  <c r="I6" i="10"/>
  <c r="K6" i="10"/>
  <c r="AE6" i="10"/>
  <c r="AF6" i="10"/>
  <c r="AG6" i="10"/>
  <c r="AH6" i="10"/>
  <c r="B7" i="10"/>
  <c r="C7" i="10"/>
  <c r="R7" i="10" s="1"/>
  <c r="D7" i="10"/>
  <c r="E7" i="10"/>
  <c r="I7" i="10"/>
  <c r="K7" i="10"/>
  <c r="AE7" i="10"/>
  <c r="AF7" i="10"/>
  <c r="AG7" i="10"/>
  <c r="AH7" i="10"/>
  <c r="B8" i="10"/>
  <c r="C8" i="10"/>
  <c r="R8" i="10" s="1"/>
  <c r="D8" i="10"/>
  <c r="E8" i="10"/>
  <c r="I8" i="10"/>
  <c r="K8" i="10"/>
  <c r="AE8" i="10"/>
  <c r="AF8" i="10"/>
  <c r="AG8" i="10"/>
  <c r="AH8" i="10"/>
  <c r="B9" i="10"/>
  <c r="C9" i="10"/>
  <c r="R9" i="10" s="1"/>
  <c r="D9" i="10"/>
  <c r="E9" i="10"/>
  <c r="I9" i="10"/>
  <c r="K9" i="10"/>
  <c r="AE9" i="10"/>
  <c r="AF9" i="10"/>
  <c r="AG9" i="10"/>
  <c r="AH9" i="10"/>
  <c r="B10" i="10"/>
  <c r="C10" i="10"/>
  <c r="V10" i="10" s="1"/>
  <c r="D10" i="10"/>
  <c r="E10" i="10"/>
  <c r="I10" i="10"/>
  <c r="K10" i="10"/>
  <c r="AE10" i="10"/>
  <c r="AF10" i="10"/>
  <c r="AG10" i="10"/>
  <c r="AH10" i="10"/>
  <c r="B11" i="10"/>
  <c r="C11" i="10"/>
  <c r="Y11" i="10" s="1"/>
  <c r="D11" i="10"/>
  <c r="E11" i="10"/>
  <c r="I11" i="10"/>
  <c r="K11" i="10"/>
  <c r="AE11" i="10"/>
  <c r="AF11" i="10"/>
  <c r="AG11" i="10"/>
  <c r="AH11" i="10"/>
  <c r="B12" i="10"/>
  <c r="C12" i="10"/>
  <c r="R12" i="10" s="1"/>
  <c r="D12" i="10"/>
  <c r="E12" i="10"/>
  <c r="I12" i="10"/>
  <c r="K12" i="10"/>
  <c r="AE12" i="10"/>
  <c r="AF12" i="10"/>
  <c r="AG12" i="10"/>
  <c r="AH12" i="10"/>
  <c r="B13" i="10"/>
  <c r="C13" i="10"/>
  <c r="W13" i="10" s="1"/>
  <c r="D13" i="10"/>
  <c r="E13" i="10"/>
  <c r="I13" i="10"/>
  <c r="K13" i="10"/>
  <c r="AE13" i="10"/>
  <c r="AF13" i="10"/>
  <c r="AG13" i="10"/>
  <c r="AH13" i="10"/>
  <c r="B14" i="10"/>
  <c r="C14" i="10"/>
  <c r="Z14" i="10" s="1"/>
  <c r="D14" i="10"/>
  <c r="E14" i="10"/>
  <c r="I14" i="10"/>
  <c r="K14" i="10"/>
  <c r="AE14" i="10"/>
  <c r="AF14" i="10"/>
  <c r="AG14" i="10"/>
  <c r="AH14" i="10"/>
  <c r="B15" i="10"/>
  <c r="C15" i="10"/>
  <c r="X15" i="10" s="1"/>
  <c r="D15" i="10"/>
  <c r="E15" i="10"/>
  <c r="I15" i="10"/>
  <c r="K15" i="10"/>
  <c r="AE15" i="10"/>
  <c r="AF15" i="10"/>
  <c r="AG15" i="10"/>
  <c r="AH15" i="10"/>
  <c r="B16" i="10"/>
  <c r="C16" i="10"/>
  <c r="AD16" i="10" s="1"/>
  <c r="D16" i="10"/>
  <c r="E16" i="10"/>
  <c r="I16" i="10"/>
  <c r="K16" i="10"/>
  <c r="AE16" i="10"/>
  <c r="AF16" i="10"/>
  <c r="AG16" i="10"/>
  <c r="AH16" i="10"/>
  <c r="B17" i="10"/>
  <c r="C17" i="10"/>
  <c r="U17" i="10" s="1"/>
  <c r="D17" i="10"/>
  <c r="E17" i="10"/>
  <c r="I17" i="10"/>
  <c r="K17" i="10"/>
  <c r="AE17" i="10"/>
  <c r="AF17" i="10"/>
  <c r="AG17" i="10"/>
  <c r="AH17" i="10"/>
  <c r="B18" i="10"/>
  <c r="C18" i="10"/>
  <c r="V18" i="10" s="1"/>
  <c r="D18" i="10"/>
  <c r="E18" i="10"/>
  <c r="I18" i="10"/>
  <c r="K18" i="10"/>
  <c r="AE18" i="10"/>
  <c r="AF18" i="10"/>
  <c r="AG18" i="10"/>
  <c r="AH18" i="10"/>
  <c r="B19" i="10"/>
  <c r="C19" i="10"/>
  <c r="Q19" i="10" s="1"/>
  <c r="D19" i="10"/>
  <c r="E19" i="10"/>
  <c r="I19" i="10"/>
  <c r="K19" i="10"/>
  <c r="AE19" i="10"/>
  <c r="AF19" i="10"/>
  <c r="AG19" i="10"/>
  <c r="AH19" i="10"/>
  <c r="B20" i="10"/>
  <c r="C20" i="10"/>
  <c r="D20" i="10"/>
  <c r="E20" i="10"/>
  <c r="I20" i="10"/>
  <c r="K20" i="10"/>
  <c r="AE20" i="10"/>
  <c r="AF20" i="10"/>
  <c r="AG20" i="10"/>
  <c r="AH20" i="10"/>
  <c r="B21" i="10"/>
  <c r="C21" i="10"/>
  <c r="O21" i="10" s="1"/>
  <c r="D21" i="10"/>
  <c r="E21" i="10"/>
  <c r="I21" i="10"/>
  <c r="K21" i="10"/>
  <c r="AE21" i="10"/>
  <c r="AF21" i="10"/>
  <c r="AG21" i="10"/>
  <c r="AH21" i="10"/>
  <c r="B22" i="10"/>
  <c r="C22" i="10"/>
  <c r="U22" i="10" s="1"/>
  <c r="D22" i="10"/>
  <c r="E22" i="10"/>
  <c r="I22" i="10"/>
  <c r="K22" i="10"/>
  <c r="AE22" i="10"/>
  <c r="AF22" i="10"/>
  <c r="AG22" i="10"/>
  <c r="AH22" i="10"/>
  <c r="B23" i="10"/>
  <c r="C23" i="10"/>
  <c r="Q23" i="10" s="1"/>
  <c r="D23" i="10"/>
  <c r="E23" i="10"/>
  <c r="I23" i="10"/>
  <c r="K23" i="10"/>
  <c r="AE23" i="10"/>
  <c r="AF23" i="10"/>
  <c r="AG23" i="10"/>
  <c r="AH23" i="10"/>
  <c r="B24" i="10"/>
  <c r="C24" i="10"/>
  <c r="AD24" i="10" s="1"/>
  <c r="D24" i="10"/>
  <c r="E24" i="10"/>
  <c r="I24" i="10"/>
  <c r="K24" i="10"/>
  <c r="AE24" i="10"/>
  <c r="AF24" i="10"/>
  <c r="AG24" i="10"/>
  <c r="AH24" i="10"/>
  <c r="B25" i="10"/>
  <c r="C25" i="10"/>
  <c r="U25" i="10" s="1"/>
  <c r="D25" i="10"/>
  <c r="E25" i="10"/>
  <c r="I25" i="10"/>
  <c r="K25" i="10"/>
  <c r="AE25" i="10"/>
  <c r="AF25" i="10"/>
  <c r="AG25" i="10"/>
  <c r="AH25" i="10"/>
  <c r="B26" i="10"/>
  <c r="C26" i="10"/>
  <c r="D26" i="10"/>
  <c r="E26" i="10"/>
  <c r="I26" i="10"/>
  <c r="K26" i="10"/>
  <c r="AE26" i="10"/>
  <c r="AF26" i="10"/>
  <c r="AG26" i="10"/>
  <c r="AH26" i="10"/>
  <c r="B27" i="10"/>
  <c r="C27" i="10"/>
  <c r="Y27" i="10" s="1"/>
  <c r="D27" i="10"/>
  <c r="E27" i="10"/>
  <c r="I27" i="10"/>
  <c r="K27" i="10"/>
  <c r="AE27" i="10"/>
  <c r="AF27" i="10"/>
  <c r="AG27" i="10"/>
  <c r="AH27" i="10"/>
  <c r="B28" i="10"/>
  <c r="C28" i="10"/>
  <c r="D28" i="10"/>
  <c r="E28" i="10"/>
  <c r="I28" i="10"/>
  <c r="K28" i="10"/>
  <c r="AE28" i="10"/>
  <c r="AF28" i="10"/>
  <c r="AG28" i="10"/>
  <c r="AH28" i="10"/>
  <c r="B29" i="10"/>
  <c r="C29" i="10"/>
  <c r="D29" i="10"/>
  <c r="E29" i="10"/>
  <c r="I29" i="10"/>
  <c r="K29" i="10"/>
  <c r="AE29" i="10"/>
  <c r="AF29" i="10"/>
  <c r="AG29" i="10"/>
  <c r="AH29" i="10"/>
  <c r="B30" i="10"/>
  <c r="C30" i="10"/>
  <c r="AD30" i="10" s="1"/>
  <c r="D30" i="10"/>
  <c r="E30" i="10"/>
  <c r="I30" i="10"/>
  <c r="K30" i="10"/>
  <c r="AE30" i="10"/>
  <c r="AF30" i="10"/>
  <c r="AG30" i="10"/>
  <c r="AH30" i="10"/>
  <c r="B31" i="10"/>
  <c r="C31" i="10"/>
  <c r="X31" i="10" s="1"/>
  <c r="D31" i="10"/>
  <c r="E31" i="10"/>
  <c r="I31" i="10"/>
  <c r="K31" i="10"/>
  <c r="AE31" i="10"/>
  <c r="AF31" i="10"/>
  <c r="AG31" i="10"/>
  <c r="AH31" i="10"/>
  <c r="B32" i="10"/>
  <c r="C32" i="10"/>
  <c r="Q32" i="10" s="1"/>
  <c r="D32" i="10"/>
  <c r="E32" i="10"/>
  <c r="I32" i="10"/>
  <c r="K32" i="10"/>
  <c r="AE32" i="10"/>
  <c r="AF32" i="10"/>
  <c r="AG32" i="10"/>
  <c r="AH32" i="10"/>
  <c r="B33" i="10"/>
  <c r="C33" i="10"/>
  <c r="D33" i="10"/>
  <c r="E33" i="10"/>
  <c r="I33" i="10"/>
  <c r="K33" i="10"/>
  <c r="AE33" i="10"/>
  <c r="AF33" i="10"/>
  <c r="AG33" i="10"/>
  <c r="AH33" i="10"/>
  <c r="B34" i="10"/>
  <c r="C34" i="10"/>
  <c r="AD34" i="10" s="1"/>
  <c r="D34" i="10"/>
  <c r="E34" i="10"/>
  <c r="I34" i="10"/>
  <c r="K34" i="10"/>
  <c r="AE34" i="10"/>
  <c r="AF34" i="10"/>
  <c r="AG34" i="10"/>
  <c r="AH34" i="10"/>
  <c r="B35" i="10"/>
  <c r="C35" i="10"/>
  <c r="O35" i="10" s="1"/>
  <c r="D35" i="10"/>
  <c r="E35" i="10"/>
  <c r="I35" i="10"/>
  <c r="K35" i="10"/>
  <c r="AE35" i="10"/>
  <c r="AF35" i="10"/>
  <c r="AG35" i="10"/>
  <c r="AH35" i="10"/>
  <c r="B36" i="10"/>
  <c r="C36" i="10"/>
  <c r="D36" i="10"/>
  <c r="E36" i="10"/>
  <c r="I36" i="10"/>
  <c r="K36" i="10"/>
  <c r="AE36" i="10"/>
  <c r="AF36" i="10"/>
  <c r="AG36" i="10"/>
  <c r="AH36" i="10"/>
  <c r="B37" i="10"/>
  <c r="C37" i="10"/>
  <c r="D37" i="10"/>
  <c r="E37" i="10"/>
  <c r="I37" i="10"/>
  <c r="K37" i="10"/>
  <c r="AE37" i="10"/>
  <c r="AF37" i="10"/>
  <c r="AG37" i="10"/>
  <c r="AH37" i="10"/>
  <c r="B38" i="10"/>
  <c r="C38" i="10"/>
  <c r="AD38" i="10" s="1"/>
  <c r="D38" i="10"/>
  <c r="E38" i="10"/>
  <c r="I38" i="10"/>
  <c r="K38" i="10"/>
  <c r="AE38" i="10"/>
  <c r="AF38" i="10"/>
  <c r="AG38" i="10"/>
  <c r="AH38" i="10"/>
  <c r="B39" i="10"/>
  <c r="C39" i="10"/>
  <c r="T39" i="10" s="1"/>
  <c r="D39" i="10"/>
  <c r="E39" i="10"/>
  <c r="I39" i="10"/>
  <c r="K39" i="10"/>
  <c r="AE39" i="10"/>
  <c r="AF39" i="10"/>
  <c r="AG39" i="10"/>
  <c r="AH39" i="10"/>
  <c r="B40" i="10"/>
  <c r="C40" i="10"/>
  <c r="S40" i="10" s="1"/>
  <c r="D40" i="10"/>
  <c r="E40" i="10"/>
  <c r="I40" i="10"/>
  <c r="K40" i="10"/>
  <c r="AE40" i="10"/>
  <c r="AF40" i="10"/>
  <c r="AG40" i="10"/>
  <c r="AH40" i="10"/>
  <c r="B41" i="10"/>
  <c r="C41" i="10"/>
  <c r="T41" i="10" s="1"/>
  <c r="D41" i="10"/>
  <c r="E41" i="10"/>
  <c r="I41" i="10"/>
  <c r="K41" i="10"/>
  <c r="AE41" i="10"/>
  <c r="AF41" i="10"/>
  <c r="AG41" i="10"/>
  <c r="AH41" i="10"/>
  <c r="B42" i="10"/>
  <c r="C42" i="10"/>
  <c r="U42" i="10" s="1"/>
  <c r="D42" i="10"/>
  <c r="E42" i="10"/>
  <c r="I42" i="10"/>
  <c r="K42" i="10"/>
  <c r="AE42" i="10"/>
  <c r="AF42" i="10"/>
  <c r="AG42" i="10"/>
  <c r="AH42" i="10"/>
  <c r="B43" i="10"/>
  <c r="C43" i="10"/>
  <c r="Y43" i="10" s="1"/>
  <c r="D43" i="10"/>
  <c r="E43" i="10"/>
  <c r="I43" i="10"/>
  <c r="K43" i="10"/>
  <c r="AE43" i="10"/>
  <c r="AF43" i="10"/>
  <c r="AG43" i="10"/>
  <c r="AH43" i="10"/>
  <c r="B44" i="10"/>
  <c r="C44" i="10"/>
  <c r="U44" i="10" s="1"/>
  <c r="D44" i="10"/>
  <c r="E44" i="10"/>
  <c r="I44" i="10"/>
  <c r="K44" i="10"/>
  <c r="AE44" i="10"/>
  <c r="AF44" i="10"/>
  <c r="AG44" i="10"/>
  <c r="AH44" i="10"/>
  <c r="B45" i="10"/>
  <c r="C45" i="10"/>
  <c r="D45" i="10"/>
  <c r="E45" i="10"/>
  <c r="I45" i="10"/>
  <c r="K45" i="10"/>
  <c r="AE45" i="10"/>
  <c r="AF45" i="10"/>
  <c r="AG45" i="10"/>
  <c r="AH45" i="10"/>
  <c r="B46" i="10"/>
  <c r="C46" i="10"/>
  <c r="D46" i="10"/>
  <c r="E46" i="10"/>
  <c r="I46" i="10"/>
  <c r="K46" i="10"/>
  <c r="AE46" i="10"/>
  <c r="AF46" i="10"/>
  <c r="AG46" i="10"/>
  <c r="AH46" i="10"/>
  <c r="B47" i="10"/>
  <c r="C47" i="10"/>
  <c r="O47" i="10" s="1"/>
  <c r="D47" i="10"/>
  <c r="E47" i="10"/>
  <c r="I47" i="10"/>
  <c r="K47" i="10"/>
  <c r="AE47" i="10"/>
  <c r="AF47" i="10"/>
  <c r="AG47" i="10"/>
  <c r="AH47" i="10"/>
  <c r="B48" i="10"/>
  <c r="C48" i="10"/>
  <c r="AD48" i="10" s="1"/>
  <c r="D48" i="10"/>
  <c r="E48" i="10"/>
  <c r="I48" i="10"/>
  <c r="K48" i="10"/>
  <c r="AE48" i="10"/>
  <c r="AF48" i="10"/>
  <c r="AG48" i="10"/>
  <c r="AH48" i="10"/>
  <c r="B49" i="10"/>
  <c r="C49" i="10"/>
  <c r="W49" i="10" s="1"/>
  <c r="D49" i="10"/>
  <c r="E49" i="10"/>
  <c r="I49" i="10"/>
  <c r="K49" i="10"/>
  <c r="AE49" i="10"/>
  <c r="AF49" i="10"/>
  <c r="AG49" i="10"/>
  <c r="AH49" i="10"/>
  <c r="B50" i="10"/>
  <c r="C50" i="10"/>
  <c r="O50" i="10" s="1"/>
  <c r="D50" i="10"/>
  <c r="E50" i="10"/>
  <c r="I50" i="10"/>
  <c r="K50" i="10"/>
  <c r="AE50" i="10"/>
  <c r="AF50" i="10"/>
  <c r="AG50" i="10"/>
  <c r="AH50" i="10"/>
  <c r="B51" i="10"/>
  <c r="C51" i="10"/>
  <c r="O51" i="10" s="1"/>
  <c r="D51" i="10"/>
  <c r="E51" i="10"/>
  <c r="I51" i="10"/>
  <c r="K51" i="10"/>
  <c r="AE51" i="10"/>
  <c r="AF51" i="10"/>
  <c r="AG51" i="10"/>
  <c r="AH51" i="10"/>
  <c r="B52" i="10"/>
  <c r="C52" i="10"/>
  <c r="O52" i="10" s="1"/>
  <c r="D52" i="10"/>
  <c r="E52" i="10"/>
  <c r="I52" i="10"/>
  <c r="K52" i="10"/>
  <c r="AE52" i="10"/>
  <c r="AF52" i="10"/>
  <c r="AG52" i="10"/>
  <c r="AH52" i="10"/>
  <c r="B53" i="10"/>
  <c r="C53" i="10"/>
  <c r="D53" i="10"/>
  <c r="E53" i="10"/>
  <c r="I53" i="10"/>
  <c r="K53" i="10"/>
  <c r="AE53" i="10"/>
  <c r="AF53" i="10"/>
  <c r="AG53" i="10"/>
  <c r="AH53" i="10"/>
  <c r="B54" i="10"/>
  <c r="C54" i="10"/>
  <c r="S54" i="10" s="1"/>
  <c r="D54" i="10"/>
  <c r="E54" i="10"/>
  <c r="I54" i="10"/>
  <c r="K54" i="10"/>
  <c r="AE54" i="10"/>
  <c r="AF54" i="10"/>
  <c r="AG54" i="10"/>
  <c r="AH54" i="10"/>
  <c r="B55" i="10"/>
  <c r="C55" i="10"/>
  <c r="T55" i="10" s="1"/>
  <c r="D55" i="10"/>
  <c r="E55" i="10"/>
  <c r="I55" i="10"/>
  <c r="K55" i="10"/>
  <c r="AE55" i="10"/>
  <c r="AF55" i="10"/>
  <c r="AG55" i="10"/>
  <c r="AH55" i="10"/>
  <c r="B56" i="10"/>
  <c r="C56" i="10"/>
  <c r="D56" i="10"/>
  <c r="E56" i="10"/>
  <c r="I56" i="10"/>
  <c r="K56" i="10"/>
  <c r="AE56" i="10"/>
  <c r="AF56" i="10"/>
  <c r="AG56" i="10"/>
  <c r="AH56" i="10"/>
  <c r="B57" i="10"/>
  <c r="C57" i="10"/>
  <c r="Y57" i="10" s="1"/>
  <c r="D57" i="10"/>
  <c r="E57" i="10"/>
  <c r="I57" i="10"/>
  <c r="K57" i="10"/>
  <c r="AE57" i="10"/>
  <c r="AF57" i="10"/>
  <c r="AG57" i="10"/>
  <c r="AH57" i="10"/>
  <c r="B58" i="10"/>
  <c r="C58" i="10"/>
  <c r="Q58" i="10" s="1"/>
  <c r="D58" i="10"/>
  <c r="E58" i="10"/>
  <c r="I58" i="10"/>
  <c r="K58" i="10"/>
  <c r="AE58" i="10"/>
  <c r="AF58" i="10"/>
  <c r="AG58" i="10"/>
  <c r="AH58" i="10"/>
  <c r="B59" i="10"/>
  <c r="C59" i="10"/>
  <c r="U59" i="10" s="1"/>
  <c r="D59" i="10"/>
  <c r="E59" i="10"/>
  <c r="I59" i="10"/>
  <c r="K59" i="10"/>
  <c r="AE59" i="10"/>
  <c r="AF59" i="10"/>
  <c r="AG59" i="10"/>
  <c r="AH59" i="10"/>
  <c r="B60" i="10"/>
  <c r="C60" i="10"/>
  <c r="U60" i="10" s="1"/>
  <c r="D60" i="10"/>
  <c r="E60" i="10"/>
  <c r="I60" i="10"/>
  <c r="K60" i="10"/>
  <c r="AE60" i="10"/>
  <c r="AF60" i="10"/>
  <c r="AG60" i="10"/>
  <c r="AH60" i="10"/>
  <c r="B61" i="10"/>
  <c r="C61" i="10"/>
  <c r="X61" i="10" s="1"/>
  <c r="D61" i="10"/>
  <c r="E61" i="10"/>
  <c r="I61" i="10"/>
  <c r="K61" i="10"/>
  <c r="AE61" i="10"/>
  <c r="AF61" i="10"/>
  <c r="AG61" i="10"/>
  <c r="AH61" i="10"/>
  <c r="B62" i="10"/>
  <c r="C62" i="10"/>
  <c r="D62" i="10"/>
  <c r="E62" i="10"/>
  <c r="I62" i="10"/>
  <c r="K62" i="10"/>
  <c r="AE62" i="10"/>
  <c r="AF62" i="10"/>
  <c r="AG62" i="10"/>
  <c r="AH62" i="10"/>
  <c r="B63" i="10"/>
  <c r="C63" i="10"/>
  <c r="Y63" i="10" s="1"/>
  <c r="D63" i="10"/>
  <c r="E63" i="10"/>
  <c r="I63" i="10"/>
  <c r="K63" i="10"/>
  <c r="AE63" i="10"/>
  <c r="AF63" i="10"/>
  <c r="AG63" i="10"/>
  <c r="AH63" i="10"/>
  <c r="B64" i="10"/>
  <c r="C64" i="10"/>
  <c r="AD64" i="10" s="1"/>
  <c r="D64" i="10"/>
  <c r="E64" i="10"/>
  <c r="I64" i="10"/>
  <c r="K64" i="10"/>
  <c r="AE64" i="10"/>
  <c r="AF64" i="10"/>
  <c r="AG64" i="10"/>
  <c r="AH64" i="10"/>
  <c r="B65" i="10"/>
  <c r="C65" i="10"/>
  <c r="D65" i="10"/>
  <c r="E65" i="10"/>
  <c r="I65" i="10"/>
  <c r="K65" i="10"/>
  <c r="AE65" i="10"/>
  <c r="AF65" i="10"/>
  <c r="AG65" i="10"/>
  <c r="AH65" i="10"/>
  <c r="B66" i="10"/>
  <c r="C66" i="10"/>
  <c r="O66" i="10" s="1"/>
  <c r="D66" i="10"/>
  <c r="E66" i="10"/>
  <c r="I66" i="10"/>
  <c r="K66" i="10"/>
  <c r="AE66" i="10"/>
  <c r="AF66" i="10"/>
  <c r="AG66" i="10"/>
  <c r="AH66" i="10"/>
  <c r="B67" i="10"/>
  <c r="C67" i="10"/>
  <c r="D67" i="10"/>
  <c r="E67" i="10"/>
  <c r="I67" i="10"/>
  <c r="K67" i="10"/>
  <c r="AE67" i="10"/>
  <c r="AF67" i="10"/>
  <c r="AG67" i="10"/>
  <c r="AH67" i="10"/>
  <c r="B68" i="10"/>
  <c r="C68" i="10"/>
  <c r="U68" i="10" s="1"/>
  <c r="D68" i="10"/>
  <c r="E68" i="10"/>
  <c r="I68" i="10"/>
  <c r="K68" i="10"/>
  <c r="AE68" i="10"/>
  <c r="AF68" i="10"/>
  <c r="AG68" i="10"/>
  <c r="AH68" i="10"/>
  <c r="B69" i="10"/>
  <c r="C69" i="10"/>
  <c r="D69" i="10"/>
  <c r="E69" i="10"/>
  <c r="I69" i="10"/>
  <c r="K69" i="10"/>
  <c r="AE69" i="10"/>
  <c r="AF69" i="10"/>
  <c r="AG69" i="10"/>
  <c r="AH69" i="10"/>
  <c r="B70" i="10"/>
  <c r="C70" i="10"/>
  <c r="U70" i="10" s="1"/>
  <c r="D70" i="10"/>
  <c r="E70" i="10"/>
  <c r="I70" i="10"/>
  <c r="K70" i="10"/>
  <c r="AE70" i="10"/>
  <c r="AF70" i="10"/>
  <c r="AG70" i="10"/>
  <c r="AH70" i="10"/>
  <c r="B71" i="10"/>
  <c r="C71" i="10"/>
  <c r="T71" i="10" s="1"/>
  <c r="D71" i="10"/>
  <c r="E71" i="10"/>
  <c r="I71" i="10"/>
  <c r="K71" i="10"/>
  <c r="AE71" i="10"/>
  <c r="AF71" i="10"/>
  <c r="AG71" i="10"/>
  <c r="AH71" i="10"/>
  <c r="B72" i="10"/>
  <c r="C72" i="10"/>
  <c r="S72" i="10" s="1"/>
  <c r="D72" i="10"/>
  <c r="E72" i="10"/>
  <c r="I72" i="10"/>
  <c r="K72" i="10"/>
  <c r="AE72" i="10"/>
  <c r="AF72" i="10"/>
  <c r="AG72" i="10"/>
  <c r="AH72" i="10"/>
  <c r="B73" i="10"/>
  <c r="C73" i="10"/>
  <c r="D73" i="10"/>
  <c r="E73" i="10"/>
  <c r="I73" i="10"/>
  <c r="K73" i="10"/>
  <c r="AE73" i="10"/>
  <c r="AF73" i="10"/>
  <c r="AG73" i="10"/>
  <c r="AH73" i="10"/>
  <c r="B74" i="10"/>
  <c r="C74" i="10"/>
  <c r="T74" i="10" s="1"/>
  <c r="D74" i="10"/>
  <c r="E74" i="10"/>
  <c r="I74" i="10"/>
  <c r="K74" i="10"/>
  <c r="AE74" i="10"/>
  <c r="AF74" i="10"/>
  <c r="AG74" i="10"/>
  <c r="AH74" i="10"/>
  <c r="B75" i="10"/>
  <c r="C75" i="10"/>
  <c r="W75" i="10" s="1"/>
  <c r="D75" i="10"/>
  <c r="E75" i="10"/>
  <c r="I75" i="10"/>
  <c r="K75" i="10"/>
  <c r="AE75" i="10"/>
  <c r="AF75" i="10"/>
  <c r="AG75" i="10"/>
  <c r="AH75" i="10"/>
  <c r="B76" i="10"/>
  <c r="C76" i="10"/>
  <c r="AD76" i="10" s="1"/>
  <c r="D76" i="10"/>
  <c r="E76" i="10"/>
  <c r="I76" i="10"/>
  <c r="K76" i="10"/>
  <c r="AE76" i="10"/>
  <c r="AF76" i="10"/>
  <c r="AG76" i="10"/>
  <c r="AH76" i="10"/>
  <c r="B77" i="10"/>
  <c r="C77" i="10"/>
  <c r="D77" i="10"/>
  <c r="E77" i="10"/>
  <c r="I77" i="10"/>
  <c r="K77" i="10"/>
  <c r="AE77" i="10"/>
  <c r="AF77" i="10"/>
  <c r="AG77" i="10"/>
  <c r="AH77" i="10"/>
  <c r="B78" i="10"/>
  <c r="C78" i="10"/>
  <c r="D78" i="10"/>
  <c r="E78" i="10"/>
  <c r="I78" i="10"/>
  <c r="K78" i="10"/>
  <c r="AE78" i="10"/>
  <c r="AF78" i="10"/>
  <c r="AG78" i="10"/>
  <c r="AH78" i="10"/>
  <c r="B79" i="10"/>
  <c r="C79" i="10"/>
  <c r="Y79" i="10" s="1"/>
  <c r="D79" i="10"/>
  <c r="E79" i="10"/>
  <c r="I79" i="10"/>
  <c r="K79" i="10"/>
  <c r="AE79" i="10"/>
  <c r="AF79" i="10"/>
  <c r="AG79" i="10"/>
  <c r="AH79" i="10"/>
  <c r="B80" i="10"/>
  <c r="C80" i="10"/>
  <c r="AD80" i="10" s="1"/>
  <c r="D80" i="10"/>
  <c r="E80" i="10"/>
  <c r="I80" i="10"/>
  <c r="K80" i="10"/>
  <c r="AE80" i="10"/>
  <c r="AF80" i="10"/>
  <c r="AG80" i="10"/>
  <c r="AH80" i="10"/>
  <c r="B81" i="10"/>
  <c r="C81" i="10"/>
  <c r="D81" i="10"/>
  <c r="E81" i="10"/>
  <c r="I81" i="10"/>
  <c r="K81" i="10"/>
  <c r="AE81" i="10"/>
  <c r="AF81" i="10"/>
  <c r="AG81" i="10"/>
  <c r="AH81" i="10"/>
  <c r="B82" i="10"/>
  <c r="C82" i="10"/>
  <c r="D82" i="10"/>
  <c r="E82" i="10"/>
  <c r="I82" i="10"/>
  <c r="K82" i="10"/>
  <c r="AE82" i="10"/>
  <c r="AF82" i="10"/>
  <c r="AG82" i="10"/>
  <c r="AH82" i="10"/>
  <c r="B83" i="10"/>
  <c r="C83" i="10"/>
  <c r="O83" i="10" s="1"/>
  <c r="D83" i="10"/>
  <c r="E83" i="10"/>
  <c r="I83" i="10"/>
  <c r="K83" i="10"/>
  <c r="AE83" i="10"/>
  <c r="AF83" i="10"/>
  <c r="AG83" i="10"/>
  <c r="AH83" i="10"/>
  <c r="B84" i="10"/>
  <c r="C84" i="10"/>
  <c r="D84" i="10"/>
  <c r="E84" i="10"/>
  <c r="I84" i="10"/>
  <c r="K84" i="10"/>
  <c r="AE84" i="10"/>
  <c r="AF84" i="10"/>
  <c r="AG84" i="10"/>
  <c r="AH84" i="10"/>
  <c r="B85" i="10"/>
  <c r="C85" i="10"/>
  <c r="W85" i="10" s="1"/>
  <c r="D85" i="10"/>
  <c r="E85" i="10"/>
  <c r="I85" i="10"/>
  <c r="K85" i="10"/>
  <c r="AE85" i="10"/>
  <c r="AF85" i="10"/>
  <c r="AG85" i="10"/>
  <c r="AH85" i="10"/>
  <c r="B86" i="10"/>
  <c r="C86" i="10"/>
  <c r="U86" i="10" s="1"/>
  <c r="D86" i="10"/>
  <c r="E86" i="10"/>
  <c r="I86" i="10"/>
  <c r="K86" i="10"/>
  <c r="AE86" i="10"/>
  <c r="AF86" i="10"/>
  <c r="AG86" i="10"/>
  <c r="AH86" i="10"/>
  <c r="B87" i="10"/>
  <c r="C87" i="10"/>
  <c r="Q87" i="10" s="1"/>
  <c r="D87" i="10"/>
  <c r="E87" i="10"/>
  <c r="I87" i="10"/>
  <c r="K87" i="10"/>
  <c r="AE87" i="10"/>
  <c r="AF87" i="10"/>
  <c r="AG87" i="10"/>
  <c r="AH87" i="10"/>
  <c r="B88" i="10"/>
  <c r="C88" i="10"/>
  <c r="AD88" i="10" s="1"/>
  <c r="D88" i="10"/>
  <c r="E88" i="10"/>
  <c r="I88" i="10"/>
  <c r="K88" i="10"/>
  <c r="AE88" i="10"/>
  <c r="AF88" i="10"/>
  <c r="AG88" i="10"/>
  <c r="AH88" i="10"/>
  <c r="B89" i="10"/>
  <c r="C89" i="10"/>
  <c r="U89" i="10" s="1"/>
  <c r="D89" i="10"/>
  <c r="E89" i="10"/>
  <c r="I89" i="10"/>
  <c r="K89" i="10"/>
  <c r="AE89" i="10"/>
  <c r="AF89" i="10"/>
  <c r="AG89" i="10"/>
  <c r="AH89" i="10"/>
  <c r="B90" i="10"/>
  <c r="C90" i="10"/>
  <c r="Y90" i="10" s="1"/>
  <c r="D90" i="10"/>
  <c r="E90" i="10"/>
  <c r="I90" i="10"/>
  <c r="K90" i="10"/>
  <c r="AE90" i="10"/>
  <c r="AF90" i="10"/>
  <c r="AG90" i="10"/>
  <c r="AH90" i="10"/>
  <c r="B91" i="10"/>
  <c r="C91" i="10"/>
  <c r="D91" i="10"/>
  <c r="E91" i="10"/>
  <c r="I91" i="10"/>
  <c r="K91" i="10"/>
  <c r="AE91" i="10"/>
  <c r="AF91" i="10"/>
  <c r="AG91" i="10"/>
  <c r="AH91" i="10"/>
  <c r="B92" i="10"/>
  <c r="C92" i="10"/>
  <c r="X92" i="10" s="1"/>
  <c r="D92" i="10"/>
  <c r="E92" i="10"/>
  <c r="I92" i="10"/>
  <c r="K92" i="10"/>
  <c r="AE92" i="10"/>
  <c r="AF92" i="10"/>
  <c r="AG92" i="10"/>
  <c r="AH92" i="10"/>
  <c r="B93" i="10"/>
  <c r="C93" i="10"/>
  <c r="Q93" i="10" s="1"/>
  <c r="D93" i="10"/>
  <c r="E93" i="10"/>
  <c r="I93" i="10"/>
  <c r="K93" i="10"/>
  <c r="AE93" i="10"/>
  <c r="AF93" i="10"/>
  <c r="AG93" i="10"/>
  <c r="AH93" i="10"/>
  <c r="B94" i="10"/>
  <c r="C94" i="10"/>
  <c r="D94" i="10"/>
  <c r="E94" i="10"/>
  <c r="I94" i="10"/>
  <c r="K94" i="10"/>
  <c r="AE94" i="10"/>
  <c r="AF94" i="10"/>
  <c r="AG94" i="10"/>
  <c r="AH94" i="10"/>
  <c r="B95" i="10"/>
  <c r="C95" i="10"/>
  <c r="Y95" i="10" s="1"/>
  <c r="D95" i="10"/>
  <c r="E95" i="10"/>
  <c r="I95" i="10"/>
  <c r="K95" i="10"/>
  <c r="AE95" i="10"/>
  <c r="AF95" i="10"/>
  <c r="AG95" i="10"/>
  <c r="AH95" i="10"/>
  <c r="B96" i="10"/>
  <c r="C96" i="10"/>
  <c r="U96" i="10" s="1"/>
  <c r="D96" i="10"/>
  <c r="E96" i="10"/>
  <c r="I96" i="10"/>
  <c r="K96" i="10"/>
  <c r="AE96" i="10"/>
  <c r="AF96" i="10"/>
  <c r="AG96" i="10"/>
  <c r="AH96" i="10"/>
  <c r="B97" i="10"/>
  <c r="C97" i="10"/>
  <c r="X97" i="10" s="1"/>
  <c r="D97" i="10"/>
  <c r="E97" i="10"/>
  <c r="I97" i="10"/>
  <c r="K97" i="10"/>
  <c r="AE97" i="10"/>
  <c r="AF97" i="10"/>
  <c r="AG97" i="10"/>
  <c r="AH97" i="10"/>
  <c r="B98" i="10"/>
  <c r="C98" i="10"/>
  <c r="V98" i="10" s="1"/>
  <c r="D98" i="10"/>
  <c r="E98" i="10"/>
  <c r="I98" i="10"/>
  <c r="K98" i="10"/>
  <c r="AE98" i="10"/>
  <c r="AF98" i="10"/>
  <c r="AG98" i="10"/>
  <c r="AH98" i="10"/>
  <c r="B99" i="10"/>
  <c r="C99" i="10"/>
  <c r="T99" i="10" s="1"/>
  <c r="D99" i="10"/>
  <c r="E99" i="10"/>
  <c r="I99" i="10"/>
  <c r="K99" i="10"/>
  <c r="AE99" i="10"/>
  <c r="AF99" i="10"/>
  <c r="AG99" i="10"/>
  <c r="AH99" i="10"/>
  <c r="B100" i="10"/>
  <c r="C100" i="10"/>
  <c r="V100" i="10" s="1"/>
  <c r="D100" i="10"/>
  <c r="E100" i="10"/>
  <c r="I100" i="10"/>
  <c r="K100" i="10"/>
  <c r="AE100" i="10"/>
  <c r="AF100" i="10"/>
  <c r="AG100" i="10"/>
  <c r="AH100" i="10"/>
  <c r="B101" i="10"/>
  <c r="C101" i="10"/>
  <c r="X101" i="10" s="1"/>
  <c r="D101" i="10"/>
  <c r="E101" i="10"/>
  <c r="I101" i="10"/>
  <c r="K101" i="10"/>
  <c r="AE101" i="10"/>
  <c r="AF101" i="10"/>
  <c r="AG101" i="10"/>
  <c r="AH101" i="10"/>
  <c r="B102" i="10"/>
  <c r="C102" i="10"/>
  <c r="O102" i="10" s="1"/>
  <c r="D102" i="10"/>
  <c r="E102" i="10"/>
  <c r="I102" i="10"/>
  <c r="K102" i="10"/>
  <c r="AE102" i="10"/>
  <c r="AF102" i="10"/>
  <c r="AG102" i="10"/>
  <c r="AH102" i="10"/>
  <c r="B103" i="10"/>
  <c r="C103" i="10"/>
  <c r="AD103" i="10" s="1"/>
  <c r="D103" i="10"/>
  <c r="E103" i="10"/>
  <c r="I103" i="10"/>
  <c r="K103" i="10"/>
  <c r="AE103" i="10"/>
  <c r="AF103" i="10"/>
  <c r="AG103" i="10"/>
  <c r="AH103" i="10"/>
  <c r="B104" i="10"/>
  <c r="C104" i="10"/>
  <c r="D104" i="10"/>
  <c r="E104" i="10"/>
  <c r="I104" i="10"/>
  <c r="K104" i="10"/>
  <c r="AE104" i="10"/>
  <c r="AF104" i="10"/>
  <c r="AG104" i="10"/>
  <c r="AH104" i="10"/>
  <c r="B105" i="10"/>
  <c r="C105" i="10"/>
  <c r="U105" i="10" s="1"/>
  <c r="D105" i="10"/>
  <c r="E105" i="10"/>
  <c r="I105" i="10"/>
  <c r="K105" i="10"/>
  <c r="AE105" i="10"/>
  <c r="AF105" i="10"/>
  <c r="AG105" i="10"/>
  <c r="AH105" i="10"/>
  <c r="B106" i="10"/>
  <c r="C106" i="10"/>
  <c r="Z106" i="10" s="1"/>
  <c r="D106" i="10"/>
  <c r="E106" i="10"/>
  <c r="I106" i="10"/>
  <c r="K106" i="10"/>
  <c r="AE106" i="10"/>
  <c r="AF106" i="10"/>
  <c r="AG106" i="10"/>
  <c r="AH106" i="10"/>
  <c r="B107" i="10"/>
  <c r="C107" i="10"/>
  <c r="Z107" i="10" s="1"/>
  <c r="D107" i="10"/>
  <c r="E107" i="10"/>
  <c r="I107" i="10"/>
  <c r="K107" i="10"/>
  <c r="AE107" i="10"/>
  <c r="AF107" i="10"/>
  <c r="AG107" i="10"/>
  <c r="AH107" i="10"/>
  <c r="B108" i="10"/>
  <c r="C108" i="10"/>
  <c r="Q108" i="10" s="1"/>
  <c r="D108" i="10"/>
  <c r="E108" i="10"/>
  <c r="I108" i="10"/>
  <c r="K108" i="10"/>
  <c r="AE108" i="10"/>
  <c r="AF108" i="10"/>
  <c r="AG108" i="10"/>
  <c r="AH108" i="10"/>
  <c r="B109" i="10"/>
  <c r="C109" i="10"/>
  <c r="D109" i="10"/>
  <c r="E109" i="10"/>
  <c r="I109" i="10"/>
  <c r="K109" i="10"/>
  <c r="AE109" i="10"/>
  <c r="AF109" i="10"/>
  <c r="AG109" i="10"/>
  <c r="AH109" i="10"/>
  <c r="B110" i="10"/>
  <c r="C110" i="10"/>
  <c r="Z110" i="10" s="1"/>
  <c r="D110" i="10"/>
  <c r="E110" i="10"/>
  <c r="I110" i="10"/>
  <c r="K110" i="10"/>
  <c r="AE110" i="10"/>
  <c r="AF110" i="10"/>
  <c r="AG110" i="10"/>
  <c r="AH110" i="10"/>
  <c r="B111" i="10"/>
  <c r="C111" i="10"/>
  <c r="D111" i="10"/>
  <c r="E111" i="10"/>
  <c r="I111" i="10"/>
  <c r="K111" i="10"/>
  <c r="AE111" i="10"/>
  <c r="AF111" i="10"/>
  <c r="AG111" i="10"/>
  <c r="AH111" i="10"/>
  <c r="B112" i="10"/>
  <c r="C112" i="10"/>
  <c r="X112" i="10" s="1"/>
  <c r="D112" i="10"/>
  <c r="E112" i="10"/>
  <c r="I112" i="10"/>
  <c r="K112" i="10"/>
  <c r="AE112" i="10"/>
  <c r="AF112" i="10"/>
  <c r="AG112" i="10"/>
  <c r="AH112" i="10"/>
  <c r="B113" i="10"/>
  <c r="C113" i="10"/>
  <c r="R113" i="10" s="1"/>
  <c r="D113" i="10"/>
  <c r="E113" i="10"/>
  <c r="I113" i="10"/>
  <c r="K113" i="10"/>
  <c r="AE113" i="10"/>
  <c r="AF113" i="10"/>
  <c r="AG113" i="10"/>
  <c r="AH113" i="10"/>
  <c r="B114" i="10"/>
  <c r="C114" i="10"/>
  <c r="D114" i="10"/>
  <c r="E114" i="10"/>
  <c r="I114" i="10"/>
  <c r="K114" i="10"/>
  <c r="AE114" i="10"/>
  <c r="AF114" i="10"/>
  <c r="AG114" i="10"/>
  <c r="AH114" i="10"/>
  <c r="B115" i="10"/>
  <c r="C115" i="10"/>
  <c r="U115" i="10" s="1"/>
  <c r="D115" i="10"/>
  <c r="E115" i="10"/>
  <c r="I115" i="10"/>
  <c r="K115" i="10"/>
  <c r="AE115" i="10"/>
  <c r="AF115" i="10"/>
  <c r="AG115" i="10"/>
  <c r="AH115" i="10"/>
  <c r="B116" i="10"/>
  <c r="C116" i="10"/>
  <c r="AD116" i="10" s="1"/>
  <c r="D116" i="10"/>
  <c r="E116" i="10"/>
  <c r="I116" i="10"/>
  <c r="K116" i="10"/>
  <c r="AE116" i="10"/>
  <c r="AF116" i="10"/>
  <c r="AG116" i="10"/>
  <c r="AH116" i="10"/>
  <c r="B117" i="10"/>
  <c r="C117" i="10"/>
  <c r="D117" i="10"/>
  <c r="E117" i="10"/>
  <c r="I117" i="10"/>
  <c r="K117" i="10"/>
  <c r="AE117" i="10"/>
  <c r="AF117" i="10"/>
  <c r="AG117" i="10"/>
  <c r="AH117" i="10"/>
  <c r="B118" i="10"/>
  <c r="C118" i="10"/>
  <c r="Y118" i="10" s="1"/>
  <c r="D118" i="10"/>
  <c r="E118" i="10"/>
  <c r="I118" i="10"/>
  <c r="K118" i="10"/>
  <c r="AE118" i="10"/>
  <c r="AF118" i="10"/>
  <c r="AG118" i="10"/>
  <c r="AH118" i="10"/>
  <c r="B119" i="10"/>
  <c r="C119" i="10"/>
  <c r="D119" i="10"/>
  <c r="E119" i="10"/>
  <c r="I119" i="10"/>
  <c r="K119" i="10"/>
  <c r="AE119" i="10"/>
  <c r="AF119" i="10"/>
  <c r="AG119" i="10"/>
  <c r="AH119" i="10"/>
  <c r="B120" i="10"/>
  <c r="C120" i="10"/>
  <c r="Y120" i="10" s="1"/>
  <c r="D120" i="10"/>
  <c r="E120" i="10"/>
  <c r="I120" i="10"/>
  <c r="K120" i="10"/>
  <c r="AE120" i="10"/>
  <c r="AF120" i="10"/>
  <c r="AG120" i="10"/>
  <c r="AH120" i="10"/>
  <c r="B121" i="10"/>
  <c r="C121" i="10"/>
  <c r="O121" i="10" s="1"/>
  <c r="D121" i="10"/>
  <c r="E121" i="10"/>
  <c r="I121" i="10"/>
  <c r="K121" i="10"/>
  <c r="AE121" i="10"/>
  <c r="AF121" i="10"/>
  <c r="AG121" i="10"/>
  <c r="AH121" i="10"/>
  <c r="B122" i="10"/>
  <c r="C122" i="10"/>
  <c r="W122" i="10" s="1"/>
  <c r="D122" i="10"/>
  <c r="E122" i="10"/>
  <c r="I122" i="10"/>
  <c r="K122" i="10"/>
  <c r="AE122" i="10"/>
  <c r="AF122" i="10"/>
  <c r="AG122" i="10"/>
  <c r="AH122" i="10"/>
  <c r="B123" i="10"/>
  <c r="C123" i="10"/>
  <c r="X123" i="10" s="1"/>
  <c r="D123" i="10"/>
  <c r="E123" i="10"/>
  <c r="I123" i="10"/>
  <c r="K123" i="10"/>
  <c r="AE123" i="10"/>
  <c r="AF123" i="10"/>
  <c r="AG123" i="10"/>
  <c r="AH123" i="10"/>
  <c r="B124" i="10"/>
  <c r="C124" i="10"/>
  <c r="Y124" i="10" s="1"/>
  <c r="D124" i="10"/>
  <c r="E124" i="10"/>
  <c r="I124" i="10"/>
  <c r="K124" i="10"/>
  <c r="AE124" i="10"/>
  <c r="AF124" i="10"/>
  <c r="AG124" i="10"/>
  <c r="AH124" i="10"/>
  <c r="B125" i="10"/>
  <c r="C125" i="10"/>
  <c r="O125" i="10" s="1"/>
  <c r="D125" i="10"/>
  <c r="E125" i="10"/>
  <c r="I125" i="10"/>
  <c r="K125" i="10"/>
  <c r="AE125" i="10"/>
  <c r="AF125" i="10"/>
  <c r="AG125" i="10"/>
  <c r="AH125" i="10"/>
  <c r="B126" i="10"/>
  <c r="C126" i="10"/>
  <c r="V126" i="10" s="1"/>
  <c r="D126" i="10"/>
  <c r="E126" i="10"/>
  <c r="I126" i="10"/>
  <c r="K126" i="10"/>
  <c r="AE126" i="10"/>
  <c r="AF126" i="10"/>
  <c r="AG126" i="10"/>
  <c r="AH126" i="10"/>
  <c r="B127" i="10"/>
  <c r="C127" i="10"/>
  <c r="D127" i="10"/>
  <c r="E127" i="10"/>
  <c r="I127" i="10"/>
  <c r="K127" i="10"/>
  <c r="AE127" i="10"/>
  <c r="AF127" i="10"/>
  <c r="AG127" i="10"/>
  <c r="AH127" i="10"/>
  <c r="B128" i="10"/>
  <c r="C128" i="10"/>
  <c r="AD128" i="10" s="1"/>
  <c r="D128" i="10"/>
  <c r="E128" i="10"/>
  <c r="I128" i="10"/>
  <c r="K128" i="10"/>
  <c r="AE128" i="10"/>
  <c r="AF128" i="10"/>
  <c r="AG128" i="10"/>
  <c r="AH128" i="10"/>
  <c r="B129" i="10"/>
  <c r="C129" i="10"/>
  <c r="D129" i="10"/>
  <c r="E129" i="10"/>
  <c r="I129" i="10"/>
  <c r="K129" i="10"/>
  <c r="AE129" i="10"/>
  <c r="AF129" i="10"/>
  <c r="AG129" i="10"/>
  <c r="AH129" i="10"/>
  <c r="B130" i="10"/>
  <c r="C130" i="10"/>
  <c r="T130" i="10" s="1"/>
  <c r="D130" i="10"/>
  <c r="E130" i="10"/>
  <c r="I130" i="10"/>
  <c r="K130" i="10"/>
  <c r="AE130" i="10"/>
  <c r="AF130" i="10"/>
  <c r="AG130" i="10"/>
  <c r="AH130" i="10"/>
  <c r="B131" i="10"/>
  <c r="C131" i="10"/>
  <c r="D131" i="10"/>
  <c r="E131" i="10"/>
  <c r="I131" i="10"/>
  <c r="K131" i="10"/>
  <c r="AE131" i="10"/>
  <c r="AF131" i="10"/>
  <c r="AG131" i="10"/>
  <c r="AH131" i="10"/>
  <c r="B132" i="10"/>
  <c r="C132" i="10"/>
  <c r="D132" i="10"/>
  <c r="E132" i="10"/>
  <c r="I132" i="10"/>
  <c r="K132" i="10"/>
  <c r="AE132" i="10"/>
  <c r="AF132" i="10"/>
  <c r="AG132" i="10"/>
  <c r="AH132" i="10"/>
  <c r="B133" i="10"/>
  <c r="C133" i="10"/>
  <c r="O133" i="10" s="1"/>
  <c r="D133" i="10"/>
  <c r="E133" i="10"/>
  <c r="I133" i="10"/>
  <c r="K133" i="10"/>
  <c r="AE133" i="10"/>
  <c r="AF133" i="10"/>
  <c r="AG133" i="10"/>
  <c r="AH133" i="10"/>
  <c r="B134" i="10"/>
  <c r="C134" i="10"/>
  <c r="O134" i="10" s="1"/>
  <c r="D134" i="10"/>
  <c r="E134" i="10"/>
  <c r="I134" i="10"/>
  <c r="K134" i="10"/>
  <c r="AE134" i="10"/>
  <c r="AF134" i="10"/>
  <c r="AG134" i="10"/>
  <c r="AH134" i="10"/>
  <c r="B135" i="10"/>
  <c r="C135" i="10"/>
  <c r="X135" i="10" s="1"/>
  <c r="D135" i="10"/>
  <c r="E135" i="10"/>
  <c r="I135" i="10"/>
  <c r="K135" i="10"/>
  <c r="AE135" i="10"/>
  <c r="AF135" i="10"/>
  <c r="AG135" i="10"/>
  <c r="AH135" i="10"/>
  <c r="B136" i="10"/>
  <c r="C136" i="10"/>
  <c r="D136" i="10"/>
  <c r="E136" i="10"/>
  <c r="I136" i="10"/>
  <c r="K136" i="10"/>
  <c r="AE136" i="10"/>
  <c r="AF136" i="10"/>
  <c r="AG136" i="10"/>
  <c r="AH136" i="10"/>
  <c r="B137" i="10"/>
  <c r="C137" i="10"/>
  <c r="V137" i="10" s="1"/>
  <c r="D137" i="10"/>
  <c r="E137" i="10"/>
  <c r="I137" i="10"/>
  <c r="K137" i="10"/>
  <c r="AE137" i="10"/>
  <c r="AF137" i="10"/>
  <c r="AG137" i="10"/>
  <c r="AH137" i="10"/>
  <c r="B138" i="10"/>
  <c r="C138" i="10"/>
  <c r="D138" i="10"/>
  <c r="E138" i="10"/>
  <c r="I138" i="10"/>
  <c r="K138" i="10"/>
  <c r="AE138" i="10"/>
  <c r="AF138" i="10"/>
  <c r="AG138" i="10"/>
  <c r="AH138" i="10"/>
  <c r="B139" i="10"/>
  <c r="C139" i="10"/>
  <c r="X139" i="10" s="1"/>
  <c r="D139" i="10"/>
  <c r="E139" i="10"/>
  <c r="I139" i="10"/>
  <c r="K139" i="10"/>
  <c r="AE139" i="10"/>
  <c r="AF139" i="10"/>
  <c r="AG139" i="10"/>
  <c r="AH139" i="10"/>
  <c r="B140" i="10"/>
  <c r="C140" i="10"/>
  <c r="R140" i="10" s="1"/>
  <c r="D140" i="10"/>
  <c r="E140" i="10"/>
  <c r="I140" i="10"/>
  <c r="K140" i="10"/>
  <c r="AE140" i="10"/>
  <c r="AF140" i="10"/>
  <c r="AG140" i="10"/>
  <c r="AH140" i="10"/>
  <c r="B141" i="10"/>
  <c r="C141" i="10"/>
  <c r="O141" i="10" s="1"/>
  <c r="D141" i="10"/>
  <c r="E141" i="10"/>
  <c r="I141" i="10"/>
  <c r="K141" i="10"/>
  <c r="AE141" i="10"/>
  <c r="AF141" i="10"/>
  <c r="AG141" i="10"/>
  <c r="AH141" i="10"/>
  <c r="B142" i="10"/>
  <c r="C142" i="10"/>
  <c r="Z142" i="10" s="1"/>
  <c r="D142" i="10"/>
  <c r="E142" i="10"/>
  <c r="I142" i="10"/>
  <c r="K142" i="10"/>
  <c r="AE142" i="10"/>
  <c r="AF142" i="10"/>
  <c r="AG142" i="10"/>
  <c r="AH142" i="10"/>
  <c r="B143" i="10"/>
  <c r="C143" i="10"/>
  <c r="D143" i="10"/>
  <c r="E143" i="10"/>
  <c r="I143" i="10"/>
  <c r="K143" i="10"/>
  <c r="AE143" i="10"/>
  <c r="AF143" i="10"/>
  <c r="AG143" i="10"/>
  <c r="AH143" i="10"/>
  <c r="B144" i="10"/>
  <c r="C144" i="10"/>
  <c r="D144" i="10"/>
  <c r="E144" i="10"/>
  <c r="I144" i="10"/>
  <c r="K144" i="10"/>
  <c r="AE144" i="10"/>
  <c r="AF144" i="10"/>
  <c r="AG144" i="10"/>
  <c r="AH144" i="10"/>
  <c r="B145" i="10"/>
  <c r="C145" i="10"/>
  <c r="R145" i="10" s="1"/>
  <c r="D145" i="10"/>
  <c r="E145" i="10"/>
  <c r="I145" i="10"/>
  <c r="K145" i="10"/>
  <c r="AE145" i="10"/>
  <c r="AF145" i="10"/>
  <c r="AG145" i="10"/>
  <c r="AH145" i="10"/>
  <c r="B146" i="10"/>
  <c r="C146" i="10"/>
  <c r="AD146" i="10" s="1"/>
  <c r="D146" i="10"/>
  <c r="E146" i="10"/>
  <c r="I146" i="10"/>
  <c r="K146" i="10"/>
  <c r="AE146" i="10"/>
  <c r="AF146" i="10"/>
  <c r="AG146" i="10"/>
  <c r="AH146" i="10"/>
  <c r="B147" i="10"/>
  <c r="C147" i="10"/>
  <c r="Z147" i="10" s="1"/>
  <c r="D147" i="10"/>
  <c r="E147" i="10"/>
  <c r="I147" i="10"/>
  <c r="K147" i="10"/>
  <c r="AE147" i="10"/>
  <c r="AF147" i="10"/>
  <c r="AG147" i="10"/>
  <c r="AH147" i="10"/>
  <c r="B148" i="10"/>
  <c r="C148" i="10"/>
  <c r="D148" i="10"/>
  <c r="E148" i="10"/>
  <c r="I148" i="10"/>
  <c r="K148" i="10"/>
  <c r="AE148" i="10"/>
  <c r="AF148" i="10"/>
  <c r="AG148" i="10"/>
  <c r="AH148" i="10"/>
  <c r="B149" i="10"/>
  <c r="C149" i="10"/>
  <c r="D149" i="10"/>
  <c r="E149" i="10"/>
  <c r="I149" i="10"/>
  <c r="K149" i="10"/>
  <c r="AE149" i="10"/>
  <c r="AF149" i="10"/>
  <c r="AG149" i="10"/>
  <c r="AH149" i="10"/>
  <c r="B150" i="10"/>
  <c r="C150" i="10"/>
  <c r="V150" i="10" s="1"/>
  <c r="D150" i="10"/>
  <c r="E150" i="10"/>
  <c r="I150" i="10"/>
  <c r="K150" i="10"/>
  <c r="AE150" i="10"/>
  <c r="AF150" i="10"/>
  <c r="AG150" i="10"/>
  <c r="AH150" i="10"/>
  <c r="B151" i="10"/>
  <c r="C151" i="10"/>
  <c r="U151" i="10" s="1"/>
  <c r="D151" i="10"/>
  <c r="E151" i="10"/>
  <c r="I151" i="10"/>
  <c r="K151" i="10"/>
  <c r="AE151" i="10"/>
  <c r="AF151" i="10"/>
  <c r="AG151" i="10"/>
  <c r="AH151" i="10"/>
  <c r="B152" i="10"/>
  <c r="C152" i="10"/>
  <c r="Q152" i="10" s="1"/>
  <c r="D152" i="10"/>
  <c r="E152" i="10"/>
  <c r="I152" i="10"/>
  <c r="K152" i="10"/>
  <c r="AE152" i="10"/>
  <c r="AF152" i="10"/>
  <c r="AG152" i="10"/>
  <c r="AH152" i="10"/>
  <c r="B153" i="10"/>
  <c r="C153" i="10"/>
  <c r="V153" i="10" s="1"/>
  <c r="D153" i="10"/>
  <c r="E153" i="10"/>
  <c r="I153" i="10"/>
  <c r="K153" i="10"/>
  <c r="AE153" i="10"/>
  <c r="AF153" i="10"/>
  <c r="AG153" i="10"/>
  <c r="AH153" i="10"/>
  <c r="B154" i="10"/>
  <c r="C154" i="10"/>
  <c r="O154" i="10" s="1"/>
  <c r="D154" i="10"/>
  <c r="E154" i="10"/>
  <c r="I154" i="10"/>
  <c r="K154" i="10"/>
  <c r="AE154" i="10"/>
  <c r="AF154" i="10"/>
  <c r="AG154" i="10"/>
  <c r="AH154" i="10"/>
  <c r="B155" i="10"/>
  <c r="C155" i="10"/>
  <c r="T155" i="10" s="1"/>
  <c r="D155" i="10"/>
  <c r="E155" i="10"/>
  <c r="I155" i="10"/>
  <c r="K155" i="10"/>
  <c r="AE155" i="10"/>
  <c r="AF155" i="10"/>
  <c r="AG155" i="10"/>
  <c r="AH155" i="10"/>
  <c r="B156" i="10"/>
  <c r="C156" i="10"/>
  <c r="Y156" i="10" s="1"/>
  <c r="D156" i="10"/>
  <c r="E156" i="10"/>
  <c r="I156" i="10"/>
  <c r="K156" i="10"/>
  <c r="AE156" i="10"/>
  <c r="AF156" i="10"/>
  <c r="AG156" i="10"/>
  <c r="AH156" i="10"/>
  <c r="B157" i="10"/>
  <c r="C157" i="10"/>
  <c r="W157" i="10" s="1"/>
  <c r="D157" i="10"/>
  <c r="E157" i="10"/>
  <c r="I157" i="10"/>
  <c r="K157" i="10"/>
  <c r="AE157" i="10"/>
  <c r="AF157" i="10"/>
  <c r="AG157" i="10"/>
  <c r="AH157" i="10"/>
  <c r="B158" i="10"/>
  <c r="C158" i="10"/>
  <c r="S158" i="10" s="1"/>
  <c r="D158" i="10"/>
  <c r="E158" i="10"/>
  <c r="I158" i="10"/>
  <c r="K158" i="10"/>
  <c r="AE158" i="10"/>
  <c r="AF158" i="10"/>
  <c r="AG158" i="10"/>
  <c r="AH158" i="10"/>
  <c r="B159" i="10"/>
  <c r="C159" i="10"/>
  <c r="D159" i="10"/>
  <c r="E159" i="10"/>
  <c r="I159" i="10"/>
  <c r="K159" i="10"/>
  <c r="AE159" i="10"/>
  <c r="AF159" i="10"/>
  <c r="AG159" i="10"/>
  <c r="AH159" i="10"/>
  <c r="B160" i="10"/>
  <c r="C160" i="10"/>
  <c r="X160" i="10" s="1"/>
  <c r="D160" i="10"/>
  <c r="E160" i="10"/>
  <c r="I160" i="10"/>
  <c r="K160" i="10"/>
  <c r="AE160" i="10"/>
  <c r="AF160" i="10"/>
  <c r="AG160" i="10"/>
  <c r="AH160" i="10"/>
  <c r="B161" i="10"/>
  <c r="C161" i="10"/>
  <c r="D161" i="10"/>
  <c r="E161" i="10"/>
  <c r="I161" i="10"/>
  <c r="K161" i="10"/>
  <c r="AE161" i="10"/>
  <c r="AF161" i="10"/>
  <c r="AG161" i="10"/>
  <c r="AH161" i="10"/>
  <c r="B162" i="10"/>
  <c r="C162" i="10"/>
  <c r="T162" i="10" s="1"/>
  <c r="D162" i="10"/>
  <c r="E162" i="10"/>
  <c r="I162" i="10"/>
  <c r="K162" i="10"/>
  <c r="AE162" i="10"/>
  <c r="AF162" i="10"/>
  <c r="AG162" i="10"/>
  <c r="AH162" i="10"/>
  <c r="B163" i="10"/>
  <c r="C163" i="10"/>
  <c r="D163" i="10"/>
  <c r="E163" i="10"/>
  <c r="I163" i="10"/>
  <c r="K163" i="10"/>
  <c r="AE163" i="10"/>
  <c r="AF163" i="10"/>
  <c r="AG163" i="10"/>
  <c r="AH163" i="10"/>
  <c r="B164" i="10"/>
  <c r="C164" i="10"/>
  <c r="R164" i="10" s="1"/>
  <c r="D164" i="10"/>
  <c r="E164" i="10"/>
  <c r="I164" i="10"/>
  <c r="K164" i="10"/>
  <c r="AE164" i="10"/>
  <c r="AF164" i="10"/>
  <c r="AG164" i="10"/>
  <c r="AH164" i="10"/>
  <c r="B165" i="10"/>
  <c r="C165" i="10"/>
  <c r="D165" i="10"/>
  <c r="E165" i="10"/>
  <c r="I165" i="10"/>
  <c r="K165" i="10"/>
  <c r="AE165" i="10"/>
  <c r="AF165" i="10"/>
  <c r="AG165" i="10"/>
  <c r="AH165" i="10"/>
  <c r="B166" i="10"/>
  <c r="C166" i="10"/>
  <c r="D166" i="10"/>
  <c r="E166" i="10"/>
  <c r="I166" i="10"/>
  <c r="K166" i="10"/>
  <c r="AE166" i="10"/>
  <c r="AF166" i="10"/>
  <c r="AG166" i="10"/>
  <c r="AH166" i="10"/>
  <c r="B167" i="10"/>
  <c r="C167" i="10"/>
  <c r="X167" i="10" s="1"/>
  <c r="D167" i="10"/>
  <c r="E167" i="10"/>
  <c r="I167" i="10"/>
  <c r="K167" i="10"/>
  <c r="AE167" i="10"/>
  <c r="AF167" i="10"/>
  <c r="AG167" i="10"/>
  <c r="AH167" i="10"/>
  <c r="B168" i="10"/>
  <c r="C168" i="10"/>
  <c r="D168" i="10"/>
  <c r="E168" i="10"/>
  <c r="I168" i="10"/>
  <c r="K168" i="10"/>
  <c r="AE168" i="10"/>
  <c r="AF168" i="10"/>
  <c r="AG168" i="10"/>
  <c r="AH168" i="10"/>
  <c r="B169" i="10"/>
  <c r="C169" i="10"/>
  <c r="R169" i="10" s="1"/>
  <c r="D169" i="10"/>
  <c r="E169" i="10"/>
  <c r="I169" i="10"/>
  <c r="K169" i="10"/>
  <c r="AE169" i="10"/>
  <c r="AF169" i="10"/>
  <c r="AG169" i="10"/>
  <c r="AH169" i="10"/>
  <c r="B170" i="10"/>
  <c r="C170" i="10"/>
  <c r="O170" i="10" s="1"/>
  <c r="D170" i="10"/>
  <c r="E170" i="10"/>
  <c r="I170" i="10"/>
  <c r="K170" i="10"/>
  <c r="AE170" i="10"/>
  <c r="AF170" i="10"/>
  <c r="AG170" i="10"/>
  <c r="AH170" i="10"/>
  <c r="B171" i="10"/>
  <c r="C171" i="10"/>
  <c r="Z171" i="10" s="1"/>
  <c r="D171" i="10"/>
  <c r="E171" i="10"/>
  <c r="I171" i="10"/>
  <c r="K171" i="10"/>
  <c r="AE171" i="10"/>
  <c r="AF171" i="10"/>
  <c r="AG171" i="10"/>
  <c r="AH171" i="10"/>
  <c r="B172" i="10"/>
  <c r="C172" i="10"/>
  <c r="V172" i="10" s="1"/>
  <c r="D172" i="10"/>
  <c r="E172" i="10"/>
  <c r="I172" i="10"/>
  <c r="K172" i="10"/>
  <c r="AE172" i="10"/>
  <c r="AF172" i="10"/>
  <c r="AG172" i="10"/>
  <c r="AH172" i="10"/>
  <c r="B173" i="10"/>
  <c r="C173" i="10"/>
  <c r="V173" i="10" s="1"/>
  <c r="D173" i="10"/>
  <c r="E173" i="10"/>
  <c r="I173" i="10"/>
  <c r="K173" i="10"/>
  <c r="AE173" i="10"/>
  <c r="AF173" i="10"/>
  <c r="AG173" i="10"/>
  <c r="AH173" i="10"/>
  <c r="B174" i="10"/>
  <c r="C174" i="10"/>
  <c r="Z174" i="10" s="1"/>
  <c r="D174" i="10"/>
  <c r="E174" i="10"/>
  <c r="I174" i="10"/>
  <c r="K174" i="10"/>
  <c r="AE174" i="10"/>
  <c r="AF174" i="10"/>
  <c r="AG174" i="10"/>
  <c r="AH174" i="10"/>
  <c r="B175" i="10"/>
  <c r="C175" i="10"/>
  <c r="D175" i="10"/>
  <c r="E175" i="10"/>
  <c r="I175" i="10"/>
  <c r="K175" i="10"/>
  <c r="AE175" i="10"/>
  <c r="AF175" i="10"/>
  <c r="AG175" i="10"/>
  <c r="AH175" i="10"/>
  <c r="B176" i="10"/>
  <c r="C176" i="10"/>
  <c r="S176" i="10" s="1"/>
  <c r="D176" i="10"/>
  <c r="E176" i="10"/>
  <c r="I176" i="10"/>
  <c r="K176" i="10"/>
  <c r="AE176" i="10"/>
  <c r="AF176" i="10"/>
  <c r="AG176" i="10"/>
  <c r="AH176" i="10"/>
  <c r="B177" i="10"/>
  <c r="C177" i="10"/>
  <c r="Z177" i="10" s="1"/>
  <c r="D177" i="10"/>
  <c r="E177" i="10"/>
  <c r="I177" i="10"/>
  <c r="K177" i="10"/>
  <c r="AE177" i="10"/>
  <c r="AF177" i="10"/>
  <c r="AG177" i="10"/>
  <c r="AH177" i="10"/>
  <c r="B178" i="10"/>
  <c r="C178" i="10"/>
  <c r="Y178" i="10" s="1"/>
  <c r="D178" i="10"/>
  <c r="E178" i="10"/>
  <c r="I178" i="10"/>
  <c r="K178" i="10"/>
  <c r="AE178" i="10"/>
  <c r="AF178" i="10"/>
  <c r="AG178" i="10"/>
  <c r="AH178" i="10"/>
  <c r="B179" i="10"/>
  <c r="C179" i="10"/>
  <c r="T179" i="10" s="1"/>
  <c r="D179" i="10"/>
  <c r="E179" i="10"/>
  <c r="I179" i="10"/>
  <c r="K179" i="10"/>
  <c r="AE179" i="10"/>
  <c r="AF179" i="10"/>
  <c r="AG179" i="10"/>
  <c r="AH179" i="10"/>
  <c r="B180" i="10"/>
  <c r="C180" i="10"/>
  <c r="X180" i="10" s="1"/>
  <c r="D180" i="10"/>
  <c r="E180" i="10"/>
  <c r="I180" i="10"/>
  <c r="K180" i="10"/>
  <c r="AE180" i="10"/>
  <c r="AF180" i="10"/>
  <c r="AG180" i="10"/>
  <c r="AH180" i="10"/>
  <c r="B181" i="10"/>
  <c r="C181" i="10"/>
  <c r="D181" i="10"/>
  <c r="E181" i="10"/>
  <c r="I181" i="10"/>
  <c r="K181" i="10"/>
  <c r="AE181" i="10"/>
  <c r="AF181" i="10"/>
  <c r="AG181" i="10"/>
  <c r="AH181" i="10"/>
  <c r="B182" i="10"/>
  <c r="C182" i="10"/>
  <c r="O182" i="10" s="1"/>
  <c r="D182" i="10"/>
  <c r="E182" i="10"/>
  <c r="I182" i="10"/>
  <c r="K182" i="10"/>
  <c r="AE182" i="10"/>
  <c r="AF182" i="10"/>
  <c r="AG182" i="10"/>
  <c r="AH182" i="10"/>
  <c r="B183" i="10"/>
  <c r="C183" i="10"/>
  <c r="U183" i="10" s="1"/>
  <c r="D183" i="10"/>
  <c r="E183" i="10"/>
  <c r="I183" i="10"/>
  <c r="K183" i="10"/>
  <c r="AE183" i="10"/>
  <c r="AF183" i="10"/>
  <c r="AG183" i="10"/>
  <c r="AH183" i="10"/>
  <c r="B184" i="10"/>
  <c r="C184" i="10"/>
  <c r="D184" i="10"/>
  <c r="E184" i="10"/>
  <c r="I184" i="10"/>
  <c r="K184" i="10"/>
  <c r="AE184" i="10"/>
  <c r="AF184" i="10"/>
  <c r="AG184" i="10"/>
  <c r="AH184" i="10"/>
  <c r="B185" i="10"/>
  <c r="C185" i="10"/>
  <c r="D185" i="10"/>
  <c r="E185" i="10"/>
  <c r="I185" i="10"/>
  <c r="K185" i="10"/>
  <c r="AE185" i="10"/>
  <c r="AF185" i="10"/>
  <c r="AG185" i="10"/>
  <c r="AH185" i="10"/>
  <c r="B186" i="10"/>
  <c r="C186" i="10"/>
  <c r="D186" i="10"/>
  <c r="E186" i="10"/>
  <c r="I186" i="10"/>
  <c r="K186" i="10"/>
  <c r="AE186" i="10"/>
  <c r="AF186" i="10"/>
  <c r="AG186" i="10"/>
  <c r="AH186" i="10"/>
  <c r="B187" i="10"/>
  <c r="C187" i="10"/>
  <c r="X187" i="10" s="1"/>
  <c r="D187" i="10"/>
  <c r="E187" i="10"/>
  <c r="I187" i="10"/>
  <c r="K187" i="10"/>
  <c r="AE187" i="10"/>
  <c r="AF187" i="10"/>
  <c r="AG187" i="10"/>
  <c r="AH187" i="10"/>
  <c r="B188" i="10"/>
  <c r="C188" i="10"/>
  <c r="Y188" i="10" s="1"/>
  <c r="D188" i="10"/>
  <c r="E188" i="10"/>
  <c r="I188" i="10"/>
  <c r="K188" i="10"/>
  <c r="AE188" i="10"/>
  <c r="AF188" i="10"/>
  <c r="AG188" i="10"/>
  <c r="AH188" i="10"/>
  <c r="B189" i="10"/>
  <c r="C189" i="10"/>
  <c r="V189" i="10" s="1"/>
  <c r="D189" i="10"/>
  <c r="E189" i="10"/>
  <c r="I189" i="10"/>
  <c r="K189" i="10"/>
  <c r="AE189" i="10"/>
  <c r="AF189" i="10"/>
  <c r="AG189" i="10"/>
  <c r="AH189" i="10"/>
  <c r="B190" i="10"/>
  <c r="C190" i="10"/>
  <c r="D190" i="10"/>
  <c r="E190" i="10"/>
  <c r="I190" i="10"/>
  <c r="K190" i="10"/>
  <c r="AE190" i="10"/>
  <c r="AF190" i="10"/>
  <c r="AG190" i="10"/>
  <c r="AH190" i="10"/>
  <c r="B191" i="10"/>
  <c r="C191" i="10"/>
  <c r="U191" i="10" s="1"/>
  <c r="D191" i="10"/>
  <c r="E191" i="10"/>
  <c r="I191" i="10"/>
  <c r="K191" i="10"/>
  <c r="AE191" i="10"/>
  <c r="AF191" i="10"/>
  <c r="AG191" i="10"/>
  <c r="AH191" i="10"/>
  <c r="B192" i="10"/>
  <c r="C192" i="10"/>
  <c r="AD192" i="10" s="1"/>
  <c r="D192" i="10"/>
  <c r="E192" i="10"/>
  <c r="I192" i="10"/>
  <c r="K192" i="10"/>
  <c r="AE192" i="10"/>
  <c r="AF192" i="10"/>
  <c r="AG192" i="10"/>
  <c r="AH192" i="10"/>
  <c r="B193" i="10"/>
  <c r="C193" i="10"/>
  <c r="D193" i="10"/>
  <c r="E193" i="10"/>
  <c r="I193" i="10"/>
  <c r="K193" i="10"/>
  <c r="AE193" i="10"/>
  <c r="AF193" i="10"/>
  <c r="AG193" i="10"/>
  <c r="AH193" i="10"/>
  <c r="B194" i="10"/>
  <c r="C194" i="10"/>
  <c r="S194" i="10" s="1"/>
  <c r="D194" i="10"/>
  <c r="E194" i="10"/>
  <c r="I194" i="10"/>
  <c r="K194" i="10"/>
  <c r="AE194" i="10"/>
  <c r="AF194" i="10"/>
  <c r="AG194" i="10"/>
  <c r="AH194" i="10"/>
  <c r="B195" i="10"/>
  <c r="C195" i="10"/>
  <c r="D195" i="10"/>
  <c r="E195" i="10"/>
  <c r="I195" i="10"/>
  <c r="K195" i="10"/>
  <c r="AE195" i="10"/>
  <c r="AF195" i="10"/>
  <c r="AG195" i="10"/>
  <c r="AH195" i="10"/>
  <c r="B196" i="10"/>
  <c r="C196" i="10"/>
  <c r="Y196" i="10" s="1"/>
  <c r="D196" i="10"/>
  <c r="E196" i="10"/>
  <c r="I196" i="10"/>
  <c r="K196" i="10"/>
  <c r="AE196" i="10"/>
  <c r="AF196" i="10"/>
  <c r="AG196" i="10"/>
  <c r="AH196" i="10"/>
  <c r="B197" i="10"/>
  <c r="C197" i="10"/>
  <c r="D197" i="10"/>
  <c r="E197" i="10"/>
  <c r="I197" i="10"/>
  <c r="K197" i="10"/>
  <c r="AE197" i="10"/>
  <c r="AF197" i="10"/>
  <c r="AG197" i="10"/>
  <c r="AH197" i="10"/>
  <c r="B198" i="10"/>
  <c r="C198" i="10"/>
  <c r="S198" i="10" s="1"/>
  <c r="D198" i="10"/>
  <c r="E198" i="10"/>
  <c r="I198" i="10"/>
  <c r="K198" i="10"/>
  <c r="AE198" i="10"/>
  <c r="AF198" i="10"/>
  <c r="AG198" i="10"/>
  <c r="AH198" i="10"/>
  <c r="B199" i="10"/>
  <c r="C199" i="10"/>
  <c r="U199" i="10" s="1"/>
  <c r="D199" i="10"/>
  <c r="E199" i="10"/>
  <c r="I199" i="10"/>
  <c r="K199" i="10"/>
  <c r="AE199" i="10"/>
  <c r="AF199" i="10"/>
  <c r="AG199" i="10"/>
  <c r="AH199" i="10"/>
  <c r="B200" i="10"/>
  <c r="C200" i="10"/>
  <c r="X200" i="10" s="1"/>
  <c r="D200" i="10"/>
  <c r="E200" i="10"/>
  <c r="I200" i="10"/>
  <c r="K200" i="10"/>
  <c r="AE200" i="10"/>
  <c r="AF200" i="10"/>
  <c r="AG200" i="10"/>
  <c r="AH200" i="10"/>
  <c r="B201" i="10"/>
  <c r="C201" i="10"/>
  <c r="W201" i="10" s="1"/>
  <c r="D201" i="10"/>
  <c r="E201" i="10"/>
  <c r="I201" i="10"/>
  <c r="K201" i="10"/>
  <c r="AE201" i="10"/>
  <c r="AF201" i="10"/>
  <c r="AG201" i="10"/>
  <c r="AH201" i="10"/>
  <c r="B202" i="10"/>
  <c r="C202" i="10"/>
  <c r="Y202" i="10" s="1"/>
  <c r="D202" i="10"/>
  <c r="E202" i="10"/>
  <c r="I202" i="10"/>
  <c r="K202" i="10"/>
  <c r="AE202" i="10"/>
  <c r="AF202" i="10"/>
  <c r="AG202" i="10"/>
  <c r="AH202" i="10"/>
  <c r="B203" i="10"/>
  <c r="C203" i="10"/>
  <c r="X203" i="10" s="1"/>
  <c r="D203" i="10"/>
  <c r="E203" i="10"/>
  <c r="I203" i="10"/>
  <c r="K203" i="10"/>
  <c r="AE203" i="10"/>
  <c r="AF203" i="10"/>
  <c r="AG203" i="10"/>
  <c r="AH203" i="10"/>
  <c r="B204" i="10"/>
  <c r="C204" i="10"/>
  <c r="AD204" i="10" s="1"/>
  <c r="D204" i="10"/>
  <c r="E204" i="10"/>
  <c r="I204" i="10"/>
  <c r="K204" i="10"/>
  <c r="AE204" i="10"/>
  <c r="AF204" i="10"/>
  <c r="AG204" i="10"/>
  <c r="AH204" i="10"/>
  <c r="B205" i="10"/>
  <c r="C205" i="10"/>
  <c r="T205" i="10" s="1"/>
  <c r="D205" i="10"/>
  <c r="E205" i="10"/>
  <c r="I205" i="10"/>
  <c r="K205" i="10"/>
  <c r="AE205" i="10"/>
  <c r="AF205" i="10"/>
  <c r="AG205" i="10"/>
  <c r="AH205" i="10"/>
  <c r="B206" i="10"/>
  <c r="C206" i="10"/>
  <c r="O206" i="10" s="1"/>
  <c r="D206" i="10"/>
  <c r="E206" i="10"/>
  <c r="I206" i="10"/>
  <c r="K206" i="10"/>
  <c r="AE206" i="10"/>
  <c r="AF206" i="10"/>
  <c r="AG206" i="10"/>
  <c r="AH206" i="10"/>
  <c r="B207" i="10"/>
  <c r="C207" i="10"/>
  <c r="D207" i="10"/>
  <c r="E207" i="10"/>
  <c r="I207" i="10"/>
  <c r="K207" i="10"/>
  <c r="AE207" i="10"/>
  <c r="AF207" i="10"/>
  <c r="AG207" i="10"/>
  <c r="AH207" i="10"/>
  <c r="B208" i="10"/>
  <c r="C208" i="10"/>
  <c r="D208" i="10"/>
  <c r="E208" i="10"/>
  <c r="I208" i="10"/>
  <c r="K208" i="10"/>
  <c r="AE208" i="10"/>
  <c r="AF208" i="10"/>
  <c r="AG208" i="10"/>
  <c r="AH208" i="10"/>
  <c r="B209" i="10"/>
  <c r="C209" i="10"/>
  <c r="D209" i="10"/>
  <c r="E209" i="10"/>
  <c r="I209" i="10"/>
  <c r="K209" i="10"/>
  <c r="AE209" i="10"/>
  <c r="AF209" i="10"/>
  <c r="AG209" i="10"/>
  <c r="AH209" i="10"/>
  <c r="B210" i="10"/>
  <c r="C210" i="10"/>
  <c r="X210" i="10" s="1"/>
  <c r="D210" i="10"/>
  <c r="E210" i="10"/>
  <c r="I210" i="10"/>
  <c r="K210" i="10"/>
  <c r="AE210" i="10"/>
  <c r="AF210" i="10"/>
  <c r="AG210" i="10"/>
  <c r="AH210" i="10"/>
  <c r="B211" i="10"/>
  <c r="C211" i="10"/>
  <c r="W211" i="10" s="1"/>
  <c r="D211" i="10"/>
  <c r="E211" i="10"/>
  <c r="I211" i="10"/>
  <c r="K211" i="10"/>
  <c r="AE211" i="10"/>
  <c r="AF211" i="10"/>
  <c r="AG211" i="10"/>
  <c r="AH211" i="10"/>
  <c r="B212" i="10"/>
  <c r="C212" i="10"/>
  <c r="D212" i="10"/>
  <c r="E212" i="10"/>
  <c r="I212" i="10"/>
  <c r="K212" i="10"/>
  <c r="AE212" i="10"/>
  <c r="AF212" i="10"/>
  <c r="AG212" i="10"/>
  <c r="AH212" i="10"/>
  <c r="B213" i="10"/>
  <c r="C213" i="10"/>
  <c r="Z213" i="10" s="1"/>
  <c r="D213" i="10"/>
  <c r="E213" i="10"/>
  <c r="I213" i="10"/>
  <c r="K213" i="10"/>
  <c r="AE213" i="10"/>
  <c r="AF213" i="10"/>
  <c r="AG213" i="10"/>
  <c r="AH213" i="10"/>
  <c r="B214" i="10"/>
  <c r="C214" i="10"/>
  <c r="D214" i="10"/>
  <c r="E214" i="10"/>
  <c r="I214" i="10"/>
  <c r="K214" i="10"/>
  <c r="AE214" i="10"/>
  <c r="AF214" i="10"/>
  <c r="AG214" i="10"/>
  <c r="AH214" i="10"/>
  <c r="B215" i="10"/>
  <c r="C215" i="10"/>
  <c r="W215" i="10" s="1"/>
  <c r="D215" i="10"/>
  <c r="E215" i="10"/>
  <c r="I215" i="10"/>
  <c r="K215" i="10"/>
  <c r="AE215" i="10"/>
  <c r="AF215" i="10"/>
  <c r="AG215" i="10"/>
  <c r="AH215" i="10"/>
  <c r="B216" i="10"/>
  <c r="C216" i="10"/>
  <c r="O216" i="10" s="1"/>
  <c r="D216" i="10"/>
  <c r="E216" i="10"/>
  <c r="I216" i="10"/>
  <c r="K216" i="10"/>
  <c r="AE216" i="10"/>
  <c r="AF216" i="10"/>
  <c r="AG216" i="10"/>
  <c r="AH216" i="10"/>
  <c r="B217" i="10"/>
  <c r="C217" i="10"/>
  <c r="T217" i="10" s="1"/>
  <c r="D217" i="10"/>
  <c r="E217" i="10"/>
  <c r="I217" i="10"/>
  <c r="K217" i="10"/>
  <c r="AE217" i="10"/>
  <c r="AF217" i="10"/>
  <c r="AG217" i="10"/>
  <c r="AH217" i="10"/>
  <c r="B218" i="10"/>
  <c r="C218" i="10"/>
  <c r="X218" i="10" s="1"/>
  <c r="D218" i="10"/>
  <c r="E218" i="10"/>
  <c r="I218" i="10"/>
  <c r="K218" i="10"/>
  <c r="AE218" i="10"/>
  <c r="AF218" i="10"/>
  <c r="AG218" i="10"/>
  <c r="AH218" i="10"/>
  <c r="B219" i="10"/>
  <c r="C219" i="10"/>
  <c r="D219" i="10"/>
  <c r="E219" i="10"/>
  <c r="I219" i="10"/>
  <c r="K219" i="10"/>
  <c r="AE219" i="10"/>
  <c r="AF219" i="10"/>
  <c r="AG219" i="10"/>
  <c r="AH219" i="10"/>
  <c r="B220" i="10"/>
  <c r="C220" i="10"/>
  <c r="O220" i="10" s="1"/>
  <c r="D220" i="10"/>
  <c r="E220" i="10"/>
  <c r="I220" i="10"/>
  <c r="K220" i="10"/>
  <c r="AE220" i="10"/>
  <c r="AF220" i="10"/>
  <c r="AG220" i="10"/>
  <c r="AH220" i="10"/>
  <c r="B221" i="10"/>
  <c r="C221" i="10"/>
  <c r="D221" i="10"/>
  <c r="E221" i="10"/>
  <c r="I221" i="10"/>
  <c r="K221" i="10"/>
  <c r="AE221" i="10"/>
  <c r="AF221" i="10"/>
  <c r="AG221" i="10"/>
  <c r="AH221" i="10"/>
  <c r="B222" i="10"/>
  <c r="C222" i="10"/>
  <c r="D222" i="10"/>
  <c r="E222" i="10"/>
  <c r="I222" i="10"/>
  <c r="K222" i="10"/>
  <c r="AE222" i="10"/>
  <c r="AF222" i="10"/>
  <c r="AG222" i="10"/>
  <c r="AH222" i="10"/>
  <c r="B223" i="10"/>
  <c r="C223" i="10"/>
  <c r="W223" i="10" s="1"/>
  <c r="D223" i="10"/>
  <c r="E223" i="10"/>
  <c r="I223" i="10"/>
  <c r="K223" i="10"/>
  <c r="AE223" i="10"/>
  <c r="AF223" i="10"/>
  <c r="AG223" i="10"/>
  <c r="AH223" i="10"/>
  <c r="B224" i="10"/>
  <c r="C224" i="10"/>
  <c r="O224" i="10" s="1"/>
  <c r="D224" i="10"/>
  <c r="E224" i="10"/>
  <c r="I224" i="10"/>
  <c r="K224" i="10"/>
  <c r="AE224" i="10"/>
  <c r="AF224" i="10"/>
  <c r="AG224" i="10"/>
  <c r="AH224" i="10"/>
  <c r="B225" i="10"/>
  <c r="C225" i="10"/>
  <c r="T225" i="10" s="1"/>
  <c r="D225" i="10"/>
  <c r="E225" i="10"/>
  <c r="I225" i="10"/>
  <c r="K225" i="10"/>
  <c r="AE225" i="10"/>
  <c r="AF225" i="10"/>
  <c r="AG225" i="10"/>
  <c r="AH225" i="10"/>
  <c r="B226" i="10"/>
  <c r="C226" i="10"/>
  <c r="X226" i="10" s="1"/>
  <c r="D226" i="10"/>
  <c r="E226" i="10"/>
  <c r="I226" i="10"/>
  <c r="K226" i="10"/>
  <c r="AE226" i="10"/>
  <c r="AF226" i="10"/>
  <c r="AG226" i="10"/>
  <c r="AH226" i="10"/>
  <c r="B227" i="10"/>
  <c r="C227" i="10"/>
  <c r="W227" i="10" s="1"/>
  <c r="D227" i="10"/>
  <c r="E227" i="10"/>
  <c r="I227" i="10"/>
  <c r="K227" i="10"/>
  <c r="AE227" i="10"/>
  <c r="AF227" i="10"/>
  <c r="AG227" i="10"/>
  <c r="AH227" i="10"/>
  <c r="B228" i="10"/>
  <c r="C228" i="10"/>
  <c r="AD228" i="10" s="1"/>
  <c r="D228" i="10"/>
  <c r="E228" i="10"/>
  <c r="I228" i="10"/>
  <c r="K228" i="10"/>
  <c r="AE228" i="10"/>
  <c r="AF228" i="10"/>
  <c r="AG228" i="10"/>
  <c r="AH228" i="10"/>
  <c r="B229" i="10"/>
  <c r="C229" i="10"/>
  <c r="D229" i="10"/>
  <c r="E229" i="10"/>
  <c r="I229" i="10"/>
  <c r="K229" i="10"/>
  <c r="AE229" i="10"/>
  <c r="AF229" i="10"/>
  <c r="AG229" i="10"/>
  <c r="AH229" i="10"/>
  <c r="B230" i="10"/>
  <c r="C230" i="10"/>
  <c r="D230" i="10"/>
  <c r="E230" i="10"/>
  <c r="I230" i="10"/>
  <c r="K230" i="10"/>
  <c r="AE230" i="10"/>
  <c r="AF230" i="10"/>
  <c r="AG230" i="10"/>
  <c r="AH230" i="10"/>
  <c r="B231" i="10"/>
  <c r="C231" i="10"/>
  <c r="W231" i="10" s="1"/>
  <c r="D231" i="10"/>
  <c r="E231" i="10"/>
  <c r="I231" i="10"/>
  <c r="K231" i="10"/>
  <c r="AE231" i="10"/>
  <c r="AF231" i="10"/>
  <c r="AG231" i="10"/>
  <c r="AH231" i="10"/>
  <c r="B232" i="10"/>
  <c r="C232" i="10"/>
  <c r="AD232" i="10" s="1"/>
  <c r="D232" i="10"/>
  <c r="E232" i="10"/>
  <c r="I232" i="10"/>
  <c r="K232" i="10"/>
  <c r="AE232" i="10"/>
  <c r="AF232" i="10"/>
  <c r="AG232" i="10"/>
  <c r="AH232" i="10"/>
  <c r="B233" i="10"/>
  <c r="C233" i="10"/>
  <c r="T233" i="10" s="1"/>
  <c r="D233" i="10"/>
  <c r="E233" i="10"/>
  <c r="I233" i="10"/>
  <c r="K233" i="10"/>
  <c r="AE233" i="10"/>
  <c r="AF233" i="10"/>
  <c r="AG233" i="10"/>
  <c r="AH233" i="10"/>
  <c r="B234" i="10"/>
  <c r="C234" i="10"/>
  <c r="Z234" i="10" s="1"/>
  <c r="D234" i="10"/>
  <c r="E234" i="10"/>
  <c r="I234" i="10"/>
  <c r="K234" i="10"/>
  <c r="AE234" i="10"/>
  <c r="AF234" i="10"/>
  <c r="AG234" i="10"/>
  <c r="AH234" i="10"/>
  <c r="B235" i="10"/>
  <c r="C235" i="10"/>
  <c r="D235" i="10"/>
  <c r="E235" i="10"/>
  <c r="I235" i="10"/>
  <c r="K235" i="10"/>
  <c r="AE235" i="10"/>
  <c r="AF235" i="10"/>
  <c r="AG235" i="10"/>
  <c r="AH235" i="10"/>
  <c r="B236" i="10"/>
  <c r="C236" i="10"/>
  <c r="V236" i="10" s="1"/>
  <c r="D236" i="10"/>
  <c r="E236" i="10"/>
  <c r="I236" i="10"/>
  <c r="K236" i="10"/>
  <c r="AE236" i="10"/>
  <c r="AF236" i="10"/>
  <c r="AG236" i="10"/>
  <c r="AH236" i="10"/>
  <c r="B237" i="10"/>
  <c r="C237" i="10"/>
  <c r="D237" i="10"/>
  <c r="E237" i="10"/>
  <c r="I237" i="10"/>
  <c r="K237" i="10"/>
  <c r="AE237" i="10"/>
  <c r="AF237" i="10"/>
  <c r="AG237" i="10"/>
  <c r="AH237" i="10"/>
  <c r="B238" i="10"/>
  <c r="C238" i="10"/>
  <c r="Z238" i="10" s="1"/>
  <c r="D238" i="10"/>
  <c r="E238" i="10"/>
  <c r="I238" i="10"/>
  <c r="K238" i="10"/>
  <c r="AE238" i="10"/>
  <c r="AF238" i="10"/>
  <c r="AG238" i="10"/>
  <c r="AH238" i="10"/>
  <c r="B239" i="10"/>
  <c r="C239" i="10"/>
  <c r="D239" i="10"/>
  <c r="E239" i="10"/>
  <c r="I239" i="10"/>
  <c r="K239" i="10"/>
  <c r="AE239" i="10"/>
  <c r="AF239" i="10"/>
  <c r="AG239" i="10"/>
  <c r="AH239" i="10"/>
  <c r="B240" i="10"/>
  <c r="C240" i="10"/>
  <c r="D240" i="10"/>
  <c r="E240" i="10"/>
  <c r="I240" i="10"/>
  <c r="K240" i="10"/>
  <c r="AE240" i="10"/>
  <c r="AF240" i="10"/>
  <c r="AG240" i="10"/>
  <c r="AH240" i="10"/>
  <c r="B241" i="10"/>
  <c r="C241" i="10"/>
  <c r="W241" i="10" s="1"/>
  <c r="D241" i="10"/>
  <c r="E241" i="10"/>
  <c r="I241" i="10"/>
  <c r="K241" i="10"/>
  <c r="AE241" i="10"/>
  <c r="AF241" i="10"/>
  <c r="AG241" i="10"/>
  <c r="AH241" i="10"/>
  <c r="B242" i="10"/>
  <c r="C242" i="10"/>
  <c r="D242" i="10"/>
  <c r="E242" i="10"/>
  <c r="I242" i="10"/>
  <c r="K242" i="10"/>
  <c r="AE242" i="10"/>
  <c r="AF242" i="10"/>
  <c r="AG242" i="10"/>
  <c r="AH242" i="10"/>
  <c r="B243" i="10"/>
  <c r="C243" i="10"/>
  <c r="U243" i="10" s="1"/>
  <c r="D243" i="10"/>
  <c r="E243" i="10"/>
  <c r="I243" i="10"/>
  <c r="K243" i="10"/>
  <c r="AE243" i="10"/>
  <c r="AF243" i="10"/>
  <c r="AG243" i="10"/>
  <c r="AH243" i="10"/>
  <c r="B244" i="10"/>
  <c r="C244" i="10"/>
  <c r="D244" i="10"/>
  <c r="E244" i="10"/>
  <c r="I244" i="10"/>
  <c r="K244" i="10"/>
  <c r="AE244" i="10"/>
  <c r="AF244" i="10"/>
  <c r="AG244" i="10"/>
  <c r="AH244" i="10"/>
  <c r="B245" i="10"/>
  <c r="C245" i="10"/>
  <c r="Z245" i="10" s="1"/>
  <c r="D245" i="10"/>
  <c r="E245" i="10"/>
  <c r="I245" i="10"/>
  <c r="K245" i="10"/>
  <c r="AE245" i="10"/>
  <c r="AF245" i="10"/>
  <c r="AG245" i="10"/>
  <c r="AH245" i="10"/>
  <c r="B246" i="10"/>
  <c r="C246" i="10"/>
  <c r="D246" i="10"/>
  <c r="E246" i="10"/>
  <c r="I246" i="10"/>
  <c r="K246" i="10"/>
  <c r="AE246" i="10"/>
  <c r="AF246" i="10"/>
  <c r="AG246" i="10"/>
  <c r="AH246" i="10"/>
  <c r="B247" i="10"/>
  <c r="C247" i="10"/>
  <c r="D247" i="10"/>
  <c r="E247" i="10"/>
  <c r="I247" i="10"/>
  <c r="K247" i="10"/>
  <c r="AE247" i="10"/>
  <c r="AF247" i="10"/>
  <c r="AG247" i="10"/>
  <c r="AH247" i="10"/>
  <c r="B248" i="10"/>
  <c r="C248" i="10"/>
  <c r="X248" i="10" s="1"/>
  <c r="D248" i="10"/>
  <c r="E248" i="10"/>
  <c r="I248" i="10"/>
  <c r="K248" i="10"/>
  <c r="AE248" i="10"/>
  <c r="AF248" i="10"/>
  <c r="AG248" i="10"/>
  <c r="AH248" i="10"/>
  <c r="B249" i="10"/>
  <c r="C249" i="10"/>
  <c r="D249" i="10"/>
  <c r="E249" i="10"/>
  <c r="I249" i="10"/>
  <c r="K249" i="10"/>
  <c r="AE249" i="10"/>
  <c r="AF249" i="10"/>
  <c r="AG249" i="10"/>
  <c r="AH249" i="10"/>
  <c r="B250" i="10"/>
  <c r="C250" i="10"/>
  <c r="D250" i="10"/>
  <c r="E250" i="10"/>
  <c r="I250" i="10"/>
  <c r="K250" i="10"/>
  <c r="AE250" i="10"/>
  <c r="AF250" i="10"/>
  <c r="AG250" i="10"/>
  <c r="AH250" i="10"/>
  <c r="B251" i="10"/>
  <c r="C251" i="10"/>
  <c r="V251" i="10" s="1"/>
  <c r="D251" i="10"/>
  <c r="E251" i="10"/>
  <c r="I251" i="10"/>
  <c r="K251" i="10"/>
  <c r="AE251" i="10"/>
  <c r="AF251" i="10"/>
  <c r="AG251" i="10"/>
  <c r="AH251" i="10"/>
  <c r="B252" i="10"/>
  <c r="C252" i="10"/>
  <c r="Q252" i="10" s="1"/>
  <c r="D252" i="10"/>
  <c r="E252" i="10"/>
  <c r="I252" i="10"/>
  <c r="K252" i="10"/>
  <c r="AE252" i="10"/>
  <c r="AF252" i="10"/>
  <c r="AG252" i="10"/>
  <c r="AH252" i="10"/>
  <c r="B253" i="10"/>
  <c r="C253" i="10"/>
  <c r="Z253" i="10" s="1"/>
  <c r="D253" i="10"/>
  <c r="E253" i="10"/>
  <c r="I253" i="10"/>
  <c r="K253" i="10"/>
  <c r="AE253" i="10"/>
  <c r="AF253" i="10"/>
  <c r="AG253" i="10"/>
  <c r="AH253" i="10"/>
  <c r="B254" i="10"/>
  <c r="C254" i="10"/>
  <c r="D254" i="10"/>
  <c r="E254" i="10"/>
  <c r="I254" i="10"/>
  <c r="K254" i="10"/>
  <c r="AE254" i="10"/>
  <c r="AF254" i="10"/>
  <c r="AG254" i="10"/>
  <c r="AH254" i="10"/>
  <c r="B255" i="10"/>
  <c r="C255" i="10"/>
  <c r="D255" i="10"/>
  <c r="E255" i="10"/>
  <c r="I255" i="10"/>
  <c r="K255" i="10"/>
  <c r="AE255" i="10"/>
  <c r="AF255" i="10"/>
  <c r="AG255" i="10"/>
  <c r="AH255" i="10"/>
  <c r="B256" i="10"/>
  <c r="C256" i="10"/>
  <c r="S256" i="10" s="1"/>
  <c r="D256" i="10"/>
  <c r="E256" i="10"/>
  <c r="I256" i="10"/>
  <c r="K256" i="10"/>
  <c r="AE256" i="10"/>
  <c r="AF256" i="10"/>
  <c r="AG256" i="10"/>
  <c r="AH256" i="10"/>
  <c r="B257" i="10"/>
  <c r="C257" i="10"/>
  <c r="T257" i="10" s="1"/>
  <c r="D257" i="10"/>
  <c r="E257" i="10"/>
  <c r="I257" i="10"/>
  <c r="K257" i="10"/>
  <c r="AE257" i="10"/>
  <c r="AF257" i="10"/>
  <c r="AG257" i="10"/>
  <c r="AH257" i="10"/>
  <c r="B258" i="10"/>
  <c r="C258" i="10"/>
  <c r="W258" i="10" s="1"/>
  <c r="D258" i="10"/>
  <c r="E258" i="10"/>
  <c r="I258" i="10"/>
  <c r="K258" i="10"/>
  <c r="AE258" i="10"/>
  <c r="AF258" i="10"/>
  <c r="AG258" i="10"/>
  <c r="AH258" i="10"/>
  <c r="B259" i="10"/>
  <c r="C259" i="10"/>
  <c r="D259" i="10"/>
  <c r="E259" i="10"/>
  <c r="I259" i="10"/>
  <c r="K259" i="10"/>
  <c r="AE259" i="10"/>
  <c r="AF259" i="10"/>
  <c r="AG259" i="10"/>
  <c r="AH259" i="10"/>
  <c r="B260" i="10"/>
  <c r="C260" i="10"/>
  <c r="S260" i="10" s="1"/>
  <c r="D260" i="10"/>
  <c r="E260" i="10"/>
  <c r="I260" i="10"/>
  <c r="K260" i="10"/>
  <c r="AE260" i="10"/>
  <c r="AF260" i="10"/>
  <c r="AG260" i="10"/>
  <c r="AH260" i="10"/>
  <c r="B261" i="10"/>
  <c r="C261" i="10"/>
  <c r="D261" i="10"/>
  <c r="E261" i="10"/>
  <c r="I261" i="10"/>
  <c r="K261" i="10"/>
  <c r="AE261" i="10"/>
  <c r="AF261" i="10"/>
  <c r="AG261" i="10"/>
  <c r="AH261" i="10"/>
  <c r="B262" i="10"/>
  <c r="C262" i="10"/>
  <c r="O262" i="10" s="1"/>
  <c r="D262" i="10"/>
  <c r="E262" i="10"/>
  <c r="I262" i="10"/>
  <c r="K262" i="10"/>
  <c r="AE262" i="10"/>
  <c r="AF262" i="10"/>
  <c r="AG262" i="10"/>
  <c r="AH262" i="10"/>
  <c r="B263" i="10"/>
  <c r="C263" i="10"/>
  <c r="W263" i="10" s="1"/>
  <c r="D263" i="10"/>
  <c r="E263" i="10"/>
  <c r="I263" i="10"/>
  <c r="K263" i="10"/>
  <c r="AE263" i="10"/>
  <c r="AF263" i="10"/>
  <c r="AG263" i="10"/>
  <c r="AH263" i="10"/>
  <c r="B264" i="10"/>
  <c r="C264" i="10"/>
  <c r="D264" i="10"/>
  <c r="E264" i="10"/>
  <c r="I264" i="10"/>
  <c r="K264" i="10"/>
  <c r="AE264" i="10"/>
  <c r="AF264" i="10"/>
  <c r="AG264" i="10"/>
  <c r="AH264" i="10"/>
  <c r="B265" i="10"/>
  <c r="C265" i="10"/>
  <c r="D265" i="10"/>
  <c r="E265" i="10"/>
  <c r="I265" i="10"/>
  <c r="K265" i="10"/>
  <c r="AE265" i="10"/>
  <c r="AF265" i="10"/>
  <c r="AG265" i="10"/>
  <c r="AH265" i="10"/>
  <c r="B266" i="10"/>
  <c r="C266" i="10"/>
  <c r="X266" i="10" s="1"/>
  <c r="D266" i="10"/>
  <c r="E266" i="10"/>
  <c r="I266" i="10"/>
  <c r="K266" i="10"/>
  <c r="AE266" i="10"/>
  <c r="AF266" i="10"/>
  <c r="AG266" i="10"/>
  <c r="AH266" i="10"/>
  <c r="B267" i="10"/>
  <c r="C267" i="10"/>
  <c r="Z267" i="10" s="1"/>
  <c r="D267" i="10"/>
  <c r="E267" i="10"/>
  <c r="I267" i="10"/>
  <c r="K267" i="10"/>
  <c r="AE267" i="10"/>
  <c r="AF267" i="10"/>
  <c r="AG267" i="10"/>
  <c r="AH267" i="10"/>
  <c r="B268" i="10"/>
  <c r="C268" i="10"/>
  <c r="Y268" i="10" s="1"/>
  <c r="D268" i="10"/>
  <c r="E268" i="10"/>
  <c r="I268" i="10"/>
  <c r="K268" i="10"/>
  <c r="AE268" i="10"/>
  <c r="AF268" i="10"/>
  <c r="AG268" i="10"/>
  <c r="AH268" i="10"/>
  <c r="B269" i="10"/>
  <c r="C269" i="10"/>
  <c r="D269" i="10"/>
  <c r="E269" i="10"/>
  <c r="I269" i="10"/>
  <c r="K269" i="10"/>
  <c r="AE269" i="10"/>
  <c r="AF269" i="10"/>
  <c r="AG269" i="10"/>
  <c r="AH269" i="10"/>
  <c r="B270" i="10"/>
  <c r="C270" i="10"/>
  <c r="D270" i="10"/>
  <c r="E270" i="10"/>
  <c r="I270" i="10"/>
  <c r="K270" i="10"/>
  <c r="AE270" i="10"/>
  <c r="AF270" i="10"/>
  <c r="AG270" i="10"/>
  <c r="AH270" i="10"/>
  <c r="B271" i="10"/>
  <c r="C271" i="10"/>
  <c r="D271" i="10"/>
  <c r="E271" i="10"/>
  <c r="I271" i="10"/>
  <c r="K271" i="10"/>
  <c r="AE271" i="10"/>
  <c r="AF271" i="10"/>
  <c r="AG271" i="10"/>
  <c r="AH271" i="10"/>
  <c r="B272" i="10"/>
  <c r="C272" i="10"/>
  <c r="D272" i="10"/>
  <c r="E272" i="10"/>
  <c r="I272" i="10"/>
  <c r="K272" i="10"/>
  <c r="AE272" i="10"/>
  <c r="AF272" i="10"/>
  <c r="AG272" i="10"/>
  <c r="AH272" i="10"/>
  <c r="B273" i="10"/>
  <c r="C273" i="10"/>
  <c r="D273" i="10"/>
  <c r="E273" i="10"/>
  <c r="I273" i="10"/>
  <c r="K273" i="10"/>
  <c r="AE273" i="10"/>
  <c r="AF273" i="10"/>
  <c r="AG273" i="10"/>
  <c r="AH273" i="10"/>
  <c r="B274" i="10"/>
  <c r="C274" i="10"/>
  <c r="D274" i="10"/>
  <c r="E274" i="10"/>
  <c r="I274" i="10"/>
  <c r="K274" i="10"/>
  <c r="AE274" i="10"/>
  <c r="AF274" i="10"/>
  <c r="AG274" i="10"/>
  <c r="AH274" i="10"/>
  <c r="B275" i="10"/>
  <c r="C275" i="10"/>
  <c r="Z275" i="10" s="1"/>
  <c r="D275" i="10"/>
  <c r="E275" i="10"/>
  <c r="I275" i="10"/>
  <c r="K275" i="10"/>
  <c r="AE275" i="10"/>
  <c r="AF275" i="10"/>
  <c r="AG275" i="10"/>
  <c r="AH275" i="10"/>
  <c r="B276" i="10"/>
  <c r="C276" i="10"/>
  <c r="X276" i="10" s="1"/>
  <c r="D276" i="10"/>
  <c r="E276" i="10"/>
  <c r="I276" i="10"/>
  <c r="K276" i="10"/>
  <c r="AE276" i="10"/>
  <c r="AF276" i="10"/>
  <c r="AG276" i="10"/>
  <c r="AH276" i="10"/>
  <c r="B277" i="10"/>
  <c r="C277" i="10"/>
  <c r="U277" i="10" s="1"/>
  <c r="D277" i="10"/>
  <c r="E277" i="10"/>
  <c r="I277" i="10"/>
  <c r="K277" i="10"/>
  <c r="AE277" i="10"/>
  <c r="AF277" i="10"/>
  <c r="AG277" i="10"/>
  <c r="AH277" i="10"/>
  <c r="B278" i="10"/>
  <c r="C278" i="10"/>
  <c r="D278" i="10"/>
  <c r="E278" i="10"/>
  <c r="I278" i="10"/>
  <c r="K278" i="10"/>
  <c r="AE278" i="10"/>
  <c r="AF278" i="10"/>
  <c r="AG278" i="10"/>
  <c r="AH278" i="10"/>
  <c r="B279" i="10"/>
  <c r="C279" i="10"/>
  <c r="D279" i="10"/>
  <c r="E279" i="10"/>
  <c r="I279" i="10"/>
  <c r="K279" i="10"/>
  <c r="AE279" i="10"/>
  <c r="AF279" i="10"/>
  <c r="AG279" i="10"/>
  <c r="AH279" i="10"/>
  <c r="B280" i="10"/>
  <c r="C280" i="10"/>
  <c r="Y280" i="10" s="1"/>
  <c r="D280" i="10"/>
  <c r="E280" i="10"/>
  <c r="I280" i="10"/>
  <c r="K280" i="10"/>
  <c r="AE280" i="10"/>
  <c r="AF280" i="10"/>
  <c r="AG280" i="10"/>
  <c r="AH280" i="10"/>
  <c r="B281" i="10"/>
  <c r="C281" i="10"/>
  <c r="D281" i="10"/>
  <c r="E281" i="10"/>
  <c r="I281" i="10"/>
  <c r="K281" i="10"/>
  <c r="AE281" i="10"/>
  <c r="AF281" i="10"/>
  <c r="AG281" i="10"/>
  <c r="AH281" i="10"/>
  <c r="B282" i="10"/>
  <c r="C282" i="10"/>
  <c r="T282" i="10" s="1"/>
  <c r="D282" i="10"/>
  <c r="E282" i="10"/>
  <c r="I282" i="10"/>
  <c r="K282" i="10"/>
  <c r="AE282" i="10"/>
  <c r="AF282" i="10"/>
  <c r="AG282" i="10"/>
  <c r="AH282" i="10"/>
  <c r="B283" i="10"/>
  <c r="C283" i="10"/>
  <c r="R283" i="10" s="1"/>
  <c r="D283" i="10"/>
  <c r="E283" i="10"/>
  <c r="I283" i="10"/>
  <c r="K283" i="10"/>
  <c r="AE283" i="10"/>
  <c r="AF283" i="10"/>
  <c r="AG283" i="10"/>
  <c r="AH283" i="10"/>
  <c r="B284" i="10"/>
  <c r="C284" i="10"/>
  <c r="Z284" i="10" s="1"/>
  <c r="D284" i="10"/>
  <c r="E284" i="10"/>
  <c r="I284" i="10"/>
  <c r="K284" i="10"/>
  <c r="AE284" i="10"/>
  <c r="AF284" i="10"/>
  <c r="AG284" i="10"/>
  <c r="AH284" i="10"/>
  <c r="B285" i="10"/>
  <c r="C285" i="10"/>
  <c r="W285" i="10" s="1"/>
  <c r="D285" i="10"/>
  <c r="E285" i="10"/>
  <c r="I285" i="10"/>
  <c r="K285" i="10"/>
  <c r="AE285" i="10"/>
  <c r="AF285" i="10"/>
  <c r="AG285" i="10"/>
  <c r="AH285" i="10"/>
  <c r="B286" i="10"/>
  <c r="C286" i="10"/>
  <c r="V286" i="10" s="1"/>
  <c r="D286" i="10"/>
  <c r="E286" i="10"/>
  <c r="I286" i="10"/>
  <c r="K286" i="10"/>
  <c r="AE286" i="10"/>
  <c r="AF286" i="10"/>
  <c r="AG286" i="10"/>
  <c r="AH286" i="10"/>
  <c r="B287" i="10"/>
  <c r="C287" i="10"/>
  <c r="S287" i="10" s="1"/>
  <c r="D287" i="10"/>
  <c r="E287" i="10"/>
  <c r="I287" i="10"/>
  <c r="K287" i="10"/>
  <c r="AE287" i="10"/>
  <c r="AF287" i="10"/>
  <c r="AG287" i="10"/>
  <c r="AH287" i="10"/>
  <c r="B288" i="10"/>
  <c r="C288" i="10"/>
  <c r="O288" i="10" s="1"/>
  <c r="D288" i="10"/>
  <c r="E288" i="10"/>
  <c r="I288" i="10"/>
  <c r="K288" i="10"/>
  <c r="AE288" i="10"/>
  <c r="AF288" i="10"/>
  <c r="AG288" i="10"/>
  <c r="AH288" i="10"/>
  <c r="B289" i="10"/>
  <c r="C289" i="10"/>
  <c r="W289" i="10" s="1"/>
  <c r="D289" i="10"/>
  <c r="E289" i="10"/>
  <c r="I289" i="10"/>
  <c r="K289" i="10"/>
  <c r="AE289" i="10"/>
  <c r="AF289" i="10"/>
  <c r="AG289" i="10"/>
  <c r="AH289" i="10"/>
  <c r="B290" i="10"/>
  <c r="C290" i="10"/>
  <c r="T290" i="10" s="1"/>
  <c r="D290" i="10"/>
  <c r="E290" i="10"/>
  <c r="I290" i="10"/>
  <c r="K290" i="10"/>
  <c r="AE290" i="10"/>
  <c r="AF290" i="10"/>
  <c r="AG290" i="10"/>
  <c r="AH290" i="10"/>
  <c r="B291" i="10"/>
  <c r="C291" i="10"/>
  <c r="D291" i="10"/>
  <c r="E291" i="10"/>
  <c r="I291" i="10"/>
  <c r="K291" i="10"/>
  <c r="AE291" i="10"/>
  <c r="AF291" i="10"/>
  <c r="AG291" i="10"/>
  <c r="AH291" i="10"/>
  <c r="B292" i="10"/>
  <c r="C292" i="10"/>
  <c r="D292" i="10"/>
  <c r="E292" i="10"/>
  <c r="I292" i="10"/>
  <c r="K292" i="10"/>
  <c r="AE292" i="10"/>
  <c r="AF292" i="10"/>
  <c r="AG292" i="10"/>
  <c r="AH292" i="10"/>
  <c r="B293" i="10"/>
  <c r="C293" i="10"/>
  <c r="D293" i="10"/>
  <c r="E293" i="10"/>
  <c r="I293" i="10"/>
  <c r="K293" i="10"/>
  <c r="AE293" i="10"/>
  <c r="AF293" i="10"/>
  <c r="AG293" i="10"/>
  <c r="AH293" i="10"/>
  <c r="B294" i="10"/>
  <c r="C294" i="10"/>
  <c r="W294" i="10" s="1"/>
  <c r="D294" i="10"/>
  <c r="E294" i="10"/>
  <c r="I294" i="10"/>
  <c r="K294" i="10"/>
  <c r="AE294" i="10"/>
  <c r="AF294" i="10"/>
  <c r="AG294" i="10"/>
  <c r="AH294" i="10"/>
  <c r="B295" i="10"/>
  <c r="C295" i="10"/>
  <c r="T295" i="10" s="1"/>
  <c r="D295" i="10"/>
  <c r="E295" i="10"/>
  <c r="I295" i="10"/>
  <c r="K295" i="10"/>
  <c r="AE295" i="10"/>
  <c r="AF295" i="10"/>
  <c r="AG295" i="10"/>
  <c r="AH295" i="10"/>
  <c r="B296" i="10"/>
  <c r="C296" i="10"/>
  <c r="V296" i="10" s="1"/>
  <c r="D296" i="10"/>
  <c r="E296" i="10"/>
  <c r="I296" i="10"/>
  <c r="K296" i="10"/>
  <c r="AE296" i="10"/>
  <c r="AF296" i="10"/>
  <c r="AG296" i="10"/>
  <c r="AH296" i="10"/>
  <c r="B297" i="10"/>
  <c r="C297" i="10"/>
  <c r="Z297" i="10" s="1"/>
  <c r="D297" i="10"/>
  <c r="E297" i="10"/>
  <c r="I297" i="10"/>
  <c r="K297" i="10"/>
  <c r="AE297" i="10"/>
  <c r="AF297" i="10"/>
  <c r="AG297" i="10"/>
  <c r="AH297" i="10"/>
  <c r="B298" i="10"/>
  <c r="C298" i="10"/>
  <c r="X298" i="10" s="1"/>
  <c r="D298" i="10"/>
  <c r="E298" i="10"/>
  <c r="I298" i="10"/>
  <c r="K298" i="10"/>
  <c r="AE298" i="10"/>
  <c r="AF298" i="10"/>
  <c r="AG298" i="10"/>
  <c r="AH298" i="10"/>
  <c r="B299" i="10"/>
  <c r="C299" i="10"/>
  <c r="U299" i="10" s="1"/>
  <c r="D299" i="10"/>
  <c r="E299" i="10"/>
  <c r="I299" i="10"/>
  <c r="K299" i="10"/>
  <c r="AE299" i="10"/>
  <c r="AF299" i="10"/>
  <c r="AG299" i="10"/>
  <c r="AH299" i="10"/>
  <c r="B300" i="10"/>
  <c r="C300" i="10"/>
  <c r="R300" i="10" s="1"/>
  <c r="D300" i="10"/>
  <c r="E300" i="10"/>
  <c r="I300" i="10"/>
  <c r="K300" i="10"/>
  <c r="AE300" i="10"/>
  <c r="AF300" i="10"/>
  <c r="AG300" i="10"/>
  <c r="AH300" i="10"/>
  <c r="B301" i="10"/>
  <c r="C301" i="10"/>
  <c r="D301" i="10"/>
  <c r="E301" i="10"/>
  <c r="I301" i="10"/>
  <c r="K301" i="10"/>
  <c r="AE301" i="10"/>
  <c r="AF301" i="10"/>
  <c r="AG301" i="10"/>
  <c r="AH301" i="10"/>
  <c r="B302" i="10"/>
  <c r="C302" i="10"/>
  <c r="D302" i="10"/>
  <c r="E302" i="10"/>
  <c r="I302" i="10"/>
  <c r="K302" i="10"/>
  <c r="AE302" i="10"/>
  <c r="AF302" i="10"/>
  <c r="AG302" i="10"/>
  <c r="AH302" i="10"/>
  <c r="B303" i="10"/>
  <c r="C303" i="10"/>
  <c r="D303" i="10"/>
  <c r="E303" i="10"/>
  <c r="I303" i="10"/>
  <c r="K303" i="10"/>
  <c r="AE303" i="10"/>
  <c r="AF303" i="10"/>
  <c r="AG303" i="10"/>
  <c r="AH303" i="10"/>
  <c r="B304" i="10"/>
  <c r="C304" i="10"/>
  <c r="T304" i="10" s="1"/>
  <c r="D304" i="10"/>
  <c r="E304" i="10"/>
  <c r="I304" i="10"/>
  <c r="K304" i="10"/>
  <c r="AE304" i="10"/>
  <c r="AF304" i="10"/>
  <c r="AG304" i="10"/>
  <c r="AH304" i="10"/>
  <c r="B305" i="10"/>
  <c r="C305" i="10"/>
  <c r="S305" i="10" s="1"/>
  <c r="D305" i="10"/>
  <c r="E305" i="10"/>
  <c r="I305" i="10"/>
  <c r="K305" i="10"/>
  <c r="AE305" i="10"/>
  <c r="AF305" i="10"/>
  <c r="AG305" i="10"/>
  <c r="AH305" i="10"/>
  <c r="B306" i="10"/>
  <c r="C306" i="10"/>
  <c r="D306" i="10"/>
  <c r="E306" i="10"/>
  <c r="I306" i="10"/>
  <c r="K306" i="10"/>
  <c r="AE306" i="10"/>
  <c r="AF306" i="10"/>
  <c r="AG306" i="10"/>
  <c r="AH306" i="10"/>
  <c r="B307" i="10"/>
  <c r="C307" i="10"/>
  <c r="D307" i="10"/>
  <c r="E307" i="10"/>
  <c r="I307" i="10"/>
  <c r="K307" i="10"/>
  <c r="AE307" i="10"/>
  <c r="AF307" i="10"/>
  <c r="AG307" i="10"/>
  <c r="AH307" i="10"/>
  <c r="B308" i="10"/>
  <c r="C308" i="10"/>
  <c r="O308" i="10" s="1"/>
  <c r="D308" i="10"/>
  <c r="E308" i="10"/>
  <c r="I308" i="10"/>
  <c r="K308" i="10"/>
  <c r="AE308" i="10"/>
  <c r="AF308" i="10"/>
  <c r="AG308" i="10"/>
  <c r="AH308" i="10"/>
  <c r="B309" i="10"/>
  <c r="C309" i="10"/>
  <c r="D309" i="10"/>
  <c r="E309" i="10"/>
  <c r="I309" i="10"/>
  <c r="K309" i="10"/>
  <c r="AE309" i="10"/>
  <c r="AF309" i="10"/>
  <c r="AG309" i="10"/>
  <c r="AH309" i="10"/>
  <c r="B310" i="10"/>
  <c r="C310" i="10"/>
  <c r="AD310" i="10" s="1"/>
  <c r="D310" i="10"/>
  <c r="E310" i="10"/>
  <c r="I310" i="10"/>
  <c r="K310" i="10"/>
  <c r="AE310" i="10"/>
  <c r="AF310" i="10"/>
  <c r="AG310" i="10"/>
  <c r="AH310" i="10"/>
  <c r="B311" i="10"/>
  <c r="C311" i="10"/>
  <c r="AD311" i="10" s="1"/>
  <c r="D311" i="10"/>
  <c r="E311" i="10"/>
  <c r="I311" i="10"/>
  <c r="K311" i="10"/>
  <c r="AE311" i="10"/>
  <c r="AF311" i="10"/>
  <c r="AG311" i="10"/>
  <c r="AH311" i="10"/>
  <c r="B312" i="10"/>
  <c r="C312" i="10"/>
  <c r="Z312" i="10" s="1"/>
  <c r="D312" i="10"/>
  <c r="E312" i="10"/>
  <c r="I312" i="10"/>
  <c r="K312" i="10"/>
  <c r="AE312" i="10"/>
  <c r="AF312" i="10"/>
  <c r="AG312" i="10"/>
  <c r="AH312" i="10"/>
  <c r="B313" i="10"/>
  <c r="C313" i="10"/>
  <c r="X313" i="10" s="1"/>
  <c r="D313" i="10"/>
  <c r="E313" i="10"/>
  <c r="I313" i="10"/>
  <c r="K313" i="10"/>
  <c r="AE313" i="10"/>
  <c r="AF313" i="10"/>
  <c r="AG313" i="10"/>
  <c r="AH313" i="10"/>
  <c r="B314" i="10"/>
  <c r="C314" i="10"/>
  <c r="D314" i="10"/>
  <c r="E314" i="10"/>
  <c r="I314" i="10"/>
  <c r="K314" i="10"/>
  <c r="AE314" i="10"/>
  <c r="AF314" i="10"/>
  <c r="AG314" i="10"/>
  <c r="AH314" i="10"/>
  <c r="B315" i="10"/>
  <c r="C315" i="10"/>
  <c r="D315" i="10"/>
  <c r="E315" i="10"/>
  <c r="I315" i="10"/>
  <c r="K315" i="10"/>
  <c r="AE315" i="10"/>
  <c r="AF315" i="10"/>
  <c r="AG315" i="10"/>
  <c r="AH315" i="10"/>
  <c r="B316" i="10"/>
  <c r="C316" i="10"/>
  <c r="Z316" i="10" s="1"/>
  <c r="D316" i="10"/>
  <c r="E316" i="10"/>
  <c r="I316" i="10"/>
  <c r="K316" i="10"/>
  <c r="AE316" i="10"/>
  <c r="AF316" i="10"/>
  <c r="AG316" i="10"/>
  <c r="AH316" i="10"/>
  <c r="B317" i="10"/>
  <c r="C317" i="10"/>
  <c r="D317" i="10"/>
  <c r="E317" i="10"/>
  <c r="I317" i="10"/>
  <c r="K317" i="10"/>
  <c r="AE317" i="10"/>
  <c r="AF317" i="10"/>
  <c r="AG317" i="10"/>
  <c r="AH317" i="10"/>
  <c r="B318" i="10"/>
  <c r="C318" i="10"/>
  <c r="D318" i="10"/>
  <c r="E318" i="10"/>
  <c r="I318" i="10"/>
  <c r="K318" i="10"/>
  <c r="AE318" i="10"/>
  <c r="AF318" i="10"/>
  <c r="AG318" i="10"/>
  <c r="AH318" i="10"/>
  <c r="B319" i="10"/>
  <c r="C319" i="10"/>
  <c r="D319" i="10"/>
  <c r="E319" i="10"/>
  <c r="I319" i="10"/>
  <c r="K319" i="10"/>
  <c r="AE319" i="10"/>
  <c r="AF319" i="10"/>
  <c r="AG319" i="10"/>
  <c r="AH319" i="10"/>
  <c r="B320" i="10"/>
  <c r="C320" i="10"/>
  <c r="D320" i="10"/>
  <c r="E320" i="10"/>
  <c r="I320" i="10"/>
  <c r="K320" i="10"/>
  <c r="AE320" i="10"/>
  <c r="AF320" i="10"/>
  <c r="AG320" i="10"/>
  <c r="AH320" i="10"/>
  <c r="B321" i="10"/>
  <c r="C321" i="10"/>
  <c r="D321" i="10"/>
  <c r="E321" i="10"/>
  <c r="I321" i="10"/>
  <c r="K321" i="10"/>
  <c r="AE321" i="10"/>
  <c r="AF321" i="10"/>
  <c r="AG321" i="10"/>
  <c r="AH321" i="10"/>
  <c r="B322" i="10"/>
  <c r="C322" i="10"/>
  <c r="X322" i="10" s="1"/>
  <c r="D322" i="10"/>
  <c r="E322" i="10"/>
  <c r="I322" i="10"/>
  <c r="K322" i="10"/>
  <c r="AE322" i="10"/>
  <c r="AF322" i="10"/>
  <c r="AG322" i="10"/>
  <c r="AH322" i="10"/>
  <c r="B323" i="10"/>
  <c r="C323" i="10"/>
  <c r="AD323" i="10" s="1"/>
  <c r="D323" i="10"/>
  <c r="E323" i="10"/>
  <c r="I323" i="10"/>
  <c r="K323" i="10"/>
  <c r="AE323" i="10"/>
  <c r="AF323" i="10"/>
  <c r="AG323" i="10"/>
  <c r="AH323" i="10"/>
  <c r="B324" i="10"/>
  <c r="C324" i="10"/>
  <c r="D324" i="10"/>
  <c r="E324" i="10"/>
  <c r="I324" i="10"/>
  <c r="K324" i="10"/>
  <c r="AE324" i="10"/>
  <c r="AF324" i="10"/>
  <c r="AG324" i="10"/>
  <c r="AH324" i="10"/>
  <c r="B325" i="10"/>
  <c r="C325" i="10"/>
  <c r="S325" i="10" s="1"/>
  <c r="D325" i="10"/>
  <c r="E325" i="10"/>
  <c r="I325" i="10"/>
  <c r="K325" i="10"/>
  <c r="AE325" i="10"/>
  <c r="AF325" i="10"/>
  <c r="AG325" i="10"/>
  <c r="AH325" i="10"/>
  <c r="B326" i="10"/>
  <c r="C326" i="10"/>
  <c r="S326" i="10" s="1"/>
  <c r="D326" i="10"/>
  <c r="E326" i="10"/>
  <c r="I326" i="10"/>
  <c r="K326" i="10"/>
  <c r="AE326" i="10"/>
  <c r="AF326" i="10"/>
  <c r="AG326" i="10"/>
  <c r="AH326" i="10"/>
  <c r="B327" i="10"/>
  <c r="C327" i="10"/>
  <c r="D327" i="10"/>
  <c r="E327" i="10"/>
  <c r="I327" i="10"/>
  <c r="K327" i="10"/>
  <c r="AE327" i="10"/>
  <c r="AF327" i="10"/>
  <c r="AG327" i="10"/>
  <c r="AH327" i="10"/>
  <c r="B328" i="10"/>
  <c r="C328" i="10"/>
  <c r="D328" i="10"/>
  <c r="E328" i="10"/>
  <c r="I328" i="10"/>
  <c r="K328" i="10"/>
  <c r="AE328" i="10"/>
  <c r="AF328" i="10"/>
  <c r="AG328" i="10"/>
  <c r="AH328" i="10"/>
  <c r="B329" i="10"/>
  <c r="C329" i="10"/>
  <c r="Z329" i="10" s="1"/>
  <c r="D329" i="10"/>
  <c r="E329" i="10"/>
  <c r="I329" i="10"/>
  <c r="K329" i="10"/>
  <c r="AE329" i="10"/>
  <c r="AF329" i="10"/>
  <c r="AG329" i="10"/>
  <c r="AH329" i="10"/>
  <c r="B330" i="10"/>
  <c r="C330" i="10"/>
  <c r="D330" i="10"/>
  <c r="E330" i="10"/>
  <c r="I330" i="10"/>
  <c r="K330" i="10"/>
  <c r="AE330" i="10"/>
  <c r="AF330" i="10"/>
  <c r="AG330" i="10"/>
  <c r="AH330" i="10"/>
  <c r="B331" i="10"/>
  <c r="C331" i="10"/>
  <c r="O331" i="10" s="1"/>
  <c r="D331" i="10"/>
  <c r="E331" i="10"/>
  <c r="I331" i="10"/>
  <c r="K331" i="10"/>
  <c r="AE331" i="10"/>
  <c r="AF331" i="10"/>
  <c r="AG331" i="10"/>
  <c r="AH331" i="10"/>
  <c r="B332" i="10"/>
  <c r="C332" i="10"/>
  <c r="D332" i="10"/>
  <c r="E332" i="10"/>
  <c r="I332" i="10"/>
  <c r="K332" i="10"/>
  <c r="AE332" i="10"/>
  <c r="AF332" i="10"/>
  <c r="AG332" i="10"/>
  <c r="AH332" i="10"/>
  <c r="B333" i="10"/>
  <c r="C333" i="10"/>
  <c r="D333" i="10"/>
  <c r="E333" i="10"/>
  <c r="I333" i="10"/>
  <c r="K333" i="10"/>
  <c r="AE333" i="10"/>
  <c r="AF333" i="10"/>
  <c r="AG333" i="10"/>
  <c r="AH333" i="10"/>
  <c r="B334" i="10"/>
  <c r="C334" i="10"/>
  <c r="D334" i="10"/>
  <c r="E334" i="10"/>
  <c r="I334" i="10"/>
  <c r="K334" i="10"/>
  <c r="AE334" i="10"/>
  <c r="AF334" i="10"/>
  <c r="AG334" i="10"/>
  <c r="AH334" i="10"/>
  <c r="B335" i="10"/>
  <c r="C335" i="10"/>
  <c r="D335" i="10"/>
  <c r="E335" i="10"/>
  <c r="I335" i="10"/>
  <c r="K335" i="10"/>
  <c r="AE335" i="10"/>
  <c r="AF335" i="10"/>
  <c r="AG335" i="10"/>
  <c r="AH335" i="10"/>
  <c r="B336" i="10"/>
  <c r="C336" i="10"/>
  <c r="AD336" i="10" s="1"/>
  <c r="D336" i="10"/>
  <c r="E336" i="10"/>
  <c r="I336" i="10"/>
  <c r="K336" i="10"/>
  <c r="AE336" i="10"/>
  <c r="AF336" i="10"/>
  <c r="AG336" i="10"/>
  <c r="AH336" i="10"/>
  <c r="B337" i="10"/>
  <c r="C337" i="10"/>
  <c r="D337" i="10"/>
  <c r="E337" i="10"/>
  <c r="I337" i="10"/>
  <c r="K337" i="10"/>
  <c r="AE337" i="10"/>
  <c r="AF337" i="10"/>
  <c r="AG337" i="10"/>
  <c r="AH337" i="10"/>
  <c r="B338" i="10"/>
  <c r="C338" i="10"/>
  <c r="R338" i="10" s="1"/>
  <c r="D338" i="10"/>
  <c r="E338" i="10"/>
  <c r="I338" i="10"/>
  <c r="K338" i="10"/>
  <c r="AE338" i="10"/>
  <c r="AF338" i="10"/>
  <c r="AG338" i="10"/>
  <c r="AH338" i="10"/>
  <c r="B339" i="10"/>
  <c r="C339" i="10"/>
  <c r="D339" i="10"/>
  <c r="E339" i="10"/>
  <c r="I339" i="10"/>
  <c r="K339" i="10"/>
  <c r="AE339" i="10"/>
  <c r="AF339" i="10"/>
  <c r="AG339" i="10"/>
  <c r="AH339" i="10"/>
  <c r="B340" i="10"/>
  <c r="C340" i="10"/>
  <c r="D340" i="10"/>
  <c r="E340" i="10"/>
  <c r="I340" i="10"/>
  <c r="K340" i="10"/>
  <c r="AE340" i="10"/>
  <c r="AF340" i="10"/>
  <c r="AG340" i="10"/>
  <c r="AH340" i="10"/>
  <c r="B341" i="10"/>
  <c r="C341" i="10"/>
  <c r="D341" i="10"/>
  <c r="E341" i="10"/>
  <c r="I341" i="10"/>
  <c r="K341" i="10"/>
  <c r="AE341" i="10"/>
  <c r="AF341" i="10"/>
  <c r="AG341" i="10"/>
  <c r="AH341" i="10"/>
  <c r="B342" i="10"/>
  <c r="C342" i="10"/>
  <c r="D342" i="10"/>
  <c r="E342" i="10"/>
  <c r="I342" i="10"/>
  <c r="K342" i="10"/>
  <c r="AE342" i="10"/>
  <c r="AF342" i="10"/>
  <c r="AG342" i="10"/>
  <c r="AH342" i="10"/>
  <c r="B343" i="10"/>
  <c r="C343" i="10"/>
  <c r="D343" i="10"/>
  <c r="E343" i="10"/>
  <c r="I343" i="10"/>
  <c r="K343" i="10"/>
  <c r="AE343" i="10"/>
  <c r="AF343" i="10"/>
  <c r="AG343" i="10"/>
  <c r="AH343" i="10"/>
  <c r="B344" i="10"/>
  <c r="C344" i="10"/>
  <c r="O344" i="10" s="1"/>
  <c r="D344" i="10"/>
  <c r="E344" i="10"/>
  <c r="I344" i="10"/>
  <c r="K344" i="10"/>
  <c r="AE344" i="10"/>
  <c r="AF344" i="10"/>
  <c r="AG344" i="10"/>
  <c r="AH344" i="10"/>
  <c r="B345" i="10"/>
  <c r="C345" i="10"/>
  <c r="V345" i="10" s="1"/>
  <c r="D345" i="10"/>
  <c r="E345" i="10"/>
  <c r="I345" i="10"/>
  <c r="K345" i="10"/>
  <c r="AE345" i="10"/>
  <c r="AF345" i="10"/>
  <c r="AG345" i="10"/>
  <c r="AH345" i="10"/>
  <c r="B346" i="10"/>
  <c r="C346" i="10"/>
  <c r="D346" i="10"/>
  <c r="E346" i="10"/>
  <c r="I346" i="10"/>
  <c r="K346" i="10"/>
  <c r="AE346" i="10"/>
  <c r="AF346" i="10"/>
  <c r="AG346" i="10"/>
  <c r="AH346" i="10"/>
  <c r="B347" i="10"/>
  <c r="C347" i="10"/>
  <c r="D347" i="10"/>
  <c r="E347" i="10"/>
  <c r="I347" i="10"/>
  <c r="K347" i="10"/>
  <c r="AE347" i="10"/>
  <c r="AF347" i="10"/>
  <c r="AG347" i="10"/>
  <c r="AH347" i="10"/>
  <c r="B348" i="10"/>
  <c r="C348" i="10"/>
  <c r="D348" i="10"/>
  <c r="E348" i="10"/>
  <c r="I348" i="10"/>
  <c r="K348" i="10"/>
  <c r="AE348" i="10"/>
  <c r="AF348" i="10"/>
  <c r="AG348" i="10"/>
  <c r="AH348" i="10"/>
  <c r="B349" i="10"/>
  <c r="C349" i="10"/>
  <c r="D349" i="10"/>
  <c r="E349" i="10"/>
  <c r="I349" i="10"/>
  <c r="K349" i="10"/>
  <c r="AE349" i="10"/>
  <c r="AF349" i="10"/>
  <c r="AG349" i="10"/>
  <c r="AH349" i="10"/>
  <c r="B350" i="10"/>
  <c r="C350" i="10"/>
  <c r="D350" i="10"/>
  <c r="E350" i="10"/>
  <c r="I350" i="10"/>
  <c r="K350" i="10"/>
  <c r="AE350" i="10"/>
  <c r="AF350" i="10"/>
  <c r="AG350" i="10"/>
  <c r="AH350" i="10"/>
  <c r="B351" i="10"/>
  <c r="C351" i="10"/>
  <c r="D351" i="10"/>
  <c r="E351" i="10"/>
  <c r="I351" i="10"/>
  <c r="K351" i="10"/>
  <c r="AE351" i="10"/>
  <c r="AF351" i="10"/>
  <c r="AG351" i="10"/>
  <c r="AH351" i="10"/>
  <c r="B352" i="10"/>
  <c r="C352" i="10"/>
  <c r="V352" i="10" s="1"/>
  <c r="D352" i="10"/>
  <c r="E352" i="10"/>
  <c r="I352" i="10"/>
  <c r="K352" i="10"/>
  <c r="AE352" i="10"/>
  <c r="AF352" i="10"/>
  <c r="AG352" i="10"/>
  <c r="AH352" i="10"/>
  <c r="B353" i="10"/>
  <c r="C353" i="10"/>
  <c r="D353" i="10"/>
  <c r="E353" i="10"/>
  <c r="I353" i="10"/>
  <c r="K353" i="10"/>
  <c r="AE353" i="10"/>
  <c r="AF353" i="10"/>
  <c r="AG353" i="10"/>
  <c r="AH353" i="10"/>
  <c r="B354" i="10"/>
  <c r="C354" i="10"/>
  <c r="Q354" i="10" s="1"/>
  <c r="D354" i="10"/>
  <c r="E354" i="10"/>
  <c r="I354" i="10"/>
  <c r="K354" i="10"/>
  <c r="AE354" i="10"/>
  <c r="AF354" i="10"/>
  <c r="AG354" i="10"/>
  <c r="AH354" i="10"/>
  <c r="B355" i="10"/>
  <c r="C355" i="10"/>
  <c r="D355" i="10"/>
  <c r="E355" i="10"/>
  <c r="I355" i="10"/>
  <c r="K355" i="10"/>
  <c r="AE355" i="10"/>
  <c r="AF355" i="10"/>
  <c r="AG355" i="10"/>
  <c r="AH355" i="10"/>
  <c r="B356" i="10"/>
  <c r="C356" i="10"/>
  <c r="D356" i="10"/>
  <c r="E356" i="10"/>
  <c r="I356" i="10"/>
  <c r="K356" i="10"/>
  <c r="AE356" i="10"/>
  <c r="AF356" i="10"/>
  <c r="AG356" i="10"/>
  <c r="AH356" i="10"/>
  <c r="B357" i="10"/>
  <c r="C357" i="10"/>
  <c r="D357" i="10"/>
  <c r="E357" i="10"/>
  <c r="I357" i="10"/>
  <c r="K357" i="10"/>
  <c r="AE357" i="10"/>
  <c r="AF357" i="10"/>
  <c r="AG357" i="10"/>
  <c r="AH357" i="10"/>
  <c r="B358" i="10"/>
  <c r="C358" i="10"/>
  <c r="D358" i="10"/>
  <c r="E358" i="10"/>
  <c r="I358" i="10"/>
  <c r="K358" i="10"/>
  <c r="AE358" i="10"/>
  <c r="AF358" i="10"/>
  <c r="AG358" i="10"/>
  <c r="AH358" i="10"/>
  <c r="B359" i="10"/>
  <c r="C359" i="10"/>
  <c r="D359" i="10"/>
  <c r="E359" i="10"/>
  <c r="I359" i="10"/>
  <c r="K359" i="10"/>
  <c r="AE359" i="10"/>
  <c r="AF359" i="10"/>
  <c r="AG359" i="10"/>
  <c r="AH359" i="10"/>
  <c r="B360" i="10"/>
  <c r="C360" i="10"/>
  <c r="D360" i="10"/>
  <c r="E360" i="10"/>
  <c r="I360" i="10"/>
  <c r="K360" i="10"/>
  <c r="AE360" i="10"/>
  <c r="AF360" i="10"/>
  <c r="AG360" i="10"/>
  <c r="AH360" i="10"/>
  <c r="B361" i="10"/>
  <c r="C361" i="10"/>
  <c r="D361" i="10"/>
  <c r="E361" i="10"/>
  <c r="I361" i="10"/>
  <c r="K361" i="10"/>
  <c r="AE361" i="10"/>
  <c r="AF361" i="10"/>
  <c r="AG361" i="10"/>
  <c r="AH361" i="10"/>
  <c r="B362" i="10"/>
  <c r="C362" i="10"/>
  <c r="D362" i="10"/>
  <c r="E362" i="10"/>
  <c r="I362" i="10"/>
  <c r="K362" i="10"/>
  <c r="AE362" i="10"/>
  <c r="AF362" i="10"/>
  <c r="AG362" i="10"/>
  <c r="AH362" i="10"/>
  <c r="B363" i="10"/>
  <c r="C363" i="10"/>
  <c r="R363" i="10" s="1"/>
  <c r="D363" i="10"/>
  <c r="E363" i="10"/>
  <c r="I363" i="10"/>
  <c r="K363" i="10"/>
  <c r="AE363" i="10"/>
  <c r="AF363" i="10"/>
  <c r="AG363" i="10"/>
  <c r="AH363" i="10"/>
  <c r="B364" i="10"/>
  <c r="C364" i="10"/>
  <c r="D364" i="10"/>
  <c r="E364" i="10"/>
  <c r="I364" i="10"/>
  <c r="K364" i="10"/>
  <c r="AE364" i="10"/>
  <c r="AF364" i="10"/>
  <c r="AG364" i="10"/>
  <c r="AH364" i="10"/>
  <c r="B365" i="10"/>
  <c r="C365" i="10"/>
  <c r="D365" i="10"/>
  <c r="E365" i="10"/>
  <c r="I365" i="10"/>
  <c r="K365" i="10"/>
  <c r="AE365" i="10"/>
  <c r="AF365" i="10"/>
  <c r="AG365" i="10"/>
  <c r="AH365" i="10"/>
  <c r="B366" i="10"/>
  <c r="C366" i="10"/>
  <c r="D366" i="10"/>
  <c r="E366" i="10"/>
  <c r="I366" i="10"/>
  <c r="K366" i="10"/>
  <c r="AE366" i="10"/>
  <c r="AF366" i="10"/>
  <c r="AG366" i="10"/>
  <c r="AH366" i="10"/>
  <c r="B367" i="10"/>
  <c r="C367" i="10"/>
  <c r="D367" i="10"/>
  <c r="E367" i="10"/>
  <c r="I367" i="10"/>
  <c r="K367" i="10"/>
  <c r="AE367" i="10"/>
  <c r="AF367" i="10"/>
  <c r="AG367" i="10"/>
  <c r="AH367" i="10"/>
  <c r="B368" i="10"/>
  <c r="C368" i="10"/>
  <c r="D368" i="10"/>
  <c r="E368" i="10"/>
  <c r="I368" i="10"/>
  <c r="K368" i="10"/>
  <c r="AE368" i="10"/>
  <c r="AF368" i="10"/>
  <c r="AG368" i="10"/>
  <c r="AH368" i="10"/>
  <c r="B369" i="10"/>
  <c r="C369" i="10"/>
  <c r="O369" i="10" s="1"/>
  <c r="D369" i="10"/>
  <c r="E369" i="10"/>
  <c r="I369" i="10"/>
  <c r="K369" i="10"/>
  <c r="AE369" i="10"/>
  <c r="AF369" i="10"/>
  <c r="AG369" i="10"/>
  <c r="AH369" i="10"/>
  <c r="B370" i="10"/>
  <c r="C370" i="10"/>
  <c r="D370" i="10"/>
  <c r="E370" i="10"/>
  <c r="I370" i="10"/>
  <c r="K370" i="10"/>
  <c r="AE370" i="10"/>
  <c r="AF370" i="10"/>
  <c r="AG370" i="10"/>
  <c r="AH370" i="10"/>
  <c r="B371" i="10"/>
  <c r="C371" i="10"/>
  <c r="U371" i="10" s="1"/>
  <c r="D371" i="10"/>
  <c r="E371" i="10"/>
  <c r="I371" i="10"/>
  <c r="K371" i="10"/>
  <c r="AE371" i="10"/>
  <c r="AF371" i="10"/>
  <c r="AG371" i="10"/>
  <c r="AH371" i="10"/>
  <c r="B372" i="10"/>
  <c r="C372" i="10"/>
  <c r="D372" i="10"/>
  <c r="E372" i="10"/>
  <c r="I372" i="10"/>
  <c r="K372" i="10"/>
  <c r="AE372" i="10"/>
  <c r="AF372" i="10"/>
  <c r="AG372" i="10"/>
  <c r="AH372" i="10"/>
  <c r="B373" i="10"/>
  <c r="C373" i="10"/>
  <c r="D373" i="10"/>
  <c r="E373" i="10"/>
  <c r="I373" i="10"/>
  <c r="K373" i="10"/>
  <c r="AE373" i="10"/>
  <c r="AF373" i="10"/>
  <c r="AG373" i="10"/>
  <c r="AH373" i="10"/>
  <c r="B374" i="10"/>
  <c r="C374" i="10"/>
  <c r="D374" i="10"/>
  <c r="E374" i="10"/>
  <c r="I374" i="10"/>
  <c r="K374" i="10"/>
  <c r="AE374" i="10"/>
  <c r="AF374" i="10"/>
  <c r="AG374" i="10"/>
  <c r="AH374" i="10"/>
  <c r="B375" i="10"/>
  <c r="C375" i="10"/>
  <c r="AD375" i="10" s="1"/>
  <c r="D375" i="10"/>
  <c r="E375" i="10"/>
  <c r="I375" i="10"/>
  <c r="K375" i="10"/>
  <c r="AE375" i="10"/>
  <c r="AF375" i="10"/>
  <c r="AG375" i="10"/>
  <c r="AH375" i="10"/>
  <c r="B376" i="10"/>
  <c r="C376" i="10"/>
  <c r="D376" i="10"/>
  <c r="E376" i="10"/>
  <c r="I376" i="10"/>
  <c r="K376" i="10"/>
  <c r="AE376" i="10"/>
  <c r="AF376" i="10"/>
  <c r="AG376" i="10"/>
  <c r="AH376" i="10"/>
  <c r="B377" i="10"/>
  <c r="C377" i="10"/>
  <c r="D377" i="10"/>
  <c r="E377" i="10"/>
  <c r="I377" i="10"/>
  <c r="K377" i="10"/>
  <c r="AE377" i="10"/>
  <c r="AF377" i="10"/>
  <c r="AG377" i="10"/>
  <c r="AH377" i="10"/>
  <c r="B378" i="10"/>
  <c r="C378" i="10"/>
  <c r="Q378" i="10" s="1"/>
  <c r="D378" i="10"/>
  <c r="E378" i="10"/>
  <c r="I378" i="10"/>
  <c r="K378" i="10"/>
  <c r="AE378" i="10"/>
  <c r="AF378" i="10"/>
  <c r="AG378" i="10"/>
  <c r="AH378" i="10"/>
  <c r="B379" i="10"/>
  <c r="C379" i="10"/>
  <c r="D379" i="10"/>
  <c r="E379" i="10"/>
  <c r="I379" i="10"/>
  <c r="K379" i="10"/>
  <c r="AE379" i="10"/>
  <c r="AF379" i="10"/>
  <c r="AG379" i="10"/>
  <c r="AH379" i="10"/>
  <c r="B380" i="10"/>
  <c r="C380" i="10"/>
  <c r="D380" i="10"/>
  <c r="E380" i="10"/>
  <c r="I380" i="10"/>
  <c r="K380" i="10"/>
  <c r="AE380" i="10"/>
  <c r="AF380" i="10"/>
  <c r="AG380" i="10"/>
  <c r="AH380" i="10"/>
  <c r="B381" i="10"/>
  <c r="C381" i="10"/>
  <c r="D381" i="10"/>
  <c r="E381" i="10"/>
  <c r="I381" i="10"/>
  <c r="K381" i="10"/>
  <c r="AE381" i="10"/>
  <c r="AF381" i="10"/>
  <c r="AG381" i="10"/>
  <c r="AH381" i="10"/>
  <c r="B382" i="10"/>
  <c r="C382" i="10"/>
  <c r="D382" i="10"/>
  <c r="E382" i="10"/>
  <c r="I382" i="10"/>
  <c r="K382" i="10"/>
  <c r="AE382" i="10"/>
  <c r="AF382" i="10"/>
  <c r="AG382" i="10"/>
  <c r="AH382" i="10"/>
  <c r="B383" i="10"/>
  <c r="C383" i="10"/>
  <c r="D383" i="10"/>
  <c r="E383" i="10"/>
  <c r="I383" i="10"/>
  <c r="K383" i="10"/>
  <c r="AE383" i="10"/>
  <c r="AF383" i="10"/>
  <c r="AG383" i="10"/>
  <c r="AH383" i="10"/>
  <c r="B384" i="10"/>
  <c r="C384" i="10"/>
  <c r="D384" i="10"/>
  <c r="E384" i="10"/>
  <c r="I384" i="10"/>
  <c r="K384" i="10"/>
  <c r="AE384" i="10"/>
  <c r="AF384" i="10"/>
  <c r="AG384" i="10"/>
  <c r="AH384" i="10"/>
  <c r="B385" i="10"/>
  <c r="C385" i="10"/>
  <c r="O385" i="10" s="1"/>
  <c r="D385" i="10"/>
  <c r="E385" i="10"/>
  <c r="I385" i="10"/>
  <c r="K385" i="10"/>
  <c r="AE385" i="10"/>
  <c r="AF385" i="10"/>
  <c r="AG385" i="10"/>
  <c r="AH385" i="10"/>
  <c r="B386" i="10"/>
  <c r="C386" i="10"/>
  <c r="D386" i="10"/>
  <c r="E386" i="10"/>
  <c r="I386" i="10"/>
  <c r="K386" i="10"/>
  <c r="AE386" i="10"/>
  <c r="AF386" i="10"/>
  <c r="AG386" i="10"/>
  <c r="AH386" i="10"/>
  <c r="B387" i="10"/>
  <c r="C387" i="10"/>
  <c r="D387" i="10"/>
  <c r="E387" i="10"/>
  <c r="I387" i="10"/>
  <c r="K387" i="10"/>
  <c r="AE387" i="10"/>
  <c r="AF387" i="10"/>
  <c r="AG387" i="10"/>
  <c r="AH387" i="10"/>
  <c r="B388" i="10"/>
  <c r="C388" i="10"/>
  <c r="D388" i="10"/>
  <c r="E388" i="10"/>
  <c r="I388" i="10"/>
  <c r="K388" i="10"/>
  <c r="AE388" i="10"/>
  <c r="AF388" i="10"/>
  <c r="AG388" i="10"/>
  <c r="AH388" i="10"/>
  <c r="B389" i="10"/>
  <c r="C389" i="10"/>
  <c r="X389" i="10" s="1"/>
  <c r="D389" i="10"/>
  <c r="E389" i="10"/>
  <c r="I389" i="10"/>
  <c r="K389" i="10"/>
  <c r="AE389" i="10"/>
  <c r="AF389" i="10"/>
  <c r="AG389" i="10"/>
  <c r="AH389" i="10"/>
  <c r="B390" i="10"/>
  <c r="C390" i="10"/>
  <c r="D390" i="10"/>
  <c r="E390" i="10"/>
  <c r="I390" i="10"/>
  <c r="K390" i="10"/>
  <c r="AE390" i="10"/>
  <c r="AF390" i="10"/>
  <c r="AG390" i="10"/>
  <c r="AH390" i="10"/>
  <c r="B391" i="10"/>
  <c r="C391" i="10"/>
  <c r="D391" i="10"/>
  <c r="E391" i="10"/>
  <c r="I391" i="10"/>
  <c r="K391" i="10"/>
  <c r="AE391" i="10"/>
  <c r="AF391" i="10"/>
  <c r="AG391" i="10"/>
  <c r="AH391" i="10"/>
  <c r="B392" i="10"/>
  <c r="C392" i="10"/>
  <c r="R392" i="10" s="1"/>
  <c r="D392" i="10"/>
  <c r="E392" i="10"/>
  <c r="I392" i="10"/>
  <c r="K392" i="10"/>
  <c r="AE392" i="10"/>
  <c r="AF392" i="10"/>
  <c r="AG392" i="10"/>
  <c r="AH392" i="10"/>
  <c r="B393" i="10"/>
  <c r="C393" i="10"/>
  <c r="D393" i="10"/>
  <c r="E393" i="10"/>
  <c r="I393" i="10"/>
  <c r="K393" i="10"/>
  <c r="AE393" i="10"/>
  <c r="AF393" i="10"/>
  <c r="AG393" i="10"/>
  <c r="AH393" i="10"/>
  <c r="B394" i="10"/>
  <c r="C394" i="10"/>
  <c r="D394" i="10"/>
  <c r="E394" i="10"/>
  <c r="I394" i="10"/>
  <c r="K394" i="10"/>
  <c r="AE394" i="10"/>
  <c r="AF394" i="10"/>
  <c r="AG394" i="10"/>
  <c r="AH394" i="10"/>
  <c r="B395" i="10"/>
  <c r="C395" i="10"/>
  <c r="D395" i="10"/>
  <c r="E395" i="10"/>
  <c r="I395" i="10"/>
  <c r="K395" i="10"/>
  <c r="AE395" i="10"/>
  <c r="AF395" i="10"/>
  <c r="AG395" i="10"/>
  <c r="AH395" i="10"/>
  <c r="B396" i="10"/>
  <c r="C396" i="10"/>
  <c r="D396" i="10"/>
  <c r="E396" i="10"/>
  <c r="I396" i="10"/>
  <c r="K396" i="10"/>
  <c r="AE396" i="10"/>
  <c r="AF396" i="10"/>
  <c r="AG396" i="10"/>
  <c r="AH396" i="10"/>
  <c r="B397" i="10"/>
  <c r="C397" i="10"/>
  <c r="D397" i="10"/>
  <c r="E397" i="10"/>
  <c r="I397" i="10"/>
  <c r="K397" i="10"/>
  <c r="AE397" i="10"/>
  <c r="AF397" i="10"/>
  <c r="AG397" i="10"/>
  <c r="AH397" i="10"/>
  <c r="B398" i="10"/>
  <c r="C398" i="10"/>
  <c r="D398" i="10"/>
  <c r="E398" i="10"/>
  <c r="I398" i="10"/>
  <c r="K398" i="10"/>
  <c r="AE398" i="10"/>
  <c r="AF398" i="10"/>
  <c r="AG398" i="10"/>
  <c r="AH398" i="10"/>
  <c r="B399" i="10"/>
  <c r="C399" i="10"/>
  <c r="AD399" i="10" s="1"/>
  <c r="D399" i="10"/>
  <c r="E399" i="10"/>
  <c r="I399" i="10"/>
  <c r="K399" i="10"/>
  <c r="AE399" i="10"/>
  <c r="AF399" i="10"/>
  <c r="AG399" i="10"/>
  <c r="AH399" i="10"/>
  <c r="B400" i="10"/>
  <c r="C400" i="10"/>
  <c r="D400" i="10"/>
  <c r="E400" i="10"/>
  <c r="I400" i="10"/>
  <c r="K400" i="10"/>
  <c r="AE400" i="10"/>
  <c r="AF400" i="10"/>
  <c r="AG400" i="10"/>
  <c r="AH400" i="10"/>
  <c r="B401" i="10"/>
  <c r="C401" i="10"/>
  <c r="D401" i="10"/>
  <c r="E401" i="10"/>
  <c r="I401" i="10"/>
  <c r="K401" i="10"/>
  <c r="AE401" i="10"/>
  <c r="AF401" i="10"/>
  <c r="AG401" i="10"/>
  <c r="AH401" i="10"/>
  <c r="B402" i="10"/>
  <c r="C402" i="10"/>
  <c r="D402" i="10"/>
  <c r="E402" i="10"/>
  <c r="I402" i="10"/>
  <c r="K402" i="10"/>
  <c r="AE402" i="10"/>
  <c r="AF402" i="10"/>
  <c r="AG402" i="10"/>
  <c r="AH402" i="10"/>
  <c r="B403" i="10"/>
  <c r="C403" i="10"/>
  <c r="D403" i="10"/>
  <c r="E403" i="10"/>
  <c r="I403" i="10"/>
  <c r="K403" i="10"/>
  <c r="AE403" i="10"/>
  <c r="AF403" i="10"/>
  <c r="AG403" i="10"/>
  <c r="AH403" i="10"/>
  <c r="B404" i="10"/>
  <c r="C404" i="10"/>
  <c r="AD404" i="10" s="1"/>
  <c r="D404" i="10"/>
  <c r="E404" i="10"/>
  <c r="I404" i="10"/>
  <c r="K404" i="10"/>
  <c r="AE404" i="10"/>
  <c r="AF404" i="10"/>
  <c r="AG404" i="10"/>
  <c r="AH404" i="10"/>
  <c r="B405" i="10"/>
  <c r="C405" i="10"/>
  <c r="D405" i="10"/>
  <c r="E405" i="10"/>
  <c r="I405" i="10"/>
  <c r="K405" i="10"/>
  <c r="AE405" i="10"/>
  <c r="AF405" i="10"/>
  <c r="AG405" i="10"/>
  <c r="AH405" i="10"/>
  <c r="B406" i="10"/>
  <c r="C406" i="10"/>
  <c r="D406" i="10"/>
  <c r="E406" i="10"/>
  <c r="I406" i="10"/>
  <c r="K406" i="10"/>
  <c r="AE406" i="10"/>
  <c r="AF406" i="10"/>
  <c r="AG406" i="10"/>
  <c r="AH406" i="10"/>
  <c r="B407" i="10"/>
  <c r="C407" i="10"/>
  <c r="D407" i="10"/>
  <c r="E407" i="10"/>
  <c r="I407" i="10"/>
  <c r="K407" i="10"/>
  <c r="AE407" i="10"/>
  <c r="AF407" i="10"/>
  <c r="AG407" i="10"/>
  <c r="AH407" i="10"/>
  <c r="B408" i="10"/>
  <c r="C408" i="10"/>
  <c r="T408" i="10" s="1"/>
  <c r="D408" i="10"/>
  <c r="E408" i="10"/>
  <c r="I408" i="10"/>
  <c r="K408" i="10"/>
  <c r="AE408" i="10"/>
  <c r="AF408" i="10"/>
  <c r="AG408" i="10"/>
  <c r="AH408" i="10"/>
  <c r="B409" i="10"/>
  <c r="C409" i="10"/>
  <c r="D409" i="10"/>
  <c r="E409" i="10"/>
  <c r="I409" i="10"/>
  <c r="K409" i="10"/>
  <c r="AE409" i="10"/>
  <c r="AF409" i="10"/>
  <c r="AG409" i="10"/>
  <c r="AH409" i="10"/>
  <c r="B410" i="10"/>
  <c r="C410" i="10"/>
  <c r="D410" i="10"/>
  <c r="E410" i="10"/>
  <c r="I410" i="10"/>
  <c r="K410" i="10"/>
  <c r="AE410" i="10"/>
  <c r="AF410" i="10"/>
  <c r="AG410" i="10"/>
  <c r="AH410" i="10"/>
  <c r="B411" i="10"/>
  <c r="C411" i="10"/>
  <c r="D411" i="10"/>
  <c r="E411" i="10"/>
  <c r="I411" i="10"/>
  <c r="K411" i="10"/>
  <c r="AE411" i="10"/>
  <c r="AF411" i="10"/>
  <c r="AG411" i="10"/>
  <c r="AH411" i="10"/>
  <c r="B412" i="10"/>
  <c r="C412" i="10"/>
  <c r="D412" i="10"/>
  <c r="E412" i="10"/>
  <c r="I412" i="10"/>
  <c r="K412" i="10"/>
  <c r="AE412" i="10"/>
  <c r="AF412" i="10"/>
  <c r="AG412" i="10"/>
  <c r="AH412" i="10"/>
  <c r="B413" i="10"/>
  <c r="C413" i="10"/>
  <c r="AD413" i="10" s="1"/>
  <c r="D413" i="10"/>
  <c r="E413" i="10"/>
  <c r="I413" i="10"/>
  <c r="K413" i="10"/>
  <c r="AE413" i="10"/>
  <c r="AF413" i="10"/>
  <c r="AG413" i="10"/>
  <c r="AH413" i="10"/>
  <c r="B414" i="10"/>
  <c r="C414" i="10"/>
  <c r="D414" i="10"/>
  <c r="E414" i="10"/>
  <c r="I414" i="10"/>
  <c r="K414" i="10"/>
  <c r="AE414" i="10"/>
  <c r="AF414" i="10"/>
  <c r="AG414" i="10"/>
  <c r="AH414" i="10"/>
  <c r="B415" i="10"/>
  <c r="C415" i="10"/>
  <c r="X415" i="10" s="1"/>
  <c r="D415" i="10"/>
  <c r="E415" i="10"/>
  <c r="I415" i="10"/>
  <c r="K415" i="10"/>
  <c r="AE415" i="10"/>
  <c r="AF415" i="10"/>
  <c r="AG415" i="10"/>
  <c r="AH415" i="10"/>
  <c r="B416" i="10"/>
  <c r="C416" i="10"/>
  <c r="D416" i="10"/>
  <c r="E416" i="10"/>
  <c r="I416" i="10"/>
  <c r="K416" i="10"/>
  <c r="AE416" i="10"/>
  <c r="AF416" i="10"/>
  <c r="AG416" i="10"/>
  <c r="AH416" i="10"/>
  <c r="B417" i="10"/>
  <c r="C417" i="10"/>
  <c r="D417" i="10"/>
  <c r="E417" i="10"/>
  <c r="I417" i="10"/>
  <c r="K417" i="10"/>
  <c r="AE417" i="10"/>
  <c r="AF417" i="10"/>
  <c r="AG417" i="10"/>
  <c r="AH417" i="10"/>
  <c r="B418" i="10"/>
  <c r="C418" i="10"/>
  <c r="D418" i="10"/>
  <c r="E418" i="10"/>
  <c r="I418" i="10"/>
  <c r="K418" i="10"/>
  <c r="AE418" i="10"/>
  <c r="AF418" i="10"/>
  <c r="AG418" i="10"/>
  <c r="AH418" i="10"/>
  <c r="B419" i="10"/>
  <c r="C419" i="10"/>
  <c r="D419" i="10"/>
  <c r="E419" i="10"/>
  <c r="I419" i="10"/>
  <c r="K419" i="10"/>
  <c r="AE419" i="10"/>
  <c r="AF419" i="10"/>
  <c r="AG419" i="10"/>
  <c r="AH419" i="10"/>
  <c r="B420" i="10"/>
  <c r="C420" i="10"/>
  <c r="D420" i="10"/>
  <c r="E420" i="10"/>
  <c r="I420" i="10"/>
  <c r="K420" i="10"/>
  <c r="AE420" i="10"/>
  <c r="AF420" i="10"/>
  <c r="AG420" i="10"/>
  <c r="AH420" i="10"/>
  <c r="B421" i="10"/>
  <c r="C421" i="10"/>
  <c r="D421" i="10"/>
  <c r="E421" i="10"/>
  <c r="I421" i="10"/>
  <c r="K421" i="10"/>
  <c r="AE421" i="10"/>
  <c r="AF421" i="10"/>
  <c r="AG421" i="10"/>
  <c r="AH421" i="10"/>
  <c r="B422" i="10"/>
  <c r="C422" i="10"/>
  <c r="D422" i="10"/>
  <c r="E422" i="10"/>
  <c r="I422" i="10"/>
  <c r="K422" i="10"/>
  <c r="AE422" i="10"/>
  <c r="AF422" i="10"/>
  <c r="AG422" i="10"/>
  <c r="AH422" i="10"/>
  <c r="B423" i="10"/>
  <c r="C423" i="10"/>
  <c r="D423" i="10"/>
  <c r="E423" i="10"/>
  <c r="I423" i="10"/>
  <c r="K423" i="10"/>
  <c r="AE423" i="10"/>
  <c r="AF423" i="10"/>
  <c r="AG423" i="10"/>
  <c r="AH423" i="10"/>
  <c r="B424" i="10"/>
  <c r="C424" i="10"/>
  <c r="D424" i="10"/>
  <c r="E424" i="10"/>
  <c r="I424" i="10"/>
  <c r="K424" i="10"/>
  <c r="AE424" i="10"/>
  <c r="AF424" i="10"/>
  <c r="AG424" i="10"/>
  <c r="AH424" i="10"/>
  <c r="B425" i="10"/>
  <c r="C425" i="10"/>
  <c r="D425" i="10"/>
  <c r="E425" i="10"/>
  <c r="I425" i="10"/>
  <c r="K425" i="10"/>
  <c r="AE425" i="10"/>
  <c r="AF425" i="10"/>
  <c r="AG425" i="10"/>
  <c r="AH425" i="10"/>
  <c r="B426" i="10"/>
  <c r="C426" i="10"/>
  <c r="AD426" i="10" s="1"/>
  <c r="D426" i="10"/>
  <c r="E426" i="10"/>
  <c r="I426" i="10"/>
  <c r="K426" i="10"/>
  <c r="AE426" i="10"/>
  <c r="AF426" i="10"/>
  <c r="AG426" i="10"/>
  <c r="AH426" i="10"/>
  <c r="B427" i="10"/>
  <c r="C427" i="10"/>
  <c r="D427" i="10"/>
  <c r="E427" i="10"/>
  <c r="I427" i="10"/>
  <c r="K427" i="10"/>
  <c r="AE427" i="10"/>
  <c r="AF427" i="10"/>
  <c r="AG427" i="10"/>
  <c r="AH427" i="10"/>
  <c r="B428" i="10"/>
  <c r="C428" i="10"/>
  <c r="D428" i="10"/>
  <c r="E428" i="10"/>
  <c r="I428" i="10"/>
  <c r="K428" i="10"/>
  <c r="AE428" i="10"/>
  <c r="AF428" i="10"/>
  <c r="AG428" i="10"/>
  <c r="AH428" i="10"/>
  <c r="B429" i="10"/>
  <c r="C429" i="10"/>
  <c r="D429" i="10"/>
  <c r="E429" i="10"/>
  <c r="I429" i="10"/>
  <c r="K429" i="10"/>
  <c r="AE429" i="10"/>
  <c r="AF429" i="10"/>
  <c r="AG429" i="10"/>
  <c r="AH429" i="10"/>
  <c r="B430" i="10"/>
  <c r="C430" i="10"/>
  <c r="D430" i="10"/>
  <c r="E430" i="10"/>
  <c r="I430" i="10"/>
  <c r="K430" i="10"/>
  <c r="AE430" i="10"/>
  <c r="AF430" i="10"/>
  <c r="AG430" i="10"/>
  <c r="AH430" i="10"/>
  <c r="B431" i="10"/>
  <c r="C431" i="10"/>
  <c r="D431" i="10"/>
  <c r="E431" i="10"/>
  <c r="I431" i="10"/>
  <c r="K431" i="10"/>
  <c r="AE431" i="10"/>
  <c r="AF431" i="10"/>
  <c r="AG431" i="10"/>
  <c r="AH431" i="10"/>
  <c r="B432" i="10"/>
  <c r="C432" i="10"/>
  <c r="D432" i="10"/>
  <c r="E432" i="10"/>
  <c r="I432" i="10"/>
  <c r="K432" i="10"/>
  <c r="AE432" i="10"/>
  <c r="AF432" i="10"/>
  <c r="AG432" i="10"/>
  <c r="AH432" i="10"/>
  <c r="B433" i="10"/>
  <c r="C433" i="10"/>
  <c r="D433" i="10"/>
  <c r="E433" i="10"/>
  <c r="I433" i="10"/>
  <c r="K433" i="10"/>
  <c r="AE433" i="10"/>
  <c r="AF433" i="10"/>
  <c r="AG433" i="10"/>
  <c r="AH433" i="10"/>
  <c r="B434" i="10"/>
  <c r="C434" i="10"/>
  <c r="D434" i="10"/>
  <c r="E434" i="10"/>
  <c r="I434" i="10"/>
  <c r="K434" i="10"/>
  <c r="AE434" i="10"/>
  <c r="AF434" i="10"/>
  <c r="AG434" i="10"/>
  <c r="AH434" i="10"/>
  <c r="B435" i="10"/>
  <c r="C435" i="10"/>
  <c r="S435" i="10" s="1"/>
  <c r="D435" i="10"/>
  <c r="E435" i="10"/>
  <c r="I435" i="10"/>
  <c r="K435" i="10"/>
  <c r="AE435" i="10"/>
  <c r="AF435" i="10"/>
  <c r="AG435" i="10"/>
  <c r="AH435" i="10"/>
  <c r="B436" i="10"/>
  <c r="C436" i="10"/>
  <c r="D436" i="10"/>
  <c r="E436" i="10"/>
  <c r="I436" i="10"/>
  <c r="K436" i="10"/>
  <c r="AE436" i="10"/>
  <c r="AF436" i="10"/>
  <c r="AG436" i="10"/>
  <c r="AH436" i="10"/>
  <c r="B437" i="10"/>
  <c r="C437" i="10"/>
  <c r="D437" i="10"/>
  <c r="E437" i="10"/>
  <c r="I437" i="10"/>
  <c r="K437" i="10"/>
  <c r="AE437" i="10"/>
  <c r="AF437" i="10"/>
  <c r="AG437" i="10"/>
  <c r="AH437" i="10"/>
  <c r="B438" i="10"/>
  <c r="C438" i="10"/>
  <c r="D438" i="10"/>
  <c r="E438" i="10"/>
  <c r="I438" i="10"/>
  <c r="K438" i="10"/>
  <c r="AE438" i="10"/>
  <c r="AF438" i="10"/>
  <c r="AG438" i="10"/>
  <c r="AH438" i="10"/>
  <c r="B439" i="10"/>
  <c r="C439" i="10"/>
  <c r="D439" i="10"/>
  <c r="E439" i="10"/>
  <c r="I439" i="10"/>
  <c r="K439" i="10"/>
  <c r="AE439" i="10"/>
  <c r="AF439" i="10"/>
  <c r="AG439" i="10"/>
  <c r="AH439" i="10"/>
  <c r="B440" i="10"/>
  <c r="C440" i="10"/>
  <c r="D440" i="10"/>
  <c r="E440" i="10"/>
  <c r="I440" i="10"/>
  <c r="K440" i="10"/>
  <c r="AE440" i="10"/>
  <c r="AF440" i="10"/>
  <c r="AG440" i="10"/>
  <c r="AH440" i="10"/>
  <c r="B441" i="10"/>
  <c r="C441" i="10"/>
  <c r="D441" i="10"/>
  <c r="E441" i="10"/>
  <c r="I441" i="10"/>
  <c r="K441" i="10"/>
  <c r="AE441" i="10"/>
  <c r="AF441" i="10"/>
  <c r="AG441" i="10"/>
  <c r="AH441" i="10"/>
  <c r="B442" i="10"/>
  <c r="C442" i="10"/>
  <c r="T442" i="10" s="1"/>
  <c r="D442" i="10"/>
  <c r="E442" i="10"/>
  <c r="I442" i="10"/>
  <c r="K442" i="10"/>
  <c r="AE442" i="10"/>
  <c r="AF442" i="10"/>
  <c r="AG442" i="10"/>
  <c r="AH442" i="10"/>
  <c r="B443" i="10"/>
  <c r="C443" i="10"/>
  <c r="D443" i="10"/>
  <c r="E443" i="10"/>
  <c r="I443" i="10"/>
  <c r="K443" i="10"/>
  <c r="AE443" i="10"/>
  <c r="AF443" i="10"/>
  <c r="AG443" i="10"/>
  <c r="AH443" i="10"/>
  <c r="B444" i="10"/>
  <c r="C444" i="10"/>
  <c r="D444" i="10"/>
  <c r="E444" i="10"/>
  <c r="I444" i="10"/>
  <c r="K444" i="10"/>
  <c r="AE444" i="10"/>
  <c r="AF444" i="10"/>
  <c r="AG444" i="10"/>
  <c r="AH444" i="10"/>
  <c r="B445" i="10"/>
  <c r="C445" i="10"/>
  <c r="D445" i="10"/>
  <c r="E445" i="10"/>
  <c r="I445" i="10"/>
  <c r="K445" i="10"/>
  <c r="AE445" i="10"/>
  <c r="AF445" i="10"/>
  <c r="AG445" i="10"/>
  <c r="AH445" i="10"/>
  <c r="B446" i="10"/>
  <c r="C446" i="10"/>
  <c r="D446" i="10"/>
  <c r="E446" i="10"/>
  <c r="I446" i="10"/>
  <c r="K446" i="10"/>
  <c r="AE446" i="10"/>
  <c r="AF446" i="10"/>
  <c r="AG446" i="10"/>
  <c r="AH446" i="10"/>
  <c r="B447" i="10"/>
  <c r="C447" i="10"/>
  <c r="D447" i="10"/>
  <c r="E447" i="10"/>
  <c r="I447" i="10"/>
  <c r="K447" i="10"/>
  <c r="AE447" i="10"/>
  <c r="AF447" i="10"/>
  <c r="AG447" i="10"/>
  <c r="AH447" i="10"/>
  <c r="B448" i="10"/>
  <c r="C448" i="10"/>
  <c r="D448" i="10"/>
  <c r="E448" i="10"/>
  <c r="I448" i="10"/>
  <c r="K448" i="10"/>
  <c r="AE448" i="10"/>
  <c r="AF448" i="10"/>
  <c r="AG448" i="10"/>
  <c r="AH448" i="10"/>
  <c r="B449" i="10"/>
  <c r="C449" i="10"/>
  <c r="D449" i="10"/>
  <c r="E449" i="10"/>
  <c r="I449" i="10"/>
  <c r="K449" i="10"/>
  <c r="AE449" i="10"/>
  <c r="AF449" i="10"/>
  <c r="AG449" i="10"/>
  <c r="AH449" i="10"/>
  <c r="B450" i="10"/>
  <c r="C450" i="10"/>
  <c r="D450" i="10"/>
  <c r="E450" i="10"/>
  <c r="I450" i="10"/>
  <c r="K450" i="10"/>
  <c r="AE450" i="10"/>
  <c r="AF450" i="10"/>
  <c r="AG450" i="10"/>
  <c r="AH450" i="10"/>
  <c r="B451" i="10"/>
  <c r="C451" i="10"/>
  <c r="Y451" i="10" s="1"/>
  <c r="D451" i="10"/>
  <c r="E451" i="10"/>
  <c r="I451" i="10"/>
  <c r="K451" i="10"/>
  <c r="AE451" i="10"/>
  <c r="AF451" i="10"/>
  <c r="AG451" i="10"/>
  <c r="AH451" i="10"/>
  <c r="B452" i="10"/>
  <c r="C452" i="10"/>
  <c r="D452" i="10"/>
  <c r="E452" i="10"/>
  <c r="I452" i="10"/>
  <c r="K452" i="10"/>
  <c r="AE452" i="10"/>
  <c r="AF452" i="10"/>
  <c r="AG452" i="10"/>
  <c r="AH452" i="10"/>
  <c r="B453" i="10"/>
  <c r="C453" i="10"/>
  <c r="D453" i="10"/>
  <c r="E453" i="10"/>
  <c r="I453" i="10"/>
  <c r="K453" i="10"/>
  <c r="AE453" i="10"/>
  <c r="AF453" i="10"/>
  <c r="AG453" i="10"/>
  <c r="AH453" i="10"/>
  <c r="B454" i="10"/>
  <c r="C454" i="10"/>
  <c r="D454" i="10"/>
  <c r="E454" i="10"/>
  <c r="I454" i="10"/>
  <c r="K454" i="10"/>
  <c r="AE454" i="10"/>
  <c r="AF454" i="10"/>
  <c r="AG454" i="10"/>
  <c r="AH454" i="10"/>
  <c r="B455" i="10"/>
  <c r="C455" i="10"/>
  <c r="D455" i="10"/>
  <c r="E455" i="10"/>
  <c r="I455" i="10"/>
  <c r="K455" i="10"/>
  <c r="AE455" i="10"/>
  <c r="AF455" i="10"/>
  <c r="AG455" i="10"/>
  <c r="AH455" i="10"/>
  <c r="B456" i="10"/>
  <c r="C456" i="10"/>
  <c r="D456" i="10"/>
  <c r="E456" i="10"/>
  <c r="I456" i="10"/>
  <c r="K456" i="10"/>
  <c r="AE456" i="10"/>
  <c r="AF456" i="10"/>
  <c r="AG456" i="10"/>
  <c r="AH456" i="10"/>
  <c r="B457" i="10"/>
  <c r="C457" i="10"/>
  <c r="D457" i="10"/>
  <c r="E457" i="10"/>
  <c r="I457" i="10"/>
  <c r="K457" i="10"/>
  <c r="AE457" i="10"/>
  <c r="AF457" i="10"/>
  <c r="AG457" i="10"/>
  <c r="AH457" i="10"/>
  <c r="B458" i="10"/>
  <c r="C458" i="10"/>
  <c r="D458" i="10"/>
  <c r="E458" i="10"/>
  <c r="I458" i="10"/>
  <c r="K458" i="10"/>
  <c r="AE458" i="10"/>
  <c r="AF458" i="10"/>
  <c r="AG458" i="10"/>
  <c r="AH458" i="10"/>
  <c r="B459" i="10"/>
  <c r="C459" i="10"/>
  <c r="O459" i="10" s="1"/>
  <c r="D459" i="10"/>
  <c r="E459" i="10"/>
  <c r="I459" i="10"/>
  <c r="K459" i="10"/>
  <c r="AE459" i="10"/>
  <c r="AF459" i="10"/>
  <c r="AG459" i="10"/>
  <c r="AH459" i="10"/>
  <c r="B460" i="10"/>
  <c r="C460" i="10"/>
  <c r="D460" i="10"/>
  <c r="E460" i="10"/>
  <c r="I460" i="10"/>
  <c r="K460" i="10"/>
  <c r="AE460" i="10"/>
  <c r="AF460" i="10"/>
  <c r="AG460" i="10"/>
  <c r="AH460" i="10"/>
  <c r="B461" i="10"/>
  <c r="C461" i="10"/>
  <c r="D461" i="10"/>
  <c r="E461" i="10"/>
  <c r="I461" i="10"/>
  <c r="K461" i="10"/>
  <c r="AE461" i="10"/>
  <c r="AF461" i="10"/>
  <c r="AG461" i="10"/>
  <c r="AH461" i="10"/>
  <c r="B462" i="10"/>
  <c r="C462" i="10"/>
  <c r="D462" i="10"/>
  <c r="E462" i="10"/>
  <c r="I462" i="10"/>
  <c r="K462" i="10"/>
  <c r="AE462" i="10"/>
  <c r="AF462" i="10"/>
  <c r="AG462" i="10"/>
  <c r="AH462" i="10"/>
  <c r="B463" i="10"/>
  <c r="C463" i="10"/>
  <c r="D463" i="10"/>
  <c r="E463" i="10"/>
  <c r="I463" i="10"/>
  <c r="K463" i="10"/>
  <c r="AE463" i="10"/>
  <c r="AF463" i="10"/>
  <c r="AG463" i="10"/>
  <c r="AH463" i="10"/>
  <c r="B464" i="10"/>
  <c r="C464" i="10"/>
  <c r="D464" i="10"/>
  <c r="E464" i="10"/>
  <c r="I464" i="10"/>
  <c r="K464" i="10"/>
  <c r="AE464" i="10"/>
  <c r="AF464" i="10"/>
  <c r="AG464" i="10"/>
  <c r="AH464" i="10"/>
  <c r="B465" i="10"/>
  <c r="C465" i="10"/>
  <c r="D465" i="10"/>
  <c r="E465" i="10"/>
  <c r="I465" i="10"/>
  <c r="K465" i="10"/>
  <c r="AE465" i="10"/>
  <c r="AF465" i="10"/>
  <c r="AG465" i="10"/>
  <c r="AH465" i="10"/>
  <c r="B466" i="10"/>
  <c r="C466" i="10"/>
  <c r="D466" i="10"/>
  <c r="E466" i="10"/>
  <c r="I466" i="10"/>
  <c r="K466" i="10"/>
  <c r="AE466" i="10"/>
  <c r="AF466" i="10"/>
  <c r="AG466" i="10"/>
  <c r="AH466" i="10"/>
  <c r="B467" i="10"/>
  <c r="C467" i="10"/>
  <c r="D467" i="10"/>
  <c r="E467" i="10"/>
  <c r="I467" i="10"/>
  <c r="K467" i="10"/>
  <c r="AE467" i="10"/>
  <c r="AF467" i="10"/>
  <c r="AG467" i="10"/>
  <c r="AH467" i="10"/>
  <c r="B468" i="10"/>
  <c r="C468" i="10"/>
  <c r="D468" i="10"/>
  <c r="E468" i="10"/>
  <c r="I468" i="10"/>
  <c r="K468" i="10"/>
  <c r="AE468" i="10"/>
  <c r="AF468" i="10"/>
  <c r="AG468" i="10"/>
  <c r="AH468" i="10"/>
  <c r="B469" i="10"/>
  <c r="C469" i="10"/>
  <c r="D469" i="10"/>
  <c r="E469" i="10"/>
  <c r="I469" i="10"/>
  <c r="K469" i="10"/>
  <c r="AE469" i="10"/>
  <c r="AF469" i="10"/>
  <c r="AG469" i="10"/>
  <c r="AH469" i="10"/>
  <c r="B470" i="10"/>
  <c r="C470" i="10"/>
  <c r="D470" i="10"/>
  <c r="E470" i="10"/>
  <c r="I470" i="10"/>
  <c r="K470" i="10"/>
  <c r="AE470" i="10"/>
  <c r="AF470" i="10"/>
  <c r="AG470" i="10"/>
  <c r="AH470" i="10"/>
  <c r="B471" i="10"/>
  <c r="C471" i="10"/>
  <c r="D471" i="10"/>
  <c r="E471" i="10"/>
  <c r="I471" i="10"/>
  <c r="K471" i="10"/>
  <c r="AE471" i="10"/>
  <c r="AF471" i="10"/>
  <c r="AG471" i="10"/>
  <c r="AH471" i="10"/>
  <c r="B472" i="10"/>
  <c r="C472" i="10"/>
  <c r="D472" i="10"/>
  <c r="E472" i="10"/>
  <c r="I472" i="10"/>
  <c r="K472" i="10"/>
  <c r="AE472" i="10"/>
  <c r="AF472" i="10"/>
  <c r="AG472" i="10"/>
  <c r="AH472" i="10"/>
  <c r="B473" i="10"/>
  <c r="C473" i="10"/>
  <c r="D473" i="10"/>
  <c r="E473" i="10"/>
  <c r="I473" i="10"/>
  <c r="K473" i="10"/>
  <c r="AE473" i="10"/>
  <c r="AF473" i="10"/>
  <c r="AG473" i="10"/>
  <c r="AH473" i="10"/>
  <c r="B474" i="10"/>
  <c r="C474" i="10"/>
  <c r="D474" i="10"/>
  <c r="E474" i="10"/>
  <c r="I474" i="10"/>
  <c r="K474" i="10"/>
  <c r="AE474" i="10"/>
  <c r="AF474" i="10"/>
  <c r="AG474" i="10"/>
  <c r="AH474" i="10"/>
  <c r="B475" i="10"/>
  <c r="C475" i="10"/>
  <c r="D475" i="10"/>
  <c r="E475" i="10"/>
  <c r="I475" i="10"/>
  <c r="K475" i="10"/>
  <c r="AE475" i="10"/>
  <c r="AF475" i="10"/>
  <c r="AG475" i="10"/>
  <c r="AH475" i="10"/>
  <c r="B476" i="10"/>
  <c r="C476" i="10"/>
  <c r="D476" i="10"/>
  <c r="E476" i="10"/>
  <c r="I476" i="10"/>
  <c r="K476" i="10"/>
  <c r="AE476" i="10"/>
  <c r="AF476" i="10"/>
  <c r="AG476" i="10"/>
  <c r="AH476" i="10"/>
  <c r="B477" i="10"/>
  <c r="C477" i="10"/>
  <c r="D477" i="10"/>
  <c r="E477" i="10"/>
  <c r="I477" i="10"/>
  <c r="K477" i="10"/>
  <c r="AE477" i="10"/>
  <c r="AF477" i="10"/>
  <c r="AG477" i="10"/>
  <c r="AH477" i="10"/>
  <c r="B478" i="10"/>
  <c r="C478" i="10"/>
  <c r="D478" i="10"/>
  <c r="E478" i="10"/>
  <c r="I478" i="10"/>
  <c r="K478" i="10"/>
  <c r="AE478" i="10"/>
  <c r="AF478" i="10"/>
  <c r="AG478" i="10"/>
  <c r="AH478" i="10"/>
  <c r="B479" i="10"/>
  <c r="C479" i="10"/>
  <c r="D479" i="10"/>
  <c r="E479" i="10"/>
  <c r="I479" i="10"/>
  <c r="K479" i="10"/>
  <c r="AE479" i="10"/>
  <c r="AF479" i="10"/>
  <c r="AG479" i="10"/>
  <c r="AH479" i="10"/>
  <c r="B480" i="10"/>
  <c r="C480" i="10"/>
  <c r="D480" i="10"/>
  <c r="E480" i="10"/>
  <c r="I480" i="10"/>
  <c r="K480" i="10"/>
  <c r="AE480" i="10"/>
  <c r="AF480" i="10"/>
  <c r="AG480" i="10"/>
  <c r="AH480" i="10"/>
  <c r="B481" i="10"/>
  <c r="C481" i="10"/>
  <c r="D481" i="10"/>
  <c r="E481" i="10"/>
  <c r="I481" i="10"/>
  <c r="K481" i="10"/>
  <c r="AE481" i="10"/>
  <c r="AF481" i="10"/>
  <c r="AG481" i="10"/>
  <c r="AH481" i="10"/>
  <c r="B482" i="10"/>
  <c r="C482" i="10"/>
  <c r="D482" i="10"/>
  <c r="E482" i="10"/>
  <c r="I482" i="10"/>
  <c r="K482" i="10"/>
  <c r="AE482" i="10"/>
  <c r="AF482" i="10"/>
  <c r="AG482" i="10"/>
  <c r="AH482" i="10"/>
  <c r="B483" i="10"/>
  <c r="C483" i="10"/>
  <c r="D483" i="10"/>
  <c r="E483" i="10"/>
  <c r="I483" i="10"/>
  <c r="K483" i="10"/>
  <c r="AE483" i="10"/>
  <c r="AF483" i="10"/>
  <c r="AG483" i="10"/>
  <c r="AH483" i="10"/>
  <c r="B484" i="10"/>
  <c r="C484" i="10"/>
  <c r="D484" i="10"/>
  <c r="E484" i="10"/>
  <c r="I484" i="10"/>
  <c r="K484" i="10"/>
  <c r="AE484" i="10"/>
  <c r="AF484" i="10"/>
  <c r="AG484" i="10"/>
  <c r="AH484" i="10"/>
  <c r="B485" i="10"/>
  <c r="C485" i="10"/>
  <c r="D485" i="10"/>
  <c r="E485" i="10"/>
  <c r="I485" i="10"/>
  <c r="K485" i="10"/>
  <c r="AE485" i="10"/>
  <c r="AF485" i="10"/>
  <c r="AG485" i="10"/>
  <c r="AH485" i="10"/>
  <c r="B486" i="10"/>
  <c r="C486" i="10"/>
  <c r="D486" i="10"/>
  <c r="E486" i="10"/>
  <c r="I486" i="10"/>
  <c r="K486" i="10"/>
  <c r="AE486" i="10"/>
  <c r="AF486" i="10"/>
  <c r="AG486" i="10"/>
  <c r="AH486" i="10"/>
  <c r="B487" i="10"/>
  <c r="C487" i="10"/>
  <c r="D487" i="10"/>
  <c r="E487" i="10"/>
  <c r="I487" i="10"/>
  <c r="K487" i="10"/>
  <c r="AE487" i="10"/>
  <c r="AF487" i="10"/>
  <c r="AG487" i="10"/>
  <c r="AH487" i="10"/>
  <c r="B488" i="10"/>
  <c r="C488" i="10"/>
  <c r="D488" i="10"/>
  <c r="E488" i="10"/>
  <c r="I488" i="10"/>
  <c r="K488" i="10"/>
  <c r="AE488" i="10"/>
  <c r="AF488" i="10"/>
  <c r="AG488" i="10"/>
  <c r="AH488" i="10"/>
  <c r="B489" i="10"/>
  <c r="C489" i="10"/>
  <c r="D489" i="10"/>
  <c r="E489" i="10"/>
  <c r="I489" i="10"/>
  <c r="K489" i="10"/>
  <c r="AE489" i="10"/>
  <c r="AF489" i="10"/>
  <c r="AG489" i="10"/>
  <c r="AH489" i="10"/>
  <c r="B490" i="10"/>
  <c r="C490" i="10"/>
  <c r="D490" i="10"/>
  <c r="E490" i="10"/>
  <c r="I490" i="10"/>
  <c r="K490" i="10"/>
  <c r="AE490" i="10"/>
  <c r="AF490" i="10"/>
  <c r="AG490" i="10"/>
  <c r="AH490" i="10"/>
  <c r="B491" i="10"/>
  <c r="C491" i="10"/>
  <c r="D491" i="10"/>
  <c r="E491" i="10"/>
  <c r="I491" i="10"/>
  <c r="K491" i="10"/>
  <c r="AE491" i="10"/>
  <c r="AF491" i="10"/>
  <c r="AG491" i="10"/>
  <c r="AH491" i="10"/>
  <c r="B492" i="10"/>
  <c r="C492" i="10"/>
  <c r="D492" i="10"/>
  <c r="E492" i="10"/>
  <c r="I492" i="10"/>
  <c r="K492" i="10"/>
  <c r="AE492" i="10"/>
  <c r="AF492" i="10"/>
  <c r="AG492" i="10"/>
  <c r="AH492" i="10"/>
  <c r="B493" i="10"/>
  <c r="C493" i="10"/>
  <c r="D493" i="10"/>
  <c r="E493" i="10"/>
  <c r="I493" i="10"/>
  <c r="K493" i="10"/>
  <c r="AE493" i="10"/>
  <c r="AF493" i="10"/>
  <c r="AG493" i="10"/>
  <c r="AH493" i="10"/>
  <c r="B494" i="10"/>
  <c r="C494" i="10"/>
  <c r="D494" i="10"/>
  <c r="E494" i="10"/>
  <c r="I494" i="10"/>
  <c r="K494" i="10"/>
  <c r="AE494" i="10"/>
  <c r="AF494" i="10"/>
  <c r="AG494" i="10"/>
  <c r="AH494" i="10"/>
  <c r="B495" i="10"/>
  <c r="C495" i="10"/>
  <c r="D495" i="10"/>
  <c r="E495" i="10"/>
  <c r="I495" i="10"/>
  <c r="K495" i="10"/>
  <c r="AE495" i="10"/>
  <c r="AF495" i="10"/>
  <c r="AG495" i="10"/>
  <c r="AH495" i="10"/>
  <c r="B496" i="10"/>
  <c r="C496" i="10"/>
  <c r="D496" i="10"/>
  <c r="E496" i="10"/>
  <c r="I496" i="10"/>
  <c r="K496" i="10"/>
  <c r="AE496" i="10"/>
  <c r="AF496" i="10"/>
  <c r="AG496" i="10"/>
  <c r="AH496" i="10"/>
  <c r="B497" i="10"/>
  <c r="C497" i="10"/>
  <c r="D497" i="10"/>
  <c r="E497" i="10"/>
  <c r="I497" i="10"/>
  <c r="K497" i="10"/>
  <c r="AE497" i="10"/>
  <c r="AF497" i="10"/>
  <c r="AG497" i="10"/>
  <c r="AH497" i="10"/>
  <c r="B498" i="10"/>
  <c r="C498" i="10"/>
  <c r="D498" i="10"/>
  <c r="E498" i="10"/>
  <c r="I498" i="10"/>
  <c r="K498" i="10"/>
  <c r="AE498" i="10"/>
  <c r="AF498" i="10"/>
  <c r="AG498" i="10"/>
  <c r="AH498" i="10"/>
  <c r="B499" i="10"/>
  <c r="C499" i="10"/>
  <c r="D499" i="10"/>
  <c r="E499" i="10"/>
  <c r="I499" i="10"/>
  <c r="K499" i="10"/>
  <c r="AE499" i="10"/>
  <c r="AF499" i="10"/>
  <c r="AG499" i="10"/>
  <c r="AH499" i="10"/>
  <c r="B500" i="10"/>
  <c r="C500" i="10"/>
  <c r="D500" i="10"/>
  <c r="E500" i="10"/>
  <c r="I500" i="10"/>
  <c r="K500" i="10"/>
  <c r="AE500" i="10"/>
  <c r="AF500" i="10"/>
  <c r="AG500" i="10"/>
  <c r="AH500" i="10"/>
  <c r="B501" i="10"/>
  <c r="C501" i="10"/>
  <c r="D501" i="10"/>
  <c r="E501" i="10"/>
  <c r="I501" i="10"/>
  <c r="K501" i="10"/>
  <c r="AE501" i="10"/>
  <c r="AF501" i="10"/>
  <c r="AG501" i="10"/>
  <c r="AH501" i="10"/>
  <c r="B502" i="10"/>
  <c r="C502" i="10"/>
  <c r="T502" i="10" s="1"/>
  <c r="D502" i="10"/>
  <c r="E502" i="10"/>
  <c r="I502" i="10"/>
  <c r="K502" i="10"/>
  <c r="AE502" i="10"/>
  <c r="AF502" i="10"/>
  <c r="AG502" i="10"/>
  <c r="AH502" i="10"/>
  <c r="B503" i="10"/>
  <c r="C503" i="10"/>
  <c r="D503" i="10"/>
  <c r="E503" i="10"/>
  <c r="I503" i="10"/>
  <c r="K503" i="10"/>
  <c r="AE503" i="10"/>
  <c r="AF503" i="10"/>
  <c r="AG503" i="10"/>
  <c r="AH503" i="10"/>
  <c r="B504" i="10"/>
  <c r="C504" i="10"/>
  <c r="D504" i="10"/>
  <c r="E504" i="10"/>
  <c r="I504" i="10"/>
  <c r="K504" i="10"/>
  <c r="AE504" i="10"/>
  <c r="AF504" i="10"/>
  <c r="AG504" i="10"/>
  <c r="AH504" i="10"/>
  <c r="B505" i="10"/>
  <c r="C505" i="10"/>
  <c r="D505" i="10"/>
  <c r="E505" i="10"/>
  <c r="I505" i="10"/>
  <c r="K505" i="10"/>
  <c r="AE505" i="10"/>
  <c r="AF505" i="10"/>
  <c r="AG505" i="10"/>
  <c r="AH505" i="10"/>
  <c r="B506" i="10"/>
  <c r="C506" i="10"/>
  <c r="D506" i="10"/>
  <c r="E506" i="10"/>
  <c r="I506" i="10"/>
  <c r="K506" i="10"/>
  <c r="AE506" i="10"/>
  <c r="AF506" i="10"/>
  <c r="AG506" i="10"/>
  <c r="AH506" i="10"/>
  <c r="B507" i="10"/>
  <c r="C507" i="10"/>
  <c r="D507" i="10"/>
  <c r="E507" i="10"/>
  <c r="I507" i="10"/>
  <c r="K507" i="10"/>
  <c r="AE507" i="10"/>
  <c r="AF507" i="10"/>
  <c r="AG507" i="10"/>
  <c r="AH507" i="10"/>
  <c r="B508" i="10"/>
  <c r="C508" i="10"/>
  <c r="D508" i="10"/>
  <c r="E508" i="10"/>
  <c r="I508" i="10"/>
  <c r="K508" i="10"/>
  <c r="AE508" i="10"/>
  <c r="AF508" i="10"/>
  <c r="AG508" i="10"/>
  <c r="AH508" i="10"/>
  <c r="B509" i="10"/>
  <c r="C509" i="10"/>
  <c r="D509" i="10"/>
  <c r="E509" i="10"/>
  <c r="I509" i="10"/>
  <c r="K509" i="10"/>
  <c r="AE509" i="10"/>
  <c r="AF509" i="10"/>
  <c r="AG509" i="10"/>
  <c r="AH509" i="10"/>
  <c r="B510" i="10"/>
  <c r="C510" i="10"/>
  <c r="D510" i="10"/>
  <c r="E510" i="10"/>
  <c r="I510" i="10"/>
  <c r="K510" i="10"/>
  <c r="AE510" i="10"/>
  <c r="AF510" i="10"/>
  <c r="AG510" i="10"/>
  <c r="AH510" i="10"/>
  <c r="B511" i="10"/>
  <c r="C511" i="10"/>
  <c r="D511" i="10"/>
  <c r="E511" i="10"/>
  <c r="I511" i="10"/>
  <c r="K511" i="10"/>
  <c r="AE511" i="10"/>
  <c r="AF511" i="10"/>
  <c r="AG511" i="10"/>
  <c r="AH511" i="10"/>
  <c r="B512" i="10"/>
  <c r="C512" i="10"/>
  <c r="D512" i="10"/>
  <c r="E512" i="10"/>
  <c r="I512" i="10"/>
  <c r="K512" i="10"/>
  <c r="AE512" i="10"/>
  <c r="AF512" i="10"/>
  <c r="AG512" i="10"/>
  <c r="AH512" i="10"/>
  <c r="B513" i="10"/>
  <c r="C513" i="10"/>
  <c r="D513" i="10"/>
  <c r="E513" i="10"/>
  <c r="I513" i="10"/>
  <c r="K513" i="10"/>
  <c r="AE513" i="10"/>
  <c r="AF513" i="10"/>
  <c r="AG513" i="10"/>
  <c r="AH513" i="10"/>
  <c r="B514" i="10"/>
  <c r="C514" i="10"/>
  <c r="Z514" i="10" s="1"/>
  <c r="D514" i="10"/>
  <c r="E514" i="10"/>
  <c r="I514" i="10"/>
  <c r="K514" i="10"/>
  <c r="AE514" i="10"/>
  <c r="AF514" i="10"/>
  <c r="AG514" i="10"/>
  <c r="AH514" i="10"/>
  <c r="B515" i="10"/>
  <c r="C515" i="10"/>
  <c r="D515" i="10"/>
  <c r="E515" i="10"/>
  <c r="I515" i="10"/>
  <c r="K515" i="10"/>
  <c r="AE515" i="10"/>
  <c r="AF515" i="10"/>
  <c r="AG515" i="10"/>
  <c r="AH515" i="10"/>
  <c r="B516" i="10"/>
  <c r="C516" i="10"/>
  <c r="D516" i="10"/>
  <c r="E516" i="10"/>
  <c r="I516" i="10"/>
  <c r="K516" i="10"/>
  <c r="AE516" i="10"/>
  <c r="AF516" i="10"/>
  <c r="AG516" i="10"/>
  <c r="AH516" i="10"/>
  <c r="B517" i="10"/>
  <c r="C517" i="10"/>
  <c r="D517" i="10"/>
  <c r="E517" i="10"/>
  <c r="I517" i="10"/>
  <c r="K517" i="10"/>
  <c r="AE517" i="10"/>
  <c r="AF517" i="10"/>
  <c r="AG517" i="10"/>
  <c r="AH517" i="10"/>
  <c r="B518" i="10"/>
  <c r="C518" i="10"/>
  <c r="D518" i="10"/>
  <c r="E518" i="10"/>
  <c r="I518" i="10"/>
  <c r="K518" i="10"/>
  <c r="AE518" i="10"/>
  <c r="AF518" i="10"/>
  <c r="AG518" i="10"/>
  <c r="AH518" i="10"/>
  <c r="B519" i="10"/>
  <c r="C519" i="10"/>
  <c r="D519" i="10"/>
  <c r="E519" i="10"/>
  <c r="I519" i="10"/>
  <c r="K519" i="10"/>
  <c r="AE519" i="10"/>
  <c r="AF519" i="10"/>
  <c r="AG519" i="10"/>
  <c r="AH519" i="10"/>
  <c r="B520" i="10"/>
  <c r="C520" i="10"/>
  <c r="D520" i="10"/>
  <c r="E520" i="10"/>
  <c r="I520" i="10"/>
  <c r="K520" i="10"/>
  <c r="AE520" i="10"/>
  <c r="AF520" i="10"/>
  <c r="AG520" i="10"/>
  <c r="AH520" i="10"/>
  <c r="B521" i="10"/>
  <c r="C521" i="10"/>
  <c r="D521" i="10"/>
  <c r="E521" i="10"/>
  <c r="I521" i="10"/>
  <c r="K521" i="10"/>
  <c r="AE521" i="10"/>
  <c r="AF521" i="10"/>
  <c r="AG521" i="10"/>
  <c r="AH521" i="10"/>
  <c r="B522" i="10"/>
  <c r="C522" i="10"/>
  <c r="D522" i="10"/>
  <c r="E522" i="10"/>
  <c r="I522" i="10"/>
  <c r="K522" i="10"/>
  <c r="AE522" i="10"/>
  <c r="AF522" i="10"/>
  <c r="AG522" i="10"/>
  <c r="AH522" i="10"/>
  <c r="B523" i="10"/>
  <c r="C523" i="10"/>
  <c r="D523" i="10"/>
  <c r="E523" i="10"/>
  <c r="I523" i="10"/>
  <c r="K523" i="10"/>
  <c r="AE523" i="10"/>
  <c r="AF523" i="10"/>
  <c r="AG523" i="10"/>
  <c r="AH523" i="10"/>
  <c r="B524" i="10"/>
  <c r="C524" i="10"/>
  <c r="D524" i="10"/>
  <c r="E524" i="10"/>
  <c r="I524" i="10"/>
  <c r="K524" i="10"/>
  <c r="AE524" i="10"/>
  <c r="AF524" i="10"/>
  <c r="AG524" i="10"/>
  <c r="AH524" i="10"/>
  <c r="B525" i="10"/>
  <c r="C525" i="10"/>
  <c r="D525" i="10"/>
  <c r="E525" i="10"/>
  <c r="I525" i="10"/>
  <c r="K525" i="10"/>
  <c r="AE525" i="10"/>
  <c r="AF525" i="10"/>
  <c r="AG525" i="10"/>
  <c r="AH525" i="10"/>
  <c r="B526" i="10"/>
  <c r="C526" i="10"/>
  <c r="D526" i="10"/>
  <c r="E526" i="10"/>
  <c r="I526" i="10"/>
  <c r="K526" i="10"/>
  <c r="AE526" i="10"/>
  <c r="AF526" i="10"/>
  <c r="AG526" i="10"/>
  <c r="AH526" i="10"/>
  <c r="B527" i="10"/>
  <c r="C527" i="10"/>
  <c r="D527" i="10"/>
  <c r="E527" i="10"/>
  <c r="I527" i="10"/>
  <c r="K527" i="10"/>
  <c r="AE527" i="10"/>
  <c r="AF527" i="10"/>
  <c r="AG527" i="10"/>
  <c r="AH527" i="10"/>
  <c r="B528" i="10"/>
  <c r="C528" i="10"/>
  <c r="D528" i="10"/>
  <c r="E528" i="10"/>
  <c r="I528" i="10"/>
  <c r="K528" i="10"/>
  <c r="AE528" i="10"/>
  <c r="AF528" i="10"/>
  <c r="AG528" i="10"/>
  <c r="AH528" i="10"/>
  <c r="B529" i="10"/>
  <c r="C529" i="10"/>
  <c r="D529" i="10"/>
  <c r="E529" i="10"/>
  <c r="I529" i="10"/>
  <c r="K529" i="10"/>
  <c r="AE529" i="10"/>
  <c r="AF529" i="10"/>
  <c r="AG529" i="10"/>
  <c r="AH529" i="10"/>
  <c r="B530" i="10"/>
  <c r="C530" i="10"/>
  <c r="D530" i="10"/>
  <c r="E530" i="10"/>
  <c r="I530" i="10"/>
  <c r="K530" i="10"/>
  <c r="AE530" i="10"/>
  <c r="AF530" i="10"/>
  <c r="AG530" i="10"/>
  <c r="AH530" i="10"/>
  <c r="B531" i="10"/>
  <c r="C531" i="10"/>
  <c r="D531" i="10"/>
  <c r="E531" i="10"/>
  <c r="I531" i="10"/>
  <c r="K531" i="10"/>
  <c r="AE531" i="10"/>
  <c r="AF531" i="10"/>
  <c r="AG531" i="10"/>
  <c r="AH531" i="10"/>
  <c r="B532" i="10"/>
  <c r="C532" i="10"/>
  <c r="D532" i="10"/>
  <c r="E532" i="10"/>
  <c r="I532" i="10"/>
  <c r="K532" i="10"/>
  <c r="AE532" i="10"/>
  <c r="AF532" i="10"/>
  <c r="AG532" i="10"/>
  <c r="AH532" i="10"/>
  <c r="B533" i="10"/>
  <c r="C533" i="10"/>
  <c r="D533" i="10"/>
  <c r="E533" i="10"/>
  <c r="I533" i="10"/>
  <c r="K533" i="10"/>
  <c r="AE533" i="10"/>
  <c r="AF533" i="10"/>
  <c r="AG533" i="10"/>
  <c r="AH533" i="10"/>
  <c r="B534" i="10"/>
  <c r="C534" i="10"/>
  <c r="D534" i="10"/>
  <c r="E534" i="10"/>
  <c r="I534" i="10"/>
  <c r="K534" i="10"/>
  <c r="AE534" i="10"/>
  <c r="AF534" i="10"/>
  <c r="AG534" i="10"/>
  <c r="AH534" i="10"/>
  <c r="B535" i="10"/>
  <c r="C535" i="10"/>
  <c r="D535" i="10"/>
  <c r="E535" i="10"/>
  <c r="I535" i="10"/>
  <c r="K535" i="10"/>
  <c r="AE535" i="10"/>
  <c r="AF535" i="10"/>
  <c r="AG535" i="10"/>
  <c r="AH535" i="10"/>
  <c r="B536" i="10"/>
  <c r="C536" i="10"/>
  <c r="D536" i="10"/>
  <c r="E536" i="10"/>
  <c r="I536" i="10"/>
  <c r="K536" i="10"/>
  <c r="AE536" i="10"/>
  <c r="AF536" i="10"/>
  <c r="AG536" i="10"/>
  <c r="AH536" i="10"/>
  <c r="B537" i="10"/>
  <c r="C537" i="10"/>
  <c r="D537" i="10"/>
  <c r="E537" i="10"/>
  <c r="I537" i="10"/>
  <c r="K537" i="10"/>
  <c r="AE537" i="10"/>
  <c r="AF537" i="10"/>
  <c r="AG537" i="10"/>
  <c r="AH537" i="10"/>
  <c r="B538" i="10"/>
  <c r="C538" i="10"/>
  <c r="D538" i="10"/>
  <c r="E538" i="10"/>
  <c r="I538" i="10"/>
  <c r="K538" i="10"/>
  <c r="AE538" i="10"/>
  <c r="AF538" i="10"/>
  <c r="AG538" i="10"/>
  <c r="AH538" i="10"/>
  <c r="B539" i="10"/>
  <c r="C539" i="10"/>
  <c r="D539" i="10"/>
  <c r="E539" i="10"/>
  <c r="I539" i="10"/>
  <c r="K539" i="10"/>
  <c r="AE539" i="10"/>
  <c r="AF539" i="10"/>
  <c r="AG539" i="10"/>
  <c r="AH539" i="10"/>
  <c r="B540" i="10"/>
  <c r="C540" i="10"/>
  <c r="D540" i="10"/>
  <c r="E540" i="10"/>
  <c r="I540" i="10"/>
  <c r="K540" i="10"/>
  <c r="AE540" i="10"/>
  <c r="AF540" i="10"/>
  <c r="AG540" i="10"/>
  <c r="AH540" i="10"/>
  <c r="B541" i="10"/>
  <c r="C541" i="10"/>
  <c r="D541" i="10"/>
  <c r="E541" i="10"/>
  <c r="I541" i="10"/>
  <c r="K541" i="10"/>
  <c r="AE541" i="10"/>
  <c r="AF541" i="10"/>
  <c r="AG541" i="10"/>
  <c r="AH541" i="10"/>
  <c r="B542" i="10"/>
  <c r="C542" i="10"/>
  <c r="D542" i="10"/>
  <c r="E542" i="10"/>
  <c r="I542" i="10"/>
  <c r="K542" i="10"/>
  <c r="AE542" i="10"/>
  <c r="AF542" i="10"/>
  <c r="AG542" i="10"/>
  <c r="AH542" i="10"/>
  <c r="B543" i="10"/>
  <c r="C543" i="10"/>
  <c r="D543" i="10"/>
  <c r="E543" i="10"/>
  <c r="I543" i="10"/>
  <c r="K543" i="10"/>
  <c r="AE543" i="10"/>
  <c r="AF543" i="10"/>
  <c r="AG543" i="10"/>
  <c r="AH543" i="10"/>
  <c r="B544" i="10"/>
  <c r="C544" i="10"/>
  <c r="O544" i="10" s="1"/>
  <c r="D544" i="10"/>
  <c r="E544" i="10"/>
  <c r="I544" i="10"/>
  <c r="K544" i="10"/>
  <c r="AE544" i="10"/>
  <c r="AF544" i="10"/>
  <c r="AG544" i="10"/>
  <c r="AH544" i="10"/>
  <c r="B545" i="10"/>
  <c r="C545" i="10"/>
  <c r="D545" i="10"/>
  <c r="E545" i="10"/>
  <c r="I545" i="10"/>
  <c r="K545" i="10"/>
  <c r="AE545" i="10"/>
  <c r="AF545" i="10"/>
  <c r="AG545" i="10"/>
  <c r="AH545" i="10"/>
  <c r="B546" i="10"/>
  <c r="C546" i="10"/>
  <c r="D546" i="10"/>
  <c r="E546" i="10"/>
  <c r="I546" i="10"/>
  <c r="K546" i="10"/>
  <c r="AE546" i="10"/>
  <c r="AF546" i="10"/>
  <c r="AG546" i="10"/>
  <c r="AH546" i="10"/>
  <c r="B547" i="10"/>
  <c r="C547" i="10"/>
  <c r="D547" i="10"/>
  <c r="E547" i="10"/>
  <c r="I547" i="10"/>
  <c r="K547" i="10"/>
  <c r="AE547" i="10"/>
  <c r="AF547" i="10"/>
  <c r="AG547" i="10"/>
  <c r="AH547" i="10"/>
  <c r="B548" i="10"/>
  <c r="C548" i="10"/>
  <c r="D548" i="10"/>
  <c r="E548" i="10"/>
  <c r="I548" i="10"/>
  <c r="K548" i="10"/>
  <c r="AE548" i="10"/>
  <c r="AF548" i="10"/>
  <c r="AG548" i="10"/>
  <c r="AH548" i="10"/>
  <c r="B549" i="10"/>
  <c r="C549" i="10"/>
  <c r="D549" i="10"/>
  <c r="E549" i="10"/>
  <c r="I549" i="10"/>
  <c r="K549" i="10"/>
  <c r="AE549" i="10"/>
  <c r="AF549" i="10"/>
  <c r="AG549" i="10"/>
  <c r="AH549" i="10"/>
  <c r="B550" i="10"/>
  <c r="C550" i="10"/>
  <c r="D550" i="10"/>
  <c r="E550" i="10"/>
  <c r="I550" i="10"/>
  <c r="K550" i="10"/>
  <c r="AE550" i="10"/>
  <c r="AF550" i="10"/>
  <c r="AG550" i="10"/>
  <c r="AH550" i="10"/>
  <c r="B551" i="10"/>
  <c r="C551" i="10"/>
  <c r="D551" i="10"/>
  <c r="E551" i="10"/>
  <c r="I551" i="10"/>
  <c r="K551" i="10"/>
  <c r="AE551" i="10"/>
  <c r="AF551" i="10"/>
  <c r="AG551" i="10"/>
  <c r="AH551" i="10"/>
  <c r="B552" i="10"/>
  <c r="C552" i="10"/>
  <c r="D552" i="10"/>
  <c r="E552" i="10"/>
  <c r="I552" i="10"/>
  <c r="K552" i="10"/>
  <c r="AE552" i="10"/>
  <c r="AF552" i="10"/>
  <c r="AG552" i="10"/>
  <c r="AH552" i="10"/>
  <c r="B553" i="10"/>
  <c r="C553" i="10"/>
  <c r="D553" i="10"/>
  <c r="E553" i="10"/>
  <c r="I553" i="10"/>
  <c r="K553" i="10"/>
  <c r="AE553" i="10"/>
  <c r="AF553" i="10"/>
  <c r="AG553" i="10"/>
  <c r="AH553" i="10"/>
  <c r="B554" i="10"/>
  <c r="C554" i="10"/>
  <c r="D554" i="10"/>
  <c r="E554" i="10"/>
  <c r="I554" i="10"/>
  <c r="K554" i="10"/>
  <c r="AE554" i="10"/>
  <c r="AF554" i="10"/>
  <c r="AG554" i="10"/>
  <c r="AH554" i="10"/>
  <c r="B555" i="10"/>
  <c r="C555" i="10"/>
  <c r="D555" i="10"/>
  <c r="E555" i="10"/>
  <c r="I555" i="10"/>
  <c r="K555" i="10"/>
  <c r="AE555" i="10"/>
  <c r="AF555" i="10"/>
  <c r="AG555" i="10"/>
  <c r="AH555" i="10"/>
  <c r="B556" i="10"/>
  <c r="C556" i="10"/>
  <c r="D556" i="10"/>
  <c r="E556" i="10"/>
  <c r="I556" i="10"/>
  <c r="K556" i="10"/>
  <c r="AE556" i="10"/>
  <c r="AF556" i="10"/>
  <c r="AG556" i="10"/>
  <c r="AH556" i="10"/>
  <c r="B557" i="10"/>
  <c r="C557" i="10"/>
  <c r="AD557" i="10" s="1"/>
  <c r="D557" i="10"/>
  <c r="E557" i="10"/>
  <c r="I557" i="10"/>
  <c r="K557" i="10"/>
  <c r="AE557" i="10"/>
  <c r="AF557" i="10"/>
  <c r="AG557" i="10"/>
  <c r="AH557" i="10"/>
  <c r="B558" i="10"/>
  <c r="C558" i="10"/>
  <c r="D558" i="10"/>
  <c r="E558" i="10"/>
  <c r="I558" i="10"/>
  <c r="K558" i="10"/>
  <c r="AE558" i="10"/>
  <c r="AF558" i="10"/>
  <c r="AG558" i="10"/>
  <c r="AH558" i="10"/>
  <c r="B559" i="10"/>
  <c r="C559" i="10"/>
  <c r="D559" i="10"/>
  <c r="E559" i="10"/>
  <c r="I559" i="10"/>
  <c r="K559" i="10"/>
  <c r="AE559" i="10"/>
  <c r="AF559" i="10"/>
  <c r="AG559" i="10"/>
  <c r="AH559" i="10"/>
  <c r="B560" i="10"/>
  <c r="C560" i="10"/>
  <c r="D560" i="10"/>
  <c r="E560" i="10"/>
  <c r="I560" i="10"/>
  <c r="K560" i="10"/>
  <c r="AE560" i="10"/>
  <c r="AF560" i="10"/>
  <c r="AG560" i="10"/>
  <c r="AH560" i="10"/>
  <c r="B561" i="10"/>
  <c r="C561" i="10"/>
  <c r="D561" i="10"/>
  <c r="E561" i="10"/>
  <c r="I561" i="10"/>
  <c r="K561" i="10"/>
  <c r="AE561" i="10"/>
  <c r="AF561" i="10"/>
  <c r="AG561" i="10"/>
  <c r="AH561" i="10"/>
  <c r="B562" i="10"/>
  <c r="C562" i="10"/>
  <c r="D562" i="10"/>
  <c r="E562" i="10"/>
  <c r="I562" i="10"/>
  <c r="K562" i="10"/>
  <c r="AE562" i="10"/>
  <c r="AF562" i="10"/>
  <c r="AG562" i="10"/>
  <c r="AH562" i="10"/>
  <c r="B563" i="10"/>
  <c r="C563" i="10"/>
  <c r="D563" i="10"/>
  <c r="E563" i="10"/>
  <c r="I563" i="10"/>
  <c r="K563" i="10"/>
  <c r="AE563" i="10"/>
  <c r="AF563" i="10"/>
  <c r="AG563" i="10"/>
  <c r="AH563" i="10"/>
  <c r="B564" i="10"/>
  <c r="C564" i="10"/>
  <c r="D564" i="10"/>
  <c r="E564" i="10"/>
  <c r="I564" i="10"/>
  <c r="K564" i="10"/>
  <c r="AE564" i="10"/>
  <c r="AF564" i="10"/>
  <c r="AG564" i="10"/>
  <c r="AH564" i="10"/>
  <c r="B565" i="10"/>
  <c r="C565" i="10"/>
  <c r="D565" i="10"/>
  <c r="E565" i="10"/>
  <c r="I565" i="10"/>
  <c r="K565" i="10"/>
  <c r="AE565" i="10"/>
  <c r="AF565" i="10"/>
  <c r="AG565" i="10"/>
  <c r="AH565" i="10"/>
  <c r="B566" i="10"/>
  <c r="C566" i="10"/>
  <c r="D566" i="10"/>
  <c r="E566" i="10"/>
  <c r="I566" i="10"/>
  <c r="K566" i="10"/>
  <c r="AE566" i="10"/>
  <c r="AF566" i="10"/>
  <c r="AG566" i="10"/>
  <c r="AH566" i="10"/>
  <c r="B567" i="10"/>
  <c r="C567" i="10"/>
  <c r="D567" i="10"/>
  <c r="E567" i="10"/>
  <c r="I567" i="10"/>
  <c r="K567" i="10"/>
  <c r="AE567" i="10"/>
  <c r="AF567" i="10"/>
  <c r="AG567" i="10"/>
  <c r="AH567" i="10"/>
  <c r="B568" i="10"/>
  <c r="C568" i="10"/>
  <c r="D568" i="10"/>
  <c r="E568" i="10"/>
  <c r="I568" i="10"/>
  <c r="K568" i="10"/>
  <c r="AE568" i="10"/>
  <c r="AF568" i="10"/>
  <c r="AG568" i="10"/>
  <c r="AH568" i="10"/>
  <c r="B569" i="10"/>
  <c r="C569" i="10"/>
  <c r="D569" i="10"/>
  <c r="E569" i="10"/>
  <c r="I569" i="10"/>
  <c r="K569" i="10"/>
  <c r="AE569" i="10"/>
  <c r="AF569" i="10"/>
  <c r="AG569" i="10"/>
  <c r="AH569" i="10"/>
  <c r="B570" i="10"/>
  <c r="C570" i="10"/>
  <c r="D570" i="10"/>
  <c r="E570" i="10"/>
  <c r="I570" i="10"/>
  <c r="K570" i="10"/>
  <c r="AE570" i="10"/>
  <c r="AF570" i="10"/>
  <c r="AG570" i="10"/>
  <c r="AH570" i="10"/>
  <c r="B571" i="10"/>
  <c r="C571" i="10"/>
  <c r="D571" i="10"/>
  <c r="E571" i="10"/>
  <c r="I571" i="10"/>
  <c r="K571" i="10"/>
  <c r="AE571" i="10"/>
  <c r="AF571" i="10"/>
  <c r="AG571" i="10"/>
  <c r="AH571" i="10"/>
  <c r="AH2" i="10"/>
  <c r="AG2" i="10"/>
  <c r="AF2" i="10"/>
  <c r="AE2" i="10"/>
  <c r="K2" i="10"/>
  <c r="I2" i="10"/>
  <c r="E2" i="10"/>
  <c r="D2" i="10"/>
  <c r="C2" i="10"/>
  <c r="U2" i="10" s="1"/>
  <c r="B2" i="10"/>
  <c r="V5" i="10" l="1"/>
  <c r="Z7" i="10"/>
  <c r="W15" i="10"/>
  <c r="T23" i="10"/>
  <c r="W27" i="10"/>
  <c r="O34" i="10"/>
  <c r="T47" i="10"/>
  <c r="T58" i="10"/>
  <c r="Q76" i="10"/>
  <c r="U92" i="10"/>
  <c r="Y102" i="10"/>
  <c r="X115" i="10"/>
  <c r="Q130" i="10"/>
  <c r="T147" i="10"/>
  <c r="AD170" i="10"/>
  <c r="X183" i="10"/>
  <c r="V198" i="10"/>
  <c r="AD216" i="10"/>
  <c r="U234" i="10"/>
  <c r="X262" i="10"/>
  <c r="Z5" i="10"/>
  <c r="Z15" i="10"/>
  <c r="X23" i="10"/>
  <c r="Q30" i="10"/>
  <c r="Q38" i="10"/>
  <c r="X47" i="10"/>
  <c r="U58" i="10"/>
  <c r="T79" i="10"/>
  <c r="S103" i="10"/>
  <c r="O120" i="10"/>
  <c r="W133" i="10"/>
  <c r="Z150" i="10"/>
  <c r="O173" i="10"/>
  <c r="T187" i="10"/>
  <c r="O201" i="10"/>
  <c r="AD220" i="10"/>
  <c r="R241" i="10"/>
  <c r="O266" i="10"/>
  <c r="Q3" i="10"/>
  <c r="Q6" i="10"/>
  <c r="S10" i="10"/>
  <c r="X16" i="10"/>
  <c r="Y23" i="10"/>
  <c r="S30" i="10"/>
  <c r="X38" i="10"/>
  <c r="Y47" i="10"/>
  <c r="O93" i="10"/>
  <c r="V103" i="10"/>
  <c r="S120" i="10"/>
  <c r="O157" i="10"/>
  <c r="R177" i="10"/>
  <c r="O189" i="10"/>
  <c r="X201" i="10"/>
  <c r="U4" i="10"/>
  <c r="R6" i="10"/>
  <c r="S18" i="10"/>
  <c r="S24" i="10"/>
  <c r="X30" i="10"/>
  <c r="Y38" i="10"/>
  <c r="Y48" i="10"/>
  <c r="Q68" i="10"/>
  <c r="V105" i="10"/>
  <c r="U135" i="10"/>
  <c r="O158" i="10"/>
  <c r="Q178" i="10"/>
  <c r="W189" i="10"/>
  <c r="Q202" i="10"/>
  <c r="S226" i="10"/>
  <c r="R245" i="10"/>
  <c r="W4" i="10"/>
  <c r="U6" i="10"/>
  <c r="T11" i="10"/>
  <c r="T18" i="10"/>
  <c r="Y30" i="10"/>
  <c r="Q39" i="10"/>
  <c r="X68" i="10"/>
  <c r="Q86" i="10"/>
  <c r="Q95" i="10"/>
  <c r="Z105" i="10"/>
  <c r="Z139" i="10"/>
  <c r="V158" i="10"/>
  <c r="S210" i="10"/>
  <c r="T253" i="10"/>
  <c r="Y4" i="10"/>
  <c r="Y6" i="10"/>
  <c r="Q21" i="10"/>
  <c r="T32" i="10"/>
  <c r="Q55" i="10"/>
  <c r="S70" i="10"/>
  <c r="S88" i="10"/>
  <c r="T95" i="10"/>
  <c r="Z126" i="10"/>
  <c r="Y140" i="10"/>
  <c r="Z158" i="10"/>
  <c r="R180" i="10"/>
  <c r="S192" i="10"/>
  <c r="Q7" i="10"/>
  <c r="R15" i="10"/>
  <c r="Q22" i="10"/>
  <c r="O27" i="10"/>
  <c r="Y32" i="10"/>
  <c r="U74" i="10"/>
  <c r="U113" i="10"/>
  <c r="S128" i="10"/>
  <c r="V145" i="10"/>
  <c r="V169" i="10"/>
  <c r="T196" i="10"/>
  <c r="O232" i="10"/>
  <c r="Z260" i="10"/>
  <c r="O297" i="10"/>
  <c r="Q5" i="10"/>
  <c r="U7" i="10"/>
  <c r="V15" i="10"/>
  <c r="Y22" i="10"/>
  <c r="U27" i="10"/>
  <c r="AD32" i="10"/>
  <c r="Q47" i="10"/>
  <c r="O58" i="10"/>
  <c r="O76" i="10"/>
  <c r="O90" i="10"/>
  <c r="R98" i="10"/>
  <c r="AD113" i="10"/>
  <c r="X128" i="10"/>
  <c r="T170" i="10"/>
  <c r="T213" i="10"/>
  <c r="W235" i="10"/>
  <c r="AD235" i="10"/>
  <c r="S166" i="10"/>
  <c r="Z166" i="10"/>
  <c r="T78" i="10"/>
  <c r="Y78" i="10"/>
  <c r="X78" i="10"/>
  <c r="X37" i="10"/>
  <c r="W37" i="10"/>
  <c r="X132" i="10"/>
  <c r="Y132" i="10"/>
  <c r="W117" i="10"/>
  <c r="S117" i="10"/>
  <c r="Y77" i="10"/>
  <c r="Q77" i="10"/>
  <c r="Y69" i="10"/>
  <c r="X69" i="10"/>
  <c r="Y46" i="10"/>
  <c r="S46" i="10"/>
  <c r="Q46" i="10"/>
  <c r="T36" i="10"/>
  <c r="Q36" i="10"/>
  <c r="O36" i="10"/>
  <c r="Z190" i="10"/>
  <c r="V190" i="10"/>
  <c r="O190" i="10"/>
  <c r="Z185" i="10"/>
  <c r="V185" i="10"/>
  <c r="U165" i="10"/>
  <c r="O165" i="10"/>
  <c r="W114" i="10"/>
  <c r="AD114" i="10"/>
  <c r="AD92" i="10"/>
  <c r="Q92" i="10"/>
  <c r="X56" i="10"/>
  <c r="AD56" i="10"/>
  <c r="Y56" i="10"/>
  <c r="O14" i="10"/>
  <c r="W21" i="10"/>
  <c r="U36" i="10"/>
  <c r="R97" i="10"/>
  <c r="S122" i="10"/>
  <c r="V228" i="10"/>
  <c r="O228" i="10"/>
  <c r="S104" i="10"/>
  <c r="O104" i="10"/>
  <c r="O94" i="10"/>
  <c r="S94" i="10"/>
  <c r="U84" i="10"/>
  <c r="Q84" i="10"/>
  <c r="O79" i="10"/>
  <c r="X79" i="10"/>
  <c r="Z13" i="10"/>
  <c r="X13" i="10"/>
  <c r="T13" i="10"/>
  <c r="R13" i="10"/>
  <c r="Q14" i="10"/>
  <c r="X21" i="10"/>
  <c r="X36" i="10"/>
  <c r="O69" i="10"/>
  <c r="O77" i="10"/>
  <c r="U97" i="10"/>
  <c r="Y104" i="10"/>
  <c r="R114" i="10"/>
  <c r="O123" i="10"/>
  <c r="V142" i="10"/>
  <c r="T171" i="10"/>
  <c r="S204" i="10"/>
  <c r="S218" i="10"/>
  <c r="O275" i="10"/>
  <c r="W179" i="10"/>
  <c r="Z179" i="10"/>
  <c r="T159" i="10"/>
  <c r="X159" i="10"/>
  <c r="AD144" i="10"/>
  <c r="X144" i="10"/>
  <c r="Z131" i="10"/>
  <c r="T131" i="10"/>
  <c r="Z121" i="10"/>
  <c r="V121" i="10"/>
  <c r="X25" i="10"/>
  <c r="T25" i="10"/>
  <c r="Q12" i="10"/>
  <c r="T14" i="10"/>
  <c r="Q17" i="10"/>
  <c r="O37" i="10"/>
  <c r="Q69" i="10"/>
  <c r="W77" i="10"/>
  <c r="O84" i="10"/>
  <c r="T89" i="10"/>
  <c r="Q94" i="10"/>
  <c r="AD97" i="10"/>
  <c r="X114" i="10"/>
  <c r="T123" i="10"/>
  <c r="R132" i="10"/>
  <c r="X151" i="10"/>
  <c r="Y164" i="10"/>
  <c r="X192" i="10"/>
  <c r="X206" i="10"/>
  <c r="N2" i="10"/>
  <c r="R2" i="10"/>
  <c r="O222" i="10"/>
  <c r="X222" i="10"/>
  <c r="R197" i="10"/>
  <c r="Z197" i="10"/>
  <c r="U197" i="10"/>
  <c r="AD184" i="10"/>
  <c r="X184" i="10"/>
  <c r="S184" i="10"/>
  <c r="Z146" i="10"/>
  <c r="Q146" i="10"/>
  <c r="T96" i="10"/>
  <c r="X96" i="10"/>
  <c r="O96" i="10"/>
  <c r="S50" i="10"/>
  <c r="AD50" i="10"/>
  <c r="U50" i="10"/>
  <c r="N7" i="10"/>
  <c r="AD7" i="10"/>
  <c r="Y7" i="10"/>
  <c r="V7" i="10"/>
  <c r="V2" i="10"/>
  <c r="S7" i="10"/>
  <c r="U12" i="10"/>
  <c r="U14" i="10"/>
  <c r="Q37" i="10"/>
  <c r="O43" i="10"/>
  <c r="S56" i="10"/>
  <c r="W61" i="10"/>
  <c r="W69" i="10"/>
  <c r="X77" i="10"/>
  <c r="X84" i="10"/>
  <c r="X94" i="10"/>
  <c r="Z123" i="10"/>
  <c r="S144" i="10"/>
  <c r="S152" i="10"/>
  <c r="W165" i="10"/>
  <c r="X176" i="10"/>
  <c r="Z2" i="10"/>
  <c r="V12" i="10"/>
  <c r="U43" i="10"/>
  <c r="T49" i="10"/>
  <c r="T56" i="10"/>
  <c r="Q78" i="10"/>
  <c r="Q85" i="10"/>
  <c r="Y94" i="10"/>
  <c r="X99" i="10"/>
  <c r="S106" i="10"/>
  <c r="R124" i="10"/>
  <c r="X152" i="10"/>
  <c r="O166" i="10"/>
  <c r="R185" i="10"/>
  <c r="O310" i="10"/>
  <c r="W255" i="10"/>
  <c r="O255" i="10"/>
  <c r="W242" i="10"/>
  <c r="Z242" i="10"/>
  <c r="O237" i="10"/>
  <c r="W237" i="10"/>
  <c r="T219" i="10"/>
  <c r="W219" i="10"/>
  <c r="T191" i="10"/>
  <c r="X191" i="10"/>
  <c r="X93" i="10"/>
  <c r="W93" i="10"/>
  <c r="X88" i="10"/>
  <c r="T88" i="10"/>
  <c r="X59" i="10"/>
  <c r="W59" i="10"/>
  <c r="O59" i="10"/>
  <c r="W57" i="10"/>
  <c r="U57" i="10"/>
  <c r="U39" i="10"/>
  <c r="Y39" i="10"/>
  <c r="X39" i="10"/>
  <c r="Y29" i="10"/>
  <c r="X29" i="10"/>
  <c r="Q29" i="10"/>
  <c r="O29" i="10"/>
  <c r="O24" i="10"/>
  <c r="Y24" i="10"/>
  <c r="T24" i="10"/>
  <c r="N4" i="10"/>
  <c r="V4" i="10"/>
  <c r="R4" i="10"/>
  <c r="Q4" i="10"/>
  <c r="Z12" i="10"/>
  <c r="W29" i="10"/>
  <c r="W43" i="10"/>
  <c r="U49" i="10"/>
  <c r="T57" i="10"/>
  <c r="S78" i="10"/>
  <c r="O92" i="10"/>
  <c r="V102" i="10"/>
  <c r="W106" i="10"/>
  <c r="O126" i="10"/>
  <c r="T146" i="10"/>
  <c r="V166" i="10"/>
  <c r="V177" i="10"/>
  <c r="R238" i="10"/>
  <c r="V212" i="10"/>
  <c r="AD212" i="10"/>
  <c r="O212" i="10"/>
  <c r="Q244" i="10"/>
  <c r="W244" i="10"/>
  <c r="Z229" i="10"/>
  <c r="T229" i="10"/>
  <c r="Y85" i="10"/>
  <c r="O85" i="10"/>
  <c r="X41" i="10"/>
  <c r="U41" i="10"/>
  <c r="U31" i="10"/>
  <c r="Y31" i="10"/>
  <c r="T31" i="10"/>
  <c r="Q31" i="10"/>
  <c r="Y14" i="10"/>
  <c r="V14" i="10"/>
  <c r="AD12" i="10"/>
  <c r="R19" i="10"/>
  <c r="X46" i="10"/>
  <c r="Y49" i="10"/>
  <c r="Y64" i="10"/>
  <c r="X85" i="10"/>
  <c r="R5" i="10"/>
  <c r="V6" i="10"/>
  <c r="U11" i="10"/>
  <c r="O16" i="10"/>
  <c r="Y18" i="10"/>
  <c r="S22" i="10"/>
  <c r="S48" i="10"/>
  <c r="AD58" i="10"/>
  <c r="U76" i="10"/>
  <c r="S86" i="10"/>
  <c r="T90" i="10"/>
  <c r="X98" i="10"/>
  <c r="O150" i="10"/>
  <c r="T154" i="10"/>
  <c r="Q162" i="10"/>
  <c r="R172" i="10"/>
  <c r="T178" i="10"/>
  <c r="R203" i="10"/>
  <c r="U5" i="10"/>
  <c r="W6" i="10"/>
  <c r="T16" i="10"/>
  <c r="X22" i="10"/>
  <c r="T48" i="10"/>
  <c r="O68" i="10"/>
  <c r="Q70" i="10"/>
  <c r="X76" i="10"/>
  <c r="Y86" i="10"/>
  <c r="U90" i="10"/>
  <c r="AD98" i="10"/>
  <c r="T139" i="10"/>
  <c r="AD154" i="10"/>
  <c r="Y172" i="10"/>
  <c r="AD178" i="10"/>
  <c r="Z203" i="10"/>
  <c r="Y256" i="10"/>
  <c r="Y5" i="10"/>
  <c r="Z6" i="10"/>
  <c r="Q15" i="10"/>
  <c r="Y16" i="10"/>
  <c r="S38" i="10"/>
  <c r="Y70" i="10"/>
  <c r="O105" i="10"/>
  <c r="Q170" i="10"/>
  <c r="AD198" i="10"/>
  <c r="N63" i="10"/>
  <c r="V63" i="10"/>
  <c r="AD63" i="10"/>
  <c r="S63" i="10"/>
  <c r="Z63" i="10"/>
  <c r="R63" i="10"/>
  <c r="W63" i="10"/>
  <c r="T63" i="10"/>
  <c r="U63" i="10"/>
  <c r="Q63" i="10"/>
  <c r="O63" i="10"/>
  <c r="N53" i="10"/>
  <c r="V53" i="10"/>
  <c r="AD53" i="10"/>
  <c r="S53" i="10"/>
  <c r="Z53" i="10"/>
  <c r="R53" i="10"/>
  <c r="X53" i="10"/>
  <c r="Y53" i="10"/>
  <c r="W53" i="10"/>
  <c r="U53" i="10"/>
  <c r="T53" i="10"/>
  <c r="N26" i="10"/>
  <c r="Z26" i="10"/>
  <c r="R26" i="10"/>
  <c r="W26" i="10"/>
  <c r="V26" i="10"/>
  <c r="S26" i="10"/>
  <c r="O26" i="10"/>
  <c r="Q26" i="10"/>
  <c r="AD26" i="10"/>
  <c r="Y26" i="10"/>
  <c r="X26" i="10"/>
  <c r="N9" i="10"/>
  <c r="AD9" i="10"/>
  <c r="X9" i="10"/>
  <c r="O9" i="10"/>
  <c r="W9" i="10"/>
  <c r="U9" i="10"/>
  <c r="T9" i="10"/>
  <c r="S9" i="10"/>
  <c r="V9" i="10"/>
  <c r="T26" i="10"/>
  <c r="R100" i="10"/>
  <c r="O280" i="10"/>
  <c r="N250" i="10"/>
  <c r="U250" i="10"/>
  <c r="Z250" i="10"/>
  <c r="Q250" i="10"/>
  <c r="W250" i="10"/>
  <c r="V250" i="10"/>
  <c r="S250" i="10"/>
  <c r="AD250" i="10"/>
  <c r="O250" i="10"/>
  <c r="Y250" i="10"/>
  <c r="X250" i="10"/>
  <c r="R250" i="10"/>
  <c r="T250" i="10"/>
  <c r="N188" i="10"/>
  <c r="W188" i="10"/>
  <c r="U188" i="10"/>
  <c r="T188" i="10"/>
  <c r="S188" i="10"/>
  <c r="AD188" i="10"/>
  <c r="Q188" i="10"/>
  <c r="Z188" i="10"/>
  <c r="O188" i="10"/>
  <c r="X188" i="10"/>
  <c r="R188" i="10"/>
  <c r="V188" i="10"/>
  <c r="N161" i="10"/>
  <c r="AD161" i="10"/>
  <c r="S161" i="10"/>
  <c r="Y161" i="10"/>
  <c r="Q161" i="10"/>
  <c r="X161" i="10"/>
  <c r="W161" i="10"/>
  <c r="U161" i="10"/>
  <c r="T161" i="10"/>
  <c r="V161" i="10"/>
  <c r="Z161" i="10"/>
  <c r="R161" i="10"/>
  <c r="O161" i="10"/>
  <c r="N138" i="10"/>
  <c r="W138" i="10"/>
  <c r="U138" i="10"/>
  <c r="X138" i="10"/>
  <c r="V138" i="10"/>
  <c r="S138" i="10"/>
  <c r="R138" i="10"/>
  <c r="Z138" i="10"/>
  <c r="T138" i="10"/>
  <c r="Y138" i="10"/>
  <c r="Q138" i="10"/>
  <c r="O138" i="10"/>
  <c r="N119" i="10"/>
  <c r="Y119" i="10"/>
  <c r="Q119" i="10"/>
  <c r="X119" i="10"/>
  <c r="W119" i="10"/>
  <c r="U119" i="10"/>
  <c r="T119" i="10"/>
  <c r="AD119" i="10"/>
  <c r="V119" i="10"/>
  <c r="Z119" i="10"/>
  <c r="S119" i="10"/>
  <c r="R119" i="10"/>
  <c r="O119" i="10"/>
  <c r="N109" i="10"/>
  <c r="Y109" i="10"/>
  <c r="Q109" i="10"/>
  <c r="Z109" i="10"/>
  <c r="O109" i="10"/>
  <c r="X109" i="10"/>
  <c r="V109" i="10"/>
  <c r="U109" i="10"/>
  <c r="S109" i="10"/>
  <c r="R109" i="10"/>
  <c r="AD109" i="10"/>
  <c r="N83" i="10"/>
  <c r="V83" i="10"/>
  <c r="AD83" i="10"/>
  <c r="S83" i="10"/>
  <c r="Z83" i="10"/>
  <c r="R83" i="10"/>
  <c r="Y83" i="10"/>
  <c r="W83" i="10"/>
  <c r="X83" i="10"/>
  <c r="U83" i="10"/>
  <c r="T83" i="10"/>
  <c r="Q83" i="10"/>
  <c r="N73" i="10"/>
  <c r="V73" i="10"/>
  <c r="AD73" i="10"/>
  <c r="S73" i="10"/>
  <c r="Z73" i="10"/>
  <c r="R73" i="10"/>
  <c r="Q73" i="10"/>
  <c r="O73" i="10"/>
  <c r="Y73" i="10"/>
  <c r="X73" i="10"/>
  <c r="W73" i="10"/>
  <c r="N60" i="10"/>
  <c r="Z60" i="10"/>
  <c r="R60" i="10"/>
  <c r="W60" i="10"/>
  <c r="V60" i="10"/>
  <c r="T60" i="10"/>
  <c r="Q60" i="10"/>
  <c r="S60" i="10"/>
  <c r="O60" i="10"/>
  <c r="AD60" i="10"/>
  <c r="Y60" i="10"/>
  <c r="N45" i="10"/>
  <c r="V45" i="10"/>
  <c r="AD45" i="10"/>
  <c r="S45" i="10"/>
  <c r="Z45" i="10"/>
  <c r="R45" i="10"/>
  <c r="U45" i="10"/>
  <c r="Q45" i="10"/>
  <c r="T45" i="10"/>
  <c r="O45" i="10"/>
  <c r="Y45" i="10"/>
  <c r="N33" i="10"/>
  <c r="V33" i="10"/>
  <c r="AD33" i="10"/>
  <c r="S33" i="10"/>
  <c r="Z33" i="10"/>
  <c r="R33" i="10"/>
  <c r="X33" i="10"/>
  <c r="U33" i="10"/>
  <c r="W33" i="10"/>
  <c r="T33" i="10"/>
  <c r="Q33" i="10"/>
  <c r="O33" i="10"/>
  <c r="N28" i="10"/>
  <c r="Z28" i="10"/>
  <c r="R28" i="10"/>
  <c r="W28" i="10"/>
  <c r="V28" i="10"/>
  <c r="T28" i="10"/>
  <c r="Q28" i="10"/>
  <c r="S28" i="10"/>
  <c r="O28" i="10"/>
  <c r="AD28" i="10"/>
  <c r="Y28" i="10"/>
  <c r="Y9" i="10"/>
  <c r="U26" i="10"/>
  <c r="X60" i="10"/>
  <c r="Q71" i="10"/>
  <c r="U75" i="10"/>
  <c r="Q248" i="10"/>
  <c r="N516" i="10"/>
  <c r="X516" i="10"/>
  <c r="O516" i="10"/>
  <c r="V516" i="10"/>
  <c r="T516" i="10"/>
  <c r="S516" i="10"/>
  <c r="AD516" i="10"/>
  <c r="Q516" i="10"/>
  <c r="Z516" i="10"/>
  <c r="Y516" i="10"/>
  <c r="U516" i="10"/>
  <c r="W516" i="10"/>
  <c r="R516" i="10"/>
  <c r="N467" i="10"/>
  <c r="Z467" i="10"/>
  <c r="R467" i="10"/>
  <c r="W467" i="10"/>
  <c r="V467" i="10"/>
  <c r="Q467" i="10"/>
  <c r="AD467" i="10"/>
  <c r="X467" i="10"/>
  <c r="O467" i="10"/>
  <c r="Y467" i="10"/>
  <c r="T467" i="10"/>
  <c r="S467" i="10"/>
  <c r="U467" i="10"/>
  <c r="N460" i="10"/>
  <c r="V460" i="10"/>
  <c r="AD460" i="10"/>
  <c r="S460" i="10"/>
  <c r="Z460" i="10"/>
  <c r="R460" i="10"/>
  <c r="X460" i="10"/>
  <c r="U460" i="10"/>
  <c r="Q460" i="10"/>
  <c r="O460" i="10"/>
  <c r="W460" i="10"/>
  <c r="T460" i="10"/>
  <c r="Y460" i="10"/>
  <c r="N434" i="10"/>
  <c r="X434" i="10"/>
  <c r="O434" i="10"/>
  <c r="V434" i="10"/>
  <c r="W434" i="10"/>
  <c r="U434" i="10"/>
  <c r="S434" i="10"/>
  <c r="R434" i="10"/>
  <c r="Z434" i="10"/>
  <c r="Y434" i="10"/>
  <c r="T434" i="10"/>
  <c r="Q434" i="10"/>
  <c r="AD434" i="10"/>
  <c r="N368" i="10"/>
  <c r="V368" i="10"/>
  <c r="AD368" i="10"/>
  <c r="S368" i="10"/>
  <c r="Z368" i="10"/>
  <c r="R368" i="10"/>
  <c r="Q368" i="10"/>
  <c r="O368" i="10"/>
  <c r="X368" i="10"/>
  <c r="U368" i="10"/>
  <c r="T368" i="10"/>
  <c r="Y368" i="10"/>
  <c r="W368" i="10"/>
  <c r="N318" i="10"/>
  <c r="Y318" i="10"/>
  <c r="Q318" i="10"/>
  <c r="U318" i="10"/>
  <c r="Z318" i="10"/>
  <c r="X318" i="10"/>
  <c r="V318" i="10"/>
  <c r="T318" i="10"/>
  <c r="AD318" i="10"/>
  <c r="S318" i="10"/>
  <c r="O318" i="10"/>
  <c r="W318" i="10"/>
  <c r="R318" i="10"/>
  <c r="N280" i="10"/>
  <c r="U280" i="10"/>
  <c r="AD280" i="10"/>
  <c r="R280" i="10"/>
  <c r="X280" i="10"/>
  <c r="W280" i="10"/>
  <c r="Z280" i="10"/>
  <c r="V280" i="10"/>
  <c r="S280" i="10"/>
  <c r="T280" i="10"/>
  <c r="Q280" i="10"/>
  <c r="N270" i="10"/>
  <c r="U270" i="10"/>
  <c r="S270" i="10"/>
  <c r="Y270" i="10"/>
  <c r="O270" i="10"/>
  <c r="X270" i="10"/>
  <c r="Q270" i="10"/>
  <c r="Z270" i="10"/>
  <c r="V270" i="10"/>
  <c r="W270" i="10"/>
  <c r="T270" i="10"/>
  <c r="N181" i="10"/>
  <c r="AD181" i="10"/>
  <c r="S181" i="10"/>
  <c r="Y181" i="10"/>
  <c r="Q181" i="10"/>
  <c r="T181" i="10"/>
  <c r="R181" i="10"/>
  <c r="Z181" i="10"/>
  <c r="X181" i="10"/>
  <c r="V181" i="10"/>
  <c r="O181" i="10"/>
  <c r="U181" i="10"/>
  <c r="N193" i="10"/>
  <c r="V193" i="10"/>
  <c r="AD193" i="10"/>
  <c r="S193" i="10"/>
  <c r="Y193" i="10"/>
  <c r="Q193" i="10"/>
  <c r="Z193" i="10"/>
  <c r="X193" i="10"/>
  <c r="U193" i="10"/>
  <c r="T193" i="10"/>
  <c r="W193" i="10"/>
  <c r="R193" i="10"/>
  <c r="O193" i="10"/>
  <c r="N153" i="10"/>
  <c r="AD153" i="10"/>
  <c r="S153" i="10"/>
  <c r="Y153" i="10"/>
  <c r="Q153" i="10"/>
  <c r="X153" i="10"/>
  <c r="W153" i="10"/>
  <c r="U153" i="10"/>
  <c r="T153" i="10"/>
  <c r="O153" i="10"/>
  <c r="Z153" i="10"/>
  <c r="N148" i="10"/>
  <c r="W148" i="10"/>
  <c r="U148" i="10"/>
  <c r="T148" i="10"/>
  <c r="S148" i="10"/>
  <c r="AD148" i="10"/>
  <c r="Q148" i="10"/>
  <c r="Z148" i="10"/>
  <c r="O148" i="10"/>
  <c r="Y148" i="10"/>
  <c r="X148" i="10"/>
  <c r="V148" i="10"/>
  <c r="N143" i="10"/>
  <c r="AD143" i="10"/>
  <c r="S143" i="10"/>
  <c r="Y143" i="10"/>
  <c r="Q143" i="10"/>
  <c r="O143" i="10"/>
  <c r="Z143" i="10"/>
  <c r="W143" i="10"/>
  <c r="V143" i="10"/>
  <c r="X143" i="10"/>
  <c r="U143" i="10"/>
  <c r="T143" i="10"/>
  <c r="R143" i="10"/>
  <c r="N80" i="10"/>
  <c r="Z80" i="10"/>
  <c r="R80" i="10"/>
  <c r="W80" i="10"/>
  <c r="V80" i="10"/>
  <c r="X80" i="10"/>
  <c r="T80" i="10"/>
  <c r="U80" i="10"/>
  <c r="S80" i="10"/>
  <c r="Q80" i="10"/>
  <c r="O80" i="10"/>
  <c r="N65" i="10"/>
  <c r="V65" i="10"/>
  <c r="AD65" i="10"/>
  <c r="S65" i="10"/>
  <c r="Z65" i="10"/>
  <c r="R65" i="10"/>
  <c r="X65" i="10"/>
  <c r="U65" i="10"/>
  <c r="W65" i="10"/>
  <c r="T65" i="10"/>
  <c r="Q65" i="10"/>
  <c r="O65" i="10"/>
  <c r="N55" i="10"/>
  <c r="V55" i="10"/>
  <c r="AD55" i="10"/>
  <c r="S55" i="10"/>
  <c r="Z55" i="10"/>
  <c r="R55" i="10"/>
  <c r="O55" i="10"/>
  <c r="Y55" i="10"/>
  <c r="X55" i="10"/>
  <c r="W55" i="10"/>
  <c r="U55" i="10"/>
  <c r="N11" i="10"/>
  <c r="AD11" i="10"/>
  <c r="S11" i="10"/>
  <c r="R11" i="10"/>
  <c r="Z11" i="10"/>
  <c r="Q11" i="10"/>
  <c r="X11" i="10"/>
  <c r="W11" i="10"/>
  <c r="V11" i="10"/>
  <c r="Z9" i="10"/>
  <c r="Y65" i="10"/>
  <c r="Y80" i="10"/>
  <c r="T109" i="10"/>
  <c r="V118" i="10"/>
  <c r="R137" i="10"/>
  <c r="S160" i="10"/>
  <c r="V174" i="10"/>
  <c r="Y549" i="10"/>
  <c r="Q549" i="10"/>
  <c r="V549" i="10"/>
  <c r="AD549" i="10"/>
  <c r="R549" i="10"/>
  <c r="S549" i="10"/>
  <c r="X549" i="10"/>
  <c r="Z549" i="10"/>
  <c r="W549" i="10"/>
  <c r="T549" i="10"/>
  <c r="O549" i="10"/>
  <c r="U549" i="10"/>
  <c r="N549" i="10"/>
  <c r="Y527" i="10"/>
  <c r="Q527" i="10"/>
  <c r="N527" i="10"/>
  <c r="W527" i="10"/>
  <c r="U527" i="10"/>
  <c r="O527" i="10"/>
  <c r="AD527" i="10"/>
  <c r="X527" i="10"/>
  <c r="V527" i="10"/>
  <c r="S527" i="10"/>
  <c r="R527" i="10"/>
  <c r="Z527" i="10"/>
  <c r="T527" i="10"/>
  <c r="T519" i="10"/>
  <c r="Z519" i="10"/>
  <c r="R519" i="10"/>
  <c r="N519" i="10"/>
  <c r="AD519" i="10"/>
  <c r="O519" i="10"/>
  <c r="Y519" i="10"/>
  <c r="W519" i="10"/>
  <c r="V519" i="10"/>
  <c r="S519" i="10"/>
  <c r="Q519" i="10"/>
  <c r="X519" i="10"/>
  <c r="U519" i="10"/>
  <c r="N511" i="10"/>
  <c r="T511" i="10"/>
  <c r="AD511" i="10"/>
  <c r="R511" i="10"/>
  <c r="Z511" i="10"/>
  <c r="Q511" i="10"/>
  <c r="X511" i="10"/>
  <c r="W511" i="10"/>
  <c r="V511" i="10"/>
  <c r="S511" i="10"/>
  <c r="O511" i="10"/>
  <c r="Y511" i="10"/>
  <c r="U511" i="10"/>
  <c r="N506" i="10"/>
  <c r="V506" i="10"/>
  <c r="U506" i="10"/>
  <c r="AD506" i="10"/>
  <c r="S506" i="10"/>
  <c r="Z506" i="10"/>
  <c r="R506" i="10"/>
  <c r="X506" i="10"/>
  <c r="W506" i="10"/>
  <c r="Q506" i="10"/>
  <c r="T506" i="10"/>
  <c r="O506" i="10"/>
  <c r="Y506" i="10"/>
  <c r="N439" i="10"/>
  <c r="T439" i="10"/>
  <c r="Z439" i="10"/>
  <c r="R439" i="10"/>
  <c r="AD439" i="10"/>
  <c r="O439" i="10"/>
  <c r="Y439" i="10"/>
  <c r="W439" i="10"/>
  <c r="V439" i="10"/>
  <c r="S439" i="10"/>
  <c r="X439" i="10"/>
  <c r="Q439" i="10"/>
  <c r="U439" i="10"/>
  <c r="N419" i="10"/>
  <c r="T419" i="10"/>
  <c r="Z419" i="10"/>
  <c r="R419" i="10"/>
  <c r="V419" i="10"/>
  <c r="U419" i="10"/>
  <c r="Q419" i="10"/>
  <c r="AD419" i="10"/>
  <c r="O419" i="10"/>
  <c r="X419" i="10"/>
  <c r="Y419" i="10"/>
  <c r="S419" i="10"/>
  <c r="W419" i="10"/>
  <c r="N381" i="10"/>
  <c r="Z381" i="10"/>
  <c r="R381" i="10"/>
  <c r="W381" i="10"/>
  <c r="V381" i="10"/>
  <c r="O381" i="10"/>
  <c r="AD381" i="10"/>
  <c r="U381" i="10"/>
  <c r="Y381" i="10"/>
  <c r="T381" i="10"/>
  <c r="S381" i="10"/>
  <c r="Q381" i="10"/>
  <c r="X381" i="10"/>
  <c r="N366" i="10"/>
  <c r="AD366" i="10"/>
  <c r="S366" i="10"/>
  <c r="Z366" i="10"/>
  <c r="R366" i="10"/>
  <c r="U366" i="10"/>
  <c r="T366" i="10"/>
  <c r="Y366" i="10"/>
  <c r="X366" i="10"/>
  <c r="V366" i="10"/>
  <c r="Q366" i="10"/>
  <c r="W366" i="10"/>
  <c r="O366" i="10"/>
  <c r="N330" i="10"/>
  <c r="Y330" i="10"/>
  <c r="Q330" i="10"/>
  <c r="U330" i="10"/>
  <c r="T330" i="10"/>
  <c r="S330" i="10"/>
  <c r="AD330" i="10"/>
  <c r="O330" i="10"/>
  <c r="Z330" i="10"/>
  <c r="X330" i="10"/>
  <c r="V330" i="10"/>
  <c r="W330" i="10"/>
  <c r="R330" i="10"/>
  <c r="N321" i="10"/>
  <c r="U321" i="10"/>
  <c r="Y321" i="10"/>
  <c r="Q321" i="10"/>
  <c r="V321" i="10"/>
  <c r="T321" i="10"/>
  <c r="R321" i="10"/>
  <c r="AD321" i="10"/>
  <c r="O321" i="10"/>
  <c r="Z321" i="10"/>
  <c r="W321" i="10"/>
  <c r="S321" i="10"/>
  <c r="X321" i="10"/>
  <c r="N273" i="10"/>
  <c r="Y273" i="10"/>
  <c r="Q273" i="10"/>
  <c r="T273" i="10"/>
  <c r="Z273" i="10"/>
  <c r="O273" i="10"/>
  <c r="X273" i="10"/>
  <c r="W273" i="10"/>
  <c r="V273" i="10"/>
  <c r="S273" i="10"/>
  <c r="AD273" i="10"/>
  <c r="R273" i="10"/>
  <c r="U273" i="10"/>
  <c r="N231" i="10"/>
  <c r="V231" i="10"/>
  <c r="U231" i="10"/>
  <c r="AD231" i="10"/>
  <c r="S231" i="10"/>
  <c r="Y231" i="10"/>
  <c r="Q231" i="10"/>
  <c r="O231" i="10"/>
  <c r="Z231" i="10"/>
  <c r="X231" i="10"/>
  <c r="T231" i="10"/>
  <c r="R231" i="10"/>
  <c r="N209" i="10"/>
  <c r="V209" i="10"/>
  <c r="U209" i="10"/>
  <c r="AD209" i="10"/>
  <c r="S209" i="10"/>
  <c r="Y209" i="10"/>
  <c r="Q209" i="10"/>
  <c r="X209" i="10"/>
  <c r="W209" i="10"/>
  <c r="R209" i="10"/>
  <c r="O209" i="10"/>
  <c r="T209" i="10"/>
  <c r="Z209" i="10"/>
  <c r="N194" i="10"/>
  <c r="Z194" i="10"/>
  <c r="R194" i="10"/>
  <c r="W194" i="10"/>
  <c r="U194" i="10"/>
  <c r="AD194" i="10"/>
  <c r="Y194" i="10"/>
  <c r="V194" i="10"/>
  <c r="T194" i="10"/>
  <c r="Q194" i="10"/>
  <c r="O194" i="10"/>
  <c r="N136" i="10"/>
  <c r="W136" i="10"/>
  <c r="U136" i="10"/>
  <c r="Z136" i="10"/>
  <c r="O136" i="10"/>
  <c r="Y136" i="10"/>
  <c r="V136" i="10"/>
  <c r="T136" i="10"/>
  <c r="X136" i="10"/>
  <c r="AD136" i="10"/>
  <c r="S136" i="10"/>
  <c r="R136" i="10"/>
  <c r="Q136" i="10"/>
  <c r="N100" i="10"/>
  <c r="U100" i="10"/>
  <c r="X100" i="10"/>
  <c r="W100" i="10"/>
  <c r="T100" i="10"/>
  <c r="S100" i="10"/>
  <c r="Q100" i="10"/>
  <c r="O100" i="10"/>
  <c r="AD100" i="10"/>
  <c r="Z100" i="10"/>
  <c r="Y100" i="10"/>
  <c r="U546" i="10"/>
  <c r="V546" i="10"/>
  <c r="Z546" i="10"/>
  <c r="Q546" i="10"/>
  <c r="N546" i="10"/>
  <c r="R546" i="10"/>
  <c r="AD546" i="10"/>
  <c r="X546" i="10"/>
  <c r="W546" i="10"/>
  <c r="T546" i="10"/>
  <c r="O546" i="10"/>
  <c r="Y546" i="10"/>
  <c r="S546" i="10"/>
  <c r="U536" i="10"/>
  <c r="AD536" i="10"/>
  <c r="R536" i="10"/>
  <c r="Q536" i="10"/>
  <c r="Y536" i="10"/>
  <c r="N536" i="10"/>
  <c r="W536" i="10"/>
  <c r="Z536" i="10"/>
  <c r="X536" i="10"/>
  <c r="T536" i="10"/>
  <c r="S536" i="10"/>
  <c r="O536" i="10"/>
  <c r="V536" i="10"/>
  <c r="N469" i="10"/>
  <c r="Z469" i="10"/>
  <c r="R469" i="10"/>
  <c r="W469" i="10"/>
  <c r="V469" i="10"/>
  <c r="S469" i="10"/>
  <c r="O469" i="10"/>
  <c r="Y469" i="10"/>
  <c r="X469" i="10"/>
  <c r="U469" i="10"/>
  <c r="Q469" i="10"/>
  <c r="T469" i="10"/>
  <c r="AD469" i="10"/>
  <c r="V462" i="10"/>
  <c r="AD462" i="10"/>
  <c r="S462" i="10"/>
  <c r="Z462" i="10"/>
  <c r="R462" i="10"/>
  <c r="Y462" i="10"/>
  <c r="W462" i="10"/>
  <c r="T462" i="10"/>
  <c r="N462" i="10"/>
  <c r="X462" i="10"/>
  <c r="Q462" i="10"/>
  <c r="O462" i="10"/>
  <c r="U462" i="10"/>
  <c r="N455" i="10"/>
  <c r="Z455" i="10"/>
  <c r="R455" i="10"/>
  <c r="W455" i="10"/>
  <c r="V455" i="10"/>
  <c r="T455" i="10"/>
  <c r="Q455" i="10"/>
  <c r="AD455" i="10"/>
  <c r="O455" i="10"/>
  <c r="Y455" i="10"/>
  <c r="U455" i="10"/>
  <c r="S455" i="10"/>
  <c r="X455" i="10"/>
  <c r="N428" i="10"/>
  <c r="X428" i="10"/>
  <c r="O428" i="10"/>
  <c r="V428" i="10"/>
  <c r="T428" i="10"/>
  <c r="S428" i="10"/>
  <c r="AD428" i="10"/>
  <c r="Q428" i="10"/>
  <c r="Z428" i="10"/>
  <c r="W428" i="10"/>
  <c r="Y428" i="10"/>
  <c r="U428" i="10"/>
  <c r="R428" i="10"/>
  <c r="N382" i="10"/>
  <c r="V382" i="10"/>
  <c r="AD382" i="10"/>
  <c r="S382" i="10"/>
  <c r="Z382" i="10"/>
  <c r="R382" i="10"/>
  <c r="O382" i="10"/>
  <c r="W382" i="10"/>
  <c r="Q382" i="10"/>
  <c r="Y382" i="10"/>
  <c r="U382" i="10"/>
  <c r="T382" i="10"/>
  <c r="X382" i="10"/>
  <c r="N365" i="10"/>
  <c r="W365" i="10"/>
  <c r="V365" i="10"/>
  <c r="U365" i="10"/>
  <c r="T365" i="10"/>
  <c r="AD365" i="10"/>
  <c r="Q365" i="10"/>
  <c r="X365" i="10"/>
  <c r="S365" i="10"/>
  <c r="O365" i="10"/>
  <c r="Z365" i="10"/>
  <c r="Y365" i="10"/>
  <c r="N163" i="10"/>
  <c r="AD163" i="10"/>
  <c r="S163" i="10"/>
  <c r="Y163" i="10"/>
  <c r="Q163" i="10"/>
  <c r="V163" i="10"/>
  <c r="U163" i="10"/>
  <c r="R163" i="10"/>
  <c r="O163" i="10"/>
  <c r="X163" i="10"/>
  <c r="T163" i="10"/>
  <c r="W163" i="10"/>
  <c r="N75" i="10"/>
  <c r="V75" i="10"/>
  <c r="AD75" i="10"/>
  <c r="S75" i="10"/>
  <c r="Z75" i="10"/>
  <c r="R75" i="10"/>
  <c r="T75" i="10"/>
  <c r="O75" i="10"/>
  <c r="Q75" i="10"/>
  <c r="Y75" i="10"/>
  <c r="X75" i="10"/>
  <c r="N62" i="10"/>
  <c r="Z62" i="10"/>
  <c r="R62" i="10"/>
  <c r="W62" i="10"/>
  <c r="V62" i="10"/>
  <c r="U62" i="10"/>
  <c r="S62" i="10"/>
  <c r="T62" i="10"/>
  <c r="Q62" i="10"/>
  <c r="O62" i="10"/>
  <c r="AD62" i="10"/>
  <c r="N52" i="10"/>
  <c r="Z52" i="10"/>
  <c r="R52" i="10"/>
  <c r="W52" i="10"/>
  <c r="V52" i="10"/>
  <c r="AD52" i="10"/>
  <c r="X52" i="10"/>
  <c r="Y52" i="10"/>
  <c r="U52" i="10"/>
  <c r="T52" i="10"/>
  <c r="S52" i="10"/>
  <c r="N42" i="10"/>
  <c r="Z42" i="10"/>
  <c r="R42" i="10"/>
  <c r="W42" i="10"/>
  <c r="V42" i="10"/>
  <c r="S42" i="10"/>
  <c r="O42" i="10"/>
  <c r="Q42" i="10"/>
  <c r="AD42" i="10"/>
  <c r="Y42" i="10"/>
  <c r="X42" i="10"/>
  <c r="N40" i="10"/>
  <c r="Z40" i="10"/>
  <c r="R40" i="10"/>
  <c r="W40" i="10"/>
  <c r="V40" i="10"/>
  <c r="Q40" i="10"/>
  <c r="AD40" i="10"/>
  <c r="O40" i="10"/>
  <c r="Y40" i="10"/>
  <c r="X40" i="10"/>
  <c r="U40" i="10"/>
  <c r="N35" i="10"/>
  <c r="V35" i="10"/>
  <c r="AD35" i="10"/>
  <c r="S35" i="10"/>
  <c r="Z35" i="10"/>
  <c r="R35" i="10"/>
  <c r="Y35" i="10"/>
  <c r="W35" i="10"/>
  <c r="X35" i="10"/>
  <c r="U35" i="10"/>
  <c r="T35" i="10"/>
  <c r="Q35" i="10"/>
  <c r="N20" i="10"/>
  <c r="Z20" i="10"/>
  <c r="R20" i="10"/>
  <c r="W20" i="10"/>
  <c r="V20" i="10"/>
  <c r="AD20" i="10"/>
  <c r="Y20" i="10"/>
  <c r="X20" i="10"/>
  <c r="U20" i="10"/>
  <c r="T20" i="10"/>
  <c r="S20" i="10"/>
  <c r="N8" i="10"/>
  <c r="T8" i="10"/>
  <c r="AD8" i="10"/>
  <c r="S8" i="10"/>
  <c r="Y8" i="10"/>
  <c r="Q8" i="10"/>
  <c r="X8" i="10"/>
  <c r="O8" i="10"/>
  <c r="W8" i="10"/>
  <c r="N3" i="10"/>
  <c r="X3" i="10"/>
  <c r="O3" i="10"/>
  <c r="W3" i="10"/>
  <c r="U3" i="10"/>
  <c r="T3" i="10"/>
  <c r="AD3" i="10"/>
  <c r="S3" i="10"/>
  <c r="V3" i="10"/>
  <c r="U8" i="10"/>
  <c r="T40" i="10"/>
  <c r="Q52" i="10"/>
  <c r="W109" i="10"/>
  <c r="X194" i="10"/>
  <c r="R270" i="10"/>
  <c r="R365" i="10"/>
  <c r="N524" i="10"/>
  <c r="U524" i="10"/>
  <c r="W524" i="10"/>
  <c r="T524" i="10"/>
  <c r="AD524" i="10"/>
  <c r="O524" i="10"/>
  <c r="Z524" i="10"/>
  <c r="X524" i="10"/>
  <c r="V524" i="10"/>
  <c r="S524" i="10"/>
  <c r="Q524" i="10"/>
  <c r="R524" i="10"/>
  <c r="Y524" i="10"/>
  <c r="N479" i="10"/>
  <c r="Z479" i="10"/>
  <c r="R479" i="10"/>
  <c r="W479" i="10"/>
  <c r="V479" i="10"/>
  <c r="O479" i="10"/>
  <c r="AD479" i="10"/>
  <c r="X479" i="10"/>
  <c r="T479" i="10"/>
  <c r="S479" i="10"/>
  <c r="Q479" i="10"/>
  <c r="Y479" i="10"/>
  <c r="U479" i="10"/>
  <c r="N328" i="10"/>
  <c r="Y328" i="10"/>
  <c r="Q328" i="10"/>
  <c r="U328" i="10"/>
  <c r="W328" i="10"/>
  <c r="V328" i="10"/>
  <c r="S328" i="10"/>
  <c r="R328" i="10"/>
  <c r="AD328" i="10"/>
  <c r="X328" i="10"/>
  <c r="T328" i="10"/>
  <c r="O328" i="10"/>
  <c r="Z328" i="10"/>
  <c r="N174" i="10"/>
  <c r="W174" i="10"/>
  <c r="U174" i="10"/>
  <c r="R174" i="10"/>
  <c r="AD174" i="10"/>
  <c r="Q174" i="10"/>
  <c r="Y174" i="10"/>
  <c r="X174" i="10"/>
  <c r="T174" i="10"/>
  <c r="O174" i="10"/>
  <c r="S174" i="10"/>
  <c r="N107" i="10"/>
  <c r="Y107" i="10"/>
  <c r="Q107" i="10"/>
  <c r="V107" i="10"/>
  <c r="U107" i="10"/>
  <c r="S107" i="10"/>
  <c r="AD107" i="10"/>
  <c r="R107" i="10"/>
  <c r="X107" i="10"/>
  <c r="T107" i="10"/>
  <c r="W107" i="10"/>
  <c r="O107" i="10"/>
  <c r="N81" i="10"/>
  <c r="V81" i="10"/>
  <c r="AD81" i="10"/>
  <c r="S81" i="10"/>
  <c r="Z81" i="10"/>
  <c r="R81" i="10"/>
  <c r="X81" i="10"/>
  <c r="U81" i="10"/>
  <c r="W81" i="10"/>
  <c r="T81" i="10"/>
  <c r="Q81" i="10"/>
  <c r="O81" i="10"/>
  <c r="N529" i="10"/>
  <c r="Y529" i="10"/>
  <c r="Q529" i="10"/>
  <c r="AD529" i="10"/>
  <c r="R529" i="10"/>
  <c r="X529" i="10"/>
  <c r="O529" i="10"/>
  <c r="W529" i="10"/>
  <c r="V529" i="10"/>
  <c r="T529" i="10"/>
  <c r="S529" i="10"/>
  <c r="Z529" i="10"/>
  <c r="U529" i="10"/>
  <c r="N444" i="10"/>
  <c r="X444" i="10"/>
  <c r="O444" i="10"/>
  <c r="V444" i="10"/>
  <c r="T444" i="10"/>
  <c r="S444" i="10"/>
  <c r="AD444" i="10"/>
  <c r="Q444" i="10"/>
  <c r="Z444" i="10"/>
  <c r="W444" i="10"/>
  <c r="Y444" i="10"/>
  <c r="U444" i="10"/>
  <c r="R444" i="10"/>
  <c r="N421" i="10"/>
  <c r="T421" i="10"/>
  <c r="Z421" i="10"/>
  <c r="R421" i="10"/>
  <c r="S421" i="10"/>
  <c r="Q421" i="10"/>
  <c r="Y421" i="10"/>
  <c r="X421" i="10"/>
  <c r="V421" i="10"/>
  <c r="AD421" i="10"/>
  <c r="W421" i="10"/>
  <c r="O421" i="10"/>
  <c r="U421" i="10"/>
  <c r="N361" i="10"/>
  <c r="W361" i="10"/>
  <c r="V361" i="10"/>
  <c r="AD361" i="10"/>
  <c r="Q361" i="10"/>
  <c r="Z361" i="10"/>
  <c r="O361" i="10"/>
  <c r="U361" i="10"/>
  <c r="S361" i="10"/>
  <c r="R361" i="10"/>
  <c r="Y361" i="10"/>
  <c r="T361" i="10"/>
  <c r="X361" i="10"/>
  <c r="N316" i="10"/>
  <c r="Y316" i="10"/>
  <c r="Q316" i="10"/>
  <c r="U316" i="10"/>
  <c r="R316" i="10"/>
  <c r="AD316" i="10"/>
  <c r="O316" i="10"/>
  <c r="X316" i="10"/>
  <c r="W316" i="10"/>
  <c r="V316" i="10"/>
  <c r="S316" i="10"/>
  <c r="T316" i="10"/>
  <c r="N307" i="10"/>
  <c r="U307" i="10"/>
  <c r="Y307" i="10"/>
  <c r="Q307" i="10"/>
  <c r="S307" i="10"/>
  <c r="Z307" i="10"/>
  <c r="X307" i="10"/>
  <c r="O307" i="10"/>
  <c r="AD307" i="10"/>
  <c r="V307" i="10"/>
  <c r="W307" i="10"/>
  <c r="T307" i="10"/>
  <c r="R307" i="10"/>
  <c r="N265" i="10"/>
  <c r="Y265" i="10"/>
  <c r="Q265" i="10"/>
  <c r="U265" i="10"/>
  <c r="T265" i="10"/>
  <c r="AD265" i="10"/>
  <c r="Z265" i="10"/>
  <c r="W265" i="10"/>
  <c r="S265" i="10"/>
  <c r="R265" i="10"/>
  <c r="O265" i="10"/>
  <c r="X265" i="10"/>
  <c r="V265" i="10"/>
  <c r="N223" i="10"/>
  <c r="V223" i="10"/>
  <c r="U223" i="10"/>
  <c r="AD223" i="10"/>
  <c r="S223" i="10"/>
  <c r="Y223" i="10"/>
  <c r="Q223" i="10"/>
  <c r="O223" i="10"/>
  <c r="Z223" i="10"/>
  <c r="X223" i="10"/>
  <c r="T223" i="10"/>
  <c r="R223" i="10"/>
  <c r="N141" i="10"/>
  <c r="AD141" i="10"/>
  <c r="S141" i="10"/>
  <c r="Y141" i="10"/>
  <c r="Q141" i="10"/>
  <c r="T141" i="10"/>
  <c r="R141" i="10"/>
  <c r="Z141" i="10"/>
  <c r="X141" i="10"/>
  <c r="W141" i="10"/>
  <c r="V141" i="10"/>
  <c r="U141" i="10"/>
  <c r="N112" i="10"/>
  <c r="U112" i="10"/>
  <c r="Z112" i="10"/>
  <c r="Q112" i="10"/>
  <c r="Y112" i="10"/>
  <c r="O112" i="10"/>
  <c r="W112" i="10"/>
  <c r="V112" i="10"/>
  <c r="S112" i="10"/>
  <c r="R112" i="10"/>
  <c r="AD112" i="10"/>
  <c r="T551" i="10"/>
  <c r="N551" i="10"/>
  <c r="Y551" i="10"/>
  <c r="Q551" i="10"/>
  <c r="AD551" i="10"/>
  <c r="O551" i="10"/>
  <c r="V551" i="10"/>
  <c r="S551" i="10"/>
  <c r="Z551" i="10"/>
  <c r="W551" i="10"/>
  <c r="U551" i="10"/>
  <c r="X551" i="10"/>
  <c r="R551" i="10"/>
  <c r="Y521" i="10"/>
  <c r="Q521" i="10"/>
  <c r="N521" i="10"/>
  <c r="V521" i="10"/>
  <c r="T521" i="10"/>
  <c r="AD521" i="10"/>
  <c r="Z521" i="10"/>
  <c r="W521" i="10"/>
  <c r="U521" i="10"/>
  <c r="R521" i="10"/>
  <c r="O521" i="10"/>
  <c r="X521" i="10"/>
  <c r="S521" i="10"/>
  <c r="T513" i="10"/>
  <c r="Z513" i="10"/>
  <c r="R513" i="10"/>
  <c r="X513" i="10"/>
  <c r="W513" i="10"/>
  <c r="U513" i="10"/>
  <c r="S513" i="10"/>
  <c r="AD513" i="10"/>
  <c r="N513" i="10"/>
  <c r="Y513" i="10"/>
  <c r="Q513" i="10"/>
  <c r="O513" i="10"/>
  <c r="V513" i="10"/>
  <c r="N508" i="10"/>
  <c r="V508" i="10"/>
  <c r="U508" i="10"/>
  <c r="AD508" i="10"/>
  <c r="S508" i="10"/>
  <c r="Z508" i="10"/>
  <c r="R508" i="10"/>
  <c r="O508" i="10"/>
  <c r="Y508" i="10"/>
  <c r="W508" i="10"/>
  <c r="T508" i="10"/>
  <c r="Q508" i="10"/>
  <c r="X508" i="10"/>
  <c r="N493" i="10"/>
  <c r="Z493" i="10"/>
  <c r="R493" i="10"/>
  <c r="Y493" i="10"/>
  <c r="Q493" i="10"/>
  <c r="W493" i="10"/>
  <c r="V493" i="10"/>
  <c r="T493" i="10"/>
  <c r="S493" i="10"/>
  <c r="AD493" i="10"/>
  <c r="X493" i="10"/>
  <c r="O493" i="10"/>
  <c r="U493" i="10"/>
  <c r="N441" i="10"/>
  <c r="T441" i="10"/>
  <c r="Z441" i="10"/>
  <c r="R441" i="10"/>
  <c r="X441" i="10"/>
  <c r="W441" i="10"/>
  <c r="U441" i="10"/>
  <c r="S441" i="10"/>
  <c r="AD441" i="10"/>
  <c r="Y441" i="10"/>
  <c r="O441" i="10"/>
  <c r="V441" i="10"/>
  <c r="Q441" i="10"/>
  <c r="N397" i="10"/>
  <c r="Z397" i="10"/>
  <c r="R397" i="10"/>
  <c r="U397" i="10"/>
  <c r="AD397" i="10"/>
  <c r="Q397" i="10"/>
  <c r="Y397" i="10"/>
  <c r="O397" i="10"/>
  <c r="X397" i="10"/>
  <c r="T397" i="10"/>
  <c r="W397" i="10"/>
  <c r="V397" i="10"/>
  <c r="S397" i="10"/>
  <c r="N358" i="10"/>
  <c r="AD358" i="10"/>
  <c r="S358" i="10"/>
  <c r="Z358" i="10"/>
  <c r="R358" i="10"/>
  <c r="U358" i="10"/>
  <c r="T358" i="10"/>
  <c r="Y358" i="10"/>
  <c r="V358" i="10"/>
  <c r="Q358" i="10"/>
  <c r="W358" i="10"/>
  <c r="X358" i="10"/>
  <c r="O358" i="10"/>
  <c r="N351" i="10"/>
  <c r="U351" i="10"/>
  <c r="T351" i="10"/>
  <c r="Y351" i="10"/>
  <c r="Q351" i="10"/>
  <c r="O351" i="10"/>
  <c r="AD351" i="10"/>
  <c r="X351" i="10"/>
  <c r="W351" i="10"/>
  <c r="V351" i="10"/>
  <c r="R351" i="10"/>
  <c r="Z351" i="10"/>
  <c r="S351" i="10"/>
  <c r="X556" i="10"/>
  <c r="O556" i="10"/>
  <c r="U556" i="10"/>
  <c r="T556" i="10"/>
  <c r="Z556" i="10"/>
  <c r="Q556" i="10"/>
  <c r="AD556" i="10"/>
  <c r="N556" i="10"/>
  <c r="W556" i="10"/>
  <c r="V556" i="10"/>
  <c r="S556" i="10"/>
  <c r="R556" i="10"/>
  <c r="Y556" i="10"/>
  <c r="N548" i="10"/>
  <c r="U548" i="10"/>
  <c r="Y548" i="10"/>
  <c r="O548" i="10"/>
  <c r="T548" i="10"/>
  <c r="R548" i="10"/>
  <c r="AD548" i="10"/>
  <c r="X548" i="10"/>
  <c r="S548" i="10"/>
  <c r="Q548" i="10"/>
  <c r="Z548" i="10"/>
  <c r="V548" i="10"/>
  <c r="W548" i="10"/>
  <c r="U526" i="10"/>
  <c r="N526" i="10"/>
  <c r="Z526" i="10"/>
  <c r="Q526" i="10"/>
  <c r="X526" i="10"/>
  <c r="O526" i="10"/>
  <c r="AD526" i="10"/>
  <c r="W526" i="10"/>
  <c r="V526" i="10"/>
  <c r="T526" i="10"/>
  <c r="R526" i="10"/>
  <c r="Y526" i="10"/>
  <c r="S526" i="10"/>
  <c r="N464" i="10"/>
  <c r="V464" i="10"/>
  <c r="AD464" i="10"/>
  <c r="S464" i="10"/>
  <c r="Z464" i="10"/>
  <c r="R464" i="10"/>
  <c r="X464" i="10"/>
  <c r="U464" i="10"/>
  <c r="W464" i="10"/>
  <c r="T464" i="10"/>
  <c r="O464" i="10"/>
  <c r="Q464" i="10"/>
  <c r="Y464" i="10"/>
  <c r="N404" i="10"/>
  <c r="V404" i="10"/>
  <c r="S404" i="10"/>
  <c r="Y404" i="10"/>
  <c r="O404" i="10"/>
  <c r="X404" i="10"/>
  <c r="Q404" i="10"/>
  <c r="W404" i="10"/>
  <c r="T404" i="10"/>
  <c r="R404" i="10"/>
  <c r="Z404" i="10"/>
  <c r="U404" i="10"/>
  <c r="N320" i="10"/>
  <c r="Y320" i="10"/>
  <c r="Q320" i="10"/>
  <c r="U320" i="10"/>
  <c r="W320" i="10"/>
  <c r="V320" i="10"/>
  <c r="S320" i="10"/>
  <c r="R320" i="10"/>
  <c r="Z320" i="10"/>
  <c r="X320" i="10"/>
  <c r="O320" i="10"/>
  <c r="AD320" i="10"/>
  <c r="T320" i="10"/>
  <c r="N302" i="10"/>
  <c r="U302" i="10"/>
  <c r="S302" i="10"/>
  <c r="Y302" i="10"/>
  <c r="O302" i="10"/>
  <c r="X302" i="10"/>
  <c r="AD302" i="10"/>
  <c r="Z302" i="10"/>
  <c r="V302" i="10"/>
  <c r="R302" i="10"/>
  <c r="T302" i="10"/>
  <c r="Q302" i="10"/>
  <c r="W302" i="10"/>
  <c r="Y293" i="10"/>
  <c r="Q293" i="10"/>
  <c r="AD293" i="10"/>
  <c r="R293" i="10"/>
  <c r="W293" i="10"/>
  <c r="V293" i="10"/>
  <c r="S293" i="10"/>
  <c r="O293" i="10"/>
  <c r="X293" i="10"/>
  <c r="U293" i="10"/>
  <c r="T293" i="10"/>
  <c r="N293" i="10"/>
  <c r="Z293" i="10"/>
  <c r="N272" i="10"/>
  <c r="U272" i="10"/>
  <c r="W272" i="10"/>
  <c r="S272" i="10"/>
  <c r="AD272" i="10"/>
  <c r="R272" i="10"/>
  <c r="V272" i="10"/>
  <c r="T272" i="10"/>
  <c r="O272" i="10"/>
  <c r="Z272" i="10"/>
  <c r="Y272" i="10"/>
  <c r="X272" i="10"/>
  <c r="Q272" i="10"/>
  <c r="N230" i="10"/>
  <c r="Z230" i="10"/>
  <c r="R230" i="10"/>
  <c r="Y230" i="10"/>
  <c r="Q230" i="10"/>
  <c r="W230" i="10"/>
  <c r="U230" i="10"/>
  <c r="AD230" i="10"/>
  <c r="V230" i="10"/>
  <c r="T230" i="10"/>
  <c r="X230" i="10"/>
  <c r="S230" i="10"/>
  <c r="O230" i="10"/>
  <c r="N208" i="10"/>
  <c r="Z208" i="10"/>
  <c r="R208" i="10"/>
  <c r="Y208" i="10"/>
  <c r="Q208" i="10"/>
  <c r="W208" i="10"/>
  <c r="U208" i="10"/>
  <c r="T208" i="10"/>
  <c r="S208" i="10"/>
  <c r="AD208" i="10"/>
  <c r="X208" i="10"/>
  <c r="V208" i="10"/>
  <c r="N533" i="10"/>
  <c r="Y533" i="10"/>
  <c r="Q533" i="10"/>
  <c r="AD533" i="10"/>
  <c r="R533" i="10"/>
  <c r="V533" i="10"/>
  <c r="T533" i="10"/>
  <c r="O533" i="10"/>
  <c r="Z533" i="10"/>
  <c r="W533" i="10"/>
  <c r="U533" i="10"/>
  <c r="S533" i="10"/>
  <c r="X533" i="10"/>
  <c r="V490" i="10"/>
  <c r="N490" i="10"/>
  <c r="AD490" i="10"/>
  <c r="S490" i="10"/>
  <c r="Z490" i="10"/>
  <c r="R490" i="10"/>
  <c r="X490" i="10"/>
  <c r="W490" i="10"/>
  <c r="T490" i="10"/>
  <c r="O490" i="10"/>
  <c r="U490" i="10"/>
  <c r="Q490" i="10"/>
  <c r="Y490" i="10"/>
  <c r="N485" i="10"/>
  <c r="Z485" i="10"/>
  <c r="R485" i="10"/>
  <c r="W485" i="10"/>
  <c r="V485" i="10"/>
  <c r="T485" i="10"/>
  <c r="S485" i="10"/>
  <c r="O485" i="10"/>
  <c r="Y485" i="10"/>
  <c r="X485" i="10"/>
  <c r="U485" i="10"/>
  <c r="AD485" i="10"/>
  <c r="Q485" i="10"/>
  <c r="N478" i="10"/>
  <c r="V478" i="10"/>
  <c r="AD478" i="10"/>
  <c r="S478" i="10"/>
  <c r="Z478" i="10"/>
  <c r="R478" i="10"/>
  <c r="Y478" i="10"/>
  <c r="W478" i="10"/>
  <c r="T478" i="10"/>
  <c r="U478" i="10"/>
  <c r="Q478" i="10"/>
  <c r="O478" i="10"/>
  <c r="X478" i="10"/>
  <c r="N471" i="10"/>
  <c r="Z471" i="10"/>
  <c r="R471" i="10"/>
  <c r="W471" i="10"/>
  <c r="V471" i="10"/>
  <c r="T471" i="10"/>
  <c r="Q471" i="10"/>
  <c r="AD471" i="10"/>
  <c r="Y471" i="10"/>
  <c r="U471" i="10"/>
  <c r="S471" i="10"/>
  <c r="X471" i="10"/>
  <c r="O471" i="10"/>
  <c r="N466" i="10"/>
  <c r="V466" i="10"/>
  <c r="AD466" i="10"/>
  <c r="S466" i="10"/>
  <c r="Z466" i="10"/>
  <c r="R466" i="10"/>
  <c r="O466" i="10"/>
  <c r="Y466" i="10"/>
  <c r="W466" i="10"/>
  <c r="X466" i="10"/>
  <c r="T466" i="10"/>
  <c r="Q466" i="10"/>
  <c r="U466" i="10"/>
  <c r="N450" i="10"/>
  <c r="AD450" i="10"/>
  <c r="S450" i="10"/>
  <c r="Z450" i="10"/>
  <c r="R450" i="10"/>
  <c r="T450" i="10"/>
  <c r="O450" i="10"/>
  <c r="X450" i="10"/>
  <c r="Q450" i="10"/>
  <c r="Y450" i="10"/>
  <c r="V450" i="10"/>
  <c r="U450" i="10"/>
  <c r="W450" i="10"/>
  <c r="N420" i="10"/>
  <c r="X420" i="10"/>
  <c r="O420" i="10"/>
  <c r="V420" i="10"/>
  <c r="T420" i="10"/>
  <c r="S420" i="10"/>
  <c r="AD420" i="10"/>
  <c r="Q420" i="10"/>
  <c r="Z420" i="10"/>
  <c r="W420" i="10"/>
  <c r="U420" i="10"/>
  <c r="R420" i="10"/>
  <c r="Y420" i="10"/>
  <c r="N389" i="10"/>
  <c r="Z389" i="10"/>
  <c r="R389" i="10"/>
  <c r="W389" i="10"/>
  <c r="V389" i="10"/>
  <c r="U389" i="10"/>
  <c r="T389" i="10"/>
  <c r="O389" i="10"/>
  <c r="AD389" i="10"/>
  <c r="Y389" i="10"/>
  <c r="S389" i="10"/>
  <c r="Q389" i="10"/>
  <c r="N377" i="10"/>
  <c r="Z377" i="10"/>
  <c r="R377" i="10"/>
  <c r="W377" i="10"/>
  <c r="V377" i="10"/>
  <c r="Y377" i="10"/>
  <c r="X377" i="10"/>
  <c r="S377" i="10"/>
  <c r="O377" i="10"/>
  <c r="AD377" i="10"/>
  <c r="U377" i="10"/>
  <c r="Q377" i="10"/>
  <c r="T377" i="10"/>
  <c r="N360" i="10"/>
  <c r="AD360" i="10"/>
  <c r="S360" i="10"/>
  <c r="Z360" i="10"/>
  <c r="R360" i="10"/>
  <c r="Q360" i="10"/>
  <c r="O360" i="10"/>
  <c r="W360" i="10"/>
  <c r="X360" i="10"/>
  <c r="V360" i="10"/>
  <c r="T360" i="10"/>
  <c r="Y360" i="10"/>
  <c r="U360" i="10"/>
  <c r="N334" i="10"/>
  <c r="Y334" i="10"/>
  <c r="Q334" i="10"/>
  <c r="U334" i="10"/>
  <c r="Z334" i="10"/>
  <c r="X334" i="10"/>
  <c r="V334" i="10"/>
  <c r="T334" i="10"/>
  <c r="AD334" i="10"/>
  <c r="S334" i="10"/>
  <c r="O334" i="10"/>
  <c r="R334" i="10"/>
  <c r="W334" i="10"/>
  <c r="N279" i="10"/>
  <c r="Y279" i="10"/>
  <c r="Q279" i="10"/>
  <c r="U279" i="10"/>
  <c r="AD279" i="10"/>
  <c r="R279" i="10"/>
  <c r="Z279" i="10"/>
  <c r="O279" i="10"/>
  <c r="X279" i="10"/>
  <c r="W279" i="10"/>
  <c r="T279" i="10"/>
  <c r="V279" i="10"/>
  <c r="S279" i="10"/>
  <c r="N269" i="10"/>
  <c r="Y269" i="10"/>
  <c r="Q269" i="10"/>
  <c r="S269" i="10"/>
  <c r="AD269" i="10"/>
  <c r="R269" i="10"/>
  <c r="Z269" i="10"/>
  <c r="W269" i="10"/>
  <c r="U269" i="10"/>
  <c r="T269" i="10"/>
  <c r="O269" i="10"/>
  <c r="X269" i="10"/>
  <c r="V269" i="10"/>
  <c r="N259" i="10"/>
  <c r="Y259" i="10"/>
  <c r="Q259" i="10"/>
  <c r="S259" i="10"/>
  <c r="T259" i="10"/>
  <c r="R259" i="10"/>
  <c r="Z259" i="10"/>
  <c r="W259" i="10"/>
  <c r="V259" i="10"/>
  <c r="U259" i="10"/>
  <c r="AD259" i="10"/>
  <c r="X259" i="10"/>
  <c r="N168" i="10"/>
  <c r="W168" i="10"/>
  <c r="U168" i="10"/>
  <c r="Z168" i="10"/>
  <c r="O168" i="10"/>
  <c r="Y168" i="10"/>
  <c r="V168" i="10"/>
  <c r="T168" i="10"/>
  <c r="X168" i="10"/>
  <c r="AD168" i="10"/>
  <c r="S168" i="10"/>
  <c r="R168" i="10"/>
  <c r="Q168" i="10"/>
  <c r="N111" i="10"/>
  <c r="Y111" i="10"/>
  <c r="Q111" i="10"/>
  <c r="T111" i="10"/>
  <c r="S111" i="10"/>
  <c r="Z111" i="10"/>
  <c r="O111" i="10"/>
  <c r="X111" i="10"/>
  <c r="AD111" i="10"/>
  <c r="W111" i="10"/>
  <c r="V111" i="10"/>
  <c r="U111" i="10"/>
  <c r="X558" i="10"/>
  <c r="O558" i="10"/>
  <c r="U558" i="10"/>
  <c r="R558" i="10"/>
  <c r="N558" i="10"/>
  <c r="W558" i="10"/>
  <c r="T558" i="10"/>
  <c r="Q558" i="10"/>
  <c r="AD558" i="10"/>
  <c r="Z558" i="10"/>
  <c r="V558" i="10"/>
  <c r="S558" i="10"/>
  <c r="Y558" i="10"/>
  <c r="U550" i="10"/>
  <c r="S550" i="10"/>
  <c r="X550" i="10"/>
  <c r="R550" i="10"/>
  <c r="N550" i="10"/>
  <c r="AD550" i="10"/>
  <c r="O550" i="10"/>
  <c r="Y550" i="10"/>
  <c r="Z550" i="10"/>
  <c r="W550" i="10"/>
  <c r="T550" i="10"/>
  <c r="Q550" i="10"/>
  <c r="V550" i="10"/>
  <c r="Y535" i="10"/>
  <c r="Q535" i="10"/>
  <c r="U535" i="10"/>
  <c r="S535" i="10"/>
  <c r="AD535" i="10"/>
  <c r="O535" i="10"/>
  <c r="X535" i="10"/>
  <c r="V535" i="10"/>
  <c r="T535" i="10"/>
  <c r="N535" i="10"/>
  <c r="W535" i="10"/>
  <c r="R535" i="10"/>
  <c r="Z535" i="10"/>
  <c r="N520" i="10"/>
  <c r="U520" i="10"/>
  <c r="Y520" i="10"/>
  <c r="O520" i="10"/>
  <c r="W520" i="10"/>
  <c r="AD520" i="10"/>
  <c r="Z520" i="10"/>
  <c r="V520" i="10"/>
  <c r="T520" i="10"/>
  <c r="S520" i="10"/>
  <c r="Q520" i="10"/>
  <c r="R520" i="10"/>
  <c r="X520" i="10"/>
  <c r="Z497" i="10"/>
  <c r="R497" i="10"/>
  <c r="Y497" i="10"/>
  <c r="Q497" i="10"/>
  <c r="W497" i="10"/>
  <c r="N497" i="10"/>
  <c r="V497" i="10"/>
  <c r="T497" i="10"/>
  <c r="S497" i="10"/>
  <c r="AD497" i="10"/>
  <c r="X497" i="10"/>
  <c r="U497" i="10"/>
  <c r="O497" i="10"/>
  <c r="N480" i="10"/>
  <c r="V480" i="10"/>
  <c r="AD480" i="10"/>
  <c r="S480" i="10"/>
  <c r="Z480" i="10"/>
  <c r="R480" i="10"/>
  <c r="O480" i="10"/>
  <c r="X480" i="10"/>
  <c r="U480" i="10"/>
  <c r="W480" i="10"/>
  <c r="T480" i="10"/>
  <c r="Y480" i="10"/>
  <c r="Q480" i="10"/>
  <c r="N473" i="10"/>
  <c r="Z473" i="10"/>
  <c r="R473" i="10"/>
  <c r="W473" i="10"/>
  <c r="V473" i="10"/>
  <c r="U473" i="10"/>
  <c r="S473" i="10"/>
  <c r="O473" i="10"/>
  <c r="Y473" i="10"/>
  <c r="X473" i="10"/>
  <c r="Q473" i="10"/>
  <c r="AD473" i="10"/>
  <c r="T473" i="10"/>
  <c r="N459" i="10"/>
  <c r="Z459" i="10"/>
  <c r="R459" i="10"/>
  <c r="W459" i="10"/>
  <c r="V459" i="10"/>
  <c r="X459" i="10"/>
  <c r="T459" i="10"/>
  <c r="Q459" i="10"/>
  <c r="AD459" i="10"/>
  <c r="U459" i="10"/>
  <c r="S459" i="10"/>
  <c r="Y459" i="10"/>
  <c r="N454" i="10"/>
  <c r="V454" i="10"/>
  <c r="AD454" i="10"/>
  <c r="S454" i="10"/>
  <c r="Z454" i="10"/>
  <c r="R454" i="10"/>
  <c r="T454" i="10"/>
  <c r="O454" i="10"/>
  <c r="Y454" i="10"/>
  <c r="X454" i="10"/>
  <c r="U454" i="10"/>
  <c r="Q454" i="10"/>
  <c r="W454" i="10"/>
  <c r="N430" i="10"/>
  <c r="X430" i="10"/>
  <c r="O430" i="10"/>
  <c r="V430" i="10"/>
  <c r="R430" i="10"/>
  <c r="AD430" i="10"/>
  <c r="Q430" i="10"/>
  <c r="Y430" i="10"/>
  <c r="W430" i="10"/>
  <c r="T430" i="10"/>
  <c r="U430" i="10"/>
  <c r="S430" i="10"/>
  <c r="Z401" i="10"/>
  <c r="R401" i="10"/>
  <c r="S401" i="10"/>
  <c r="N401" i="10"/>
  <c r="X401" i="10"/>
  <c r="W401" i="10"/>
  <c r="V401" i="10"/>
  <c r="U401" i="10"/>
  <c r="O401" i="10"/>
  <c r="Y401" i="10"/>
  <c r="T401" i="10"/>
  <c r="AD401" i="10"/>
  <c r="Q401" i="10"/>
  <c r="N396" i="10"/>
  <c r="V396" i="10"/>
  <c r="X396" i="10"/>
  <c r="T396" i="10"/>
  <c r="S396" i="10"/>
  <c r="Y396" i="10"/>
  <c r="W396" i="10"/>
  <c r="Q396" i="10"/>
  <c r="U396" i="10"/>
  <c r="R396" i="10"/>
  <c r="AD396" i="10"/>
  <c r="Z396" i="10"/>
  <c r="O396" i="10"/>
  <c r="N350" i="10"/>
  <c r="Y350" i="10"/>
  <c r="Q350" i="10"/>
  <c r="X350" i="10"/>
  <c r="O350" i="10"/>
  <c r="U350" i="10"/>
  <c r="AD350" i="10"/>
  <c r="W350" i="10"/>
  <c r="V350" i="10"/>
  <c r="S350" i="10"/>
  <c r="R350" i="10"/>
  <c r="Z350" i="10"/>
  <c r="T350" i="10"/>
  <c r="N348" i="10"/>
  <c r="Y348" i="10"/>
  <c r="Q348" i="10"/>
  <c r="X348" i="10"/>
  <c r="O348" i="10"/>
  <c r="U348" i="10"/>
  <c r="AD348" i="10"/>
  <c r="Z348" i="10"/>
  <c r="V348" i="10"/>
  <c r="T348" i="10"/>
  <c r="R348" i="10"/>
  <c r="W348" i="10"/>
  <c r="S348" i="10"/>
  <c r="N341" i="10"/>
  <c r="U341" i="10"/>
  <c r="Y341" i="10"/>
  <c r="Q341" i="10"/>
  <c r="AD341" i="10"/>
  <c r="O341" i="10"/>
  <c r="Z341" i="10"/>
  <c r="W341" i="10"/>
  <c r="V341" i="10"/>
  <c r="T341" i="10"/>
  <c r="R341" i="10"/>
  <c r="S341" i="10"/>
  <c r="X341" i="10"/>
  <c r="N331" i="10"/>
  <c r="U331" i="10"/>
  <c r="Y331" i="10"/>
  <c r="Q331" i="10"/>
  <c r="S331" i="10"/>
  <c r="R331" i="10"/>
  <c r="Z331" i="10"/>
  <c r="X331" i="10"/>
  <c r="V331" i="10"/>
  <c r="T331" i="10"/>
  <c r="AD331" i="10"/>
  <c r="W331" i="10"/>
  <c r="N322" i="10"/>
  <c r="Y322" i="10"/>
  <c r="Q322" i="10"/>
  <c r="U322" i="10"/>
  <c r="T322" i="10"/>
  <c r="S322" i="10"/>
  <c r="AD322" i="10"/>
  <c r="O322" i="10"/>
  <c r="Z322" i="10"/>
  <c r="W322" i="10"/>
  <c r="V322" i="10"/>
  <c r="R322" i="10"/>
  <c r="N317" i="10"/>
  <c r="U317" i="10"/>
  <c r="Y317" i="10"/>
  <c r="Q317" i="10"/>
  <c r="AD317" i="10"/>
  <c r="O317" i="10"/>
  <c r="Z317" i="10"/>
  <c r="W317" i="10"/>
  <c r="V317" i="10"/>
  <c r="S317" i="10"/>
  <c r="R317" i="10"/>
  <c r="X317" i="10"/>
  <c r="T317" i="10"/>
  <c r="N290" i="10"/>
  <c r="U290" i="10"/>
  <c r="Z290" i="10"/>
  <c r="Q290" i="10"/>
  <c r="W290" i="10"/>
  <c r="V290" i="10"/>
  <c r="Y290" i="10"/>
  <c r="X290" i="10"/>
  <c r="S290" i="10"/>
  <c r="O290" i="10"/>
  <c r="AD290" i="10"/>
  <c r="R290" i="10"/>
  <c r="N200" i="10"/>
  <c r="Z200" i="10"/>
  <c r="R200" i="10"/>
  <c r="W200" i="10"/>
  <c r="U200" i="10"/>
  <c r="S200" i="10"/>
  <c r="Q200" i="10"/>
  <c r="AD200" i="10"/>
  <c r="Y200" i="10"/>
  <c r="V200" i="10"/>
  <c r="O200" i="10"/>
  <c r="T200" i="10"/>
  <c r="N137" i="10"/>
  <c r="AD137" i="10"/>
  <c r="S137" i="10"/>
  <c r="Y137" i="10"/>
  <c r="Q137" i="10"/>
  <c r="X137" i="10"/>
  <c r="W137" i="10"/>
  <c r="U137" i="10"/>
  <c r="T137" i="10"/>
  <c r="O137" i="10"/>
  <c r="Z137" i="10"/>
  <c r="N118" i="10"/>
  <c r="U118" i="10"/>
  <c r="AD118" i="10"/>
  <c r="R118" i="10"/>
  <c r="Z118" i="10"/>
  <c r="Q118" i="10"/>
  <c r="X118" i="10"/>
  <c r="W118" i="10"/>
  <c r="T118" i="10"/>
  <c r="O118" i="10"/>
  <c r="S118" i="10"/>
  <c r="N108" i="10"/>
  <c r="U108" i="10"/>
  <c r="S108" i="10"/>
  <c r="AD108" i="10"/>
  <c r="R108" i="10"/>
  <c r="Y108" i="10"/>
  <c r="O108" i="10"/>
  <c r="X108" i="10"/>
  <c r="Z108" i="10"/>
  <c r="W108" i="10"/>
  <c r="V108" i="10"/>
  <c r="T108" i="10"/>
  <c r="N87" i="10"/>
  <c r="V87" i="10"/>
  <c r="AD87" i="10"/>
  <c r="S87" i="10"/>
  <c r="Z87" i="10"/>
  <c r="R87" i="10"/>
  <c r="O87" i="10"/>
  <c r="Y87" i="10"/>
  <c r="X87" i="10"/>
  <c r="W87" i="10"/>
  <c r="U87" i="10"/>
  <c r="N82" i="10"/>
  <c r="Z82" i="10"/>
  <c r="R82" i="10"/>
  <c r="W82" i="10"/>
  <c r="V82" i="10"/>
  <c r="Y82" i="10"/>
  <c r="U82" i="10"/>
  <c r="X82" i="10"/>
  <c r="T82" i="10"/>
  <c r="S82" i="10"/>
  <c r="Q82" i="10"/>
  <c r="N72" i="10"/>
  <c r="Z72" i="10"/>
  <c r="R72" i="10"/>
  <c r="W72" i="10"/>
  <c r="V72" i="10"/>
  <c r="Q72" i="10"/>
  <c r="AD72" i="10"/>
  <c r="O72" i="10"/>
  <c r="Y72" i="10"/>
  <c r="X72" i="10"/>
  <c r="U72" i="10"/>
  <c r="N67" i="10"/>
  <c r="V67" i="10"/>
  <c r="AD67" i="10"/>
  <c r="S67" i="10"/>
  <c r="Z67" i="10"/>
  <c r="R67" i="10"/>
  <c r="Y67" i="10"/>
  <c r="W67" i="10"/>
  <c r="X67" i="10"/>
  <c r="U67" i="10"/>
  <c r="T67" i="10"/>
  <c r="Q67" i="10"/>
  <c r="N44" i="10"/>
  <c r="Z44" i="10"/>
  <c r="R44" i="10"/>
  <c r="W44" i="10"/>
  <c r="V44" i="10"/>
  <c r="T44" i="10"/>
  <c r="Q44" i="10"/>
  <c r="S44" i="10"/>
  <c r="O44" i="10"/>
  <c r="AD44" i="10"/>
  <c r="Y44" i="10"/>
  <c r="Y3" i="10"/>
  <c r="X44" i="10"/>
  <c r="Y81" i="10"/>
  <c r="N563" i="10"/>
  <c r="U563" i="10"/>
  <c r="T563" i="10"/>
  <c r="Z563" i="10"/>
  <c r="Q563" i="10"/>
  <c r="W563" i="10"/>
  <c r="O563" i="10"/>
  <c r="R563" i="10"/>
  <c r="Y563" i="10"/>
  <c r="AD563" i="10"/>
  <c r="X563" i="10"/>
  <c r="S563" i="10"/>
  <c r="V563" i="10"/>
  <c r="N555" i="10"/>
  <c r="T555" i="10"/>
  <c r="Y555" i="10"/>
  <c r="Q555" i="10"/>
  <c r="V555" i="10"/>
  <c r="AD555" i="10"/>
  <c r="O555" i="10"/>
  <c r="X555" i="10"/>
  <c r="U555" i="10"/>
  <c r="S555" i="10"/>
  <c r="R555" i="10"/>
  <c r="W555" i="10"/>
  <c r="Z555" i="10"/>
  <c r="N504" i="10"/>
  <c r="V504" i="10"/>
  <c r="U504" i="10"/>
  <c r="AD504" i="10"/>
  <c r="S504" i="10"/>
  <c r="Z504" i="10"/>
  <c r="R504" i="10"/>
  <c r="O504" i="10"/>
  <c r="Y504" i="10"/>
  <c r="W504" i="10"/>
  <c r="X504" i="10"/>
  <c r="T504" i="10"/>
  <c r="Q504" i="10"/>
  <c r="V482" i="10"/>
  <c r="AD482" i="10"/>
  <c r="S482" i="10"/>
  <c r="Z482" i="10"/>
  <c r="R482" i="10"/>
  <c r="Q482" i="10"/>
  <c r="O482" i="10"/>
  <c r="Y482" i="10"/>
  <c r="W482" i="10"/>
  <c r="X482" i="10"/>
  <c r="N482" i="10"/>
  <c r="U482" i="10"/>
  <c r="T482" i="10"/>
  <c r="V468" i="10"/>
  <c r="AD468" i="10"/>
  <c r="S468" i="10"/>
  <c r="Z468" i="10"/>
  <c r="R468" i="10"/>
  <c r="Q468" i="10"/>
  <c r="N468" i="10"/>
  <c r="X468" i="10"/>
  <c r="W468" i="10"/>
  <c r="U468" i="10"/>
  <c r="O468" i="10"/>
  <c r="Y468" i="10"/>
  <c r="T468" i="10"/>
  <c r="N461" i="10"/>
  <c r="Z461" i="10"/>
  <c r="R461" i="10"/>
  <c r="W461" i="10"/>
  <c r="V461" i="10"/>
  <c r="Y461" i="10"/>
  <c r="U461" i="10"/>
  <c r="S461" i="10"/>
  <c r="AD461" i="10"/>
  <c r="X461" i="10"/>
  <c r="Q461" i="10"/>
  <c r="O461" i="10"/>
  <c r="T461" i="10"/>
  <c r="N445" i="10"/>
  <c r="T445" i="10"/>
  <c r="Z445" i="10"/>
  <c r="R445" i="10"/>
  <c r="S445" i="10"/>
  <c r="Q445" i="10"/>
  <c r="Y445" i="10"/>
  <c r="X445" i="10"/>
  <c r="V445" i="10"/>
  <c r="U445" i="10"/>
  <c r="AD445" i="10"/>
  <c r="W445" i="10"/>
  <c r="O445" i="10"/>
  <c r="N422" i="10"/>
  <c r="X422" i="10"/>
  <c r="O422" i="10"/>
  <c r="V422" i="10"/>
  <c r="R422" i="10"/>
  <c r="AD422" i="10"/>
  <c r="Q422" i="10"/>
  <c r="Y422" i="10"/>
  <c r="W422" i="10"/>
  <c r="T422" i="10"/>
  <c r="S422" i="10"/>
  <c r="Z422" i="10"/>
  <c r="U422" i="10"/>
  <c r="N403" i="10"/>
  <c r="Z403" i="10"/>
  <c r="R403" i="10"/>
  <c r="V403" i="10"/>
  <c r="S403" i="10"/>
  <c r="AD403" i="10"/>
  <c r="Q403" i="10"/>
  <c r="Y403" i="10"/>
  <c r="U403" i="10"/>
  <c r="W403" i="10"/>
  <c r="T403" i="10"/>
  <c r="O403" i="10"/>
  <c r="X403" i="10"/>
  <c r="N398" i="10"/>
  <c r="V398" i="10"/>
  <c r="AD398" i="10"/>
  <c r="R398" i="10"/>
  <c r="X398" i="10"/>
  <c r="W398" i="10"/>
  <c r="O398" i="10"/>
  <c r="U398" i="10"/>
  <c r="T398" i="10"/>
  <c r="S398" i="10"/>
  <c r="Y398" i="10"/>
  <c r="Z398" i="10"/>
  <c r="Q398" i="10"/>
  <c r="N391" i="10"/>
  <c r="Z391" i="10"/>
  <c r="R391" i="10"/>
  <c r="T391" i="10"/>
  <c r="Y391" i="10"/>
  <c r="O391" i="10"/>
  <c r="X391" i="10"/>
  <c r="AD391" i="10"/>
  <c r="W391" i="10"/>
  <c r="S391" i="10"/>
  <c r="V391" i="10"/>
  <c r="U391" i="10"/>
  <c r="Q391" i="10"/>
  <c r="N357" i="10"/>
  <c r="W357" i="10"/>
  <c r="V357" i="10"/>
  <c r="U357" i="10"/>
  <c r="T357" i="10"/>
  <c r="AD357" i="10"/>
  <c r="Q357" i="10"/>
  <c r="O357" i="10"/>
  <c r="Z357" i="10"/>
  <c r="Y357" i="10"/>
  <c r="S357" i="10"/>
  <c r="R357" i="10"/>
  <c r="X357" i="10"/>
  <c r="N319" i="10"/>
  <c r="U319" i="10"/>
  <c r="Y319" i="10"/>
  <c r="Q319" i="10"/>
  <c r="X319" i="10"/>
  <c r="W319" i="10"/>
  <c r="T319" i="10"/>
  <c r="S319" i="10"/>
  <c r="O319" i="10"/>
  <c r="Z319" i="10"/>
  <c r="AD319" i="10"/>
  <c r="V319" i="10"/>
  <c r="R319" i="10"/>
  <c r="N292" i="10"/>
  <c r="U292" i="10"/>
  <c r="T292" i="10"/>
  <c r="Z292" i="10"/>
  <c r="Q292" i="10"/>
  <c r="Y292" i="10"/>
  <c r="O292" i="10"/>
  <c r="X292" i="10"/>
  <c r="V292" i="10"/>
  <c r="W292" i="10"/>
  <c r="S292" i="10"/>
  <c r="AD292" i="10"/>
  <c r="R292" i="10"/>
  <c r="N281" i="10"/>
  <c r="Y281" i="10"/>
  <c r="Q281" i="10"/>
  <c r="X281" i="10"/>
  <c r="U281" i="10"/>
  <c r="T281" i="10"/>
  <c r="O281" i="10"/>
  <c r="Z281" i="10"/>
  <c r="V281" i="10"/>
  <c r="S281" i="10"/>
  <c r="R281" i="10"/>
  <c r="AD281" i="10"/>
  <c r="W281" i="10"/>
  <c r="N271" i="10"/>
  <c r="Y271" i="10"/>
  <c r="Q271" i="10"/>
  <c r="Z271" i="10"/>
  <c r="O271" i="10"/>
  <c r="V271" i="10"/>
  <c r="U271" i="10"/>
  <c r="S271" i="10"/>
  <c r="R271" i="10"/>
  <c r="X271" i="10"/>
  <c r="W271" i="10"/>
  <c r="T271" i="10"/>
  <c r="AD271" i="10"/>
  <c r="N246" i="10"/>
  <c r="U246" i="10"/>
  <c r="S246" i="10"/>
  <c r="R246" i="10"/>
  <c r="AD246" i="10"/>
  <c r="Q246" i="10"/>
  <c r="Y246" i="10"/>
  <c r="W246" i="10"/>
  <c r="X246" i="10"/>
  <c r="V246" i="10"/>
  <c r="Z246" i="10"/>
  <c r="T246" i="10"/>
  <c r="O246" i="10"/>
  <c r="N239" i="10"/>
  <c r="Y239" i="10"/>
  <c r="Q239" i="10"/>
  <c r="U239" i="10"/>
  <c r="S239" i="10"/>
  <c r="R239" i="10"/>
  <c r="Z239" i="10"/>
  <c r="W239" i="10"/>
  <c r="X239" i="10"/>
  <c r="V239" i="10"/>
  <c r="AD239" i="10"/>
  <c r="T239" i="10"/>
  <c r="O239" i="10"/>
  <c r="N224" i="10"/>
  <c r="Z224" i="10"/>
  <c r="R224" i="10"/>
  <c r="Y224" i="10"/>
  <c r="Q224" i="10"/>
  <c r="W224" i="10"/>
  <c r="U224" i="10"/>
  <c r="T224" i="10"/>
  <c r="S224" i="10"/>
  <c r="AD224" i="10"/>
  <c r="X224" i="10"/>
  <c r="V224" i="10"/>
  <c r="N207" i="10"/>
  <c r="V207" i="10"/>
  <c r="U207" i="10"/>
  <c r="AD207" i="10"/>
  <c r="S207" i="10"/>
  <c r="Y207" i="10"/>
  <c r="Q207" i="10"/>
  <c r="O207" i="10"/>
  <c r="Z207" i="10"/>
  <c r="X207" i="10"/>
  <c r="T207" i="10"/>
  <c r="R207" i="10"/>
  <c r="N182" i="10"/>
  <c r="W182" i="10"/>
  <c r="U182" i="10"/>
  <c r="R182" i="10"/>
  <c r="AD182" i="10"/>
  <c r="Q182" i="10"/>
  <c r="Y182" i="10"/>
  <c r="X182" i="10"/>
  <c r="Z182" i="10"/>
  <c r="V182" i="10"/>
  <c r="T182" i="10"/>
  <c r="S182" i="10"/>
  <c r="N142" i="10"/>
  <c r="W142" i="10"/>
  <c r="U142" i="10"/>
  <c r="R142" i="10"/>
  <c r="AD142" i="10"/>
  <c r="Q142" i="10"/>
  <c r="Y142" i="10"/>
  <c r="X142" i="10"/>
  <c r="T142" i="10"/>
  <c r="O142" i="10"/>
  <c r="S142" i="10"/>
  <c r="N127" i="10"/>
  <c r="AD127" i="10"/>
  <c r="S127" i="10"/>
  <c r="Y127" i="10"/>
  <c r="Q127" i="10"/>
  <c r="O127" i="10"/>
  <c r="Z127" i="10"/>
  <c r="W127" i="10"/>
  <c r="V127" i="10"/>
  <c r="X127" i="10"/>
  <c r="U127" i="10"/>
  <c r="T127" i="10"/>
  <c r="R127" i="10"/>
  <c r="N125" i="10"/>
  <c r="AD125" i="10"/>
  <c r="S125" i="10"/>
  <c r="Y125" i="10"/>
  <c r="Q125" i="10"/>
  <c r="T125" i="10"/>
  <c r="R125" i="10"/>
  <c r="Z125" i="10"/>
  <c r="X125" i="10"/>
  <c r="W125" i="10"/>
  <c r="V125" i="10"/>
  <c r="U125" i="10"/>
  <c r="N91" i="10"/>
  <c r="V91" i="10"/>
  <c r="AD91" i="10"/>
  <c r="S91" i="10"/>
  <c r="Z91" i="10"/>
  <c r="R91" i="10"/>
  <c r="T91" i="10"/>
  <c r="O91" i="10"/>
  <c r="Q91" i="10"/>
  <c r="Y91" i="10"/>
  <c r="X91" i="10"/>
  <c r="N64" i="10"/>
  <c r="Z64" i="10"/>
  <c r="R64" i="10"/>
  <c r="W64" i="10"/>
  <c r="V64" i="10"/>
  <c r="X64" i="10"/>
  <c r="T64" i="10"/>
  <c r="U64" i="10"/>
  <c r="S64" i="10"/>
  <c r="Q64" i="10"/>
  <c r="O64" i="10"/>
  <c r="N54" i="10"/>
  <c r="Z54" i="10"/>
  <c r="R54" i="10"/>
  <c r="W54" i="10"/>
  <c r="V54" i="10"/>
  <c r="O54" i="10"/>
  <c r="Y54" i="10"/>
  <c r="AD54" i="10"/>
  <c r="X54" i="10"/>
  <c r="U54" i="10"/>
  <c r="T54" i="10"/>
  <c r="N10" i="10"/>
  <c r="W10" i="10"/>
  <c r="U10" i="10"/>
  <c r="T10" i="10"/>
  <c r="AD10" i="10"/>
  <c r="R10" i="10"/>
  <c r="Z10" i="10"/>
  <c r="Q10" i="10"/>
  <c r="Y10" i="10"/>
  <c r="O10" i="10"/>
  <c r="Z3" i="10"/>
  <c r="Z8" i="10"/>
  <c r="X10" i="10"/>
  <c r="Q20" i="10"/>
  <c r="U28" i="10"/>
  <c r="W45" i="10"/>
  <c r="Q53" i="10"/>
  <c r="Y62" i="10"/>
  <c r="O67" i="10"/>
  <c r="T73" i="10"/>
  <c r="O82" i="10"/>
  <c r="U91" i="10"/>
  <c r="R111" i="10"/>
  <c r="R148" i="10"/>
  <c r="W207" i="10"/>
  <c r="N539" i="10"/>
  <c r="Y539" i="10"/>
  <c r="Q539" i="10"/>
  <c r="W539" i="10"/>
  <c r="S539" i="10"/>
  <c r="O539" i="10"/>
  <c r="Z539" i="10"/>
  <c r="V539" i="10"/>
  <c r="AD539" i="10"/>
  <c r="U539" i="10"/>
  <c r="T539" i="10"/>
  <c r="R539" i="10"/>
  <c r="X539" i="10"/>
  <c r="U534" i="10"/>
  <c r="N534" i="10"/>
  <c r="X534" i="10"/>
  <c r="T534" i="10"/>
  <c r="R534" i="10"/>
  <c r="Z534" i="10"/>
  <c r="O534" i="10"/>
  <c r="Q534" i="10"/>
  <c r="AD534" i="10"/>
  <c r="Y534" i="10"/>
  <c r="V534" i="10"/>
  <c r="S534" i="10"/>
  <c r="W534" i="10"/>
  <c r="N496" i="10"/>
  <c r="V496" i="10"/>
  <c r="U496" i="10"/>
  <c r="AD496" i="10"/>
  <c r="S496" i="10"/>
  <c r="Z496" i="10"/>
  <c r="R496" i="10"/>
  <c r="O496" i="10"/>
  <c r="Y496" i="10"/>
  <c r="W496" i="10"/>
  <c r="X496" i="10"/>
  <c r="T496" i="10"/>
  <c r="Q496" i="10"/>
  <c r="N412" i="10"/>
  <c r="X412" i="10"/>
  <c r="O412" i="10"/>
  <c r="V412" i="10"/>
  <c r="T412" i="10"/>
  <c r="S412" i="10"/>
  <c r="AD412" i="10"/>
  <c r="Q412" i="10"/>
  <c r="Z412" i="10"/>
  <c r="W412" i="10"/>
  <c r="Y412" i="10"/>
  <c r="R412" i="10"/>
  <c r="U412" i="10"/>
  <c r="N405" i="10"/>
  <c r="Z405" i="10"/>
  <c r="R405" i="10"/>
  <c r="Y405" i="10"/>
  <c r="O405" i="10"/>
  <c r="X405" i="10"/>
  <c r="V405" i="10"/>
  <c r="U405" i="10"/>
  <c r="S405" i="10"/>
  <c r="Q405" i="10"/>
  <c r="W405" i="10"/>
  <c r="T405" i="10"/>
  <c r="AD405" i="10"/>
  <c r="N388" i="10"/>
  <c r="V388" i="10"/>
  <c r="AD388" i="10"/>
  <c r="S388" i="10"/>
  <c r="Z388" i="10"/>
  <c r="R388" i="10"/>
  <c r="U388" i="10"/>
  <c r="T388" i="10"/>
  <c r="Y388" i="10"/>
  <c r="X388" i="10"/>
  <c r="Q388" i="10"/>
  <c r="O388" i="10"/>
  <c r="W388" i="10"/>
  <c r="N340" i="10"/>
  <c r="Y340" i="10"/>
  <c r="Q340" i="10"/>
  <c r="U340" i="10"/>
  <c r="R340" i="10"/>
  <c r="AD340" i="10"/>
  <c r="O340" i="10"/>
  <c r="X340" i="10"/>
  <c r="W340" i="10"/>
  <c r="T340" i="10"/>
  <c r="S340" i="10"/>
  <c r="Z340" i="10"/>
  <c r="V340" i="10"/>
  <c r="N248" i="10"/>
  <c r="U248" i="10"/>
  <c r="W248" i="10"/>
  <c r="Z248" i="10"/>
  <c r="O248" i="10"/>
  <c r="Y248" i="10"/>
  <c r="V248" i="10"/>
  <c r="S248" i="10"/>
  <c r="AD248" i="10"/>
  <c r="T248" i="10"/>
  <c r="R248" i="10"/>
  <c r="N221" i="10"/>
  <c r="V221" i="10"/>
  <c r="U221" i="10"/>
  <c r="AD221" i="10"/>
  <c r="S221" i="10"/>
  <c r="Y221" i="10"/>
  <c r="Q221" i="10"/>
  <c r="X221" i="10"/>
  <c r="W221" i="10"/>
  <c r="R221" i="10"/>
  <c r="O221" i="10"/>
  <c r="Z221" i="10"/>
  <c r="N214" i="10"/>
  <c r="Z214" i="10"/>
  <c r="R214" i="10"/>
  <c r="Y214" i="10"/>
  <c r="Q214" i="10"/>
  <c r="W214" i="10"/>
  <c r="U214" i="10"/>
  <c r="AD214" i="10"/>
  <c r="V214" i="10"/>
  <c r="T214" i="10"/>
  <c r="X214" i="10"/>
  <c r="S214" i="10"/>
  <c r="O214" i="10"/>
  <c r="N149" i="10"/>
  <c r="AD149" i="10"/>
  <c r="S149" i="10"/>
  <c r="Y149" i="10"/>
  <c r="Q149" i="10"/>
  <c r="T149" i="10"/>
  <c r="R149" i="10"/>
  <c r="Z149" i="10"/>
  <c r="X149" i="10"/>
  <c r="V149" i="10"/>
  <c r="O149" i="10"/>
  <c r="U149" i="10"/>
  <c r="N71" i="10"/>
  <c r="V71" i="10"/>
  <c r="AD71" i="10"/>
  <c r="S71" i="10"/>
  <c r="Z71" i="10"/>
  <c r="R71" i="10"/>
  <c r="O71" i="10"/>
  <c r="Y71" i="10"/>
  <c r="X71" i="10"/>
  <c r="W71" i="10"/>
  <c r="U71" i="10"/>
  <c r="N66" i="10"/>
  <c r="Z66" i="10"/>
  <c r="R66" i="10"/>
  <c r="W66" i="10"/>
  <c r="V66" i="10"/>
  <c r="Y66" i="10"/>
  <c r="U66" i="10"/>
  <c r="X66" i="10"/>
  <c r="T66" i="10"/>
  <c r="S66" i="10"/>
  <c r="Q66" i="10"/>
  <c r="X554" i="10"/>
  <c r="O554" i="10"/>
  <c r="U554" i="10"/>
  <c r="W554" i="10"/>
  <c r="R554" i="10"/>
  <c r="Z554" i="10"/>
  <c r="V554" i="10"/>
  <c r="S554" i="10"/>
  <c r="Y554" i="10"/>
  <c r="T554" i="10"/>
  <c r="N554" i="10"/>
  <c r="AD554" i="10"/>
  <c r="Q554" i="10"/>
  <c r="N501" i="10"/>
  <c r="Z501" i="10"/>
  <c r="R501" i="10"/>
  <c r="Y501" i="10"/>
  <c r="Q501" i="10"/>
  <c r="W501" i="10"/>
  <c r="V501" i="10"/>
  <c r="T501" i="10"/>
  <c r="S501" i="10"/>
  <c r="AD501" i="10"/>
  <c r="X501" i="10"/>
  <c r="O501" i="10"/>
  <c r="U501" i="10"/>
  <c r="N491" i="10"/>
  <c r="Z491" i="10"/>
  <c r="R491" i="10"/>
  <c r="Y491" i="10"/>
  <c r="Q491" i="10"/>
  <c r="W491" i="10"/>
  <c r="V491" i="10"/>
  <c r="AD491" i="10"/>
  <c r="U491" i="10"/>
  <c r="S491" i="10"/>
  <c r="T491" i="10"/>
  <c r="O491" i="10"/>
  <c r="X491" i="10"/>
  <c r="N486" i="10"/>
  <c r="V486" i="10"/>
  <c r="AD486" i="10"/>
  <c r="S486" i="10"/>
  <c r="Z486" i="10"/>
  <c r="R486" i="10"/>
  <c r="U486" i="10"/>
  <c r="T486" i="10"/>
  <c r="O486" i="10"/>
  <c r="Y486" i="10"/>
  <c r="X486" i="10"/>
  <c r="Q486" i="10"/>
  <c r="W486" i="10"/>
  <c r="Z453" i="10"/>
  <c r="R453" i="10"/>
  <c r="W453" i="10"/>
  <c r="V453" i="10"/>
  <c r="S453" i="10"/>
  <c r="N453" i="10"/>
  <c r="O453" i="10"/>
  <c r="Y453" i="10"/>
  <c r="T453" i="10"/>
  <c r="Q453" i="10"/>
  <c r="X453" i="10"/>
  <c r="U453" i="10"/>
  <c r="AD453" i="10"/>
  <c r="N451" i="10"/>
  <c r="Z451" i="10"/>
  <c r="W451" i="10"/>
  <c r="V451" i="10"/>
  <c r="R451" i="10"/>
  <c r="AD451" i="10"/>
  <c r="O451" i="10"/>
  <c r="X451" i="10"/>
  <c r="U451" i="10"/>
  <c r="T451" i="10"/>
  <c r="Q451" i="10"/>
  <c r="S451" i="10"/>
  <c r="N429" i="10"/>
  <c r="T429" i="10"/>
  <c r="Z429" i="10"/>
  <c r="R429" i="10"/>
  <c r="S429" i="10"/>
  <c r="Q429" i="10"/>
  <c r="Y429" i="10"/>
  <c r="X429" i="10"/>
  <c r="V429" i="10"/>
  <c r="U429" i="10"/>
  <c r="AD429" i="10"/>
  <c r="O429" i="10"/>
  <c r="W429" i="10"/>
  <c r="N402" i="10"/>
  <c r="V402" i="10"/>
  <c r="Y402" i="10"/>
  <c r="O402" i="10"/>
  <c r="U402" i="10"/>
  <c r="T402" i="10"/>
  <c r="Z402" i="10"/>
  <c r="X402" i="10"/>
  <c r="R402" i="10"/>
  <c r="S402" i="10"/>
  <c r="Q402" i="10"/>
  <c r="W402" i="10"/>
  <c r="AD402" i="10"/>
  <c r="N395" i="10"/>
  <c r="Z395" i="10"/>
  <c r="R395" i="10"/>
  <c r="AD395" i="10"/>
  <c r="Q395" i="10"/>
  <c r="W395" i="10"/>
  <c r="V395" i="10"/>
  <c r="U395" i="10"/>
  <c r="T395" i="10"/>
  <c r="Y395" i="10"/>
  <c r="X395" i="10"/>
  <c r="S395" i="10"/>
  <c r="O395" i="10"/>
  <c r="N390" i="10"/>
  <c r="V390" i="10"/>
  <c r="W390" i="10"/>
  <c r="S390" i="10"/>
  <c r="AD390" i="10"/>
  <c r="R390" i="10"/>
  <c r="X390" i="10"/>
  <c r="U390" i="10"/>
  <c r="O390" i="10"/>
  <c r="Y390" i="10"/>
  <c r="T390" i="10"/>
  <c r="Z390" i="10"/>
  <c r="Q390" i="10"/>
  <c r="N373" i="10"/>
  <c r="Z373" i="10"/>
  <c r="R373" i="10"/>
  <c r="W373" i="10"/>
  <c r="V373" i="10"/>
  <c r="U373" i="10"/>
  <c r="T373" i="10"/>
  <c r="O373" i="10"/>
  <c r="X373" i="10"/>
  <c r="S373" i="10"/>
  <c r="Y373" i="10"/>
  <c r="Q373" i="10"/>
  <c r="AD373" i="10"/>
  <c r="N349" i="10"/>
  <c r="U349" i="10"/>
  <c r="T349" i="10"/>
  <c r="Y349" i="10"/>
  <c r="Q349" i="10"/>
  <c r="AD349" i="10"/>
  <c r="Z349" i="10"/>
  <c r="W349" i="10"/>
  <c r="V349" i="10"/>
  <c r="S349" i="10"/>
  <c r="O349" i="10"/>
  <c r="R349" i="10"/>
  <c r="X349" i="10"/>
  <c r="N347" i="10"/>
  <c r="U347" i="10"/>
  <c r="T347" i="10"/>
  <c r="Y347" i="10"/>
  <c r="Q347" i="10"/>
  <c r="Z347" i="10"/>
  <c r="X347" i="10"/>
  <c r="V347" i="10"/>
  <c r="S347" i="10"/>
  <c r="AD347" i="10"/>
  <c r="R347" i="10"/>
  <c r="W347" i="10"/>
  <c r="O347" i="10"/>
  <c r="N291" i="10"/>
  <c r="Y291" i="10"/>
  <c r="Q291" i="10"/>
  <c r="W291" i="10"/>
  <c r="T291" i="10"/>
  <c r="S291" i="10"/>
  <c r="AD291" i="10"/>
  <c r="Z291" i="10"/>
  <c r="V291" i="10"/>
  <c r="R291" i="10"/>
  <c r="O291" i="10"/>
  <c r="X291" i="10"/>
  <c r="U291" i="10"/>
  <c r="N186" i="10"/>
  <c r="W186" i="10"/>
  <c r="U186" i="10"/>
  <c r="X186" i="10"/>
  <c r="V186" i="10"/>
  <c r="S186" i="10"/>
  <c r="R186" i="10"/>
  <c r="Z186" i="10"/>
  <c r="T186" i="10"/>
  <c r="Y186" i="10"/>
  <c r="Q186" i="10"/>
  <c r="O186" i="10"/>
  <c r="N156" i="10"/>
  <c r="W156" i="10"/>
  <c r="U156" i="10"/>
  <c r="T156" i="10"/>
  <c r="S156" i="10"/>
  <c r="AD156" i="10"/>
  <c r="Q156" i="10"/>
  <c r="Z156" i="10"/>
  <c r="O156" i="10"/>
  <c r="X156" i="10"/>
  <c r="R156" i="10"/>
  <c r="V156" i="10"/>
  <c r="Y564" i="10"/>
  <c r="Q564" i="10"/>
  <c r="AD564" i="10"/>
  <c r="R564" i="10"/>
  <c r="W564" i="10"/>
  <c r="N564" i="10"/>
  <c r="V564" i="10"/>
  <c r="O564" i="10"/>
  <c r="U564" i="10"/>
  <c r="S564" i="10"/>
  <c r="Z564" i="10"/>
  <c r="T564" i="10"/>
  <c r="X564" i="10"/>
  <c r="T559" i="10"/>
  <c r="Y559" i="10"/>
  <c r="Q559" i="10"/>
  <c r="AD559" i="10"/>
  <c r="O559" i="10"/>
  <c r="V559" i="10"/>
  <c r="W559" i="10"/>
  <c r="S559" i="10"/>
  <c r="N559" i="10"/>
  <c r="R559" i="10"/>
  <c r="Z559" i="10"/>
  <c r="U559" i="10"/>
  <c r="X559" i="10"/>
  <c r="Y541" i="10"/>
  <c r="Q541" i="10"/>
  <c r="AD541" i="10"/>
  <c r="R541" i="10"/>
  <c r="N541" i="10"/>
  <c r="V541" i="10"/>
  <c r="O541" i="10"/>
  <c r="Z541" i="10"/>
  <c r="W541" i="10"/>
  <c r="X541" i="10"/>
  <c r="U541" i="10"/>
  <c r="S541" i="10"/>
  <c r="T541" i="10"/>
  <c r="N503" i="10"/>
  <c r="Z503" i="10"/>
  <c r="R503" i="10"/>
  <c r="Y503" i="10"/>
  <c r="Q503" i="10"/>
  <c r="W503" i="10"/>
  <c r="V503" i="10"/>
  <c r="AD503" i="10"/>
  <c r="U503" i="10"/>
  <c r="S503" i="10"/>
  <c r="O503" i="10"/>
  <c r="X503" i="10"/>
  <c r="T503" i="10"/>
  <c r="V498" i="10"/>
  <c r="U498" i="10"/>
  <c r="AD498" i="10"/>
  <c r="S498" i="10"/>
  <c r="Z498" i="10"/>
  <c r="R498" i="10"/>
  <c r="X498" i="10"/>
  <c r="W498" i="10"/>
  <c r="Q498" i="10"/>
  <c r="T498" i="10"/>
  <c r="N498" i="10"/>
  <c r="Y498" i="10"/>
  <c r="O498" i="10"/>
  <c r="N446" i="10"/>
  <c r="Z446" i="10"/>
  <c r="R446" i="10"/>
  <c r="S446" i="10"/>
  <c r="Y446" i="10"/>
  <c r="O446" i="10"/>
  <c r="W446" i="10"/>
  <c r="T446" i="10"/>
  <c r="Q446" i="10"/>
  <c r="AD446" i="10"/>
  <c r="V446" i="10"/>
  <c r="U446" i="10"/>
  <c r="X446" i="10"/>
  <c r="N414" i="10"/>
  <c r="X414" i="10"/>
  <c r="O414" i="10"/>
  <c r="V414" i="10"/>
  <c r="R414" i="10"/>
  <c r="AD414" i="10"/>
  <c r="Q414" i="10"/>
  <c r="Y414" i="10"/>
  <c r="W414" i="10"/>
  <c r="T414" i="10"/>
  <c r="U414" i="10"/>
  <c r="S414" i="10"/>
  <c r="Z414" i="10"/>
  <c r="N375" i="10"/>
  <c r="Z375" i="10"/>
  <c r="R375" i="10"/>
  <c r="W375" i="10"/>
  <c r="V375" i="10"/>
  <c r="X375" i="10"/>
  <c r="U375" i="10"/>
  <c r="Q375" i="10"/>
  <c r="S375" i="10"/>
  <c r="O375" i="10"/>
  <c r="Y375" i="10"/>
  <c r="T375" i="10"/>
  <c r="N356" i="10"/>
  <c r="AD356" i="10"/>
  <c r="Z356" i="10"/>
  <c r="R356" i="10"/>
  <c r="W356" i="10"/>
  <c r="V356" i="10"/>
  <c r="S356" i="10"/>
  <c r="Y356" i="10"/>
  <c r="U356" i="10"/>
  <c r="T356" i="10"/>
  <c r="Q356" i="10"/>
  <c r="X356" i="10"/>
  <c r="O356" i="10"/>
  <c r="N342" i="10"/>
  <c r="Y342" i="10"/>
  <c r="Q342" i="10"/>
  <c r="U342" i="10"/>
  <c r="Z342" i="10"/>
  <c r="X342" i="10"/>
  <c r="V342" i="10"/>
  <c r="T342" i="10"/>
  <c r="R342" i="10"/>
  <c r="O342" i="10"/>
  <c r="AD342" i="10"/>
  <c r="W342" i="10"/>
  <c r="S342" i="10"/>
  <c r="N332" i="10"/>
  <c r="Y332" i="10"/>
  <c r="Q332" i="10"/>
  <c r="U332" i="10"/>
  <c r="R332" i="10"/>
  <c r="AD332" i="10"/>
  <c r="O332" i="10"/>
  <c r="X332" i="10"/>
  <c r="W332" i="10"/>
  <c r="V332" i="10"/>
  <c r="S332" i="10"/>
  <c r="Z332" i="10"/>
  <c r="T332" i="10"/>
  <c r="N571" i="10"/>
  <c r="U571" i="10"/>
  <c r="Y571" i="10"/>
  <c r="O571" i="10"/>
  <c r="V571" i="10"/>
  <c r="X571" i="10"/>
  <c r="W571" i="10"/>
  <c r="R571" i="10"/>
  <c r="Z571" i="10"/>
  <c r="AD571" i="10"/>
  <c r="T571" i="10"/>
  <c r="Q571" i="10"/>
  <c r="S571" i="10"/>
  <c r="Y566" i="10"/>
  <c r="Q566" i="10"/>
  <c r="N566" i="10"/>
  <c r="U566" i="10"/>
  <c r="AD566" i="10"/>
  <c r="R566" i="10"/>
  <c r="W566" i="10"/>
  <c r="V566" i="10"/>
  <c r="O566" i="10"/>
  <c r="Z566" i="10"/>
  <c r="X566" i="10"/>
  <c r="T566" i="10"/>
  <c r="S566" i="10"/>
  <c r="Y543" i="10"/>
  <c r="Q543" i="10"/>
  <c r="U543" i="10"/>
  <c r="Z543" i="10"/>
  <c r="O543" i="10"/>
  <c r="R543" i="10"/>
  <c r="AD543" i="10"/>
  <c r="W543" i="10"/>
  <c r="T543" i="10"/>
  <c r="S543" i="10"/>
  <c r="X543" i="10"/>
  <c r="V543" i="10"/>
  <c r="N543" i="10"/>
  <c r="N538" i="10"/>
  <c r="U538" i="10"/>
  <c r="Z538" i="10"/>
  <c r="Q538" i="10"/>
  <c r="V538" i="10"/>
  <c r="O538" i="10"/>
  <c r="Y538" i="10"/>
  <c r="W538" i="10"/>
  <c r="T538" i="10"/>
  <c r="S538" i="10"/>
  <c r="X538" i="10"/>
  <c r="AD538" i="10"/>
  <c r="R538" i="10"/>
  <c r="N531" i="10"/>
  <c r="Y531" i="10"/>
  <c r="Q531" i="10"/>
  <c r="W531" i="10"/>
  <c r="Z531" i="10"/>
  <c r="V531" i="10"/>
  <c r="T531" i="10"/>
  <c r="S531" i="10"/>
  <c r="R531" i="10"/>
  <c r="X531" i="10"/>
  <c r="U531" i="10"/>
  <c r="O531" i="10"/>
  <c r="AD531" i="10"/>
  <c r="X518" i="10"/>
  <c r="O518" i="10"/>
  <c r="N518" i="10"/>
  <c r="V518" i="10"/>
  <c r="R518" i="10"/>
  <c r="AD518" i="10"/>
  <c r="Q518" i="10"/>
  <c r="Y518" i="10"/>
  <c r="W518" i="10"/>
  <c r="U518" i="10"/>
  <c r="S518" i="10"/>
  <c r="Z518" i="10"/>
  <c r="T518" i="10"/>
  <c r="N505" i="10"/>
  <c r="Z505" i="10"/>
  <c r="R505" i="10"/>
  <c r="Y505" i="10"/>
  <c r="Q505" i="10"/>
  <c r="W505" i="10"/>
  <c r="V505" i="10"/>
  <c r="T505" i="10"/>
  <c r="S505" i="10"/>
  <c r="AD505" i="10"/>
  <c r="X505" i="10"/>
  <c r="U505" i="10"/>
  <c r="O505" i="10"/>
  <c r="N438" i="10"/>
  <c r="X438" i="10"/>
  <c r="O438" i="10"/>
  <c r="V438" i="10"/>
  <c r="R438" i="10"/>
  <c r="AD438" i="10"/>
  <c r="Q438" i="10"/>
  <c r="Y438" i="10"/>
  <c r="W438" i="10"/>
  <c r="T438" i="10"/>
  <c r="S438" i="10"/>
  <c r="Z438" i="10"/>
  <c r="U438" i="10"/>
  <c r="N423" i="10"/>
  <c r="T423" i="10"/>
  <c r="Z423" i="10"/>
  <c r="R423" i="10"/>
  <c r="AD423" i="10"/>
  <c r="O423" i="10"/>
  <c r="Y423" i="10"/>
  <c r="W423" i="10"/>
  <c r="V423" i="10"/>
  <c r="S423" i="10"/>
  <c r="Q423" i="10"/>
  <c r="U423" i="10"/>
  <c r="X423" i="10"/>
  <c r="N411" i="10"/>
  <c r="T411" i="10"/>
  <c r="Z411" i="10"/>
  <c r="R411" i="10"/>
  <c r="V411" i="10"/>
  <c r="U411" i="10"/>
  <c r="Q411" i="10"/>
  <c r="AD411" i="10"/>
  <c r="O411" i="10"/>
  <c r="X411" i="10"/>
  <c r="W411" i="10"/>
  <c r="Y411" i="10"/>
  <c r="S411" i="10"/>
  <c r="N387" i="10"/>
  <c r="Z387" i="10"/>
  <c r="R387" i="10"/>
  <c r="W387" i="10"/>
  <c r="V387" i="10"/>
  <c r="T387" i="10"/>
  <c r="S387" i="10"/>
  <c r="AD387" i="10"/>
  <c r="Q387" i="10"/>
  <c r="O387" i="10"/>
  <c r="Y387" i="10"/>
  <c r="U387" i="10"/>
  <c r="X387" i="10"/>
  <c r="N380" i="10"/>
  <c r="V380" i="10"/>
  <c r="AD380" i="10"/>
  <c r="S380" i="10"/>
  <c r="Z380" i="10"/>
  <c r="R380" i="10"/>
  <c r="Y380" i="10"/>
  <c r="U380" i="10"/>
  <c r="T380" i="10"/>
  <c r="Q380" i="10"/>
  <c r="W380" i="10"/>
  <c r="O380" i="10"/>
  <c r="X380" i="10"/>
  <c r="N370" i="10"/>
  <c r="V370" i="10"/>
  <c r="AD370" i="10"/>
  <c r="S370" i="10"/>
  <c r="Z370" i="10"/>
  <c r="R370" i="10"/>
  <c r="T370" i="10"/>
  <c r="Q370" i="10"/>
  <c r="Y370" i="10"/>
  <c r="O370" i="10"/>
  <c r="X370" i="10"/>
  <c r="U370" i="10"/>
  <c r="W370" i="10"/>
  <c r="N339" i="10"/>
  <c r="U339" i="10"/>
  <c r="Y339" i="10"/>
  <c r="Q339" i="10"/>
  <c r="S339" i="10"/>
  <c r="R339" i="10"/>
  <c r="Z339" i="10"/>
  <c r="X339" i="10"/>
  <c r="W339" i="10"/>
  <c r="T339" i="10"/>
  <c r="O339" i="10"/>
  <c r="AD339" i="10"/>
  <c r="V339" i="10"/>
  <c r="N304" i="10"/>
  <c r="Y304" i="10"/>
  <c r="U304" i="10"/>
  <c r="W304" i="10"/>
  <c r="S304" i="10"/>
  <c r="R304" i="10"/>
  <c r="Q304" i="10"/>
  <c r="O304" i="10"/>
  <c r="AD304" i="10"/>
  <c r="X304" i="10"/>
  <c r="Z304" i="10"/>
  <c r="V304" i="10"/>
  <c r="N247" i="10"/>
  <c r="Y247" i="10"/>
  <c r="Q247" i="10"/>
  <c r="Z247" i="10"/>
  <c r="O247" i="10"/>
  <c r="R247" i="10"/>
  <c r="AD247" i="10"/>
  <c r="W247" i="10"/>
  <c r="U247" i="10"/>
  <c r="T247" i="10"/>
  <c r="S247" i="10"/>
  <c r="X247" i="10"/>
  <c r="V247" i="10"/>
  <c r="Y568" i="10"/>
  <c r="Q568" i="10"/>
  <c r="X568" i="10"/>
  <c r="U568" i="10"/>
  <c r="W568" i="10"/>
  <c r="V568" i="10"/>
  <c r="R568" i="10"/>
  <c r="AD568" i="10"/>
  <c r="T568" i="10"/>
  <c r="Z568" i="10"/>
  <c r="O568" i="10"/>
  <c r="N568" i="10"/>
  <c r="S568" i="10"/>
  <c r="T561" i="10"/>
  <c r="Y561" i="10"/>
  <c r="Q561" i="10"/>
  <c r="X561" i="10"/>
  <c r="S561" i="10"/>
  <c r="AD561" i="10"/>
  <c r="W561" i="10"/>
  <c r="U561" i="10"/>
  <c r="O561" i="10"/>
  <c r="N561" i="10"/>
  <c r="V561" i="10"/>
  <c r="R561" i="10"/>
  <c r="Z561" i="10"/>
  <c r="T553" i="10"/>
  <c r="Y553" i="10"/>
  <c r="Q553" i="10"/>
  <c r="X553" i="10"/>
  <c r="N553" i="10"/>
  <c r="S553" i="10"/>
  <c r="W553" i="10"/>
  <c r="U553" i="10"/>
  <c r="O553" i="10"/>
  <c r="V553" i="10"/>
  <c r="R553" i="10"/>
  <c r="AD553" i="10"/>
  <c r="Z553" i="10"/>
  <c r="Y545" i="10"/>
  <c r="Q545" i="10"/>
  <c r="X545" i="10"/>
  <c r="N545" i="10"/>
  <c r="T545" i="10"/>
  <c r="R545" i="10"/>
  <c r="AD545" i="10"/>
  <c r="W545" i="10"/>
  <c r="O545" i="10"/>
  <c r="Z545" i="10"/>
  <c r="V545" i="10"/>
  <c r="S545" i="10"/>
  <c r="U545" i="10"/>
  <c r="U528" i="10"/>
  <c r="N528" i="10"/>
  <c r="T528" i="10"/>
  <c r="AD528" i="10"/>
  <c r="R528" i="10"/>
  <c r="O528" i="10"/>
  <c r="Z528" i="10"/>
  <c r="X528" i="10"/>
  <c r="W528" i="10"/>
  <c r="V528" i="10"/>
  <c r="Q528" i="10"/>
  <c r="S528" i="10"/>
  <c r="Y528" i="10"/>
  <c r="N523" i="10"/>
  <c r="Y523" i="10"/>
  <c r="Q523" i="10"/>
  <c r="Z523" i="10"/>
  <c r="O523" i="10"/>
  <c r="W523" i="10"/>
  <c r="AD523" i="10"/>
  <c r="V523" i="10"/>
  <c r="U523" i="10"/>
  <c r="S523" i="10"/>
  <c r="R523" i="10"/>
  <c r="X523" i="10"/>
  <c r="T523" i="10"/>
  <c r="N515" i="10"/>
  <c r="T515" i="10"/>
  <c r="Z515" i="10"/>
  <c r="R515" i="10"/>
  <c r="V515" i="10"/>
  <c r="U515" i="10"/>
  <c r="Q515" i="10"/>
  <c r="AD515" i="10"/>
  <c r="O515" i="10"/>
  <c r="X515" i="10"/>
  <c r="W515" i="10"/>
  <c r="S515" i="10"/>
  <c r="Y515" i="10"/>
  <c r="N457" i="10"/>
  <c r="Z457" i="10"/>
  <c r="R457" i="10"/>
  <c r="W457" i="10"/>
  <c r="V457" i="10"/>
  <c r="U457" i="10"/>
  <c r="S457" i="10"/>
  <c r="O457" i="10"/>
  <c r="Y457" i="10"/>
  <c r="X457" i="10"/>
  <c r="Q457" i="10"/>
  <c r="AD457" i="10"/>
  <c r="T457" i="10"/>
  <c r="N448" i="10"/>
  <c r="AD448" i="10"/>
  <c r="Z448" i="10"/>
  <c r="R448" i="10"/>
  <c r="V448" i="10"/>
  <c r="T448" i="10"/>
  <c r="Q448" i="10"/>
  <c r="X448" i="10"/>
  <c r="W448" i="10"/>
  <c r="S448" i="10"/>
  <c r="O448" i="10"/>
  <c r="U448" i="10"/>
  <c r="Y448" i="10"/>
  <c r="N329" i="10"/>
  <c r="U329" i="10"/>
  <c r="Y329" i="10"/>
  <c r="Q329" i="10"/>
  <c r="V329" i="10"/>
  <c r="T329" i="10"/>
  <c r="R329" i="10"/>
  <c r="AD329" i="10"/>
  <c r="O329" i="10"/>
  <c r="X329" i="10"/>
  <c r="W329" i="10"/>
  <c r="S329" i="10"/>
  <c r="N327" i="10"/>
  <c r="U327" i="10"/>
  <c r="Y327" i="10"/>
  <c r="Q327" i="10"/>
  <c r="X327" i="10"/>
  <c r="W327" i="10"/>
  <c r="T327" i="10"/>
  <c r="S327" i="10"/>
  <c r="AD327" i="10"/>
  <c r="Z327" i="10"/>
  <c r="R327" i="10"/>
  <c r="O327" i="10"/>
  <c r="V327" i="10"/>
  <c r="N306" i="10"/>
  <c r="Y306" i="10"/>
  <c r="Q306" i="10"/>
  <c r="U306" i="10"/>
  <c r="T306" i="10"/>
  <c r="AD306" i="10"/>
  <c r="O306" i="10"/>
  <c r="Z306" i="10"/>
  <c r="X306" i="10"/>
  <c r="V306" i="10"/>
  <c r="R306" i="10"/>
  <c r="W306" i="10"/>
  <c r="S306" i="10"/>
  <c r="N264" i="10"/>
  <c r="U264" i="10"/>
  <c r="X264" i="10"/>
  <c r="W264" i="10"/>
  <c r="AD264" i="10"/>
  <c r="O264" i="10"/>
  <c r="Z264" i="10"/>
  <c r="V264" i="10"/>
  <c r="S264" i="10"/>
  <c r="T264" i="10"/>
  <c r="R264" i="10"/>
  <c r="Y264" i="10"/>
  <c r="Q264" i="10"/>
  <c r="N155" i="10"/>
  <c r="AD155" i="10"/>
  <c r="S155" i="10"/>
  <c r="Y155" i="10"/>
  <c r="Q155" i="10"/>
  <c r="V155" i="10"/>
  <c r="U155" i="10"/>
  <c r="R155" i="10"/>
  <c r="O155" i="10"/>
  <c r="Z155" i="10"/>
  <c r="X155" i="10"/>
  <c r="W155" i="10"/>
  <c r="N130" i="10"/>
  <c r="W130" i="10"/>
  <c r="U130" i="10"/>
  <c r="X130" i="10"/>
  <c r="V130" i="10"/>
  <c r="S130" i="10"/>
  <c r="R130" i="10"/>
  <c r="O130" i="10"/>
  <c r="AD130" i="10"/>
  <c r="Z130" i="10"/>
  <c r="Y130" i="10"/>
  <c r="N116" i="10"/>
  <c r="U116" i="10"/>
  <c r="X116" i="10"/>
  <c r="W116" i="10"/>
  <c r="T116" i="10"/>
  <c r="S116" i="10"/>
  <c r="Z116" i="10"/>
  <c r="V116" i="10"/>
  <c r="Y116" i="10"/>
  <c r="R116" i="10"/>
  <c r="Q116" i="10"/>
  <c r="O116" i="10"/>
  <c r="U540" i="10"/>
  <c r="N540" i="10"/>
  <c r="T540" i="10"/>
  <c r="Y540" i="10"/>
  <c r="O540" i="10"/>
  <c r="Q540" i="10"/>
  <c r="Z540" i="10"/>
  <c r="W540" i="10"/>
  <c r="R540" i="10"/>
  <c r="AD540" i="10"/>
  <c r="V540" i="10"/>
  <c r="S540" i="10"/>
  <c r="X540" i="10"/>
  <c r="N492" i="10"/>
  <c r="V492" i="10"/>
  <c r="U492" i="10"/>
  <c r="AD492" i="10"/>
  <c r="S492" i="10"/>
  <c r="Z492" i="10"/>
  <c r="R492" i="10"/>
  <c r="O492" i="10"/>
  <c r="Y492" i="10"/>
  <c r="W492" i="10"/>
  <c r="T492" i="10"/>
  <c r="Q492" i="10"/>
  <c r="X492" i="10"/>
  <c r="N487" i="10"/>
  <c r="Z487" i="10"/>
  <c r="R487" i="10"/>
  <c r="W487" i="10"/>
  <c r="V487" i="10"/>
  <c r="U487" i="10"/>
  <c r="T487" i="10"/>
  <c r="Q487" i="10"/>
  <c r="AD487" i="10"/>
  <c r="Y487" i="10"/>
  <c r="X487" i="10"/>
  <c r="O487" i="10"/>
  <c r="S487" i="10"/>
  <c r="V452" i="10"/>
  <c r="AD452" i="10"/>
  <c r="S452" i="10"/>
  <c r="N452" i="10"/>
  <c r="Z452" i="10"/>
  <c r="R452" i="10"/>
  <c r="Q452" i="10"/>
  <c r="X452" i="10"/>
  <c r="W452" i="10"/>
  <c r="U452" i="10"/>
  <c r="O452" i="10"/>
  <c r="Y452" i="10"/>
  <c r="T452" i="10"/>
  <c r="N425" i="10"/>
  <c r="T425" i="10"/>
  <c r="Z425" i="10"/>
  <c r="R425" i="10"/>
  <c r="X425" i="10"/>
  <c r="W425" i="10"/>
  <c r="U425" i="10"/>
  <c r="S425" i="10"/>
  <c r="AD425" i="10"/>
  <c r="Y425" i="10"/>
  <c r="O425" i="10"/>
  <c r="V425" i="10"/>
  <c r="Q425" i="10"/>
  <c r="N374" i="10"/>
  <c r="V374" i="10"/>
  <c r="AD374" i="10"/>
  <c r="S374" i="10"/>
  <c r="Z374" i="10"/>
  <c r="R374" i="10"/>
  <c r="W374" i="10"/>
  <c r="U374" i="10"/>
  <c r="O374" i="10"/>
  <c r="X374" i="10"/>
  <c r="T374" i="10"/>
  <c r="Q374" i="10"/>
  <c r="Y374" i="10"/>
  <c r="N367" i="10"/>
  <c r="W367" i="10"/>
  <c r="V367" i="10"/>
  <c r="S367" i="10"/>
  <c r="R367" i="10"/>
  <c r="Y367" i="10"/>
  <c r="O367" i="10"/>
  <c r="Z367" i="10"/>
  <c r="X367" i="10"/>
  <c r="U367" i="10"/>
  <c r="Q367" i="10"/>
  <c r="AD367" i="10"/>
  <c r="T367" i="10"/>
  <c r="N315" i="10"/>
  <c r="U315" i="10"/>
  <c r="Y315" i="10"/>
  <c r="Q315" i="10"/>
  <c r="S315" i="10"/>
  <c r="Z315" i="10"/>
  <c r="X315" i="10"/>
  <c r="V315" i="10"/>
  <c r="T315" i="10"/>
  <c r="O315" i="10"/>
  <c r="AD315" i="10"/>
  <c r="R315" i="10"/>
  <c r="N249" i="10"/>
  <c r="Y249" i="10"/>
  <c r="Q249" i="10"/>
  <c r="T249" i="10"/>
  <c r="X249" i="10"/>
  <c r="W249" i="10"/>
  <c r="U249" i="10"/>
  <c r="R249" i="10"/>
  <c r="O249" i="10"/>
  <c r="AD249" i="10"/>
  <c r="Z249" i="10"/>
  <c r="V249" i="10"/>
  <c r="S249" i="10"/>
  <c r="N215" i="10"/>
  <c r="V215" i="10"/>
  <c r="U215" i="10"/>
  <c r="AD215" i="10"/>
  <c r="S215" i="10"/>
  <c r="Y215" i="10"/>
  <c r="Q215" i="10"/>
  <c r="O215" i="10"/>
  <c r="Z215" i="10"/>
  <c r="X215" i="10"/>
  <c r="T215" i="10"/>
  <c r="R215" i="10"/>
  <c r="N205" i="10"/>
  <c r="V205" i="10"/>
  <c r="U205" i="10"/>
  <c r="AD205" i="10"/>
  <c r="S205" i="10"/>
  <c r="Y205" i="10"/>
  <c r="Q205" i="10"/>
  <c r="X205" i="10"/>
  <c r="W205" i="10"/>
  <c r="R205" i="10"/>
  <c r="O205" i="10"/>
  <c r="Z205" i="10"/>
  <c r="N195" i="10"/>
  <c r="V195" i="10"/>
  <c r="AD195" i="10"/>
  <c r="S195" i="10"/>
  <c r="Y195" i="10"/>
  <c r="Q195" i="10"/>
  <c r="Z195" i="10"/>
  <c r="W195" i="10"/>
  <c r="U195" i="10"/>
  <c r="X195" i="10"/>
  <c r="T195" i="10"/>
  <c r="R195" i="10"/>
  <c r="O195" i="10"/>
  <c r="N175" i="10"/>
  <c r="AD175" i="10"/>
  <c r="S175" i="10"/>
  <c r="Y175" i="10"/>
  <c r="Q175" i="10"/>
  <c r="O175" i="10"/>
  <c r="Z175" i="10"/>
  <c r="W175" i="10"/>
  <c r="V175" i="10"/>
  <c r="X175" i="10"/>
  <c r="U175" i="10"/>
  <c r="T175" i="10"/>
  <c r="R175" i="10"/>
  <c r="N160" i="10"/>
  <c r="W160" i="10"/>
  <c r="U160" i="10"/>
  <c r="Z160" i="10"/>
  <c r="O160" i="10"/>
  <c r="Y160" i="10"/>
  <c r="V160" i="10"/>
  <c r="T160" i="10"/>
  <c r="R160" i="10"/>
  <c r="Q160" i="10"/>
  <c r="AD160" i="10"/>
  <c r="N101" i="10"/>
  <c r="Y101" i="10"/>
  <c r="Q101" i="10"/>
  <c r="U101" i="10"/>
  <c r="T101" i="10"/>
  <c r="AD101" i="10"/>
  <c r="R101" i="10"/>
  <c r="Z101" i="10"/>
  <c r="O101" i="10"/>
  <c r="W101" i="10"/>
  <c r="S101" i="10"/>
  <c r="V101" i="10"/>
  <c r="N89" i="10"/>
  <c r="V89" i="10"/>
  <c r="AD89" i="10"/>
  <c r="S89" i="10"/>
  <c r="Z89" i="10"/>
  <c r="R89" i="10"/>
  <c r="Q89" i="10"/>
  <c r="O89" i="10"/>
  <c r="Y89" i="10"/>
  <c r="X89" i="10"/>
  <c r="W89" i="10"/>
  <c r="V8" i="10"/>
  <c r="O20" i="10"/>
  <c r="O53" i="10"/>
  <c r="X62" i="10"/>
  <c r="AD66" i="10"/>
  <c r="T72" i="10"/>
  <c r="T87" i="10"/>
  <c r="AD138" i="10"/>
  <c r="O259" i="10"/>
  <c r="AD270" i="10"/>
  <c r="Y570" i="10"/>
  <c r="Q570" i="10"/>
  <c r="S570" i="10"/>
  <c r="X570" i="10"/>
  <c r="W570" i="10"/>
  <c r="V570" i="10"/>
  <c r="N570" i="10"/>
  <c r="R570" i="10"/>
  <c r="AD570" i="10"/>
  <c r="U570" i="10"/>
  <c r="O570" i="10"/>
  <c r="T570" i="10"/>
  <c r="Z570" i="10"/>
  <c r="U565" i="10"/>
  <c r="X565" i="10"/>
  <c r="T565" i="10"/>
  <c r="W565" i="10"/>
  <c r="N565" i="10"/>
  <c r="V565" i="10"/>
  <c r="Q565" i="10"/>
  <c r="AD565" i="10"/>
  <c r="Y565" i="10"/>
  <c r="R565" i="10"/>
  <c r="O565" i="10"/>
  <c r="Z565" i="10"/>
  <c r="S565" i="10"/>
  <c r="X560" i="10"/>
  <c r="O560" i="10"/>
  <c r="N560" i="10"/>
  <c r="U560" i="10"/>
  <c r="Z560" i="10"/>
  <c r="T560" i="10"/>
  <c r="Y560" i="10"/>
  <c r="V560" i="10"/>
  <c r="R560" i="10"/>
  <c r="AD560" i="10"/>
  <c r="S560" i="10"/>
  <c r="Q560" i="10"/>
  <c r="W560" i="10"/>
  <c r="N514" i="10"/>
  <c r="X514" i="10"/>
  <c r="O514" i="10"/>
  <c r="V514" i="10"/>
  <c r="W514" i="10"/>
  <c r="U514" i="10"/>
  <c r="S514" i="10"/>
  <c r="R514" i="10"/>
  <c r="AD514" i="10"/>
  <c r="Y514" i="10"/>
  <c r="T514" i="10"/>
  <c r="Q514" i="10"/>
  <c r="Z509" i="10"/>
  <c r="R509" i="10"/>
  <c r="Y509" i="10"/>
  <c r="Q509" i="10"/>
  <c r="W509" i="10"/>
  <c r="V509" i="10"/>
  <c r="N509" i="10"/>
  <c r="T509" i="10"/>
  <c r="S509" i="10"/>
  <c r="AD509" i="10"/>
  <c r="X509" i="10"/>
  <c r="O509" i="10"/>
  <c r="U509" i="10"/>
  <c r="N499" i="10"/>
  <c r="Z499" i="10"/>
  <c r="R499" i="10"/>
  <c r="Y499" i="10"/>
  <c r="Q499" i="10"/>
  <c r="W499" i="10"/>
  <c r="V499" i="10"/>
  <c r="AD499" i="10"/>
  <c r="U499" i="10"/>
  <c r="S499" i="10"/>
  <c r="T499" i="10"/>
  <c r="O499" i="10"/>
  <c r="X499" i="10"/>
  <c r="N494" i="10"/>
  <c r="V494" i="10"/>
  <c r="U494" i="10"/>
  <c r="AD494" i="10"/>
  <c r="S494" i="10"/>
  <c r="Z494" i="10"/>
  <c r="R494" i="10"/>
  <c r="X494" i="10"/>
  <c r="W494" i="10"/>
  <c r="Q494" i="10"/>
  <c r="Y494" i="10"/>
  <c r="O494" i="10"/>
  <c r="T494" i="10"/>
  <c r="N489" i="10"/>
  <c r="Z489" i="10"/>
  <c r="R489" i="10"/>
  <c r="W489" i="10"/>
  <c r="V489" i="10"/>
  <c r="X489" i="10"/>
  <c r="U489" i="10"/>
  <c r="S489" i="10"/>
  <c r="O489" i="10"/>
  <c r="AD489" i="10"/>
  <c r="Y489" i="10"/>
  <c r="Q489" i="10"/>
  <c r="T489" i="10"/>
  <c r="N484" i="10"/>
  <c r="V484" i="10"/>
  <c r="AD484" i="10"/>
  <c r="S484" i="10"/>
  <c r="Z484" i="10"/>
  <c r="R484" i="10"/>
  <c r="T484" i="10"/>
  <c r="Q484" i="10"/>
  <c r="X484" i="10"/>
  <c r="Y484" i="10"/>
  <c r="W484" i="10"/>
  <c r="O484" i="10"/>
  <c r="U484" i="10"/>
  <c r="Z477" i="10"/>
  <c r="R477" i="10"/>
  <c r="N477" i="10"/>
  <c r="W477" i="10"/>
  <c r="V477" i="10"/>
  <c r="AD477" i="10"/>
  <c r="Y477" i="10"/>
  <c r="U477" i="10"/>
  <c r="S477" i="10"/>
  <c r="Q477" i="10"/>
  <c r="O477" i="10"/>
  <c r="X477" i="10"/>
  <c r="T477" i="10"/>
  <c r="N475" i="10"/>
  <c r="Z475" i="10"/>
  <c r="R475" i="10"/>
  <c r="W475" i="10"/>
  <c r="V475" i="10"/>
  <c r="X475" i="10"/>
  <c r="T475" i="10"/>
  <c r="Q475" i="10"/>
  <c r="U475" i="10"/>
  <c r="S475" i="10"/>
  <c r="AD475" i="10"/>
  <c r="O475" i="10"/>
  <c r="Y475" i="10"/>
  <c r="N470" i="10"/>
  <c r="V470" i="10"/>
  <c r="AD470" i="10"/>
  <c r="S470" i="10"/>
  <c r="Z470" i="10"/>
  <c r="R470" i="10"/>
  <c r="T470" i="10"/>
  <c r="O470" i="10"/>
  <c r="Y470" i="10"/>
  <c r="U470" i="10"/>
  <c r="Q470" i="10"/>
  <c r="X470" i="10"/>
  <c r="W470" i="10"/>
  <c r="N437" i="10"/>
  <c r="T437" i="10"/>
  <c r="Z437" i="10"/>
  <c r="R437" i="10"/>
  <c r="S437" i="10"/>
  <c r="Q437" i="10"/>
  <c r="Y437" i="10"/>
  <c r="X437" i="10"/>
  <c r="V437" i="10"/>
  <c r="U437" i="10"/>
  <c r="O437" i="10"/>
  <c r="AD437" i="10"/>
  <c r="W437" i="10"/>
  <c r="N432" i="10"/>
  <c r="X432" i="10"/>
  <c r="O432" i="10"/>
  <c r="V432" i="10"/>
  <c r="Z432" i="10"/>
  <c r="Y432" i="10"/>
  <c r="U432" i="10"/>
  <c r="T432" i="10"/>
  <c r="AD432" i="10"/>
  <c r="R432" i="10"/>
  <c r="S432" i="10"/>
  <c r="Q432" i="10"/>
  <c r="W432" i="10"/>
  <c r="N359" i="10"/>
  <c r="W359" i="10"/>
  <c r="V359" i="10"/>
  <c r="S359" i="10"/>
  <c r="R359" i="10"/>
  <c r="Y359" i="10"/>
  <c r="Z359" i="10"/>
  <c r="X359" i="10"/>
  <c r="T359" i="10"/>
  <c r="Q359" i="10"/>
  <c r="AD359" i="10"/>
  <c r="O359" i="10"/>
  <c r="U359" i="10"/>
  <c r="N352" i="10"/>
  <c r="Z352" i="10"/>
  <c r="Y352" i="10"/>
  <c r="Q352" i="10"/>
  <c r="X352" i="10"/>
  <c r="O352" i="10"/>
  <c r="U352" i="10"/>
  <c r="R352" i="10"/>
  <c r="AD352" i="10"/>
  <c r="W352" i="10"/>
  <c r="T352" i="10"/>
  <c r="S352" i="10"/>
  <c r="N333" i="10"/>
  <c r="U333" i="10"/>
  <c r="Y333" i="10"/>
  <c r="Q333" i="10"/>
  <c r="AD333" i="10"/>
  <c r="O333" i="10"/>
  <c r="Z333" i="10"/>
  <c r="W333" i="10"/>
  <c r="V333" i="10"/>
  <c r="S333" i="10"/>
  <c r="R333" i="10"/>
  <c r="X333" i="10"/>
  <c r="T333" i="10"/>
  <c r="N305" i="10"/>
  <c r="U305" i="10"/>
  <c r="Y305" i="10"/>
  <c r="Q305" i="10"/>
  <c r="V305" i="10"/>
  <c r="R305" i="10"/>
  <c r="AD305" i="10"/>
  <c r="O305" i="10"/>
  <c r="W305" i="10"/>
  <c r="T305" i="10"/>
  <c r="Z305" i="10"/>
  <c r="X305" i="10"/>
  <c r="N303" i="10"/>
  <c r="Y303" i="10"/>
  <c r="Q303" i="10"/>
  <c r="Z303" i="10"/>
  <c r="O303" i="10"/>
  <c r="V303" i="10"/>
  <c r="U303" i="10"/>
  <c r="X303" i="10"/>
  <c r="T303" i="10"/>
  <c r="S303" i="10"/>
  <c r="R303" i="10"/>
  <c r="AD303" i="10"/>
  <c r="W303" i="10"/>
  <c r="N301" i="10"/>
  <c r="Y301" i="10"/>
  <c r="Q301" i="10"/>
  <c r="V301" i="10"/>
  <c r="S301" i="10"/>
  <c r="AD301" i="10"/>
  <c r="R301" i="10"/>
  <c r="X301" i="10"/>
  <c r="W301" i="10"/>
  <c r="T301" i="10"/>
  <c r="Z301" i="10"/>
  <c r="U301" i="10"/>
  <c r="O301" i="10"/>
  <c r="N278" i="10"/>
  <c r="U278" i="10"/>
  <c r="X278" i="10"/>
  <c r="T278" i="10"/>
  <c r="S278" i="10"/>
  <c r="W278" i="10"/>
  <c r="V278" i="10"/>
  <c r="Q278" i="10"/>
  <c r="AD278" i="10"/>
  <c r="Z278" i="10"/>
  <c r="Y278" i="10"/>
  <c r="O278" i="10"/>
  <c r="R278" i="10"/>
  <c r="N251" i="10"/>
  <c r="Y251" i="10"/>
  <c r="Q251" i="10"/>
  <c r="W251" i="10"/>
  <c r="U251" i="10"/>
  <c r="T251" i="10"/>
  <c r="R251" i="10"/>
  <c r="Z251" i="10"/>
  <c r="AD251" i="10"/>
  <c r="X251" i="10"/>
  <c r="S251" i="10"/>
  <c r="O251" i="10"/>
  <c r="N241" i="10"/>
  <c r="Y241" i="10"/>
  <c r="Q241" i="10"/>
  <c r="X241" i="10"/>
  <c r="AD241" i="10"/>
  <c r="O241" i="10"/>
  <c r="Z241" i="10"/>
  <c r="V241" i="10"/>
  <c r="T241" i="10"/>
  <c r="U241" i="10"/>
  <c r="S241" i="10"/>
  <c r="N167" i="10"/>
  <c r="AD167" i="10"/>
  <c r="S167" i="10"/>
  <c r="Y167" i="10"/>
  <c r="Q167" i="10"/>
  <c r="O167" i="10"/>
  <c r="Z167" i="10"/>
  <c r="W167" i="10"/>
  <c r="V167" i="10"/>
  <c r="T167" i="10"/>
  <c r="R167" i="10"/>
  <c r="N162" i="10"/>
  <c r="W162" i="10"/>
  <c r="U162" i="10"/>
  <c r="X162" i="10"/>
  <c r="V162" i="10"/>
  <c r="S162" i="10"/>
  <c r="R162" i="10"/>
  <c r="O162" i="10"/>
  <c r="AD162" i="10"/>
  <c r="Z162" i="10"/>
  <c r="Y162" i="10"/>
  <c r="N134" i="10"/>
  <c r="W134" i="10"/>
  <c r="U134" i="10"/>
  <c r="R134" i="10"/>
  <c r="AD134" i="10"/>
  <c r="Q134" i="10"/>
  <c r="Y134" i="10"/>
  <c r="X134" i="10"/>
  <c r="Z134" i="10"/>
  <c r="V134" i="10"/>
  <c r="T134" i="10"/>
  <c r="S134" i="10"/>
  <c r="N129" i="10"/>
  <c r="AD129" i="10"/>
  <c r="S129" i="10"/>
  <c r="Y129" i="10"/>
  <c r="Q129" i="10"/>
  <c r="X129" i="10"/>
  <c r="W129" i="10"/>
  <c r="U129" i="10"/>
  <c r="T129" i="10"/>
  <c r="V129" i="10"/>
  <c r="Z129" i="10"/>
  <c r="R129" i="10"/>
  <c r="O129" i="10"/>
  <c r="N110" i="10"/>
  <c r="U110" i="10"/>
  <c r="W110" i="10"/>
  <c r="V110" i="10"/>
  <c r="S110" i="10"/>
  <c r="AD110" i="10"/>
  <c r="R110" i="10"/>
  <c r="Y110" i="10"/>
  <c r="T110" i="10"/>
  <c r="X110" i="10"/>
  <c r="Q110" i="10"/>
  <c r="O110" i="10"/>
  <c r="N74" i="10"/>
  <c r="Z74" i="10"/>
  <c r="R74" i="10"/>
  <c r="W74" i="10"/>
  <c r="V74" i="10"/>
  <c r="S74" i="10"/>
  <c r="O74" i="10"/>
  <c r="Q74" i="10"/>
  <c r="AD74" i="10"/>
  <c r="Y74" i="10"/>
  <c r="X74" i="10"/>
  <c r="N61" i="10"/>
  <c r="V61" i="10"/>
  <c r="AD61" i="10"/>
  <c r="S61" i="10"/>
  <c r="Z61" i="10"/>
  <c r="R61" i="10"/>
  <c r="U61" i="10"/>
  <c r="Q61" i="10"/>
  <c r="T61" i="10"/>
  <c r="O61" i="10"/>
  <c r="Y61" i="10"/>
  <c r="N51" i="10"/>
  <c r="V51" i="10"/>
  <c r="AD51" i="10"/>
  <c r="S51" i="10"/>
  <c r="Z51" i="10"/>
  <c r="R51" i="10"/>
  <c r="Y51" i="10"/>
  <c r="W51" i="10"/>
  <c r="X51" i="10"/>
  <c r="U51" i="10"/>
  <c r="T51" i="10"/>
  <c r="Q51" i="10"/>
  <c r="N34" i="10"/>
  <c r="Z34" i="10"/>
  <c r="R34" i="10"/>
  <c r="W34" i="10"/>
  <c r="V34" i="10"/>
  <c r="Y34" i="10"/>
  <c r="U34" i="10"/>
  <c r="X34" i="10"/>
  <c r="T34" i="10"/>
  <c r="S34" i="10"/>
  <c r="Q34" i="10"/>
  <c r="N19" i="10"/>
  <c r="V19" i="10"/>
  <c r="AD19" i="10"/>
  <c r="S19" i="10"/>
  <c r="Z19" i="10"/>
  <c r="O19" i="10"/>
  <c r="Y19" i="10"/>
  <c r="X19" i="10"/>
  <c r="W19" i="10"/>
  <c r="U19" i="10"/>
  <c r="T19" i="10"/>
  <c r="N17" i="10"/>
  <c r="AD17" i="10"/>
  <c r="S17" i="10"/>
  <c r="T17" i="10"/>
  <c r="Z17" i="10"/>
  <c r="R17" i="10"/>
  <c r="Y17" i="10"/>
  <c r="O17" i="10"/>
  <c r="X17" i="10"/>
  <c r="W17" i="10"/>
  <c r="Q9" i="10"/>
  <c r="O11" i="10"/>
  <c r="V17" i="10"/>
  <c r="X28" i="10"/>
  <c r="Y33" i="10"/>
  <c r="T42" i="10"/>
  <c r="X45" i="10"/>
  <c r="Q54" i="10"/>
  <c r="X63" i="10"/>
  <c r="U73" i="10"/>
  <c r="AD82" i="10"/>
  <c r="W91" i="10"/>
  <c r="T112" i="10"/>
  <c r="W149" i="10"/>
  <c r="R153" i="10"/>
  <c r="Z163" i="10"/>
  <c r="U167" i="10"/>
  <c r="W181" i="10"/>
  <c r="AD186" i="10"/>
  <c r="O208" i="10"/>
  <c r="T221" i="10"/>
  <c r="W315" i="10"/>
  <c r="Z430" i="10"/>
  <c r="Z354" i="10"/>
  <c r="R354" i="10"/>
  <c r="T354" i="10"/>
  <c r="N354" i="10"/>
  <c r="S354" i="10"/>
  <c r="X354" i="10"/>
  <c r="V354" i="10"/>
  <c r="U354" i="10"/>
  <c r="O354" i="10"/>
  <c r="Y354" i="10"/>
  <c r="W354" i="10"/>
  <c r="AD354" i="10"/>
  <c r="N343" i="10"/>
  <c r="U343" i="10"/>
  <c r="Y343" i="10"/>
  <c r="Q343" i="10"/>
  <c r="X343" i="10"/>
  <c r="W343" i="10"/>
  <c r="T343" i="10"/>
  <c r="S343" i="10"/>
  <c r="AD343" i="10"/>
  <c r="Z343" i="10"/>
  <c r="R343" i="10"/>
  <c r="N323" i="10"/>
  <c r="U323" i="10"/>
  <c r="Y323" i="10"/>
  <c r="Q323" i="10"/>
  <c r="S323" i="10"/>
  <c r="R323" i="10"/>
  <c r="Z323" i="10"/>
  <c r="X323" i="10"/>
  <c r="W323" i="10"/>
  <c r="T323" i="10"/>
  <c r="V323" i="10"/>
  <c r="O323" i="10"/>
  <c r="N308" i="10"/>
  <c r="Y308" i="10"/>
  <c r="Q308" i="10"/>
  <c r="U308" i="10"/>
  <c r="R308" i="10"/>
  <c r="X308" i="10"/>
  <c r="W308" i="10"/>
  <c r="T308" i="10"/>
  <c r="S308" i="10"/>
  <c r="AD308" i="10"/>
  <c r="Z308" i="10"/>
  <c r="V308" i="10"/>
  <c r="N297" i="10"/>
  <c r="Y297" i="10"/>
  <c r="Q297" i="10"/>
  <c r="X297" i="10"/>
  <c r="U297" i="10"/>
  <c r="T297" i="10"/>
  <c r="AD297" i="10"/>
  <c r="W297" i="10"/>
  <c r="S297" i="10"/>
  <c r="V297" i="10"/>
  <c r="R297" i="10"/>
  <c r="N295" i="10"/>
  <c r="Y295" i="10"/>
  <c r="Q295" i="10"/>
  <c r="U295" i="10"/>
  <c r="AD295" i="10"/>
  <c r="R295" i="10"/>
  <c r="Z295" i="10"/>
  <c r="O295" i="10"/>
  <c r="W295" i="10"/>
  <c r="V295" i="10"/>
  <c r="S295" i="10"/>
  <c r="X295" i="10"/>
  <c r="N282" i="10"/>
  <c r="U282" i="10"/>
  <c r="V282" i="10"/>
  <c r="AD282" i="10"/>
  <c r="R282" i="10"/>
  <c r="Z282" i="10"/>
  <c r="Q282" i="10"/>
  <c r="S282" i="10"/>
  <c r="O282" i="10"/>
  <c r="X282" i="10"/>
  <c r="Y282" i="10"/>
  <c r="W282" i="10"/>
  <c r="N275" i="10"/>
  <c r="Y275" i="10"/>
  <c r="Q275" i="10"/>
  <c r="W275" i="10"/>
  <c r="T275" i="10"/>
  <c r="S275" i="10"/>
  <c r="AD275" i="10"/>
  <c r="X275" i="10"/>
  <c r="U275" i="10"/>
  <c r="V275" i="10"/>
  <c r="R275" i="10"/>
  <c r="N266" i="10"/>
  <c r="U266" i="10"/>
  <c r="AD266" i="10"/>
  <c r="R266" i="10"/>
  <c r="Z266" i="10"/>
  <c r="Q266" i="10"/>
  <c r="Y266" i="10"/>
  <c r="W266" i="10"/>
  <c r="T266" i="10"/>
  <c r="V266" i="10"/>
  <c r="S266" i="10"/>
  <c r="N254" i="10"/>
  <c r="U254" i="10"/>
  <c r="X254" i="10"/>
  <c r="AD254" i="10"/>
  <c r="Q254" i="10"/>
  <c r="Z254" i="10"/>
  <c r="O254" i="10"/>
  <c r="W254" i="10"/>
  <c r="T254" i="10"/>
  <c r="S254" i="10"/>
  <c r="R254" i="10"/>
  <c r="N252" i="10"/>
  <c r="U252" i="10"/>
  <c r="T252" i="10"/>
  <c r="S252" i="10"/>
  <c r="R252" i="10"/>
  <c r="Z252" i="10"/>
  <c r="O252" i="10"/>
  <c r="X252" i="10"/>
  <c r="W252" i="10"/>
  <c r="V252" i="10"/>
  <c r="N243" i="10"/>
  <c r="Y243" i="10"/>
  <c r="Q243" i="10"/>
  <c r="S243" i="10"/>
  <c r="W243" i="10"/>
  <c r="V243" i="10"/>
  <c r="T243" i="10"/>
  <c r="AD243" i="10"/>
  <c r="O243" i="10"/>
  <c r="Z243" i="10"/>
  <c r="X243" i="10"/>
  <c r="R243" i="10"/>
  <c r="N234" i="10"/>
  <c r="T234" i="10"/>
  <c r="S234" i="10"/>
  <c r="AD234" i="10"/>
  <c r="R234" i="10"/>
  <c r="Y234" i="10"/>
  <c r="O234" i="10"/>
  <c r="W234" i="10"/>
  <c r="X234" i="10"/>
  <c r="V234" i="10"/>
  <c r="N232" i="10"/>
  <c r="Z232" i="10"/>
  <c r="R232" i="10"/>
  <c r="Y232" i="10"/>
  <c r="Q232" i="10"/>
  <c r="W232" i="10"/>
  <c r="U232" i="10"/>
  <c r="T232" i="10"/>
  <c r="S232" i="10"/>
  <c r="N227" i="10"/>
  <c r="V227" i="10"/>
  <c r="U227" i="10"/>
  <c r="AD227" i="10"/>
  <c r="S227" i="10"/>
  <c r="Y227" i="10"/>
  <c r="Q227" i="10"/>
  <c r="O227" i="10"/>
  <c r="Z227" i="10"/>
  <c r="X227" i="10"/>
  <c r="N225" i="10"/>
  <c r="V225" i="10"/>
  <c r="U225" i="10"/>
  <c r="AD225" i="10"/>
  <c r="S225" i="10"/>
  <c r="Y225" i="10"/>
  <c r="Q225" i="10"/>
  <c r="X225" i="10"/>
  <c r="W225" i="10"/>
  <c r="R225" i="10"/>
  <c r="O225" i="10"/>
  <c r="N216" i="10"/>
  <c r="Z216" i="10"/>
  <c r="R216" i="10"/>
  <c r="Y216" i="10"/>
  <c r="Q216" i="10"/>
  <c r="W216" i="10"/>
  <c r="U216" i="10"/>
  <c r="T216" i="10"/>
  <c r="S216" i="10"/>
  <c r="N211" i="10"/>
  <c r="V211" i="10"/>
  <c r="U211" i="10"/>
  <c r="AD211" i="10"/>
  <c r="S211" i="10"/>
  <c r="Y211" i="10"/>
  <c r="Q211" i="10"/>
  <c r="O211" i="10"/>
  <c r="Z211" i="10"/>
  <c r="X211" i="10"/>
  <c r="N202" i="10"/>
  <c r="Z202" i="10"/>
  <c r="R202" i="10"/>
  <c r="W202" i="10"/>
  <c r="U202" i="10"/>
  <c r="T202" i="10"/>
  <c r="S202" i="10"/>
  <c r="O202" i="10"/>
  <c r="AD202" i="10"/>
  <c r="N190" i="10"/>
  <c r="W190" i="10"/>
  <c r="U190" i="10"/>
  <c r="R190" i="10"/>
  <c r="AD190" i="10"/>
  <c r="Q190" i="10"/>
  <c r="Y190" i="10"/>
  <c r="X190" i="10"/>
  <c r="N183" i="10"/>
  <c r="AD183" i="10"/>
  <c r="S183" i="10"/>
  <c r="Y183" i="10"/>
  <c r="Q183" i="10"/>
  <c r="O183" i="10"/>
  <c r="Z183" i="10"/>
  <c r="W183" i="10"/>
  <c r="V183" i="10"/>
  <c r="N176" i="10"/>
  <c r="W176" i="10"/>
  <c r="U176" i="10"/>
  <c r="Z176" i="10"/>
  <c r="O176" i="10"/>
  <c r="Y176" i="10"/>
  <c r="V176" i="10"/>
  <c r="T176" i="10"/>
  <c r="N171" i="10"/>
  <c r="AD171" i="10"/>
  <c r="S171" i="10"/>
  <c r="Y171" i="10"/>
  <c r="Q171" i="10"/>
  <c r="V171" i="10"/>
  <c r="U171" i="10"/>
  <c r="R171" i="10"/>
  <c r="O171" i="10"/>
  <c r="N169" i="10"/>
  <c r="AD169" i="10"/>
  <c r="S169" i="10"/>
  <c r="Y169" i="10"/>
  <c r="Q169" i="10"/>
  <c r="X169" i="10"/>
  <c r="W169" i="10"/>
  <c r="U169" i="10"/>
  <c r="T169" i="10"/>
  <c r="N164" i="10"/>
  <c r="W164" i="10"/>
  <c r="U164" i="10"/>
  <c r="T164" i="10"/>
  <c r="S164" i="10"/>
  <c r="AD164" i="10"/>
  <c r="Q164" i="10"/>
  <c r="Z164" i="10"/>
  <c r="O164" i="10"/>
  <c r="N157" i="10"/>
  <c r="AD157" i="10"/>
  <c r="S157" i="10"/>
  <c r="Y157" i="10"/>
  <c r="Q157" i="10"/>
  <c r="T157" i="10"/>
  <c r="R157" i="10"/>
  <c r="Z157" i="10"/>
  <c r="X157" i="10"/>
  <c r="N150" i="10"/>
  <c r="W150" i="10"/>
  <c r="U150" i="10"/>
  <c r="R150" i="10"/>
  <c r="AD150" i="10"/>
  <c r="Q150" i="10"/>
  <c r="Y150" i="10"/>
  <c r="X150" i="10"/>
  <c r="N145" i="10"/>
  <c r="AD145" i="10"/>
  <c r="S145" i="10"/>
  <c r="Y145" i="10"/>
  <c r="Q145" i="10"/>
  <c r="X145" i="10"/>
  <c r="W145" i="10"/>
  <c r="U145" i="10"/>
  <c r="T145" i="10"/>
  <c r="N131" i="10"/>
  <c r="AD131" i="10"/>
  <c r="S131" i="10"/>
  <c r="Y131" i="10"/>
  <c r="Q131" i="10"/>
  <c r="V131" i="10"/>
  <c r="U131" i="10"/>
  <c r="R131" i="10"/>
  <c r="O131" i="10"/>
  <c r="N122" i="10"/>
  <c r="U122" i="10"/>
  <c r="Y122" i="10"/>
  <c r="O122" i="10"/>
  <c r="X122" i="10"/>
  <c r="V122" i="10"/>
  <c r="T122" i="10"/>
  <c r="N120" i="10"/>
  <c r="U120" i="10"/>
  <c r="V120" i="10"/>
  <c r="T120" i="10"/>
  <c r="AD120" i="10"/>
  <c r="R120" i="10"/>
  <c r="Z120" i="10"/>
  <c r="Q120" i="10"/>
  <c r="N113" i="10"/>
  <c r="Y113" i="10"/>
  <c r="Q113" i="10"/>
  <c r="W113" i="10"/>
  <c r="V113" i="10"/>
  <c r="T113" i="10"/>
  <c r="S113" i="10"/>
  <c r="N102" i="10"/>
  <c r="U102" i="10"/>
  <c r="AD102" i="10"/>
  <c r="R102" i="10"/>
  <c r="Z102" i="10"/>
  <c r="Q102" i="10"/>
  <c r="X102" i="10"/>
  <c r="W102" i="10"/>
  <c r="N95" i="10"/>
  <c r="V95" i="10"/>
  <c r="U95" i="10"/>
  <c r="AD95" i="10"/>
  <c r="S95" i="10"/>
  <c r="Z95" i="10"/>
  <c r="R95" i="10"/>
  <c r="N93" i="10"/>
  <c r="V93" i="10"/>
  <c r="AD93" i="10"/>
  <c r="S93" i="10"/>
  <c r="Z93" i="10"/>
  <c r="R93" i="10"/>
  <c r="N84" i="10"/>
  <c r="Z84" i="10"/>
  <c r="R84" i="10"/>
  <c r="W84" i="10"/>
  <c r="V84" i="10"/>
  <c r="N68" i="10"/>
  <c r="Z68" i="10"/>
  <c r="R68" i="10"/>
  <c r="W68" i="10"/>
  <c r="V68" i="10"/>
  <c r="N48" i="10"/>
  <c r="Z48" i="10"/>
  <c r="R48" i="10"/>
  <c r="W48" i="10"/>
  <c r="V48" i="10"/>
  <c r="N46" i="10"/>
  <c r="Z46" i="10"/>
  <c r="R46" i="10"/>
  <c r="W46" i="10"/>
  <c r="V46" i="10"/>
  <c r="N37" i="10"/>
  <c r="V37" i="10"/>
  <c r="AD37" i="10"/>
  <c r="S37" i="10"/>
  <c r="Z37" i="10"/>
  <c r="R37" i="10"/>
  <c r="N23" i="10"/>
  <c r="V23" i="10"/>
  <c r="AD23" i="10"/>
  <c r="S23" i="10"/>
  <c r="Z23" i="10"/>
  <c r="R23" i="10"/>
  <c r="N21" i="10"/>
  <c r="V21" i="10"/>
  <c r="AD21" i="10"/>
  <c r="S21" i="10"/>
  <c r="Z21" i="10"/>
  <c r="R21" i="10"/>
  <c r="N12" i="10"/>
  <c r="W12" i="10"/>
  <c r="W2" i="10"/>
  <c r="S5" i="10"/>
  <c r="AD5" i="10"/>
  <c r="S12" i="10"/>
  <c r="O13" i="10"/>
  <c r="Y13" i="10"/>
  <c r="T15" i="10"/>
  <c r="Q16" i="10"/>
  <c r="Z16" i="10"/>
  <c r="U18" i="10"/>
  <c r="T21" i="10"/>
  <c r="T22" i="10"/>
  <c r="U23" i="10"/>
  <c r="U24" i="10"/>
  <c r="W25" i="10"/>
  <c r="X27" i="10"/>
  <c r="O32" i="10"/>
  <c r="S36" i="10"/>
  <c r="T37" i="10"/>
  <c r="T38" i="10"/>
  <c r="W41" i="10"/>
  <c r="X43" i="10"/>
  <c r="AD46" i="10"/>
  <c r="O48" i="10"/>
  <c r="O49" i="10"/>
  <c r="Q50" i="10"/>
  <c r="U56" i="10"/>
  <c r="X58" i="10"/>
  <c r="S68" i="10"/>
  <c r="T69" i="10"/>
  <c r="T70" i="10"/>
  <c r="Y76" i="10"/>
  <c r="AD78" i="10"/>
  <c r="S84" i="10"/>
  <c r="T85" i="10"/>
  <c r="T86" i="10"/>
  <c r="U88" i="10"/>
  <c r="X90" i="10"/>
  <c r="Y92" i="10"/>
  <c r="Y93" i="10"/>
  <c r="AD94" i="10"/>
  <c r="S96" i="10"/>
  <c r="S99" i="10"/>
  <c r="S102" i="10"/>
  <c r="Z103" i="10"/>
  <c r="T105" i="10"/>
  <c r="V114" i="10"/>
  <c r="V117" i="10"/>
  <c r="W120" i="10"/>
  <c r="Q122" i="10"/>
  <c r="W123" i="10"/>
  <c r="V132" i="10"/>
  <c r="W139" i="10"/>
  <c r="Y146" i="10"/>
  <c r="S150" i="10"/>
  <c r="U157" i="10"/>
  <c r="R159" i="10"/>
  <c r="V164" i="10"/>
  <c r="Z169" i="10"/>
  <c r="W171" i="10"/>
  <c r="U173" i="10"/>
  <c r="AD176" i="10"/>
  <c r="V180" i="10"/>
  <c r="Q184" i="10"/>
  <c r="W187" i="10"/>
  <c r="U189" i="10"/>
  <c r="R191" i="10"/>
  <c r="T199" i="10"/>
  <c r="U201" i="10"/>
  <c r="W203" i="10"/>
  <c r="R211" i="10"/>
  <c r="V216" i="10"/>
  <c r="R219" i="10"/>
  <c r="R227" i="10"/>
  <c r="V232" i="10"/>
  <c r="U235" i="10"/>
  <c r="S242" i="10"/>
  <c r="Y252" i="10"/>
  <c r="U263" i="10"/>
  <c r="U267" i="10"/>
  <c r="S296" i="10"/>
  <c r="N443" i="10"/>
  <c r="T443" i="10"/>
  <c r="Z443" i="10"/>
  <c r="R443" i="10"/>
  <c r="V443" i="10"/>
  <c r="U443" i="10"/>
  <c r="Q443" i="10"/>
  <c r="AD443" i="10"/>
  <c r="O443" i="10"/>
  <c r="X443" i="10"/>
  <c r="W443" i="10"/>
  <c r="Y443" i="10"/>
  <c r="S443" i="10"/>
  <c r="X436" i="10"/>
  <c r="O436" i="10"/>
  <c r="V436" i="10"/>
  <c r="T436" i="10"/>
  <c r="S436" i="10"/>
  <c r="AD436" i="10"/>
  <c r="Q436" i="10"/>
  <c r="Z436" i="10"/>
  <c r="W436" i="10"/>
  <c r="U436" i="10"/>
  <c r="R436" i="10"/>
  <c r="N436" i="10"/>
  <c r="N427" i="10"/>
  <c r="T427" i="10"/>
  <c r="Z427" i="10"/>
  <c r="R427" i="10"/>
  <c r="V427" i="10"/>
  <c r="U427" i="10"/>
  <c r="Q427" i="10"/>
  <c r="AD427" i="10"/>
  <c r="O427" i="10"/>
  <c r="X427" i="10"/>
  <c r="W427" i="10"/>
  <c r="Y427" i="10"/>
  <c r="S427" i="10"/>
  <c r="N418" i="10"/>
  <c r="X418" i="10"/>
  <c r="O418" i="10"/>
  <c r="V418" i="10"/>
  <c r="W418" i="10"/>
  <c r="U418" i="10"/>
  <c r="S418" i="10"/>
  <c r="R418" i="10"/>
  <c r="Z418" i="10"/>
  <c r="Y418" i="10"/>
  <c r="AD418" i="10"/>
  <c r="T418" i="10"/>
  <c r="Q418" i="10"/>
  <c r="N416" i="10"/>
  <c r="X416" i="10"/>
  <c r="O416" i="10"/>
  <c r="V416" i="10"/>
  <c r="Z416" i="10"/>
  <c r="Y416" i="10"/>
  <c r="U416" i="10"/>
  <c r="T416" i="10"/>
  <c r="AD416" i="10"/>
  <c r="R416" i="10"/>
  <c r="S416" i="10"/>
  <c r="Q416" i="10"/>
  <c r="W416" i="10"/>
  <c r="N409" i="10"/>
  <c r="T409" i="10"/>
  <c r="Z409" i="10"/>
  <c r="R409" i="10"/>
  <c r="X409" i="10"/>
  <c r="W409" i="10"/>
  <c r="U409" i="10"/>
  <c r="S409" i="10"/>
  <c r="AD409" i="10"/>
  <c r="Y409" i="10"/>
  <c r="O409" i="10"/>
  <c r="V409" i="10"/>
  <c r="Q409" i="10"/>
  <c r="N407" i="10"/>
  <c r="Z407" i="10"/>
  <c r="R407" i="10"/>
  <c r="T407" i="10"/>
  <c r="S407" i="10"/>
  <c r="Y407" i="10"/>
  <c r="O407" i="10"/>
  <c r="X407" i="10"/>
  <c r="V407" i="10"/>
  <c r="AD407" i="10"/>
  <c r="W407" i="10"/>
  <c r="U407" i="10"/>
  <c r="Q407" i="10"/>
  <c r="N400" i="10"/>
  <c r="V400" i="10"/>
  <c r="U400" i="10"/>
  <c r="AD400" i="10"/>
  <c r="R400" i="10"/>
  <c r="Z400" i="10"/>
  <c r="Q400" i="10"/>
  <c r="T400" i="10"/>
  <c r="S400" i="10"/>
  <c r="W400" i="10"/>
  <c r="O400" i="10"/>
  <c r="Y400" i="10"/>
  <c r="X400" i="10"/>
  <c r="N393" i="10"/>
  <c r="Z393" i="10"/>
  <c r="R393" i="10"/>
  <c r="W393" i="10"/>
  <c r="T393" i="10"/>
  <c r="S393" i="10"/>
  <c r="O393" i="10"/>
  <c r="X393" i="10"/>
  <c r="Y393" i="10"/>
  <c r="V393" i="10"/>
  <c r="Q393" i="10"/>
  <c r="AD393" i="10"/>
  <c r="U393" i="10"/>
  <c r="N386" i="10"/>
  <c r="V386" i="10"/>
  <c r="AD386" i="10"/>
  <c r="S386" i="10"/>
  <c r="Z386" i="10"/>
  <c r="R386" i="10"/>
  <c r="T386" i="10"/>
  <c r="Q386" i="10"/>
  <c r="Y386" i="10"/>
  <c r="W386" i="10"/>
  <c r="U386" i="10"/>
  <c r="X386" i="10"/>
  <c r="O386" i="10"/>
  <c r="N384" i="10"/>
  <c r="V384" i="10"/>
  <c r="AD384" i="10"/>
  <c r="S384" i="10"/>
  <c r="Z384" i="10"/>
  <c r="R384" i="10"/>
  <c r="Q384" i="10"/>
  <c r="O384" i="10"/>
  <c r="X384" i="10"/>
  <c r="Y384" i="10"/>
  <c r="W384" i="10"/>
  <c r="U384" i="10"/>
  <c r="T384" i="10"/>
  <c r="N379" i="10"/>
  <c r="Z379" i="10"/>
  <c r="R379" i="10"/>
  <c r="W379" i="10"/>
  <c r="V379" i="10"/>
  <c r="AD379" i="10"/>
  <c r="Y379" i="10"/>
  <c r="T379" i="10"/>
  <c r="X379" i="10"/>
  <c r="U379" i="10"/>
  <c r="Q379" i="10"/>
  <c r="O379" i="10"/>
  <c r="S379" i="10"/>
  <c r="N372" i="10"/>
  <c r="V372" i="10"/>
  <c r="AD372" i="10"/>
  <c r="S372" i="10"/>
  <c r="Z372" i="10"/>
  <c r="R372" i="10"/>
  <c r="U372" i="10"/>
  <c r="T372" i="10"/>
  <c r="Y372" i="10"/>
  <c r="X372" i="10"/>
  <c r="Q372" i="10"/>
  <c r="O372" i="10"/>
  <c r="W372" i="10"/>
  <c r="N363" i="10"/>
  <c r="W363" i="10"/>
  <c r="V363" i="10"/>
  <c r="Y363" i="10"/>
  <c r="X363" i="10"/>
  <c r="S363" i="10"/>
  <c r="AD363" i="10"/>
  <c r="U363" i="10"/>
  <c r="T363" i="10"/>
  <c r="Q363" i="10"/>
  <c r="O363" i="10"/>
  <c r="Z363" i="10"/>
  <c r="N345" i="10"/>
  <c r="U345" i="10"/>
  <c r="T345" i="10"/>
  <c r="Y345" i="10"/>
  <c r="Q345" i="10"/>
  <c r="X345" i="10"/>
  <c r="W345" i="10"/>
  <c r="S345" i="10"/>
  <c r="R345" i="10"/>
  <c r="AD345" i="10"/>
  <c r="Z345" i="10"/>
  <c r="O345" i="10"/>
  <c r="N338" i="10"/>
  <c r="Y338" i="10"/>
  <c r="Q338" i="10"/>
  <c r="U338" i="10"/>
  <c r="T338" i="10"/>
  <c r="S338" i="10"/>
  <c r="AD338" i="10"/>
  <c r="O338" i="10"/>
  <c r="Z338" i="10"/>
  <c r="W338" i="10"/>
  <c r="V338" i="10"/>
  <c r="X338" i="10"/>
  <c r="N336" i="10"/>
  <c r="Y336" i="10"/>
  <c r="Q336" i="10"/>
  <c r="U336" i="10"/>
  <c r="W336" i="10"/>
  <c r="V336" i="10"/>
  <c r="S336" i="10"/>
  <c r="R336" i="10"/>
  <c r="Z336" i="10"/>
  <c r="X336" i="10"/>
  <c r="O336" i="10"/>
  <c r="N325" i="10"/>
  <c r="U325" i="10"/>
  <c r="Y325" i="10"/>
  <c r="Q325" i="10"/>
  <c r="AD325" i="10"/>
  <c r="O325" i="10"/>
  <c r="Z325" i="10"/>
  <c r="W325" i="10"/>
  <c r="V325" i="10"/>
  <c r="T325" i="10"/>
  <c r="R325" i="10"/>
  <c r="N314" i="10"/>
  <c r="Y314" i="10"/>
  <c r="Q314" i="10"/>
  <c r="U314" i="10"/>
  <c r="T314" i="10"/>
  <c r="AD314" i="10"/>
  <c r="O314" i="10"/>
  <c r="Z314" i="10"/>
  <c r="R314" i="10"/>
  <c r="W314" i="10"/>
  <c r="V314" i="10"/>
  <c r="S314" i="10"/>
  <c r="N312" i="10"/>
  <c r="Y312" i="10"/>
  <c r="Q312" i="10"/>
  <c r="U312" i="10"/>
  <c r="W312" i="10"/>
  <c r="S312" i="10"/>
  <c r="R312" i="10"/>
  <c r="X312" i="10"/>
  <c r="V312" i="10"/>
  <c r="O312" i="10"/>
  <c r="AD312" i="10"/>
  <c r="N310" i="10"/>
  <c r="Y310" i="10"/>
  <c r="Q310" i="10"/>
  <c r="U310" i="10"/>
  <c r="Z310" i="10"/>
  <c r="V310" i="10"/>
  <c r="T310" i="10"/>
  <c r="X310" i="10"/>
  <c r="S310" i="10"/>
  <c r="W310" i="10"/>
  <c r="R310" i="10"/>
  <c r="N299" i="10"/>
  <c r="Y299" i="10"/>
  <c r="Q299" i="10"/>
  <c r="S299" i="10"/>
  <c r="X299" i="10"/>
  <c r="W299" i="10"/>
  <c r="T299" i="10"/>
  <c r="R299" i="10"/>
  <c r="Z299" i="10"/>
  <c r="AD299" i="10"/>
  <c r="V299" i="10"/>
  <c r="N288" i="10"/>
  <c r="U288" i="10"/>
  <c r="W288" i="10"/>
  <c r="S288" i="10"/>
  <c r="AD288" i="10"/>
  <c r="R288" i="10"/>
  <c r="T288" i="10"/>
  <c r="Q288" i="10"/>
  <c r="Y288" i="10"/>
  <c r="X288" i="10"/>
  <c r="V288" i="10"/>
  <c r="N286" i="10"/>
  <c r="U286" i="10"/>
  <c r="S286" i="10"/>
  <c r="Y286" i="10"/>
  <c r="O286" i="10"/>
  <c r="X286" i="10"/>
  <c r="AD286" i="10"/>
  <c r="W286" i="10"/>
  <c r="T286" i="10"/>
  <c r="R286" i="10"/>
  <c r="Q286" i="10"/>
  <c r="N284" i="10"/>
  <c r="U284" i="10"/>
  <c r="Y284" i="10"/>
  <c r="O284" i="10"/>
  <c r="V284" i="10"/>
  <c r="T284" i="10"/>
  <c r="X284" i="10"/>
  <c r="W284" i="10"/>
  <c r="R284" i="10"/>
  <c r="AD284" i="10"/>
  <c r="N277" i="10"/>
  <c r="Y277" i="10"/>
  <c r="Q277" i="10"/>
  <c r="AD277" i="10"/>
  <c r="R277" i="10"/>
  <c r="W277" i="10"/>
  <c r="V277" i="10"/>
  <c r="T277" i="10"/>
  <c r="S277" i="10"/>
  <c r="Z277" i="10"/>
  <c r="X277" i="10"/>
  <c r="N261" i="10"/>
  <c r="Y261" i="10"/>
  <c r="Q261" i="10"/>
  <c r="V261" i="10"/>
  <c r="AD261" i="10"/>
  <c r="O261" i="10"/>
  <c r="Z261" i="10"/>
  <c r="W261" i="10"/>
  <c r="T261" i="10"/>
  <c r="S261" i="10"/>
  <c r="R261" i="10"/>
  <c r="N256" i="10"/>
  <c r="U256" i="10"/>
  <c r="AD256" i="10"/>
  <c r="R256" i="10"/>
  <c r="X256" i="10"/>
  <c r="W256" i="10"/>
  <c r="T256" i="10"/>
  <c r="Q256" i="10"/>
  <c r="O256" i="10"/>
  <c r="Z256" i="10"/>
  <c r="N238" i="10"/>
  <c r="U238" i="10"/>
  <c r="X238" i="10"/>
  <c r="T238" i="10"/>
  <c r="S238" i="10"/>
  <c r="AD238" i="10"/>
  <c r="Q238" i="10"/>
  <c r="Y238" i="10"/>
  <c r="W238" i="10"/>
  <c r="V238" i="10"/>
  <c r="O238" i="10"/>
  <c r="N236" i="10"/>
  <c r="U236" i="10"/>
  <c r="T236" i="10"/>
  <c r="X236" i="10"/>
  <c r="W236" i="10"/>
  <c r="S236" i="10"/>
  <c r="AD236" i="10"/>
  <c r="Q236" i="10"/>
  <c r="Z236" i="10"/>
  <c r="Y236" i="10"/>
  <c r="R236" i="10"/>
  <c r="O236" i="10"/>
  <c r="Z218" i="10"/>
  <c r="R218" i="10"/>
  <c r="Y218" i="10"/>
  <c r="Q218" i="10"/>
  <c r="N218" i="10"/>
  <c r="W218" i="10"/>
  <c r="U218" i="10"/>
  <c r="AD218" i="10"/>
  <c r="V218" i="10"/>
  <c r="T218" i="10"/>
  <c r="N204" i="10"/>
  <c r="Z204" i="10"/>
  <c r="R204" i="10"/>
  <c r="W204" i="10"/>
  <c r="U204" i="10"/>
  <c r="V204" i="10"/>
  <c r="T204" i="10"/>
  <c r="Q204" i="10"/>
  <c r="O204" i="10"/>
  <c r="N197" i="10"/>
  <c r="V197" i="10"/>
  <c r="AD197" i="10"/>
  <c r="S197" i="10"/>
  <c r="Y197" i="10"/>
  <c r="Q197" i="10"/>
  <c r="O197" i="10"/>
  <c r="X197" i="10"/>
  <c r="W197" i="10"/>
  <c r="N178" i="10"/>
  <c r="W178" i="10"/>
  <c r="U178" i="10"/>
  <c r="X178" i="10"/>
  <c r="V178" i="10"/>
  <c r="S178" i="10"/>
  <c r="R178" i="10"/>
  <c r="N166" i="10"/>
  <c r="W166" i="10"/>
  <c r="U166" i="10"/>
  <c r="R166" i="10"/>
  <c r="AD166" i="10"/>
  <c r="Q166" i="10"/>
  <c r="Y166" i="10"/>
  <c r="X166" i="10"/>
  <c r="N152" i="10"/>
  <c r="W152" i="10"/>
  <c r="U152" i="10"/>
  <c r="Z152" i="10"/>
  <c r="O152" i="10"/>
  <c r="Y152" i="10"/>
  <c r="V152" i="10"/>
  <c r="T152" i="10"/>
  <c r="N147" i="10"/>
  <c r="AD147" i="10"/>
  <c r="S147" i="10"/>
  <c r="Y147" i="10"/>
  <c r="Q147" i="10"/>
  <c r="V147" i="10"/>
  <c r="U147" i="10"/>
  <c r="R147" i="10"/>
  <c r="O147" i="10"/>
  <c r="N140" i="10"/>
  <c r="W140" i="10"/>
  <c r="U140" i="10"/>
  <c r="T140" i="10"/>
  <c r="S140" i="10"/>
  <c r="AD140" i="10"/>
  <c r="Q140" i="10"/>
  <c r="Z140" i="10"/>
  <c r="O140" i="10"/>
  <c r="N133" i="10"/>
  <c r="AD133" i="10"/>
  <c r="S133" i="10"/>
  <c r="Y133" i="10"/>
  <c r="Q133" i="10"/>
  <c r="T133" i="10"/>
  <c r="R133" i="10"/>
  <c r="Z133" i="10"/>
  <c r="X133" i="10"/>
  <c r="N115" i="10"/>
  <c r="Y115" i="10"/>
  <c r="Q115" i="10"/>
  <c r="AD115" i="10"/>
  <c r="R115" i="10"/>
  <c r="Z115" i="10"/>
  <c r="O115" i="10"/>
  <c r="W115" i="10"/>
  <c r="V115" i="10"/>
  <c r="N106" i="10"/>
  <c r="U106" i="10"/>
  <c r="Y106" i="10"/>
  <c r="O106" i="10"/>
  <c r="X106" i="10"/>
  <c r="V106" i="10"/>
  <c r="T106" i="10"/>
  <c r="N104" i="10"/>
  <c r="U104" i="10"/>
  <c r="V104" i="10"/>
  <c r="T104" i="10"/>
  <c r="AD104" i="10"/>
  <c r="R104" i="10"/>
  <c r="Z104" i="10"/>
  <c r="Q104" i="10"/>
  <c r="N97" i="10"/>
  <c r="Y97" i="10"/>
  <c r="Q97" i="10"/>
  <c r="W97" i="10"/>
  <c r="V97" i="10"/>
  <c r="T97" i="10"/>
  <c r="S97" i="10"/>
  <c r="N77" i="10"/>
  <c r="V77" i="10"/>
  <c r="AD77" i="10"/>
  <c r="S77" i="10"/>
  <c r="Z77" i="10"/>
  <c r="R77" i="10"/>
  <c r="N59" i="10"/>
  <c r="V59" i="10"/>
  <c r="AD59" i="10"/>
  <c r="S59" i="10"/>
  <c r="Z59" i="10"/>
  <c r="R59" i="10"/>
  <c r="N57" i="10"/>
  <c r="V57" i="10"/>
  <c r="AD57" i="10"/>
  <c r="S57" i="10"/>
  <c r="Z57" i="10"/>
  <c r="R57" i="10"/>
  <c r="N39" i="10"/>
  <c r="V39" i="10"/>
  <c r="AD39" i="10"/>
  <c r="S39" i="10"/>
  <c r="Z39" i="10"/>
  <c r="R39" i="10"/>
  <c r="N30" i="10"/>
  <c r="Z30" i="10"/>
  <c r="R30" i="10"/>
  <c r="W30" i="10"/>
  <c r="V30" i="10"/>
  <c r="N14" i="10"/>
  <c r="W14" i="10"/>
  <c r="O2" i="10"/>
  <c r="X2" i="10"/>
  <c r="O4" i="10"/>
  <c r="X4" i="10"/>
  <c r="T5" i="10"/>
  <c r="O6" i="10"/>
  <c r="X6" i="10"/>
  <c r="T7" i="10"/>
  <c r="T12" i="10"/>
  <c r="Q13" i="10"/>
  <c r="X14" i="10"/>
  <c r="U15" i="10"/>
  <c r="R16" i="10"/>
  <c r="U21" i="10"/>
  <c r="W23" i="10"/>
  <c r="X24" i="10"/>
  <c r="O30" i="10"/>
  <c r="O31" i="10"/>
  <c r="U37" i="10"/>
  <c r="U38" i="10"/>
  <c r="W39" i="10"/>
  <c r="O46" i="10"/>
  <c r="Q48" i="10"/>
  <c r="Q49" i="10"/>
  <c r="X57" i="10"/>
  <c r="Y58" i="10"/>
  <c r="Y59" i="10"/>
  <c r="T68" i="10"/>
  <c r="U69" i="10"/>
  <c r="O78" i="10"/>
  <c r="T84" i="10"/>
  <c r="U85" i="10"/>
  <c r="O95" i="10"/>
  <c r="Z97" i="10"/>
  <c r="T102" i="10"/>
  <c r="AD106" i="10"/>
  <c r="O113" i="10"/>
  <c r="X120" i="10"/>
  <c r="R122" i="10"/>
  <c r="O145" i="10"/>
  <c r="T150" i="10"/>
  <c r="R152" i="10"/>
  <c r="V157" i="10"/>
  <c r="X164" i="10"/>
  <c r="T166" i="10"/>
  <c r="X171" i="10"/>
  <c r="O177" i="10"/>
  <c r="Z178" i="10"/>
  <c r="R184" i="10"/>
  <c r="T197" i="10"/>
  <c r="T211" i="10"/>
  <c r="X216" i="10"/>
  <c r="T227" i="10"/>
  <c r="X232" i="10"/>
  <c r="AD252" i="10"/>
  <c r="V256" i="10"/>
  <c r="O277" i="10"/>
  <c r="Z286" i="10"/>
  <c r="T312" i="10"/>
  <c r="X325" i="10"/>
  <c r="Y436" i="10"/>
  <c r="N268" i="10"/>
  <c r="U268" i="10"/>
  <c r="V268" i="10"/>
  <c r="T268" i="10"/>
  <c r="AD268" i="10"/>
  <c r="O268" i="10"/>
  <c r="Z268" i="10"/>
  <c r="X268" i="10"/>
  <c r="S268" i="10"/>
  <c r="W268" i="10"/>
  <c r="R268" i="10"/>
  <c r="N263" i="10"/>
  <c r="Y263" i="10"/>
  <c r="Q263" i="10"/>
  <c r="AD263" i="10"/>
  <c r="R263" i="10"/>
  <c r="Z263" i="10"/>
  <c r="O263" i="10"/>
  <c r="X263" i="10"/>
  <c r="V263" i="10"/>
  <c r="T263" i="10"/>
  <c r="S263" i="10"/>
  <c r="N258" i="10"/>
  <c r="U258" i="10"/>
  <c r="V258" i="10"/>
  <c r="T258" i="10"/>
  <c r="S258" i="10"/>
  <c r="AD258" i="10"/>
  <c r="Q258" i="10"/>
  <c r="Y258" i="10"/>
  <c r="Z258" i="10"/>
  <c r="X258" i="10"/>
  <c r="N245" i="10"/>
  <c r="Y245" i="10"/>
  <c r="Q245" i="10"/>
  <c r="V245" i="10"/>
  <c r="T245" i="10"/>
  <c r="S245" i="10"/>
  <c r="AD245" i="10"/>
  <c r="O245" i="10"/>
  <c r="X245" i="10"/>
  <c r="W245" i="10"/>
  <c r="U245" i="10"/>
  <c r="N240" i="10"/>
  <c r="U240" i="10"/>
  <c r="AD240" i="10"/>
  <c r="R240" i="10"/>
  <c r="Q240" i="10"/>
  <c r="Z240" i="10"/>
  <c r="O240" i="10"/>
  <c r="X240" i="10"/>
  <c r="V240" i="10"/>
  <c r="T240" i="10"/>
  <c r="S240" i="10"/>
  <c r="N229" i="10"/>
  <c r="V229" i="10"/>
  <c r="U229" i="10"/>
  <c r="AD229" i="10"/>
  <c r="S229" i="10"/>
  <c r="Y229" i="10"/>
  <c r="Q229" i="10"/>
  <c r="X229" i="10"/>
  <c r="W229" i="10"/>
  <c r="R229" i="10"/>
  <c r="O229" i="10"/>
  <c r="N222" i="10"/>
  <c r="Z222" i="10"/>
  <c r="R222" i="10"/>
  <c r="Y222" i="10"/>
  <c r="Q222" i="10"/>
  <c r="W222" i="10"/>
  <c r="U222" i="10"/>
  <c r="AD222" i="10"/>
  <c r="V222" i="10"/>
  <c r="T222" i="10"/>
  <c r="N220" i="10"/>
  <c r="Z220" i="10"/>
  <c r="R220" i="10"/>
  <c r="Y220" i="10"/>
  <c r="Q220" i="10"/>
  <c r="W220" i="10"/>
  <c r="U220" i="10"/>
  <c r="T220" i="10"/>
  <c r="S220" i="10"/>
  <c r="N213" i="10"/>
  <c r="V213" i="10"/>
  <c r="U213" i="10"/>
  <c r="AD213" i="10"/>
  <c r="S213" i="10"/>
  <c r="Y213" i="10"/>
  <c r="Q213" i="10"/>
  <c r="X213" i="10"/>
  <c r="W213" i="10"/>
  <c r="R213" i="10"/>
  <c r="O213" i="10"/>
  <c r="N206" i="10"/>
  <c r="Z206" i="10"/>
  <c r="R206" i="10"/>
  <c r="Y206" i="10"/>
  <c r="Q206" i="10"/>
  <c r="W206" i="10"/>
  <c r="U206" i="10"/>
  <c r="AD206" i="10"/>
  <c r="V206" i="10"/>
  <c r="T206" i="10"/>
  <c r="N199" i="10"/>
  <c r="V199" i="10"/>
  <c r="AD199" i="10"/>
  <c r="S199" i="10"/>
  <c r="Y199" i="10"/>
  <c r="Q199" i="10"/>
  <c r="R199" i="10"/>
  <c r="O199" i="10"/>
  <c r="Z199" i="10"/>
  <c r="X199" i="10"/>
  <c r="N192" i="10"/>
  <c r="W192" i="10"/>
  <c r="U192" i="10"/>
  <c r="Z192" i="10"/>
  <c r="O192" i="10"/>
  <c r="Y192" i="10"/>
  <c r="V192" i="10"/>
  <c r="T192" i="10"/>
  <c r="N187" i="10"/>
  <c r="AD187" i="10"/>
  <c r="S187" i="10"/>
  <c r="Y187" i="10"/>
  <c r="Q187" i="10"/>
  <c r="V187" i="10"/>
  <c r="U187" i="10"/>
  <c r="R187" i="10"/>
  <c r="O187" i="10"/>
  <c r="N185" i="10"/>
  <c r="AD185" i="10"/>
  <c r="S185" i="10"/>
  <c r="Y185" i="10"/>
  <c r="Q185" i="10"/>
  <c r="X185" i="10"/>
  <c r="W185" i="10"/>
  <c r="U185" i="10"/>
  <c r="T185" i="10"/>
  <c r="N180" i="10"/>
  <c r="W180" i="10"/>
  <c r="U180" i="10"/>
  <c r="T180" i="10"/>
  <c r="S180" i="10"/>
  <c r="AD180" i="10"/>
  <c r="Q180" i="10"/>
  <c r="Z180" i="10"/>
  <c r="O180" i="10"/>
  <c r="N173" i="10"/>
  <c r="AD173" i="10"/>
  <c r="S173" i="10"/>
  <c r="Y173" i="10"/>
  <c r="Q173" i="10"/>
  <c r="T173" i="10"/>
  <c r="R173" i="10"/>
  <c r="Z173" i="10"/>
  <c r="X173" i="10"/>
  <c r="N159" i="10"/>
  <c r="AD159" i="10"/>
  <c r="S159" i="10"/>
  <c r="Y159" i="10"/>
  <c r="Q159" i="10"/>
  <c r="O159" i="10"/>
  <c r="Z159" i="10"/>
  <c r="W159" i="10"/>
  <c r="V159" i="10"/>
  <c r="N154" i="10"/>
  <c r="W154" i="10"/>
  <c r="U154" i="10"/>
  <c r="X154" i="10"/>
  <c r="V154" i="10"/>
  <c r="S154" i="10"/>
  <c r="R154" i="10"/>
  <c r="N135" i="10"/>
  <c r="AD135" i="10"/>
  <c r="S135" i="10"/>
  <c r="Y135" i="10"/>
  <c r="Q135" i="10"/>
  <c r="O135" i="10"/>
  <c r="Z135" i="10"/>
  <c r="W135" i="10"/>
  <c r="V135" i="10"/>
  <c r="N128" i="10"/>
  <c r="W128" i="10"/>
  <c r="U128" i="10"/>
  <c r="Z128" i="10"/>
  <c r="O128" i="10"/>
  <c r="Y128" i="10"/>
  <c r="V128" i="10"/>
  <c r="T128" i="10"/>
  <c r="N126" i="10"/>
  <c r="W126" i="10"/>
  <c r="U126" i="10"/>
  <c r="R126" i="10"/>
  <c r="AD126" i="10"/>
  <c r="Q126" i="10"/>
  <c r="Y126" i="10"/>
  <c r="X126" i="10"/>
  <c r="N124" i="10"/>
  <c r="W124" i="10"/>
  <c r="U124" i="10"/>
  <c r="T124" i="10"/>
  <c r="S124" i="10"/>
  <c r="AD124" i="10"/>
  <c r="Q124" i="10"/>
  <c r="Z124" i="10"/>
  <c r="O124" i="10"/>
  <c r="N117" i="10"/>
  <c r="Y117" i="10"/>
  <c r="Q117" i="10"/>
  <c r="U117" i="10"/>
  <c r="T117" i="10"/>
  <c r="AD117" i="10"/>
  <c r="R117" i="10"/>
  <c r="Z117" i="10"/>
  <c r="O117" i="10"/>
  <c r="N99" i="10"/>
  <c r="Y99" i="10"/>
  <c r="Q99" i="10"/>
  <c r="AD99" i="10"/>
  <c r="R99" i="10"/>
  <c r="Z99" i="10"/>
  <c r="O99" i="10"/>
  <c r="W99" i="10"/>
  <c r="V99" i="10"/>
  <c r="N90" i="10"/>
  <c r="Z90" i="10"/>
  <c r="R90" i="10"/>
  <c r="W90" i="10"/>
  <c r="V90" i="10"/>
  <c r="N88" i="10"/>
  <c r="Z88" i="10"/>
  <c r="R88" i="10"/>
  <c r="W88" i="10"/>
  <c r="V88" i="10"/>
  <c r="N86" i="10"/>
  <c r="Z86" i="10"/>
  <c r="R86" i="10"/>
  <c r="W86" i="10"/>
  <c r="V86" i="10"/>
  <c r="N79" i="10"/>
  <c r="V79" i="10"/>
  <c r="AD79" i="10"/>
  <c r="S79" i="10"/>
  <c r="Z79" i="10"/>
  <c r="R79" i="10"/>
  <c r="N70" i="10"/>
  <c r="Z70" i="10"/>
  <c r="R70" i="10"/>
  <c r="W70" i="10"/>
  <c r="V70" i="10"/>
  <c r="N50" i="10"/>
  <c r="Z50" i="10"/>
  <c r="R50" i="10"/>
  <c r="W50" i="10"/>
  <c r="V50" i="10"/>
  <c r="N43" i="10"/>
  <c r="V43" i="10"/>
  <c r="AD43" i="10"/>
  <c r="S43" i="10"/>
  <c r="Z43" i="10"/>
  <c r="R43" i="10"/>
  <c r="N41" i="10"/>
  <c r="V41" i="10"/>
  <c r="AD41" i="10"/>
  <c r="S41" i="10"/>
  <c r="Z41" i="10"/>
  <c r="R41" i="10"/>
  <c r="N32" i="10"/>
  <c r="Z32" i="10"/>
  <c r="R32" i="10"/>
  <c r="W32" i="10"/>
  <c r="V32" i="10"/>
  <c r="N27" i="10"/>
  <c r="V27" i="10"/>
  <c r="AD27" i="10"/>
  <c r="S27" i="10"/>
  <c r="Z27" i="10"/>
  <c r="R27" i="10"/>
  <c r="N25" i="10"/>
  <c r="V25" i="10"/>
  <c r="AD25" i="10"/>
  <c r="S25" i="10"/>
  <c r="Z25" i="10"/>
  <c r="R25" i="10"/>
  <c r="N18" i="10"/>
  <c r="Z18" i="10"/>
  <c r="R18" i="10"/>
  <c r="W18" i="10"/>
  <c r="N16" i="10"/>
  <c r="W16" i="10"/>
  <c r="Q2" i="10"/>
  <c r="Y2" i="10"/>
  <c r="S16" i="10"/>
  <c r="X18" i="10"/>
  <c r="Y25" i="10"/>
  <c r="S32" i="10"/>
  <c r="Y41" i="10"/>
  <c r="T50" i="10"/>
  <c r="X70" i="10"/>
  <c r="Q79" i="10"/>
  <c r="X86" i="10"/>
  <c r="Y88" i="10"/>
  <c r="AD90" i="10"/>
  <c r="U99" i="10"/>
  <c r="X117" i="10"/>
  <c r="Q154" i="10"/>
  <c r="U159" i="10"/>
  <c r="W173" i="10"/>
  <c r="Y180" i="10"/>
  <c r="Z187" i="10"/>
  <c r="W199" i="10"/>
  <c r="S206" i="10"/>
  <c r="S222" i="10"/>
  <c r="Q268" i="10"/>
  <c r="N512" i="10"/>
  <c r="X512" i="10"/>
  <c r="O512" i="10"/>
  <c r="V512" i="10"/>
  <c r="Z512" i="10"/>
  <c r="Y512" i="10"/>
  <c r="U512" i="10"/>
  <c r="T512" i="10"/>
  <c r="R512" i="10"/>
  <c r="Q512" i="10"/>
  <c r="AD512" i="10"/>
  <c r="W512" i="10"/>
  <c r="S512" i="10"/>
  <c r="N447" i="10"/>
  <c r="V447" i="10"/>
  <c r="Y447" i="10"/>
  <c r="O447" i="10"/>
  <c r="W447" i="10"/>
  <c r="T447" i="10"/>
  <c r="U447" i="10"/>
  <c r="S447" i="10"/>
  <c r="Q447" i="10"/>
  <c r="Z447" i="10"/>
  <c r="X447" i="10"/>
  <c r="AD447" i="10"/>
  <c r="R447" i="10"/>
  <c r="N376" i="10"/>
  <c r="V376" i="10"/>
  <c r="AD376" i="10"/>
  <c r="S376" i="10"/>
  <c r="Z376" i="10"/>
  <c r="R376" i="10"/>
  <c r="X376" i="10"/>
  <c r="W376" i="10"/>
  <c r="Q376" i="10"/>
  <c r="Y376" i="10"/>
  <c r="T376" i="10"/>
  <c r="O376" i="10"/>
  <c r="U376" i="10"/>
  <c r="N369" i="10"/>
  <c r="Z369" i="10"/>
  <c r="R369" i="10"/>
  <c r="W369" i="10"/>
  <c r="V369" i="10"/>
  <c r="S369" i="10"/>
  <c r="Q369" i="10"/>
  <c r="Y369" i="10"/>
  <c r="AD369" i="10"/>
  <c r="U369" i="10"/>
  <c r="T369" i="10"/>
  <c r="X369" i="10"/>
  <c r="N362" i="10"/>
  <c r="AD362" i="10"/>
  <c r="S362" i="10"/>
  <c r="Z362" i="10"/>
  <c r="R362" i="10"/>
  <c r="Y362" i="10"/>
  <c r="X362" i="10"/>
  <c r="U362" i="10"/>
  <c r="W362" i="10"/>
  <c r="V362" i="10"/>
  <c r="Q362" i="10"/>
  <c r="O362" i="10"/>
  <c r="N353" i="10"/>
  <c r="V353" i="10"/>
  <c r="W353" i="10"/>
  <c r="U353" i="10"/>
  <c r="AD353" i="10"/>
  <c r="R353" i="10"/>
  <c r="S353" i="10"/>
  <c r="Q353" i="10"/>
  <c r="Z353" i="10"/>
  <c r="Y353" i="10"/>
  <c r="T353" i="10"/>
  <c r="X353" i="10"/>
  <c r="O353" i="10"/>
  <c r="N335" i="10"/>
  <c r="U335" i="10"/>
  <c r="Y335" i="10"/>
  <c r="Q335" i="10"/>
  <c r="X335" i="10"/>
  <c r="W335" i="10"/>
  <c r="T335" i="10"/>
  <c r="S335" i="10"/>
  <c r="O335" i="10"/>
  <c r="Z335" i="10"/>
  <c r="V335" i="10"/>
  <c r="R335" i="10"/>
  <c r="N309" i="10"/>
  <c r="U309" i="10"/>
  <c r="Y309" i="10"/>
  <c r="Q309" i="10"/>
  <c r="AD309" i="10"/>
  <c r="O309" i="10"/>
  <c r="W309" i="10"/>
  <c r="V309" i="10"/>
  <c r="Z309" i="10"/>
  <c r="X309" i="10"/>
  <c r="S309" i="10"/>
  <c r="N296" i="10"/>
  <c r="U296" i="10"/>
  <c r="AD296" i="10"/>
  <c r="R296" i="10"/>
  <c r="X296" i="10"/>
  <c r="W296" i="10"/>
  <c r="Z296" i="10"/>
  <c r="Y296" i="10"/>
  <c r="T296" i="10"/>
  <c r="Q296" i="10"/>
  <c r="O296" i="10"/>
  <c r="N294" i="10"/>
  <c r="U294" i="10"/>
  <c r="X294" i="10"/>
  <c r="T294" i="10"/>
  <c r="S294" i="10"/>
  <c r="V294" i="10"/>
  <c r="R294" i="10"/>
  <c r="O294" i="10"/>
  <c r="Z294" i="10"/>
  <c r="AD294" i="10"/>
  <c r="Y294" i="10"/>
  <c r="N274" i="10"/>
  <c r="U274" i="10"/>
  <c r="Z274" i="10"/>
  <c r="Q274" i="10"/>
  <c r="W274" i="10"/>
  <c r="V274" i="10"/>
  <c r="AD274" i="10"/>
  <c r="Y274" i="10"/>
  <c r="T274" i="10"/>
  <c r="R274" i="10"/>
  <c r="O274" i="10"/>
  <c r="N260" i="10"/>
  <c r="U260" i="10"/>
  <c r="Y260" i="10"/>
  <c r="O260" i="10"/>
  <c r="R260" i="10"/>
  <c r="AD260" i="10"/>
  <c r="Q260" i="10"/>
  <c r="X260" i="10"/>
  <c r="V260" i="10"/>
  <c r="W260" i="10"/>
  <c r="T260" i="10"/>
  <c r="N253" i="10"/>
  <c r="Y253" i="10"/>
  <c r="Q253" i="10"/>
  <c r="AD253" i="10"/>
  <c r="R253" i="10"/>
  <c r="S253" i="10"/>
  <c r="O253" i="10"/>
  <c r="X253" i="10"/>
  <c r="V253" i="10"/>
  <c r="W253" i="10"/>
  <c r="U253" i="10"/>
  <c r="N242" i="10"/>
  <c r="U242" i="10"/>
  <c r="V242" i="10"/>
  <c r="Y242" i="10"/>
  <c r="X242" i="10"/>
  <c r="T242" i="10"/>
  <c r="R242" i="10"/>
  <c r="Q242" i="10"/>
  <c r="O242" i="10"/>
  <c r="AD242" i="10"/>
  <c r="N235" i="10"/>
  <c r="X235" i="10"/>
  <c r="O235" i="10"/>
  <c r="Z235" i="10"/>
  <c r="Q235" i="10"/>
  <c r="Y235" i="10"/>
  <c r="V235" i="10"/>
  <c r="T235" i="10"/>
  <c r="S235" i="10"/>
  <c r="R235" i="10"/>
  <c r="N233" i="10"/>
  <c r="X233" i="10"/>
  <c r="V233" i="10"/>
  <c r="U233" i="10"/>
  <c r="S233" i="10"/>
  <c r="Z233" i="10"/>
  <c r="Q233" i="10"/>
  <c r="Y233" i="10"/>
  <c r="W233" i="10"/>
  <c r="R233" i="10"/>
  <c r="O233" i="10"/>
  <c r="N226" i="10"/>
  <c r="Z226" i="10"/>
  <c r="R226" i="10"/>
  <c r="Y226" i="10"/>
  <c r="Q226" i="10"/>
  <c r="W226" i="10"/>
  <c r="U226" i="10"/>
  <c r="AD226" i="10"/>
  <c r="V226" i="10"/>
  <c r="T226" i="10"/>
  <c r="N217" i="10"/>
  <c r="V217" i="10"/>
  <c r="U217" i="10"/>
  <c r="AD217" i="10"/>
  <c r="S217" i="10"/>
  <c r="Y217" i="10"/>
  <c r="Q217" i="10"/>
  <c r="X217" i="10"/>
  <c r="W217" i="10"/>
  <c r="R217" i="10"/>
  <c r="O217" i="10"/>
  <c r="N210" i="10"/>
  <c r="Z210" i="10"/>
  <c r="R210" i="10"/>
  <c r="Y210" i="10"/>
  <c r="Q210" i="10"/>
  <c r="W210" i="10"/>
  <c r="U210" i="10"/>
  <c r="AD210" i="10"/>
  <c r="V210" i="10"/>
  <c r="T210" i="10"/>
  <c r="N203" i="10"/>
  <c r="V203" i="10"/>
  <c r="AD203" i="10"/>
  <c r="S203" i="10"/>
  <c r="Y203" i="10"/>
  <c r="Q203" i="10"/>
  <c r="U203" i="10"/>
  <c r="T203" i="10"/>
  <c r="O203" i="10"/>
  <c r="N201" i="10"/>
  <c r="V201" i="10"/>
  <c r="AD201" i="10"/>
  <c r="S201" i="10"/>
  <c r="Y201" i="10"/>
  <c r="Q201" i="10"/>
  <c r="T201" i="10"/>
  <c r="R201" i="10"/>
  <c r="Z201" i="10"/>
  <c r="N196" i="10"/>
  <c r="Z196" i="10"/>
  <c r="R196" i="10"/>
  <c r="W196" i="10"/>
  <c r="U196" i="10"/>
  <c r="O196" i="10"/>
  <c r="AD196" i="10"/>
  <c r="X196" i="10"/>
  <c r="V196" i="10"/>
  <c r="N189" i="10"/>
  <c r="AD189" i="10"/>
  <c r="S189" i="10"/>
  <c r="Y189" i="10"/>
  <c r="Q189" i="10"/>
  <c r="T189" i="10"/>
  <c r="R189" i="10"/>
  <c r="Z189" i="10"/>
  <c r="X189" i="10"/>
  <c r="N170" i="10"/>
  <c r="W170" i="10"/>
  <c r="U170" i="10"/>
  <c r="X170" i="10"/>
  <c r="V170" i="10"/>
  <c r="S170" i="10"/>
  <c r="R170" i="10"/>
  <c r="N151" i="10"/>
  <c r="AD151" i="10"/>
  <c r="S151" i="10"/>
  <c r="Y151" i="10"/>
  <c r="Q151" i="10"/>
  <c r="O151" i="10"/>
  <c r="Z151" i="10"/>
  <c r="W151" i="10"/>
  <c r="V151" i="10"/>
  <c r="N146" i="10"/>
  <c r="W146" i="10"/>
  <c r="U146" i="10"/>
  <c r="X146" i="10"/>
  <c r="V146" i="10"/>
  <c r="S146" i="10"/>
  <c r="R146" i="10"/>
  <c r="N144" i="10"/>
  <c r="W144" i="10"/>
  <c r="U144" i="10"/>
  <c r="Z144" i="10"/>
  <c r="O144" i="10"/>
  <c r="Y144" i="10"/>
  <c r="V144" i="10"/>
  <c r="T144" i="10"/>
  <c r="N139" i="10"/>
  <c r="AD139" i="10"/>
  <c r="S139" i="10"/>
  <c r="Y139" i="10"/>
  <c r="Q139" i="10"/>
  <c r="V139" i="10"/>
  <c r="U139" i="10"/>
  <c r="R139" i="10"/>
  <c r="O139" i="10"/>
  <c r="N121" i="10"/>
  <c r="Y121" i="10"/>
  <c r="Q121" i="10"/>
  <c r="S121" i="10"/>
  <c r="AD121" i="10"/>
  <c r="R121" i="10"/>
  <c r="X121" i="10"/>
  <c r="W121" i="10"/>
  <c r="N114" i="10"/>
  <c r="U114" i="10"/>
  <c r="T114" i="10"/>
  <c r="S114" i="10"/>
  <c r="Z114" i="10"/>
  <c r="Q114" i="10"/>
  <c r="Y114" i="10"/>
  <c r="O114" i="10"/>
  <c r="N103" i="10"/>
  <c r="Y103" i="10"/>
  <c r="Q103" i="10"/>
  <c r="X103" i="10"/>
  <c r="W103" i="10"/>
  <c r="U103" i="10"/>
  <c r="T103" i="10"/>
  <c r="N96" i="10"/>
  <c r="Z96" i="10"/>
  <c r="R96" i="10"/>
  <c r="Y96" i="10"/>
  <c r="Q96" i="10"/>
  <c r="W96" i="10"/>
  <c r="V96" i="10"/>
  <c r="N94" i="10"/>
  <c r="Z94" i="10"/>
  <c r="R94" i="10"/>
  <c r="W94" i="10"/>
  <c r="V94" i="10"/>
  <c r="N92" i="10"/>
  <c r="Z92" i="10"/>
  <c r="R92" i="10"/>
  <c r="W92" i="10"/>
  <c r="V92" i="10"/>
  <c r="N76" i="10"/>
  <c r="Z76" i="10"/>
  <c r="R76" i="10"/>
  <c r="W76" i="10"/>
  <c r="V76" i="10"/>
  <c r="N56" i="10"/>
  <c r="Z56" i="10"/>
  <c r="R56" i="10"/>
  <c r="W56" i="10"/>
  <c r="V56" i="10"/>
  <c r="N47" i="10"/>
  <c r="V47" i="10"/>
  <c r="AD47" i="10"/>
  <c r="S47" i="10"/>
  <c r="Z47" i="10"/>
  <c r="R47" i="10"/>
  <c r="N36" i="10"/>
  <c r="Z36" i="10"/>
  <c r="R36" i="10"/>
  <c r="W36" i="10"/>
  <c r="V36" i="10"/>
  <c r="N29" i="10"/>
  <c r="V29" i="10"/>
  <c r="AD29" i="10"/>
  <c r="S29" i="10"/>
  <c r="Z29" i="10"/>
  <c r="R29" i="10"/>
  <c r="N22" i="10"/>
  <c r="Z22" i="10"/>
  <c r="R22" i="10"/>
  <c r="W22" i="10"/>
  <c r="V22" i="10"/>
  <c r="N13" i="10"/>
  <c r="AD13" i="10"/>
  <c r="S13" i="10"/>
  <c r="S2" i="10"/>
  <c r="AD2" i="10"/>
  <c r="S4" i="10"/>
  <c r="AD4" i="10"/>
  <c r="W5" i="10"/>
  <c r="S6" i="10"/>
  <c r="AD6" i="10"/>
  <c r="W7" i="10"/>
  <c r="X12" i="10"/>
  <c r="U13" i="10"/>
  <c r="R14" i="10"/>
  <c r="AD14" i="10"/>
  <c r="U16" i="10"/>
  <c r="O18" i="10"/>
  <c r="AD18" i="10"/>
  <c r="Y21" i="10"/>
  <c r="AD22" i="10"/>
  <c r="O25" i="10"/>
  <c r="Q27" i="10"/>
  <c r="T29" i="10"/>
  <c r="T30" i="10"/>
  <c r="U32" i="10"/>
  <c r="Y36" i="10"/>
  <c r="Y37" i="10"/>
  <c r="O41" i="10"/>
  <c r="Q43" i="10"/>
  <c r="T46" i="10"/>
  <c r="U47" i="10"/>
  <c r="U48" i="10"/>
  <c r="X50" i="10"/>
  <c r="O56" i="10"/>
  <c r="O57" i="10"/>
  <c r="Q59" i="10"/>
  <c r="Y68" i="10"/>
  <c r="AD70" i="10"/>
  <c r="S76" i="10"/>
  <c r="T77" i="10"/>
  <c r="U79" i="10"/>
  <c r="Y84" i="10"/>
  <c r="AD86" i="10"/>
  <c r="O88" i="10"/>
  <c r="Q90" i="10"/>
  <c r="S92" i="10"/>
  <c r="T93" i="10"/>
  <c r="T94" i="10"/>
  <c r="W95" i="10"/>
  <c r="AD96" i="10"/>
  <c r="O103" i="10"/>
  <c r="W104" i="10"/>
  <c r="Q106" i="10"/>
  <c r="X113" i="10"/>
  <c r="S115" i="10"/>
  <c r="T121" i="10"/>
  <c r="Z122" i="10"/>
  <c r="V124" i="10"/>
  <c r="S126" i="10"/>
  <c r="Q128" i="10"/>
  <c r="W131" i="10"/>
  <c r="U133" i="10"/>
  <c r="R135" i="10"/>
  <c r="V140" i="10"/>
  <c r="Q144" i="10"/>
  <c r="Z145" i="10"/>
  <c r="W147" i="10"/>
  <c r="R151" i="10"/>
  <c r="AD152" i="10"/>
  <c r="Y154" i="10"/>
  <c r="Y170" i="10"/>
  <c r="Q176" i="10"/>
  <c r="R183" i="10"/>
  <c r="S190" i="10"/>
  <c r="Q192" i="10"/>
  <c r="Q196" i="10"/>
  <c r="V202" i="10"/>
  <c r="X204" i="10"/>
  <c r="Z217" i="10"/>
  <c r="V220" i="10"/>
  <c r="Z225" i="10"/>
  <c r="AD233" i="10"/>
  <c r="W240" i="10"/>
  <c r="V254" i="10"/>
  <c r="O258" i="10"/>
  <c r="U261" i="10"/>
  <c r="S274" i="10"/>
  <c r="Q284" i="10"/>
  <c r="Z288" i="10"/>
  <c r="R309" i="10"/>
  <c r="X314" i="10"/>
  <c r="AD335" i="10"/>
  <c r="O343" i="10"/>
  <c r="U567" i="10"/>
  <c r="AD567" i="10"/>
  <c r="R567" i="10"/>
  <c r="X567" i="10"/>
  <c r="W567" i="10"/>
  <c r="V567" i="10"/>
  <c r="Q567" i="10"/>
  <c r="N567" i="10"/>
  <c r="Y567" i="10"/>
  <c r="S567" i="10"/>
  <c r="Z567" i="10"/>
  <c r="T567" i="10"/>
  <c r="O567" i="10"/>
  <c r="X552" i="10"/>
  <c r="O552" i="10"/>
  <c r="U552" i="10"/>
  <c r="N552" i="10"/>
  <c r="Z552" i="10"/>
  <c r="T552" i="10"/>
  <c r="V552" i="10"/>
  <c r="R552" i="10"/>
  <c r="Y552" i="10"/>
  <c r="W552" i="10"/>
  <c r="S552" i="10"/>
  <c r="Q552" i="10"/>
  <c r="AD552" i="10"/>
  <c r="N547" i="10"/>
  <c r="Y547" i="10"/>
  <c r="Q547" i="10"/>
  <c r="S547" i="10"/>
  <c r="W547" i="10"/>
  <c r="R547" i="10"/>
  <c r="AD547" i="10"/>
  <c r="X547" i="10"/>
  <c r="V547" i="10"/>
  <c r="U547" i="10"/>
  <c r="O547" i="10"/>
  <c r="Z547" i="10"/>
  <c r="T547" i="10"/>
  <c r="Y537" i="10"/>
  <c r="Q537" i="10"/>
  <c r="T537" i="10"/>
  <c r="X537" i="10"/>
  <c r="O537" i="10"/>
  <c r="Z537" i="10"/>
  <c r="V537" i="10"/>
  <c r="AD537" i="10"/>
  <c r="N537" i="10"/>
  <c r="W537" i="10"/>
  <c r="S537" i="10"/>
  <c r="R537" i="10"/>
  <c r="U537" i="10"/>
  <c r="U530" i="10"/>
  <c r="Z530" i="10"/>
  <c r="AD530" i="10"/>
  <c r="X530" i="10"/>
  <c r="V530" i="10"/>
  <c r="Q530" i="10"/>
  <c r="O530" i="10"/>
  <c r="Y530" i="10"/>
  <c r="W530" i="10"/>
  <c r="T530" i="10"/>
  <c r="R530" i="10"/>
  <c r="N530" i="10"/>
  <c r="S530" i="10"/>
  <c r="Y525" i="10"/>
  <c r="Q525" i="10"/>
  <c r="N525" i="10"/>
  <c r="T525" i="10"/>
  <c r="AD525" i="10"/>
  <c r="R525" i="10"/>
  <c r="Z525" i="10"/>
  <c r="W525" i="10"/>
  <c r="V525" i="10"/>
  <c r="S525" i="10"/>
  <c r="O525" i="10"/>
  <c r="X525" i="10"/>
  <c r="U525" i="10"/>
  <c r="N510" i="10"/>
  <c r="V510" i="10"/>
  <c r="U510" i="10"/>
  <c r="AD510" i="10"/>
  <c r="S510" i="10"/>
  <c r="Z510" i="10"/>
  <c r="R510" i="10"/>
  <c r="X510" i="10"/>
  <c r="W510" i="10"/>
  <c r="Q510" i="10"/>
  <c r="Y510" i="10"/>
  <c r="O510" i="10"/>
  <c r="T510" i="10"/>
  <c r="N500" i="10"/>
  <c r="V500" i="10"/>
  <c r="U500" i="10"/>
  <c r="AD500" i="10"/>
  <c r="S500" i="10"/>
  <c r="Z500" i="10"/>
  <c r="R500" i="10"/>
  <c r="O500" i="10"/>
  <c r="Y500" i="10"/>
  <c r="W500" i="10"/>
  <c r="T500" i="10"/>
  <c r="Q500" i="10"/>
  <c r="X500" i="10"/>
  <c r="N488" i="10"/>
  <c r="V488" i="10"/>
  <c r="AD488" i="10"/>
  <c r="S488" i="10"/>
  <c r="Z488" i="10"/>
  <c r="R488" i="10"/>
  <c r="W488" i="10"/>
  <c r="U488" i="10"/>
  <c r="Q488" i="10"/>
  <c r="Y488" i="10"/>
  <c r="T488" i="10"/>
  <c r="O488" i="10"/>
  <c r="X488" i="10"/>
  <c r="N481" i="10"/>
  <c r="Z481" i="10"/>
  <c r="R481" i="10"/>
  <c r="W481" i="10"/>
  <c r="V481" i="10"/>
  <c r="Q481" i="10"/>
  <c r="O481" i="10"/>
  <c r="Y481" i="10"/>
  <c r="U481" i="10"/>
  <c r="T481" i="10"/>
  <c r="S481" i="10"/>
  <c r="AD481" i="10"/>
  <c r="X481" i="10"/>
  <c r="N474" i="10"/>
  <c r="V474" i="10"/>
  <c r="AD474" i="10"/>
  <c r="S474" i="10"/>
  <c r="Z474" i="10"/>
  <c r="R474" i="10"/>
  <c r="W474" i="10"/>
  <c r="T474" i="10"/>
  <c r="O474" i="10"/>
  <c r="Y474" i="10"/>
  <c r="X474" i="10"/>
  <c r="Q474" i="10"/>
  <c r="U474" i="10"/>
  <c r="N472" i="10"/>
  <c r="V472" i="10"/>
  <c r="AD472" i="10"/>
  <c r="S472" i="10"/>
  <c r="Z472" i="10"/>
  <c r="R472" i="10"/>
  <c r="U472" i="10"/>
  <c r="Q472" i="10"/>
  <c r="O472" i="10"/>
  <c r="Y472" i="10"/>
  <c r="W472" i="10"/>
  <c r="X472" i="10"/>
  <c r="T472" i="10"/>
  <c r="N463" i="10"/>
  <c r="Z463" i="10"/>
  <c r="R463" i="10"/>
  <c r="W463" i="10"/>
  <c r="V463" i="10"/>
  <c r="AD463" i="10"/>
  <c r="X463" i="10"/>
  <c r="T463" i="10"/>
  <c r="U463" i="10"/>
  <c r="S463" i="10"/>
  <c r="O463" i="10"/>
  <c r="Y463" i="10"/>
  <c r="Q463" i="10"/>
  <c r="N456" i="10"/>
  <c r="V456" i="10"/>
  <c r="AD456" i="10"/>
  <c r="S456" i="10"/>
  <c r="Z456" i="10"/>
  <c r="R456" i="10"/>
  <c r="U456" i="10"/>
  <c r="Q456" i="10"/>
  <c r="X456" i="10"/>
  <c r="W456" i="10"/>
  <c r="O456" i="10"/>
  <c r="Y456" i="10"/>
  <c r="T456" i="10"/>
  <c r="N442" i="10"/>
  <c r="X442" i="10"/>
  <c r="O442" i="10"/>
  <c r="V442" i="10"/>
  <c r="W442" i="10"/>
  <c r="U442" i="10"/>
  <c r="S442" i="10"/>
  <c r="R442" i="10"/>
  <c r="Z442" i="10"/>
  <c r="AD442" i="10"/>
  <c r="Y442" i="10"/>
  <c r="Q442" i="10"/>
  <c r="N440" i="10"/>
  <c r="X440" i="10"/>
  <c r="O440" i="10"/>
  <c r="V440" i="10"/>
  <c r="Z440" i="10"/>
  <c r="Y440" i="10"/>
  <c r="U440" i="10"/>
  <c r="T440" i="10"/>
  <c r="R440" i="10"/>
  <c r="Q440" i="10"/>
  <c r="S440" i="10"/>
  <c r="W440" i="10"/>
  <c r="AD440" i="10"/>
  <c r="N433" i="10"/>
  <c r="T433" i="10"/>
  <c r="Z433" i="10"/>
  <c r="R433" i="10"/>
  <c r="X433" i="10"/>
  <c r="W433" i="10"/>
  <c r="U433" i="10"/>
  <c r="S433" i="10"/>
  <c r="O433" i="10"/>
  <c r="AD433" i="10"/>
  <c r="V433" i="10"/>
  <c r="Q433" i="10"/>
  <c r="Y433" i="10"/>
  <c r="N431" i="10"/>
  <c r="T431" i="10"/>
  <c r="Z431" i="10"/>
  <c r="R431" i="10"/>
  <c r="AD431" i="10"/>
  <c r="O431" i="10"/>
  <c r="Y431" i="10"/>
  <c r="W431" i="10"/>
  <c r="V431" i="10"/>
  <c r="S431" i="10"/>
  <c r="Q431" i="10"/>
  <c r="X431" i="10"/>
  <c r="U431" i="10"/>
  <c r="N426" i="10"/>
  <c r="X426" i="10"/>
  <c r="O426" i="10"/>
  <c r="V426" i="10"/>
  <c r="W426" i="10"/>
  <c r="U426" i="10"/>
  <c r="S426" i="10"/>
  <c r="R426" i="10"/>
  <c r="Z426" i="10"/>
  <c r="Q426" i="10"/>
  <c r="Y426" i="10"/>
  <c r="T426" i="10"/>
  <c r="N424" i="10"/>
  <c r="X424" i="10"/>
  <c r="O424" i="10"/>
  <c r="V424" i="10"/>
  <c r="Z424" i="10"/>
  <c r="Y424" i="10"/>
  <c r="U424" i="10"/>
  <c r="T424" i="10"/>
  <c r="R424" i="10"/>
  <c r="Q424" i="10"/>
  <c r="AD424" i="10"/>
  <c r="W424" i="10"/>
  <c r="S424" i="10"/>
  <c r="N413" i="10"/>
  <c r="T413" i="10"/>
  <c r="Z413" i="10"/>
  <c r="R413" i="10"/>
  <c r="S413" i="10"/>
  <c r="Q413" i="10"/>
  <c r="Y413" i="10"/>
  <c r="X413" i="10"/>
  <c r="V413" i="10"/>
  <c r="U413" i="10"/>
  <c r="W413" i="10"/>
  <c r="O413" i="10"/>
  <c r="N406" i="10"/>
  <c r="V406" i="10"/>
  <c r="W406" i="10"/>
  <c r="U406" i="10"/>
  <c r="S406" i="10"/>
  <c r="AD406" i="10"/>
  <c r="R406" i="10"/>
  <c r="Y406" i="10"/>
  <c r="X406" i="10"/>
  <c r="O406" i="10"/>
  <c r="T406" i="10"/>
  <c r="Q406" i="10"/>
  <c r="Z406" i="10"/>
  <c r="N399" i="10"/>
  <c r="Z399" i="10"/>
  <c r="R399" i="10"/>
  <c r="X399" i="10"/>
  <c r="U399" i="10"/>
  <c r="T399" i="10"/>
  <c r="Q399" i="10"/>
  <c r="O399" i="10"/>
  <c r="Y399" i="10"/>
  <c r="W399" i="10"/>
  <c r="V399" i="10"/>
  <c r="S399" i="10"/>
  <c r="N392" i="10"/>
  <c r="V392" i="10"/>
  <c r="Z392" i="10"/>
  <c r="Q392" i="10"/>
  <c r="W392" i="10"/>
  <c r="U392" i="10"/>
  <c r="AD392" i="10"/>
  <c r="T392" i="10"/>
  <c r="X392" i="10"/>
  <c r="S392" i="10"/>
  <c r="O392" i="10"/>
  <c r="Y392" i="10"/>
  <c r="N383" i="10"/>
  <c r="Z383" i="10"/>
  <c r="R383" i="10"/>
  <c r="W383" i="10"/>
  <c r="V383" i="10"/>
  <c r="Q383" i="10"/>
  <c r="O383" i="10"/>
  <c r="X383" i="10"/>
  <c r="Y383" i="10"/>
  <c r="U383" i="10"/>
  <c r="S383" i="10"/>
  <c r="AD383" i="10"/>
  <c r="T383" i="10"/>
  <c r="N378" i="10"/>
  <c r="V378" i="10"/>
  <c r="AD378" i="10"/>
  <c r="S378" i="10"/>
  <c r="Z378" i="10"/>
  <c r="R378" i="10"/>
  <c r="Y378" i="10"/>
  <c r="X378" i="10"/>
  <c r="T378" i="10"/>
  <c r="W378" i="10"/>
  <c r="U378" i="10"/>
  <c r="O378" i="10"/>
  <c r="U569" i="10"/>
  <c r="V569" i="10"/>
  <c r="N569" i="10"/>
  <c r="AD569" i="10"/>
  <c r="R569" i="10"/>
  <c r="X569" i="10"/>
  <c r="W569" i="10"/>
  <c r="Q569" i="10"/>
  <c r="S569" i="10"/>
  <c r="Z569" i="10"/>
  <c r="T569" i="10"/>
  <c r="O569" i="10"/>
  <c r="Y569" i="10"/>
  <c r="X562" i="10"/>
  <c r="O562" i="10"/>
  <c r="U562" i="10"/>
  <c r="W562" i="10"/>
  <c r="R562" i="10"/>
  <c r="N562" i="10"/>
  <c r="Z562" i="10"/>
  <c r="V562" i="10"/>
  <c r="AD562" i="10"/>
  <c r="Y562" i="10"/>
  <c r="S562" i="10"/>
  <c r="Q562" i="10"/>
  <c r="T562" i="10"/>
  <c r="N557" i="10"/>
  <c r="T557" i="10"/>
  <c r="Y557" i="10"/>
  <c r="Q557" i="10"/>
  <c r="S557" i="10"/>
  <c r="X557" i="10"/>
  <c r="R557" i="10"/>
  <c r="Z557" i="10"/>
  <c r="U557" i="10"/>
  <c r="O557" i="10"/>
  <c r="W557" i="10"/>
  <c r="V557" i="10"/>
  <c r="U544" i="10"/>
  <c r="AD544" i="10"/>
  <c r="R544" i="10"/>
  <c r="W544" i="10"/>
  <c r="N544" i="10"/>
  <c r="Q544" i="10"/>
  <c r="Z544" i="10"/>
  <c r="X544" i="10"/>
  <c r="Y544" i="10"/>
  <c r="T544" i="10"/>
  <c r="S544" i="10"/>
  <c r="V544" i="10"/>
  <c r="N542" i="10"/>
  <c r="U542" i="10"/>
  <c r="X542" i="10"/>
  <c r="S542" i="10"/>
  <c r="Q542" i="10"/>
  <c r="Z542" i="10"/>
  <c r="W542" i="10"/>
  <c r="Y542" i="10"/>
  <c r="V542" i="10"/>
  <c r="T542" i="10"/>
  <c r="O542" i="10"/>
  <c r="AD542" i="10"/>
  <c r="R542" i="10"/>
  <c r="U532" i="10"/>
  <c r="T532" i="10"/>
  <c r="X532" i="10"/>
  <c r="N532" i="10"/>
  <c r="V532" i="10"/>
  <c r="R532" i="10"/>
  <c r="Y532" i="10"/>
  <c r="W532" i="10"/>
  <c r="Q532" i="10"/>
  <c r="O532" i="10"/>
  <c r="Z532" i="10"/>
  <c r="AD532" i="10"/>
  <c r="S532" i="10"/>
  <c r="U522" i="10"/>
  <c r="S522" i="10"/>
  <c r="Z522" i="10"/>
  <c r="Q522" i="10"/>
  <c r="AD522" i="10"/>
  <c r="N522" i="10"/>
  <c r="Y522" i="10"/>
  <c r="W522" i="10"/>
  <c r="V522" i="10"/>
  <c r="T522" i="10"/>
  <c r="O522" i="10"/>
  <c r="X522" i="10"/>
  <c r="R522" i="10"/>
  <c r="N517" i="10"/>
  <c r="T517" i="10"/>
  <c r="Z517" i="10"/>
  <c r="R517" i="10"/>
  <c r="S517" i="10"/>
  <c r="Q517" i="10"/>
  <c r="Y517" i="10"/>
  <c r="X517" i="10"/>
  <c r="V517" i="10"/>
  <c r="U517" i="10"/>
  <c r="AD517" i="10"/>
  <c r="W517" i="10"/>
  <c r="O517" i="10"/>
  <c r="N507" i="10"/>
  <c r="Z507" i="10"/>
  <c r="R507" i="10"/>
  <c r="Y507" i="10"/>
  <c r="Q507" i="10"/>
  <c r="W507" i="10"/>
  <c r="V507" i="10"/>
  <c r="AD507" i="10"/>
  <c r="U507" i="10"/>
  <c r="S507" i="10"/>
  <c r="T507" i="10"/>
  <c r="O507" i="10"/>
  <c r="X507" i="10"/>
  <c r="N502" i="10"/>
  <c r="V502" i="10"/>
  <c r="U502" i="10"/>
  <c r="AD502" i="10"/>
  <c r="S502" i="10"/>
  <c r="Z502" i="10"/>
  <c r="R502" i="10"/>
  <c r="X502" i="10"/>
  <c r="W502" i="10"/>
  <c r="Q502" i="10"/>
  <c r="Y502" i="10"/>
  <c r="O502" i="10"/>
  <c r="N495" i="10"/>
  <c r="Z495" i="10"/>
  <c r="R495" i="10"/>
  <c r="Y495" i="10"/>
  <c r="Q495" i="10"/>
  <c r="W495" i="10"/>
  <c r="V495" i="10"/>
  <c r="AD495" i="10"/>
  <c r="U495" i="10"/>
  <c r="S495" i="10"/>
  <c r="O495" i="10"/>
  <c r="X495" i="10"/>
  <c r="T495" i="10"/>
  <c r="N483" i="10"/>
  <c r="Z483" i="10"/>
  <c r="R483" i="10"/>
  <c r="W483" i="10"/>
  <c r="V483" i="10"/>
  <c r="S483" i="10"/>
  <c r="Q483" i="10"/>
  <c r="AD483" i="10"/>
  <c r="X483" i="10"/>
  <c r="U483" i="10"/>
  <c r="T483" i="10"/>
  <c r="Y483" i="10"/>
  <c r="O483" i="10"/>
  <c r="N476" i="10"/>
  <c r="V476" i="10"/>
  <c r="AD476" i="10"/>
  <c r="S476" i="10"/>
  <c r="Z476" i="10"/>
  <c r="R476" i="10"/>
  <c r="X476" i="10"/>
  <c r="U476" i="10"/>
  <c r="Q476" i="10"/>
  <c r="W476" i="10"/>
  <c r="T476" i="10"/>
  <c r="Y476" i="10"/>
  <c r="O476" i="10"/>
  <c r="N465" i="10"/>
  <c r="Z465" i="10"/>
  <c r="R465" i="10"/>
  <c r="W465" i="10"/>
  <c r="V465" i="10"/>
  <c r="O465" i="10"/>
  <c r="Y465" i="10"/>
  <c r="U465" i="10"/>
  <c r="S465" i="10"/>
  <c r="Q465" i="10"/>
  <c r="X465" i="10"/>
  <c r="AD465" i="10"/>
  <c r="T465" i="10"/>
  <c r="N458" i="10"/>
  <c r="V458" i="10"/>
  <c r="AD458" i="10"/>
  <c r="S458" i="10"/>
  <c r="Z458" i="10"/>
  <c r="R458" i="10"/>
  <c r="W458" i="10"/>
  <c r="T458" i="10"/>
  <c r="O458" i="10"/>
  <c r="U458" i="10"/>
  <c r="Q458" i="10"/>
  <c r="Y458" i="10"/>
  <c r="X458" i="10"/>
  <c r="N449" i="10"/>
  <c r="W449" i="10"/>
  <c r="V449" i="10"/>
  <c r="T449" i="10"/>
  <c r="R449" i="10"/>
  <c r="Z449" i="10"/>
  <c r="O449" i="10"/>
  <c r="AD449" i="10"/>
  <c r="X449" i="10"/>
  <c r="U449" i="10"/>
  <c r="Q449" i="10"/>
  <c r="Y449" i="10"/>
  <c r="S449" i="10"/>
  <c r="N435" i="10"/>
  <c r="T435" i="10"/>
  <c r="Z435" i="10"/>
  <c r="R435" i="10"/>
  <c r="V435" i="10"/>
  <c r="U435" i="10"/>
  <c r="Q435" i="10"/>
  <c r="AD435" i="10"/>
  <c r="O435" i="10"/>
  <c r="X435" i="10"/>
  <c r="Y435" i="10"/>
  <c r="W435" i="10"/>
  <c r="N417" i="10"/>
  <c r="T417" i="10"/>
  <c r="Z417" i="10"/>
  <c r="R417" i="10"/>
  <c r="X417" i="10"/>
  <c r="W417" i="10"/>
  <c r="U417" i="10"/>
  <c r="S417" i="10"/>
  <c r="O417" i="10"/>
  <c r="AD417" i="10"/>
  <c r="V417" i="10"/>
  <c r="Q417" i="10"/>
  <c r="Y417" i="10"/>
  <c r="N415" i="10"/>
  <c r="T415" i="10"/>
  <c r="Z415" i="10"/>
  <c r="R415" i="10"/>
  <c r="AD415" i="10"/>
  <c r="O415" i="10"/>
  <c r="Y415" i="10"/>
  <c r="W415" i="10"/>
  <c r="V415" i="10"/>
  <c r="S415" i="10"/>
  <c r="Q415" i="10"/>
  <c r="U415" i="10"/>
  <c r="N410" i="10"/>
  <c r="X410" i="10"/>
  <c r="O410" i="10"/>
  <c r="V410" i="10"/>
  <c r="W410" i="10"/>
  <c r="U410" i="10"/>
  <c r="S410" i="10"/>
  <c r="R410" i="10"/>
  <c r="Z410" i="10"/>
  <c r="Y410" i="10"/>
  <c r="T410" i="10"/>
  <c r="AD410" i="10"/>
  <c r="Q410" i="10"/>
  <c r="N408" i="10"/>
  <c r="V408" i="10"/>
  <c r="Z408" i="10"/>
  <c r="Q408" i="10"/>
  <c r="Y408" i="10"/>
  <c r="O408" i="10"/>
  <c r="W408" i="10"/>
  <c r="U408" i="10"/>
  <c r="S408" i="10"/>
  <c r="R408" i="10"/>
  <c r="AD408" i="10"/>
  <c r="X408" i="10"/>
  <c r="N394" i="10"/>
  <c r="V394" i="10"/>
  <c r="T394" i="10"/>
  <c r="Z394" i="10"/>
  <c r="Q394" i="10"/>
  <c r="Y394" i="10"/>
  <c r="O394" i="10"/>
  <c r="S394" i="10"/>
  <c r="R394" i="10"/>
  <c r="AD394" i="10"/>
  <c r="W394" i="10"/>
  <c r="U394" i="10"/>
  <c r="X394" i="10"/>
  <c r="N385" i="10"/>
  <c r="Z385" i="10"/>
  <c r="R385" i="10"/>
  <c r="W385" i="10"/>
  <c r="V385" i="10"/>
  <c r="S385" i="10"/>
  <c r="Q385" i="10"/>
  <c r="Y385" i="10"/>
  <c r="U385" i="10"/>
  <c r="T385" i="10"/>
  <c r="AD385" i="10"/>
  <c r="X385" i="10"/>
  <c r="N371" i="10"/>
  <c r="Z371" i="10"/>
  <c r="R371" i="10"/>
  <c r="W371" i="10"/>
  <c r="V371" i="10"/>
  <c r="T371" i="10"/>
  <c r="S371" i="10"/>
  <c r="AD371" i="10"/>
  <c r="Y371" i="10"/>
  <c r="X371" i="10"/>
  <c r="Q371" i="10"/>
  <c r="O371" i="10"/>
  <c r="N364" i="10"/>
  <c r="AD364" i="10"/>
  <c r="S364" i="10"/>
  <c r="Z364" i="10"/>
  <c r="R364" i="10"/>
  <c r="W364" i="10"/>
  <c r="V364" i="10"/>
  <c r="Q364" i="10"/>
  <c r="O364" i="10"/>
  <c r="Y364" i="10"/>
  <c r="X364" i="10"/>
  <c r="T364" i="10"/>
  <c r="U364" i="10"/>
  <c r="N355" i="10"/>
  <c r="V355" i="10"/>
  <c r="Z355" i="10"/>
  <c r="Q355" i="10"/>
  <c r="Y355" i="10"/>
  <c r="O355" i="10"/>
  <c r="U355" i="10"/>
  <c r="X355" i="10"/>
  <c r="W355" i="10"/>
  <c r="S355" i="10"/>
  <c r="R355" i="10"/>
  <c r="AD355" i="10"/>
  <c r="T355" i="10"/>
  <c r="N346" i="10"/>
  <c r="Y346" i="10"/>
  <c r="Q346" i="10"/>
  <c r="X346" i="10"/>
  <c r="O346" i="10"/>
  <c r="U346" i="10"/>
  <c r="Z346" i="10"/>
  <c r="W346" i="10"/>
  <c r="T346" i="10"/>
  <c r="S346" i="10"/>
  <c r="AD346" i="10"/>
  <c r="V346" i="10"/>
  <c r="R346" i="10"/>
  <c r="N344" i="10"/>
  <c r="Y344" i="10"/>
  <c r="Q344" i="10"/>
  <c r="X344" i="10"/>
  <c r="U344" i="10"/>
  <c r="W344" i="10"/>
  <c r="V344" i="10"/>
  <c r="S344" i="10"/>
  <c r="R344" i="10"/>
  <c r="Z344" i="10"/>
  <c r="AD344" i="10"/>
  <c r="T344" i="10"/>
  <c r="N337" i="10"/>
  <c r="U337" i="10"/>
  <c r="Y337" i="10"/>
  <c r="Q337" i="10"/>
  <c r="V337" i="10"/>
  <c r="T337" i="10"/>
  <c r="R337" i="10"/>
  <c r="AD337" i="10"/>
  <c r="O337" i="10"/>
  <c r="Z337" i="10"/>
  <c r="W337" i="10"/>
  <c r="X337" i="10"/>
  <c r="S337" i="10"/>
  <c r="N326" i="10"/>
  <c r="Y326" i="10"/>
  <c r="Q326" i="10"/>
  <c r="U326" i="10"/>
  <c r="Z326" i="10"/>
  <c r="X326" i="10"/>
  <c r="V326" i="10"/>
  <c r="T326" i="10"/>
  <c r="R326" i="10"/>
  <c r="O326" i="10"/>
  <c r="AD326" i="10"/>
  <c r="W326" i="10"/>
  <c r="N324" i="10"/>
  <c r="Y324" i="10"/>
  <c r="Q324" i="10"/>
  <c r="U324" i="10"/>
  <c r="R324" i="10"/>
  <c r="AD324" i="10"/>
  <c r="O324" i="10"/>
  <c r="X324" i="10"/>
  <c r="W324" i="10"/>
  <c r="T324" i="10"/>
  <c r="S324" i="10"/>
  <c r="Z324" i="10"/>
  <c r="V324" i="10"/>
  <c r="N313" i="10"/>
  <c r="U313" i="10"/>
  <c r="Y313" i="10"/>
  <c r="Q313" i="10"/>
  <c r="V313" i="10"/>
  <c r="R313" i="10"/>
  <c r="AD313" i="10"/>
  <c r="O313" i="10"/>
  <c r="Z313" i="10"/>
  <c r="W313" i="10"/>
  <c r="S313" i="10"/>
  <c r="T313" i="10"/>
  <c r="N311" i="10"/>
  <c r="U311" i="10"/>
  <c r="Y311" i="10"/>
  <c r="Q311" i="10"/>
  <c r="X311" i="10"/>
  <c r="T311" i="10"/>
  <c r="S311" i="10"/>
  <c r="R311" i="10"/>
  <c r="O311" i="10"/>
  <c r="Z311" i="10"/>
  <c r="W311" i="10"/>
  <c r="V311" i="10"/>
  <c r="N300" i="10"/>
  <c r="U300" i="10"/>
  <c r="Y300" i="10"/>
  <c r="O300" i="10"/>
  <c r="V300" i="10"/>
  <c r="T300" i="10"/>
  <c r="W300" i="10"/>
  <c r="S300" i="10"/>
  <c r="Q300" i="10"/>
  <c r="AD300" i="10"/>
  <c r="Z300" i="10"/>
  <c r="X300" i="10"/>
  <c r="N298" i="10"/>
  <c r="U298" i="10"/>
  <c r="V298" i="10"/>
  <c r="AD298" i="10"/>
  <c r="R298" i="10"/>
  <c r="Z298" i="10"/>
  <c r="Q298" i="10"/>
  <c r="O298" i="10"/>
  <c r="Y298" i="10"/>
  <c r="W298" i="10"/>
  <c r="T298" i="10"/>
  <c r="S298" i="10"/>
  <c r="N289" i="10"/>
  <c r="Y289" i="10"/>
  <c r="Q289" i="10"/>
  <c r="T289" i="10"/>
  <c r="Z289" i="10"/>
  <c r="O289" i="10"/>
  <c r="X289" i="10"/>
  <c r="V289" i="10"/>
  <c r="U289" i="10"/>
  <c r="R289" i="10"/>
  <c r="AD289" i="10"/>
  <c r="N287" i="10"/>
  <c r="Y287" i="10"/>
  <c r="Q287" i="10"/>
  <c r="Z287" i="10"/>
  <c r="O287" i="10"/>
  <c r="V287" i="10"/>
  <c r="U287" i="10"/>
  <c r="R287" i="10"/>
  <c r="AD287" i="10"/>
  <c r="W287" i="10"/>
  <c r="X287" i="10"/>
  <c r="T287" i="10"/>
  <c r="N285" i="10"/>
  <c r="Y285" i="10"/>
  <c r="Q285" i="10"/>
  <c r="V285" i="10"/>
  <c r="S285" i="10"/>
  <c r="AD285" i="10"/>
  <c r="R285" i="10"/>
  <c r="Z285" i="10"/>
  <c r="X285" i="10"/>
  <c r="U285" i="10"/>
  <c r="O285" i="10"/>
  <c r="T285" i="10"/>
  <c r="N283" i="10"/>
  <c r="Y283" i="10"/>
  <c r="Q283" i="10"/>
  <c r="S283" i="10"/>
  <c r="X283" i="10"/>
  <c r="W283" i="10"/>
  <c r="U283" i="10"/>
  <c r="T283" i="10"/>
  <c r="O283" i="10"/>
  <c r="AD283" i="10"/>
  <c r="Z283" i="10"/>
  <c r="V283" i="10"/>
  <c r="N276" i="10"/>
  <c r="U276" i="10"/>
  <c r="T276" i="10"/>
  <c r="Z276" i="10"/>
  <c r="Q276" i="10"/>
  <c r="Y276" i="10"/>
  <c r="O276" i="10"/>
  <c r="R276" i="10"/>
  <c r="AD276" i="10"/>
  <c r="W276" i="10"/>
  <c r="V276" i="10"/>
  <c r="S276" i="10"/>
  <c r="N267" i="10"/>
  <c r="Y267" i="10"/>
  <c r="Q267" i="10"/>
  <c r="X267" i="10"/>
  <c r="W267" i="10"/>
  <c r="O267" i="10"/>
  <c r="AD267" i="10"/>
  <c r="V267" i="10"/>
  <c r="T267" i="10"/>
  <c r="S267" i="10"/>
  <c r="R267" i="10"/>
  <c r="N262" i="10"/>
  <c r="U262" i="10"/>
  <c r="T262" i="10"/>
  <c r="S262" i="10"/>
  <c r="Z262" i="10"/>
  <c r="Y262" i="10"/>
  <c r="W262" i="10"/>
  <c r="R262" i="10"/>
  <c r="AD262" i="10"/>
  <c r="V262" i="10"/>
  <c r="Q262" i="10"/>
  <c r="N257" i="10"/>
  <c r="Y257" i="10"/>
  <c r="Q257" i="10"/>
  <c r="X257" i="10"/>
  <c r="V257" i="10"/>
  <c r="U257" i="10"/>
  <c r="S257" i="10"/>
  <c r="AD257" i="10"/>
  <c r="O257" i="10"/>
  <c r="Z257" i="10"/>
  <c r="W257" i="10"/>
  <c r="R257" i="10"/>
  <c r="N255" i="10"/>
  <c r="Y255" i="10"/>
  <c r="Q255" i="10"/>
  <c r="U255" i="10"/>
  <c r="Z255" i="10"/>
  <c r="X255" i="10"/>
  <c r="V255" i="10"/>
  <c r="S255" i="10"/>
  <c r="AD255" i="10"/>
  <c r="T255" i="10"/>
  <c r="R255" i="10"/>
  <c r="N244" i="10"/>
  <c r="U244" i="10"/>
  <c r="Y244" i="10"/>
  <c r="O244" i="10"/>
  <c r="V244" i="10"/>
  <c r="T244" i="10"/>
  <c r="R244" i="10"/>
  <c r="Z244" i="10"/>
  <c r="AD244" i="10"/>
  <c r="X244" i="10"/>
  <c r="N237" i="10"/>
  <c r="Y237" i="10"/>
  <c r="Q237" i="10"/>
  <c r="AD237" i="10"/>
  <c r="R237" i="10"/>
  <c r="V237" i="10"/>
  <c r="U237" i="10"/>
  <c r="S237" i="10"/>
  <c r="Z237" i="10"/>
  <c r="X237" i="10"/>
  <c r="N228" i="10"/>
  <c r="Z228" i="10"/>
  <c r="R228" i="10"/>
  <c r="Y228" i="10"/>
  <c r="Q228" i="10"/>
  <c r="W228" i="10"/>
  <c r="U228" i="10"/>
  <c r="T228" i="10"/>
  <c r="S228" i="10"/>
  <c r="N219" i="10"/>
  <c r="V219" i="10"/>
  <c r="U219" i="10"/>
  <c r="AD219" i="10"/>
  <c r="S219" i="10"/>
  <c r="Y219" i="10"/>
  <c r="Q219" i="10"/>
  <c r="O219" i="10"/>
  <c r="Z219" i="10"/>
  <c r="X219" i="10"/>
  <c r="N212" i="10"/>
  <c r="Z212" i="10"/>
  <c r="R212" i="10"/>
  <c r="Y212" i="10"/>
  <c r="Q212" i="10"/>
  <c r="W212" i="10"/>
  <c r="U212" i="10"/>
  <c r="T212" i="10"/>
  <c r="S212" i="10"/>
  <c r="N198" i="10"/>
  <c r="Z198" i="10"/>
  <c r="R198" i="10"/>
  <c r="W198" i="10"/>
  <c r="U198" i="10"/>
  <c r="Q198" i="10"/>
  <c r="O198" i="10"/>
  <c r="Y198" i="10"/>
  <c r="X198" i="10"/>
  <c r="N191" i="10"/>
  <c r="AD191" i="10"/>
  <c r="S191" i="10"/>
  <c r="Y191" i="10"/>
  <c r="Q191" i="10"/>
  <c r="O191" i="10"/>
  <c r="Z191" i="10"/>
  <c r="W191" i="10"/>
  <c r="V191" i="10"/>
  <c r="N184" i="10"/>
  <c r="W184" i="10"/>
  <c r="U184" i="10"/>
  <c r="Z184" i="10"/>
  <c r="O184" i="10"/>
  <c r="Y184" i="10"/>
  <c r="V184" i="10"/>
  <c r="T184" i="10"/>
  <c r="N179" i="10"/>
  <c r="AD179" i="10"/>
  <c r="S179" i="10"/>
  <c r="Y179" i="10"/>
  <c r="Q179" i="10"/>
  <c r="V179" i="10"/>
  <c r="U179" i="10"/>
  <c r="R179" i="10"/>
  <c r="O179" i="10"/>
  <c r="N177" i="10"/>
  <c r="AD177" i="10"/>
  <c r="S177" i="10"/>
  <c r="Y177" i="10"/>
  <c r="Q177" i="10"/>
  <c r="X177" i="10"/>
  <c r="W177" i="10"/>
  <c r="U177" i="10"/>
  <c r="T177" i="10"/>
  <c r="N172" i="10"/>
  <c r="W172" i="10"/>
  <c r="U172" i="10"/>
  <c r="T172" i="10"/>
  <c r="S172" i="10"/>
  <c r="AD172" i="10"/>
  <c r="Q172" i="10"/>
  <c r="Z172" i="10"/>
  <c r="O172" i="10"/>
  <c r="N165" i="10"/>
  <c r="AD165" i="10"/>
  <c r="S165" i="10"/>
  <c r="Y165" i="10"/>
  <c r="Q165" i="10"/>
  <c r="T165" i="10"/>
  <c r="R165" i="10"/>
  <c r="Z165" i="10"/>
  <c r="X165" i="10"/>
  <c r="N158" i="10"/>
  <c r="W158" i="10"/>
  <c r="U158" i="10"/>
  <c r="R158" i="10"/>
  <c r="AD158" i="10"/>
  <c r="Q158" i="10"/>
  <c r="Y158" i="10"/>
  <c r="X158" i="10"/>
  <c r="N132" i="10"/>
  <c r="W132" i="10"/>
  <c r="U132" i="10"/>
  <c r="T132" i="10"/>
  <c r="S132" i="10"/>
  <c r="AD132" i="10"/>
  <c r="Q132" i="10"/>
  <c r="Z132" i="10"/>
  <c r="O132" i="10"/>
  <c r="N123" i="10"/>
  <c r="AD123" i="10"/>
  <c r="Y123" i="10"/>
  <c r="Q123" i="10"/>
  <c r="V123" i="10"/>
  <c r="U123" i="10"/>
  <c r="S123" i="10"/>
  <c r="R123" i="10"/>
  <c r="N105" i="10"/>
  <c r="Y105" i="10"/>
  <c r="Q105" i="10"/>
  <c r="S105" i="10"/>
  <c r="AD105" i="10"/>
  <c r="R105" i="10"/>
  <c r="X105" i="10"/>
  <c r="W105" i="10"/>
  <c r="N98" i="10"/>
  <c r="U98" i="10"/>
  <c r="T98" i="10"/>
  <c r="S98" i="10"/>
  <c r="Z98" i="10"/>
  <c r="Q98" i="10"/>
  <c r="Y98" i="10"/>
  <c r="O98" i="10"/>
  <c r="N85" i="10"/>
  <c r="V85" i="10"/>
  <c r="AD85" i="10"/>
  <c r="S85" i="10"/>
  <c r="Z85" i="10"/>
  <c r="R85" i="10"/>
  <c r="N78" i="10"/>
  <c r="Z78" i="10"/>
  <c r="R78" i="10"/>
  <c r="W78" i="10"/>
  <c r="V78" i="10"/>
  <c r="N69" i="10"/>
  <c r="V69" i="10"/>
  <c r="AD69" i="10"/>
  <c r="S69" i="10"/>
  <c r="Z69" i="10"/>
  <c r="R69" i="10"/>
  <c r="N58" i="10"/>
  <c r="Z58" i="10"/>
  <c r="R58" i="10"/>
  <c r="W58" i="10"/>
  <c r="V58" i="10"/>
  <c r="N49" i="10"/>
  <c r="V49" i="10"/>
  <c r="AD49" i="10"/>
  <c r="S49" i="10"/>
  <c r="Z49" i="10"/>
  <c r="R49" i="10"/>
  <c r="N38" i="10"/>
  <c r="Z38" i="10"/>
  <c r="R38" i="10"/>
  <c r="W38" i="10"/>
  <c r="V38" i="10"/>
  <c r="N31" i="10"/>
  <c r="V31" i="10"/>
  <c r="AD31" i="10"/>
  <c r="S31" i="10"/>
  <c r="Z31" i="10"/>
  <c r="R31" i="10"/>
  <c r="N24" i="10"/>
  <c r="Z24" i="10"/>
  <c r="R24" i="10"/>
  <c r="W24" i="10"/>
  <c r="V24" i="10"/>
  <c r="N15" i="10"/>
  <c r="AD15" i="10"/>
  <c r="S15" i="10"/>
  <c r="T2" i="10"/>
  <c r="T4" i="10"/>
  <c r="O5" i="10"/>
  <c r="X5" i="10"/>
  <c r="T6" i="10"/>
  <c r="O7" i="10"/>
  <c r="X7" i="10"/>
  <c r="O12" i="10"/>
  <c r="Y12" i="10"/>
  <c r="V13" i="10"/>
  <c r="S14" i="10"/>
  <c r="O15" i="10"/>
  <c r="Y15" i="10"/>
  <c r="V16" i="10"/>
  <c r="Q18" i="10"/>
  <c r="O22" i="10"/>
  <c r="O23" i="10"/>
  <c r="Q24" i="10"/>
  <c r="Q25" i="10"/>
  <c r="T27" i="10"/>
  <c r="U29" i="10"/>
  <c r="U30" i="10"/>
  <c r="W31" i="10"/>
  <c r="X32" i="10"/>
  <c r="AD36" i="10"/>
  <c r="O38" i="10"/>
  <c r="O39" i="10"/>
  <c r="Q41" i="10"/>
  <c r="T43" i="10"/>
  <c r="U46" i="10"/>
  <c r="W47" i="10"/>
  <c r="X48" i="10"/>
  <c r="X49" i="10"/>
  <c r="Y50" i="10"/>
  <c r="Q56" i="10"/>
  <c r="Q57" i="10"/>
  <c r="S58" i="10"/>
  <c r="T59" i="10"/>
  <c r="AD68" i="10"/>
  <c r="O70" i="10"/>
  <c r="T76" i="10"/>
  <c r="U77" i="10"/>
  <c r="U78" i="10"/>
  <c r="W79" i="10"/>
  <c r="AD84" i="10"/>
  <c r="O86" i="10"/>
  <c r="Q88" i="10"/>
  <c r="S90" i="10"/>
  <c r="T92" i="10"/>
  <c r="U93" i="10"/>
  <c r="U94" i="10"/>
  <c r="X95" i="10"/>
  <c r="O97" i="10"/>
  <c r="W98" i="10"/>
  <c r="R103" i="10"/>
  <c r="X104" i="10"/>
  <c r="R106" i="10"/>
  <c r="Z113" i="10"/>
  <c r="T115" i="10"/>
  <c r="U121" i="10"/>
  <c r="AD122" i="10"/>
  <c r="X124" i="10"/>
  <c r="T126" i="10"/>
  <c r="R128" i="10"/>
  <c r="X131" i="10"/>
  <c r="V133" i="10"/>
  <c r="T135" i="10"/>
  <c r="X140" i="10"/>
  <c r="R144" i="10"/>
  <c r="O146" i="10"/>
  <c r="X147" i="10"/>
  <c r="T151" i="10"/>
  <c r="Z154" i="10"/>
  <c r="T158" i="10"/>
  <c r="V165" i="10"/>
  <c r="O169" i="10"/>
  <c r="Z170" i="10"/>
  <c r="X172" i="10"/>
  <c r="R176" i="10"/>
  <c r="O178" i="10"/>
  <c r="X179" i="10"/>
  <c r="T183" i="10"/>
  <c r="O185" i="10"/>
  <c r="T190" i="10"/>
  <c r="R192" i="10"/>
  <c r="S196" i="10"/>
  <c r="T198" i="10"/>
  <c r="X202" i="10"/>
  <c r="Y204" i="10"/>
  <c r="O210" i="10"/>
  <c r="X212" i="10"/>
  <c r="O218" i="10"/>
  <c r="X220" i="10"/>
  <c r="O226" i="10"/>
  <c r="X228" i="10"/>
  <c r="Q234" i="10"/>
  <c r="T237" i="10"/>
  <c r="Y240" i="10"/>
  <c r="S244" i="10"/>
  <c r="Y254" i="10"/>
  <c r="R258" i="10"/>
  <c r="X261" i="10"/>
  <c r="X274" i="10"/>
  <c r="S284" i="10"/>
  <c r="S289" i="10"/>
  <c r="Q294" i="10"/>
  <c r="O299" i="10"/>
  <c r="T309" i="10"/>
  <c r="T336" i="10"/>
  <c r="V343" i="10"/>
  <c r="T362" i="10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3" i="8"/>
  <c r="L350" i="8"/>
  <c r="M350" i="8"/>
  <c r="L351" i="8"/>
  <c r="M351" i="8"/>
  <c r="L352" i="8"/>
  <c r="M352" i="8"/>
  <c r="L353" i="8"/>
  <c r="M353" i="8"/>
  <c r="L354" i="8"/>
  <c r="M354" i="8"/>
  <c r="L355" i="8"/>
  <c r="M355" i="8"/>
  <c r="L356" i="8"/>
  <c r="M356" i="8"/>
  <c r="L357" i="8"/>
  <c r="M357" i="8"/>
  <c r="L358" i="8"/>
  <c r="M358" i="8"/>
  <c r="L359" i="8"/>
  <c r="M359" i="8"/>
  <c r="L360" i="8"/>
  <c r="M360" i="8"/>
  <c r="L361" i="8"/>
  <c r="M361" i="8"/>
  <c r="L362" i="8"/>
  <c r="M362" i="8"/>
  <c r="L363" i="8"/>
  <c r="M363" i="8"/>
  <c r="L364" i="8"/>
  <c r="M364" i="8"/>
  <c r="L365" i="8"/>
  <c r="M365" i="8"/>
  <c r="L366" i="8"/>
  <c r="M366" i="8"/>
  <c r="L367" i="8"/>
  <c r="M367" i="8"/>
  <c r="L368" i="8"/>
  <c r="M368" i="8"/>
  <c r="L369" i="8"/>
  <c r="M369" i="8"/>
  <c r="L370" i="8"/>
  <c r="M370" i="8"/>
  <c r="L371" i="8"/>
  <c r="M371" i="8"/>
  <c r="L372" i="8"/>
  <c r="M372" i="8"/>
  <c r="L373" i="8"/>
  <c r="M373" i="8"/>
  <c r="L374" i="8"/>
  <c r="M374" i="8"/>
  <c r="L375" i="8"/>
  <c r="M375" i="8"/>
  <c r="L376" i="8"/>
  <c r="M376" i="8"/>
  <c r="L377" i="8"/>
  <c r="M377" i="8"/>
  <c r="L378" i="8"/>
  <c r="M378" i="8"/>
  <c r="L379" i="8"/>
  <c r="M379" i="8"/>
  <c r="L380" i="8"/>
  <c r="M380" i="8"/>
  <c r="L381" i="8"/>
  <c r="M381" i="8"/>
  <c r="L382" i="8"/>
  <c r="M382" i="8"/>
  <c r="L383" i="8"/>
  <c r="M383" i="8"/>
  <c r="L384" i="8"/>
  <c r="M384" i="8"/>
  <c r="L385" i="8"/>
  <c r="M385" i="8"/>
  <c r="L386" i="8"/>
  <c r="M386" i="8"/>
  <c r="L387" i="8"/>
  <c r="M387" i="8"/>
  <c r="L388" i="8"/>
  <c r="M388" i="8"/>
  <c r="L389" i="8"/>
  <c r="M389" i="8"/>
  <c r="L390" i="8"/>
  <c r="M390" i="8"/>
  <c r="L391" i="8"/>
  <c r="M391" i="8"/>
  <c r="L392" i="8"/>
  <c r="M392" i="8"/>
  <c r="L393" i="8"/>
  <c r="M393" i="8"/>
  <c r="L394" i="8"/>
  <c r="M394" i="8"/>
  <c r="L395" i="8"/>
  <c r="M395" i="8"/>
  <c r="L396" i="8"/>
  <c r="M396" i="8"/>
  <c r="L397" i="8"/>
  <c r="M397" i="8"/>
  <c r="L398" i="8"/>
  <c r="M398" i="8"/>
  <c r="L399" i="8"/>
  <c r="M399" i="8"/>
  <c r="L400" i="8"/>
  <c r="M400" i="8"/>
  <c r="L401" i="8"/>
  <c r="M401" i="8"/>
  <c r="L402" i="8"/>
  <c r="M402" i="8"/>
  <c r="L403" i="8"/>
  <c r="M403" i="8"/>
  <c r="L404" i="8"/>
  <c r="M404" i="8"/>
  <c r="L405" i="8"/>
  <c r="M405" i="8"/>
  <c r="L406" i="8"/>
  <c r="M406" i="8"/>
  <c r="L407" i="8"/>
  <c r="M407" i="8"/>
  <c r="L408" i="8"/>
  <c r="M408" i="8"/>
  <c r="L409" i="8"/>
  <c r="M409" i="8"/>
  <c r="L410" i="8"/>
  <c r="M410" i="8"/>
  <c r="L411" i="8"/>
  <c r="M411" i="8"/>
  <c r="L412" i="8"/>
  <c r="M412" i="8"/>
  <c r="L413" i="8"/>
  <c r="M413" i="8"/>
  <c r="L414" i="8"/>
  <c r="M414" i="8"/>
  <c r="L415" i="8"/>
  <c r="M415" i="8"/>
  <c r="L416" i="8"/>
  <c r="M416" i="8"/>
  <c r="L417" i="8"/>
  <c r="M417" i="8"/>
  <c r="L418" i="8"/>
  <c r="M418" i="8"/>
  <c r="L419" i="8"/>
  <c r="M419" i="8"/>
  <c r="L420" i="8"/>
  <c r="M420" i="8"/>
  <c r="L421" i="8"/>
  <c r="M421" i="8"/>
  <c r="L422" i="8"/>
  <c r="M422" i="8"/>
  <c r="L423" i="8"/>
  <c r="M423" i="8"/>
  <c r="L424" i="8"/>
  <c r="M424" i="8"/>
  <c r="L425" i="8"/>
  <c r="M425" i="8"/>
  <c r="L426" i="8"/>
  <c r="M426" i="8"/>
  <c r="L427" i="8"/>
  <c r="M427" i="8"/>
  <c r="L428" i="8"/>
  <c r="M428" i="8"/>
  <c r="L429" i="8"/>
  <c r="M429" i="8"/>
  <c r="L430" i="8"/>
  <c r="M430" i="8"/>
  <c r="L431" i="8"/>
  <c r="M431" i="8"/>
  <c r="L432" i="8"/>
  <c r="M432" i="8"/>
  <c r="L433" i="8"/>
  <c r="M433" i="8"/>
  <c r="L434" i="8"/>
  <c r="M434" i="8"/>
  <c r="L435" i="8"/>
  <c r="M435" i="8"/>
  <c r="L436" i="8"/>
  <c r="M436" i="8"/>
  <c r="L437" i="8"/>
  <c r="M437" i="8"/>
  <c r="L438" i="8"/>
  <c r="M438" i="8"/>
  <c r="L439" i="8"/>
  <c r="M439" i="8"/>
  <c r="L440" i="8"/>
  <c r="M440" i="8"/>
  <c r="L441" i="8"/>
  <c r="M441" i="8"/>
  <c r="L442" i="8"/>
  <c r="M442" i="8"/>
  <c r="L443" i="8"/>
  <c r="M443" i="8"/>
  <c r="L444" i="8"/>
  <c r="M444" i="8"/>
  <c r="L445" i="8"/>
  <c r="M445" i="8"/>
  <c r="L446" i="8"/>
  <c r="M446" i="8"/>
  <c r="L447" i="8"/>
  <c r="M447" i="8"/>
  <c r="L448" i="8"/>
  <c r="M448" i="8"/>
  <c r="L449" i="8"/>
  <c r="M449" i="8"/>
  <c r="L450" i="8"/>
  <c r="M450" i="8"/>
  <c r="L451" i="8"/>
  <c r="M451" i="8"/>
  <c r="L452" i="8"/>
  <c r="M452" i="8"/>
  <c r="L453" i="8"/>
  <c r="M453" i="8"/>
  <c r="L454" i="8"/>
  <c r="M454" i="8"/>
  <c r="L455" i="8"/>
  <c r="M455" i="8"/>
  <c r="L456" i="8"/>
  <c r="M456" i="8"/>
  <c r="L457" i="8"/>
  <c r="M457" i="8"/>
  <c r="L458" i="8"/>
  <c r="M458" i="8"/>
  <c r="L459" i="8"/>
  <c r="M459" i="8"/>
  <c r="L460" i="8"/>
  <c r="M460" i="8"/>
  <c r="L461" i="8"/>
  <c r="M461" i="8"/>
  <c r="L462" i="8"/>
  <c r="M462" i="8"/>
  <c r="L463" i="8"/>
  <c r="M463" i="8"/>
  <c r="L464" i="8"/>
  <c r="M464" i="8"/>
  <c r="L465" i="8"/>
  <c r="M465" i="8"/>
  <c r="L466" i="8"/>
  <c r="M466" i="8"/>
  <c r="L467" i="8"/>
  <c r="M467" i="8"/>
  <c r="L468" i="8"/>
  <c r="M468" i="8"/>
  <c r="L469" i="8"/>
  <c r="M469" i="8"/>
  <c r="L470" i="8"/>
  <c r="M470" i="8"/>
  <c r="L471" i="8"/>
  <c r="M471" i="8"/>
  <c r="L472" i="8"/>
  <c r="M472" i="8"/>
  <c r="L473" i="8"/>
  <c r="M473" i="8"/>
  <c r="L474" i="8"/>
  <c r="M474" i="8"/>
  <c r="L475" i="8"/>
  <c r="M475" i="8"/>
  <c r="L476" i="8"/>
  <c r="M476" i="8"/>
  <c r="L477" i="8"/>
  <c r="M477" i="8"/>
  <c r="L478" i="8"/>
  <c r="M478" i="8"/>
  <c r="L479" i="8"/>
  <c r="M479" i="8"/>
  <c r="L480" i="8"/>
  <c r="M480" i="8"/>
  <c r="L481" i="8"/>
  <c r="M481" i="8"/>
  <c r="L482" i="8"/>
  <c r="M482" i="8"/>
  <c r="L483" i="8"/>
  <c r="M483" i="8"/>
  <c r="L484" i="8"/>
  <c r="M484" i="8"/>
  <c r="L485" i="8"/>
  <c r="M485" i="8"/>
  <c r="L486" i="8"/>
  <c r="M486" i="8"/>
  <c r="L487" i="8"/>
  <c r="M487" i="8"/>
  <c r="L488" i="8"/>
  <c r="M488" i="8"/>
  <c r="L489" i="8"/>
  <c r="M489" i="8"/>
  <c r="L490" i="8"/>
  <c r="M490" i="8"/>
  <c r="L491" i="8"/>
  <c r="M491" i="8"/>
  <c r="L492" i="8"/>
  <c r="M492" i="8"/>
  <c r="L493" i="8"/>
  <c r="M493" i="8"/>
  <c r="L494" i="8"/>
  <c r="M494" i="8"/>
  <c r="L495" i="8"/>
  <c r="M495" i="8"/>
  <c r="L496" i="8"/>
  <c r="M496" i="8"/>
  <c r="L497" i="8"/>
  <c r="M497" i="8"/>
  <c r="L498" i="8"/>
  <c r="M498" i="8"/>
  <c r="L499" i="8"/>
  <c r="M499" i="8"/>
  <c r="L500" i="8"/>
  <c r="M500" i="8"/>
  <c r="L501" i="8"/>
  <c r="M501" i="8"/>
  <c r="L502" i="8"/>
  <c r="M502" i="8"/>
  <c r="L503" i="8"/>
  <c r="M503" i="8"/>
  <c r="L504" i="8"/>
  <c r="M504" i="8"/>
  <c r="L505" i="8"/>
  <c r="M505" i="8"/>
  <c r="L506" i="8"/>
  <c r="M506" i="8"/>
  <c r="L507" i="8"/>
  <c r="M507" i="8"/>
  <c r="L508" i="8"/>
  <c r="M508" i="8"/>
  <c r="L509" i="8"/>
  <c r="M509" i="8"/>
  <c r="L510" i="8"/>
  <c r="M510" i="8"/>
  <c r="L511" i="8"/>
  <c r="M511" i="8"/>
  <c r="L512" i="8"/>
  <c r="M512" i="8"/>
  <c r="L513" i="8"/>
  <c r="M513" i="8"/>
  <c r="L514" i="8"/>
  <c r="M514" i="8"/>
  <c r="L515" i="8"/>
  <c r="M515" i="8"/>
  <c r="L516" i="8"/>
  <c r="M516" i="8"/>
  <c r="L517" i="8"/>
  <c r="M517" i="8"/>
  <c r="L518" i="8"/>
  <c r="M518" i="8"/>
  <c r="L519" i="8"/>
  <c r="M519" i="8"/>
  <c r="L520" i="8"/>
  <c r="M520" i="8"/>
  <c r="L521" i="8"/>
  <c r="M521" i="8"/>
  <c r="L522" i="8"/>
  <c r="M522" i="8"/>
  <c r="L523" i="8"/>
  <c r="M523" i="8"/>
  <c r="L524" i="8"/>
  <c r="M524" i="8"/>
  <c r="L525" i="8"/>
  <c r="M525" i="8"/>
  <c r="L526" i="8"/>
  <c r="M526" i="8"/>
  <c r="L527" i="8"/>
  <c r="M527" i="8"/>
  <c r="L528" i="8"/>
  <c r="M528" i="8"/>
  <c r="L529" i="8"/>
  <c r="M529" i="8"/>
  <c r="L530" i="8"/>
  <c r="M530" i="8"/>
  <c r="L531" i="8"/>
  <c r="M531" i="8"/>
  <c r="L532" i="8"/>
  <c r="M532" i="8"/>
  <c r="L533" i="8"/>
  <c r="M533" i="8"/>
  <c r="L534" i="8"/>
  <c r="M534" i="8"/>
  <c r="L535" i="8"/>
  <c r="M535" i="8"/>
  <c r="L536" i="8"/>
  <c r="M536" i="8"/>
  <c r="L537" i="8"/>
  <c r="M537" i="8"/>
  <c r="L538" i="8"/>
  <c r="M538" i="8"/>
  <c r="L539" i="8"/>
  <c r="M539" i="8"/>
  <c r="L540" i="8"/>
  <c r="M540" i="8"/>
  <c r="L541" i="8"/>
  <c r="M541" i="8"/>
  <c r="L542" i="8"/>
  <c r="M542" i="8"/>
  <c r="L543" i="8"/>
  <c r="M543" i="8"/>
  <c r="L544" i="8"/>
  <c r="M544" i="8"/>
  <c r="L545" i="8"/>
  <c r="M545" i="8"/>
  <c r="L546" i="8"/>
  <c r="M546" i="8"/>
  <c r="L547" i="8"/>
  <c r="M547" i="8"/>
  <c r="L548" i="8"/>
  <c r="M548" i="8"/>
  <c r="L549" i="8"/>
  <c r="M549" i="8"/>
  <c r="L550" i="8"/>
  <c r="M550" i="8"/>
  <c r="L551" i="8"/>
  <c r="M551" i="8"/>
  <c r="L552" i="8"/>
  <c r="M552" i="8"/>
  <c r="L553" i="8"/>
  <c r="M553" i="8"/>
  <c r="L554" i="8"/>
  <c r="M554" i="8"/>
  <c r="L555" i="8"/>
  <c r="M555" i="8"/>
  <c r="L556" i="8"/>
  <c r="M556" i="8"/>
  <c r="L557" i="8"/>
  <c r="M557" i="8"/>
  <c r="L558" i="8"/>
  <c r="M558" i="8"/>
  <c r="L559" i="8"/>
  <c r="M559" i="8"/>
  <c r="L560" i="8"/>
  <c r="M560" i="8"/>
  <c r="L561" i="8"/>
  <c r="M561" i="8"/>
  <c r="L562" i="8"/>
  <c r="M562" i="8"/>
  <c r="L563" i="8"/>
  <c r="M563" i="8"/>
  <c r="L564" i="8"/>
  <c r="M564" i="8"/>
  <c r="L565" i="8"/>
  <c r="M565" i="8"/>
  <c r="L566" i="8"/>
  <c r="M566" i="8"/>
  <c r="L567" i="8"/>
  <c r="M567" i="8"/>
  <c r="L568" i="8"/>
  <c r="M568" i="8"/>
  <c r="L569" i="8"/>
  <c r="M569" i="8"/>
  <c r="L570" i="8"/>
  <c r="M570" i="8"/>
  <c r="L571" i="8"/>
  <c r="M571" i="8"/>
  <c r="L572" i="8"/>
  <c r="M572" i="8"/>
  <c r="J350" i="8"/>
  <c r="J351" i="8"/>
  <c r="J352" i="8"/>
  <c r="J353" i="8"/>
  <c r="J354" i="8"/>
  <c r="J355" i="8"/>
  <c r="A355" i="8" s="1"/>
  <c r="D355" i="8" s="1"/>
  <c r="J356" i="8"/>
  <c r="J357" i="8"/>
  <c r="A357" i="8" s="1"/>
  <c r="D357" i="8" s="1"/>
  <c r="J358" i="8"/>
  <c r="J359" i="8"/>
  <c r="J360" i="8"/>
  <c r="J361" i="8"/>
  <c r="J362" i="8"/>
  <c r="J363" i="8"/>
  <c r="A363" i="8" s="1"/>
  <c r="D363" i="8" s="1"/>
  <c r="J364" i="8"/>
  <c r="A364" i="8" s="1"/>
  <c r="J365" i="8"/>
  <c r="A365" i="8" s="1"/>
  <c r="D365" i="8" s="1"/>
  <c r="J366" i="8"/>
  <c r="J367" i="8"/>
  <c r="A367" i="8" s="1"/>
  <c r="D367" i="8" s="1"/>
  <c r="J368" i="8"/>
  <c r="J369" i="8"/>
  <c r="J370" i="8"/>
  <c r="A370" i="8" s="1"/>
  <c r="D370" i="8" s="1"/>
  <c r="J371" i="8"/>
  <c r="J372" i="8"/>
  <c r="A372" i="8" s="1"/>
  <c r="J373" i="8"/>
  <c r="A373" i="8" s="1"/>
  <c r="D373" i="8" s="1"/>
  <c r="J374" i="8"/>
  <c r="J375" i="8"/>
  <c r="J376" i="8"/>
  <c r="J377" i="8"/>
  <c r="J378" i="8"/>
  <c r="J379" i="8"/>
  <c r="A379" i="8" s="1"/>
  <c r="D379" i="8" s="1"/>
  <c r="J380" i="8"/>
  <c r="A380" i="8" s="1"/>
  <c r="J381" i="8"/>
  <c r="J382" i="8"/>
  <c r="J383" i="8"/>
  <c r="J384" i="8"/>
  <c r="J385" i="8"/>
  <c r="J386" i="8"/>
  <c r="J387" i="8"/>
  <c r="J388" i="8"/>
  <c r="A388" i="8" s="1"/>
  <c r="J389" i="8"/>
  <c r="A389" i="8" s="1"/>
  <c r="D389" i="8" s="1"/>
  <c r="J390" i="8"/>
  <c r="J391" i="8"/>
  <c r="J392" i="8"/>
  <c r="J393" i="8"/>
  <c r="J394" i="8"/>
  <c r="J395" i="8"/>
  <c r="A395" i="8" s="1"/>
  <c r="D395" i="8" s="1"/>
  <c r="J396" i="8"/>
  <c r="J397" i="8"/>
  <c r="A397" i="8" s="1"/>
  <c r="D397" i="8" s="1"/>
  <c r="J398" i="8"/>
  <c r="J399" i="8"/>
  <c r="J400" i="8"/>
  <c r="J401" i="8"/>
  <c r="J402" i="8"/>
  <c r="J403" i="8"/>
  <c r="J404" i="8"/>
  <c r="A404" i="8" s="1"/>
  <c r="J405" i="8"/>
  <c r="A405" i="8" s="1"/>
  <c r="J406" i="8"/>
  <c r="J407" i="8"/>
  <c r="J408" i="8"/>
  <c r="J409" i="8"/>
  <c r="J410" i="8"/>
  <c r="J411" i="8"/>
  <c r="A411" i="8" s="1"/>
  <c r="D411" i="8" s="1"/>
  <c r="J412" i="8"/>
  <c r="J413" i="8"/>
  <c r="A413" i="8" s="1"/>
  <c r="J414" i="8"/>
  <c r="J415" i="8"/>
  <c r="J416" i="8"/>
  <c r="J417" i="8"/>
  <c r="J418" i="8"/>
  <c r="J419" i="8"/>
  <c r="A419" i="8" s="1"/>
  <c r="D419" i="8" s="1"/>
  <c r="J420" i="8"/>
  <c r="A420" i="8" s="1"/>
  <c r="J421" i="8"/>
  <c r="A421" i="8" s="1"/>
  <c r="D421" i="8" s="1"/>
  <c r="J422" i="8"/>
  <c r="J423" i="8"/>
  <c r="A423" i="8" s="1"/>
  <c r="D423" i="8" s="1"/>
  <c r="J424" i="8"/>
  <c r="J425" i="8"/>
  <c r="J426" i="8"/>
  <c r="A426" i="8" s="1"/>
  <c r="D426" i="8" s="1"/>
  <c r="J427" i="8"/>
  <c r="J428" i="8"/>
  <c r="A428" i="8" s="1"/>
  <c r="J429" i="8"/>
  <c r="A429" i="8" s="1"/>
  <c r="D429" i="8" s="1"/>
  <c r="J430" i="8"/>
  <c r="J431" i="8"/>
  <c r="A431" i="8" s="1"/>
  <c r="D431" i="8" s="1"/>
  <c r="J432" i="8"/>
  <c r="J433" i="8"/>
  <c r="J434" i="8"/>
  <c r="A434" i="8" s="1"/>
  <c r="D434" i="8" s="1"/>
  <c r="J435" i="8"/>
  <c r="A435" i="8" s="1"/>
  <c r="D435" i="8" s="1"/>
  <c r="J436" i="8"/>
  <c r="A436" i="8" s="1"/>
  <c r="J437" i="8"/>
  <c r="J438" i="8"/>
  <c r="J439" i="8"/>
  <c r="J440" i="8"/>
  <c r="J441" i="8"/>
  <c r="J442" i="8"/>
  <c r="J443" i="8"/>
  <c r="J444" i="8"/>
  <c r="A444" i="8" s="1"/>
  <c r="J445" i="8"/>
  <c r="A445" i="8" s="1"/>
  <c r="D445" i="8" s="1"/>
  <c r="J446" i="8"/>
  <c r="J447" i="8"/>
  <c r="J448" i="8"/>
  <c r="J449" i="8"/>
  <c r="J450" i="8"/>
  <c r="J451" i="8"/>
  <c r="A451" i="8" s="1"/>
  <c r="D451" i="8" s="1"/>
  <c r="J452" i="8"/>
  <c r="J453" i="8"/>
  <c r="A453" i="8" s="1"/>
  <c r="D453" i="8" s="1"/>
  <c r="J454" i="8"/>
  <c r="J455" i="8"/>
  <c r="J456" i="8"/>
  <c r="J457" i="8"/>
  <c r="J458" i="8"/>
  <c r="J459" i="8"/>
  <c r="J460" i="8"/>
  <c r="A460" i="8" s="1"/>
  <c r="J461" i="8"/>
  <c r="A461" i="8" s="1"/>
  <c r="D461" i="8" s="1"/>
  <c r="J462" i="8"/>
  <c r="J463" i="8"/>
  <c r="A463" i="8" s="1"/>
  <c r="D463" i="8" s="1"/>
  <c r="J464" i="8"/>
  <c r="J465" i="8"/>
  <c r="J466" i="8"/>
  <c r="A466" i="8" s="1"/>
  <c r="J467" i="8"/>
  <c r="J468" i="8"/>
  <c r="A468" i="8" s="1"/>
  <c r="J469" i="8"/>
  <c r="A469" i="8" s="1"/>
  <c r="J470" i="8"/>
  <c r="J471" i="8"/>
  <c r="J472" i="8"/>
  <c r="J473" i="8"/>
  <c r="J474" i="8"/>
  <c r="J475" i="8"/>
  <c r="J476" i="8"/>
  <c r="A476" i="8" s="1"/>
  <c r="J477" i="8"/>
  <c r="A477" i="8" s="1"/>
  <c r="J478" i="8"/>
  <c r="J479" i="8"/>
  <c r="A479" i="8" s="1"/>
  <c r="D479" i="8" s="1"/>
  <c r="J480" i="8"/>
  <c r="J481" i="8"/>
  <c r="J482" i="8"/>
  <c r="A482" i="8" s="1"/>
  <c r="J483" i="8"/>
  <c r="A483" i="8" s="1"/>
  <c r="D483" i="8" s="1"/>
  <c r="J484" i="8"/>
  <c r="J485" i="8"/>
  <c r="A485" i="8" s="1"/>
  <c r="D485" i="8" s="1"/>
  <c r="J486" i="8"/>
  <c r="J487" i="8"/>
  <c r="J488" i="8"/>
  <c r="J489" i="8"/>
  <c r="J490" i="8"/>
  <c r="J491" i="8"/>
  <c r="A491" i="8" s="1"/>
  <c r="D491" i="8" s="1"/>
  <c r="J492" i="8"/>
  <c r="A492" i="8" s="1"/>
  <c r="J493" i="8"/>
  <c r="J494" i="8"/>
  <c r="J495" i="8"/>
  <c r="J496" i="8"/>
  <c r="J497" i="8"/>
  <c r="J498" i="8"/>
  <c r="A498" i="8" s="1"/>
  <c r="J499" i="8"/>
  <c r="J500" i="8"/>
  <c r="A500" i="8" s="1"/>
  <c r="D500" i="8" s="1"/>
  <c r="J501" i="8"/>
  <c r="A501" i="8" s="1"/>
  <c r="D501" i="8" s="1"/>
  <c r="J502" i="8"/>
  <c r="J503" i="8"/>
  <c r="A503" i="8" s="1"/>
  <c r="D503" i="8" s="1"/>
  <c r="J504" i="8"/>
  <c r="J505" i="8"/>
  <c r="J506" i="8"/>
  <c r="A506" i="8" s="1"/>
  <c r="D506" i="8" s="1"/>
  <c r="J507" i="8"/>
  <c r="A507" i="8" s="1"/>
  <c r="D507" i="8" s="1"/>
  <c r="J508" i="8"/>
  <c r="J509" i="8"/>
  <c r="A509" i="8" s="1"/>
  <c r="J510" i="8"/>
  <c r="J511" i="8"/>
  <c r="J512" i="8"/>
  <c r="J513" i="8"/>
  <c r="J514" i="8"/>
  <c r="J515" i="8"/>
  <c r="J516" i="8"/>
  <c r="A516" i="8" s="1"/>
  <c r="D516" i="8" s="1"/>
  <c r="J517" i="8"/>
  <c r="A517" i="8" s="1"/>
  <c r="D517" i="8" s="1"/>
  <c r="J518" i="8"/>
  <c r="J519" i="8"/>
  <c r="A519" i="8" s="1"/>
  <c r="D519" i="8" s="1"/>
  <c r="J520" i="8"/>
  <c r="J521" i="8"/>
  <c r="J522" i="8"/>
  <c r="A522" i="8" s="1"/>
  <c r="D522" i="8" s="1"/>
  <c r="J523" i="8"/>
  <c r="J524" i="8"/>
  <c r="A524" i="8" s="1"/>
  <c r="J525" i="8"/>
  <c r="A525" i="8" s="1"/>
  <c r="J526" i="8"/>
  <c r="J527" i="8"/>
  <c r="J528" i="8"/>
  <c r="J529" i="8"/>
  <c r="J530" i="8"/>
  <c r="J531" i="8"/>
  <c r="A531" i="8" s="1"/>
  <c r="D531" i="8" s="1"/>
  <c r="J532" i="8"/>
  <c r="A532" i="8" s="1"/>
  <c r="D532" i="8" s="1"/>
  <c r="J533" i="8"/>
  <c r="A533" i="8" s="1"/>
  <c r="D533" i="8" s="1"/>
  <c r="J534" i="8"/>
  <c r="J535" i="8"/>
  <c r="A535" i="8" s="1"/>
  <c r="D535" i="8" s="1"/>
  <c r="J536" i="8"/>
  <c r="J537" i="8"/>
  <c r="J538" i="8"/>
  <c r="A538" i="8" s="1"/>
  <c r="D538" i="8" s="1"/>
  <c r="J539" i="8"/>
  <c r="J540" i="8"/>
  <c r="A540" i="8" s="1"/>
  <c r="J541" i="8"/>
  <c r="A541" i="8" s="1"/>
  <c r="J542" i="8"/>
  <c r="J543" i="8"/>
  <c r="J544" i="8"/>
  <c r="J545" i="8"/>
  <c r="J546" i="8"/>
  <c r="J547" i="8"/>
  <c r="J548" i="8"/>
  <c r="A548" i="8" s="1"/>
  <c r="D548" i="8" s="1"/>
  <c r="J549" i="8"/>
  <c r="J550" i="8"/>
  <c r="J551" i="8"/>
  <c r="J552" i="8"/>
  <c r="J553" i="8"/>
  <c r="J554" i="8"/>
  <c r="J555" i="8"/>
  <c r="J556" i="8"/>
  <c r="A556" i="8" s="1"/>
  <c r="J557" i="8"/>
  <c r="A557" i="8" s="1"/>
  <c r="D557" i="8" s="1"/>
  <c r="J558" i="8"/>
  <c r="J559" i="8"/>
  <c r="A559" i="8" s="1"/>
  <c r="D559" i="8" s="1"/>
  <c r="J560" i="8"/>
  <c r="J561" i="8"/>
  <c r="J562" i="8"/>
  <c r="A562" i="8" s="1"/>
  <c r="D562" i="8" s="1"/>
  <c r="J563" i="8"/>
  <c r="A563" i="8" s="1"/>
  <c r="D563" i="8" s="1"/>
  <c r="J564" i="8"/>
  <c r="J565" i="8"/>
  <c r="A565" i="8" s="1"/>
  <c r="J566" i="8"/>
  <c r="J567" i="8"/>
  <c r="J568" i="8"/>
  <c r="J569" i="8"/>
  <c r="J570" i="8"/>
  <c r="J571" i="8"/>
  <c r="A571" i="8" s="1"/>
  <c r="D571" i="8" s="1"/>
  <c r="J572" i="8"/>
  <c r="A572" i="8" s="1"/>
  <c r="D572" i="8" s="1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A350" i="8"/>
  <c r="C350" i="8" s="1"/>
  <c r="E350" i="8" s="1"/>
  <c r="D350" i="8"/>
  <c r="F350" i="8"/>
  <c r="H349" i="10" s="1"/>
  <c r="G349" i="10" s="1"/>
  <c r="A351" i="8"/>
  <c r="D351" i="8" s="1"/>
  <c r="F351" i="8"/>
  <c r="H350" i="10" s="1"/>
  <c r="G350" i="10" s="1"/>
  <c r="A352" i="8"/>
  <c r="D352" i="8"/>
  <c r="F352" i="8"/>
  <c r="H351" i="10" s="1"/>
  <c r="G351" i="10" s="1"/>
  <c r="A353" i="8"/>
  <c r="F353" i="8"/>
  <c r="H352" i="10" s="1"/>
  <c r="G352" i="10" s="1"/>
  <c r="A354" i="8"/>
  <c r="D354" i="8" s="1"/>
  <c r="F354" i="8"/>
  <c r="H353" i="10" s="1"/>
  <c r="G353" i="10" s="1"/>
  <c r="F355" i="8"/>
  <c r="H354" i="10" s="1"/>
  <c r="G354" i="10" s="1"/>
  <c r="A356" i="8"/>
  <c r="F356" i="8"/>
  <c r="H355" i="10" s="1"/>
  <c r="G355" i="10" s="1"/>
  <c r="F357" i="8"/>
  <c r="H356" i="10" s="1"/>
  <c r="G356" i="10" s="1"/>
  <c r="A358" i="8"/>
  <c r="D358" i="8"/>
  <c r="F358" i="8"/>
  <c r="H357" i="10" s="1"/>
  <c r="G357" i="10" s="1"/>
  <c r="A359" i="8"/>
  <c r="D359" i="8"/>
  <c r="F359" i="8"/>
  <c r="H358" i="10" s="1"/>
  <c r="G358" i="10" s="1"/>
  <c r="A360" i="8"/>
  <c r="D360" i="8" s="1"/>
  <c r="F360" i="8"/>
  <c r="H359" i="10" s="1"/>
  <c r="G359" i="10" s="1"/>
  <c r="A361" i="8"/>
  <c r="F361" i="8"/>
  <c r="H360" i="10" s="1"/>
  <c r="G360" i="10" s="1"/>
  <c r="A362" i="8"/>
  <c r="D362" i="8"/>
  <c r="F362" i="8"/>
  <c r="H361" i="10" s="1"/>
  <c r="G361" i="10" s="1"/>
  <c r="F363" i="8"/>
  <c r="H362" i="10" s="1"/>
  <c r="G362" i="10" s="1"/>
  <c r="F364" i="8"/>
  <c r="H363" i="10" s="1"/>
  <c r="G363" i="10" s="1"/>
  <c r="F365" i="8"/>
  <c r="H364" i="10" s="1"/>
  <c r="G364" i="10" s="1"/>
  <c r="A366" i="8"/>
  <c r="D366" i="8"/>
  <c r="F366" i="8"/>
  <c r="H365" i="10" s="1"/>
  <c r="G365" i="10" s="1"/>
  <c r="F367" i="8"/>
  <c r="H366" i="10" s="1"/>
  <c r="G366" i="10" s="1"/>
  <c r="A368" i="8"/>
  <c r="D368" i="8"/>
  <c r="F368" i="8"/>
  <c r="H367" i="10" s="1"/>
  <c r="G367" i="10" s="1"/>
  <c r="A369" i="8"/>
  <c r="F369" i="8"/>
  <c r="H368" i="10" s="1"/>
  <c r="G368" i="10" s="1"/>
  <c r="F370" i="8"/>
  <c r="H369" i="10" s="1"/>
  <c r="G369" i="10" s="1"/>
  <c r="A371" i="8"/>
  <c r="D371" i="8"/>
  <c r="F371" i="8"/>
  <c r="H370" i="10" s="1"/>
  <c r="G370" i="10" s="1"/>
  <c r="F372" i="8"/>
  <c r="H371" i="10" s="1"/>
  <c r="G371" i="10" s="1"/>
  <c r="F373" i="8"/>
  <c r="H372" i="10" s="1"/>
  <c r="G372" i="10" s="1"/>
  <c r="A374" i="8"/>
  <c r="D374" i="8"/>
  <c r="F374" i="8"/>
  <c r="H373" i="10" s="1"/>
  <c r="G373" i="10" s="1"/>
  <c r="A375" i="8"/>
  <c r="D375" i="8" s="1"/>
  <c r="F375" i="8"/>
  <c r="H374" i="10" s="1"/>
  <c r="G374" i="10" s="1"/>
  <c r="A376" i="8"/>
  <c r="D376" i="8"/>
  <c r="F376" i="8"/>
  <c r="H375" i="10" s="1"/>
  <c r="G375" i="10" s="1"/>
  <c r="A377" i="8"/>
  <c r="F377" i="8"/>
  <c r="H376" i="10" s="1"/>
  <c r="G376" i="10" s="1"/>
  <c r="A378" i="8"/>
  <c r="D378" i="8" s="1"/>
  <c r="F378" i="8"/>
  <c r="H377" i="10" s="1"/>
  <c r="G377" i="10" s="1"/>
  <c r="F379" i="8"/>
  <c r="H378" i="10" s="1"/>
  <c r="G378" i="10" s="1"/>
  <c r="F380" i="8"/>
  <c r="H379" i="10" s="1"/>
  <c r="G379" i="10" s="1"/>
  <c r="A381" i="8"/>
  <c r="D381" i="8" s="1"/>
  <c r="F381" i="8"/>
  <c r="H380" i="10" s="1"/>
  <c r="G380" i="10" s="1"/>
  <c r="A382" i="8"/>
  <c r="D382" i="8" s="1"/>
  <c r="F382" i="8"/>
  <c r="H381" i="10" s="1"/>
  <c r="G381" i="10" s="1"/>
  <c r="A383" i="8"/>
  <c r="D383" i="8"/>
  <c r="F383" i="8"/>
  <c r="H382" i="10" s="1"/>
  <c r="G382" i="10" s="1"/>
  <c r="A384" i="8"/>
  <c r="D384" i="8" s="1"/>
  <c r="F384" i="8"/>
  <c r="H383" i="10" s="1"/>
  <c r="G383" i="10" s="1"/>
  <c r="A385" i="8"/>
  <c r="F385" i="8"/>
  <c r="H384" i="10" s="1"/>
  <c r="G384" i="10" s="1"/>
  <c r="A386" i="8"/>
  <c r="D386" i="8"/>
  <c r="F386" i="8"/>
  <c r="H385" i="10" s="1"/>
  <c r="G385" i="10" s="1"/>
  <c r="A387" i="8"/>
  <c r="D387" i="8" s="1"/>
  <c r="F387" i="8"/>
  <c r="H386" i="10" s="1"/>
  <c r="G386" i="10" s="1"/>
  <c r="F388" i="8"/>
  <c r="H387" i="10" s="1"/>
  <c r="G387" i="10" s="1"/>
  <c r="F389" i="8"/>
  <c r="H388" i="10" s="1"/>
  <c r="G388" i="10" s="1"/>
  <c r="A390" i="8"/>
  <c r="D390" i="8"/>
  <c r="F390" i="8"/>
  <c r="H389" i="10" s="1"/>
  <c r="G389" i="10" s="1"/>
  <c r="A391" i="8"/>
  <c r="D391" i="8" s="1"/>
  <c r="F391" i="8"/>
  <c r="H390" i="10" s="1"/>
  <c r="G390" i="10" s="1"/>
  <c r="A392" i="8"/>
  <c r="D392" i="8"/>
  <c r="F392" i="8"/>
  <c r="H391" i="10" s="1"/>
  <c r="G391" i="10" s="1"/>
  <c r="A393" i="8"/>
  <c r="F393" i="8"/>
  <c r="H392" i="10" s="1"/>
  <c r="G392" i="10" s="1"/>
  <c r="A394" i="8"/>
  <c r="F394" i="8"/>
  <c r="H393" i="10" s="1"/>
  <c r="G393" i="10" s="1"/>
  <c r="F395" i="8"/>
  <c r="H394" i="10" s="1"/>
  <c r="G394" i="10" s="1"/>
  <c r="A396" i="8"/>
  <c r="F396" i="8"/>
  <c r="H395" i="10" s="1"/>
  <c r="G395" i="10" s="1"/>
  <c r="F397" i="8"/>
  <c r="H396" i="10" s="1"/>
  <c r="G396" i="10" s="1"/>
  <c r="A398" i="8"/>
  <c r="D398" i="8" s="1"/>
  <c r="F398" i="8"/>
  <c r="H397" i="10" s="1"/>
  <c r="G397" i="10" s="1"/>
  <c r="A399" i="8"/>
  <c r="D399" i="8"/>
  <c r="F399" i="8"/>
  <c r="H398" i="10" s="1"/>
  <c r="G398" i="10" s="1"/>
  <c r="A400" i="8"/>
  <c r="D400" i="8"/>
  <c r="F400" i="8"/>
  <c r="H399" i="10" s="1"/>
  <c r="G399" i="10" s="1"/>
  <c r="A401" i="8"/>
  <c r="F401" i="8"/>
  <c r="H400" i="10" s="1"/>
  <c r="G400" i="10" s="1"/>
  <c r="A402" i="8"/>
  <c r="F402" i="8"/>
  <c r="H401" i="10" s="1"/>
  <c r="G401" i="10" s="1"/>
  <c r="A403" i="8"/>
  <c r="D403" i="8" s="1"/>
  <c r="F403" i="8"/>
  <c r="H402" i="10" s="1"/>
  <c r="G402" i="10" s="1"/>
  <c r="F404" i="8"/>
  <c r="H403" i="10" s="1"/>
  <c r="G403" i="10" s="1"/>
  <c r="F405" i="8"/>
  <c r="H404" i="10" s="1"/>
  <c r="G404" i="10" s="1"/>
  <c r="A406" i="8"/>
  <c r="D406" i="8"/>
  <c r="F406" i="8"/>
  <c r="H405" i="10" s="1"/>
  <c r="G405" i="10" s="1"/>
  <c r="A407" i="8"/>
  <c r="D407" i="8" s="1"/>
  <c r="F407" i="8"/>
  <c r="H406" i="10" s="1"/>
  <c r="G406" i="10" s="1"/>
  <c r="A408" i="8"/>
  <c r="D408" i="8"/>
  <c r="F408" i="8"/>
  <c r="H407" i="10" s="1"/>
  <c r="G407" i="10" s="1"/>
  <c r="A409" i="8"/>
  <c r="F409" i="8"/>
  <c r="H408" i="10" s="1"/>
  <c r="G408" i="10" s="1"/>
  <c r="A410" i="8"/>
  <c r="D410" i="8" s="1"/>
  <c r="F410" i="8"/>
  <c r="H409" i="10" s="1"/>
  <c r="G409" i="10" s="1"/>
  <c r="F411" i="8"/>
  <c r="H410" i="10" s="1"/>
  <c r="G410" i="10" s="1"/>
  <c r="A412" i="8"/>
  <c r="F412" i="8"/>
  <c r="H411" i="10" s="1"/>
  <c r="G411" i="10" s="1"/>
  <c r="F413" i="8"/>
  <c r="H412" i="10" s="1"/>
  <c r="G412" i="10" s="1"/>
  <c r="A414" i="8"/>
  <c r="D414" i="8"/>
  <c r="F414" i="8"/>
  <c r="H413" i="10" s="1"/>
  <c r="G413" i="10" s="1"/>
  <c r="A415" i="8"/>
  <c r="D415" i="8"/>
  <c r="F415" i="8"/>
  <c r="H414" i="10" s="1"/>
  <c r="G414" i="10" s="1"/>
  <c r="A416" i="8"/>
  <c r="D416" i="8" s="1"/>
  <c r="F416" i="8"/>
  <c r="H415" i="10" s="1"/>
  <c r="G415" i="10" s="1"/>
  <c r="A417" i="8"/>
  <c r="F417" i="8"/>
  <c r="H416" i="10" s="1"/>
  <c r="G416" i="10" s="1"/>
  <c r="A418" i="8"/>
  <c r="D418" i="8"/>
  <c r="F418" i="8"/>
  <c r="H417" i="10" s="1"/>
  <c r="G417" i="10" s="1"/>
  <c r="F419" i="8"/>
  <c r="H418" i="10" s="1"/>
  <c r="G418" i="10" s="1"/>
  <c r="F420" i="8"/>
  <c r="H419" i="10" s="1"/>
  <c r="G419" i="10" s="1"/>
  <c r="F421" i="8"/>
  <c r="H420" i="10" s="1"/>
  <c r="G420" i="10" s="1"/>
  <c r="A422" i="8"/>
  <c r="D422" i="8"/>
  <c r="F422" i="8"/>
  <c r="H421" i="10" s="1"/>
  <c r="G421" i="10" s="1"/>
  <c r="F423" i="8"/>
  <c r="H422" i="10" s="1"/>
  <c r="G422" i="10" s="1"/>
  <c r="A424" i="8"/>
  <c r="D424" i="8"/>
  <c r="F424" i="8"/>
  <c r="H423" i="10" s="1"/>
  <c r="G423" i="10" s="1"/>
  <c r="A425" i="8"/>
  <c r="F425" i="8"/>
  <c r="H424" i="10" s="1"/>
  <c r="G424" i="10" s="1"/>
  <c r="F426" i="8"/>
  <c r="H425" i="10" s="1"/>
  <c r="G425" i="10" s="1"/>
  <c r="A427" i="8"/>
  <c r="D427" i="8"/>
  <c r="F427" i="8"/>
  <c r="H426" i="10" s="1"/>
  <c r="G426" i="10" s="1"/>
  <c r="F428" i="8"/>
  <c r="H427" i="10" s="1"/>
  <c r="G427" i="10" s="1"/>
  <c r="F429" i="8"/>
  <c r="H428" i="10" s="1"/>
  <c r="G428" i="10" s="1"/>
  <c r="A430" i="8"/>
  <c r="D430" i="8"/>
  <c r="F430" i="8"/>
  <c r="H429" i="10" s="1"/>
  <c r="G429" i="10" s="1"/>
  <c r="F431" i="8"/>
  <c r="H430" i="10" s="1"/>
  <c r="G430" i="10" s="1"/>
  <c r="A432" i="8"/>
  <c r="D432" i="8"/>
  <c r="F432" i="8"/>
  <c r="H431" i="10" s="1"/>
  <c r="G431" i="10" s="1"/>
  <c r="A433" i="8"/>
  <c r="F433" i="8"/>
  <c r="H432" i="10" s="1"/>
  <c r="G432" i="10" s="1"/>
  <c r="F434" i="8"/>
  <c r="H433" i="10" s="1"/>
  <c r="G433" i="10" s="1"/>
  <c r="F435" i="8"/>
  <c r="H434" i="10" s="1"/>
  <c r="G434" i="10" s="1"/>
  <c r="F436" i="8"/>
  <c r="H435" i="10" s="1"/>
  <c r="G435" i="10" s="1"/>
  <c r="A437" i="8"/>
  <c r="D437" i="8" s="1"/>
  <c r="F437" i="8"/>
  <c r="H436" i="10" s="1"/>
  <c r="G436" i="10" s="1"/>
  <c r="A438" i="8"/>
  <c r="D438" i="8" s="1"/>
  <c r="F438" i="8"/>
  <c r="H437" i="10" s="1"/>
  <c r="G437" i="10" s="1"/>
  <c r="A439" i="8"/>
  <c r="D439" i="8"/>
  <c r="F439" i="8"/>
  <c r="H438" i="10" s="1"/>
  <c r="G438" i="10" s="1"/>
  <c r="A440" i="8"/>
  <c r="D440" i="8" s="1"/>
  <c r="F440" i="8"/>
  <c r="H439" i="10" s="1"/>
  <c r="G439" i="10" s="1"/>
  <c r="A441" i="8"/>
  <c r="F441" i="8"/>
  <c r="H440" i="10" s="1"/>
  <c r="G440" i="10" s="1"/>
  <c r="A442" i="8"/>
  <c r="D442" i="8"/>
  <c r="F442" i="8"/>
  <c r="H441" i="10" s="1"/>
  <c r="G441" i="10" s="1"/>
  <c r="A443" i="8"/>
  <c r="D443" i="8" s="1"/>
  <c r="F443" i="8"/>
  <c r="H442" i="10" s="1"/>
  <c r="G442" i="10" s="1"/>
  <c r="F444" i="8"/>
  <c r="H443" i="10" s="1"/>
  <c r="G443" i="10" s="1"/>
  <c r="F445" i="8"/>
  <c r="H444" i="10" s="1"/>
  <c r="G444" i="10" s="1"/>
  <c r="A446" i="8"/>
  <c r="D446" i="8"/>
  <c r="F446" i="8"/>
  <c r="H445" i="10" s="1"/>
  <c r="G445" i="10" s="1"/>
  <c r="A447" i="8"/>
  <c r="D447" i="8" s="1"/>
  <c r="F447" i="8"/>
  <c r="H446" i="10" s="1"/>
  <c r="G446" i="10" s="1"/>
  <c r="A448" i="8"/>
  <c r="D448" i="8"/>
  <c r="F448" i="8"/>
  <c r="H447" i="10" s="1"/>
  <c r="G447" i="10" s="1"/>
  <c r="A449" i="8"/>
  <c r="F449" i="8"/>
  <c r="H448" i="10" s="1"/>
  <c r="G448" i="10" s="1"/>
  <c r="A450" i="8"/>
  <c r="D450" i="8" s="1"/>
  <c r="F450" i="8"/>
  <c r="H449" i="10" s="1"/>
  <c r="G449" i="10" s="1"/>
  <c r="F451" i="8"/>
  <c r="H450" i="10" s="1"/>
  <c r="G450" i="10" s="1"/>
  <c r="A452" i="8"/>
  <c r="F452" i="8"/>
  <c r="H451" i="10" s="1"/>
  <c r="G451" i="10" s="1"/>
  <c r="F453" i="8"/>
  <c r="H452" i="10" s="1"/>
  <c r="G452" i="10" s="1"/>
  <c r="A454" i="8"/>
  <c r="D454" i="8"/>
  <c r="F454" i="8"/>
  <c r="H453" i="10" s="1"/>
  <c r="G453" i="10" s="1"/>
  <c r="A455" i="8"/>
  <c r="D455" i="8"/>
  <c r="F455" i="8"/>
  <c r="H454" i="10" s="1"/>
  <c r="G454" i="10" s="1"/>
  <c r="A456" i="8"/>
  <c r="D456" i="8" s="1"/>
  <c r="F456" i="8"/>
  <c r="H455" i="10" s="1"/>
  <c r="G455" i="10" s="1"/>
  <c r="A457" i="8"/>
  <c r="F457" i="8"/>
  <c r="H456" i="10" s="1"/>
  <c r="G456" i="10" s="1"/>
  <c r="A458" i="8"/>
  <c r="D458" i="8"/>
  <c r="F458" i="8"/>
  <c r="H457" i="10" s="1"/>
  <c r="G457" i="10" s="1"/>
  <c r="A459" i="8"/>
  <c r="D459" i="8" s="1"/>
  <c r="F459" i="8"/>
  <c r="H458" i="10" s="1"/>
  <c r="G458" i="10" s="1"/>
  <c r="F460" i="8"/>
  <c r="H459" i="10" s="1"/>
  <c r="G459" i="10" s="1"/>
  <c r="F461" i="8"/>
  <c r="H460" i="10" s="1"/>
  <c r="G460" i="10" s="1"/>
  <c r="A462" i="8"/>
  <c r="D462" i="8"/>
  <c r="F462" i="8"/>
  <c r="H461" i="10" s="1"/>
  <c r="G461" i="10" s="1"/>
  <c r="F463" i="8"/>
  <c r="H462" i="10" s="1"/>
  <c r="G462" i="10" s="1"/>
  <c r="A464" i="8"/>
  <c r="D464" i="8"/>
  <c r="F464" i="8"/>
  <c r="H463" i="10" s="1"/>
  <c r="G463" i="10" s="1"/>
  <c r="A465" i="8"/>
  <c r="F465" i="8"/>
  <c r="H464" i="10" s="1"/>
  <c r="G464" i="10" s="1"/>
  <c r="F466" i="8"/>
  <c r="H465" i="10" s="1"/>
  <c r="G465" i="10" s="1"/>
  <c r="A467" i="8"/>
  <c r="D467" i="8"/>
  <c r="F467" i="8"/>
  <c r="H466" i="10" s="1"/>
  <c r="G466" i="10" s="1"/>
  <c r="F468" i="8"/>
  <c r="H467" i="10" s="1"/>
  <c r="G467" i="10" s="1"/>
  <c r="F469" i="8"/>
  <c r="H468" i="10" s="1"/>
  <c r="G468" i="10" s="1"/>
  <c r="A470" i="8"/>
  <c r="F470" i="8"/>
  <c r="H469" i="10" s="1"/>
  <c r="G469" i="10" s="1"/>
  <c r="A471" i="8"/>
  <c r="D471" i="8"/>
  <c r="F471" i="8"/>
  <c r="H470" i="10" s="1"/>
  <c r="G470" i="10" s="1"/>
  <c r="A472" i="8"/>
  <c r="D472" i="8" s="1"/>
  <c r="F472" i="8"/>
  <c r="H471" i="10" s="1"/>
  <c r="G471" i="10" s="1"/>
  <c r="A473" i="8"/>
  <c r="F473" i="8"/>
  <c r="H472" i="10" s="1"/>
  <c r="G472" i="10" s="1"/>
  <c r="A474" i="8"/>
  <c r="D474" i="8"/>
  <c r="F474" i="8"/>
  <c r="H473" i="10" s="1"/>
  <c r="G473" i="10" s="1"/>
  <c r="A475" i="8"/>
  <c r="D475" i="8" s="1"/>
  <c r="F475" i="8"/>
  <c r="H474" i="10" s="1"/>
  <c r="G474" i="10" s="1"/>
  <c r="F476" i="8"/>
  <c r="H475" i="10" s="1"/>
  <c r="G475" i="10" s="1"/>
  <c r="F477" i="8"/>
  <c r="H476" i="10" s="1"/>
  <c r="G476" i="10" s="1"/>
  <c r="A478" i="8"/>
  <c r="D478" i="8"/>
  <c r="F478" i="8"/>
  <c r="H477" i="10" s="1"/>
  <c r="G477" i="10" s="1"/>
  <c r="F479" i="8"/>
  <c r="H478" i="10" s="1"/>
  <c r="G478" i="10" s="1"/>
  <c r="A480" i="8"/>
  <c r="F480" i="8"/>
  <c r="H479" i="10" s="1"/>
  <c r="G479" i="10" s="1"/>
  <c r="A481" i="8"/>
  <c r="F481" i="8"/>
  <c r="H480" i="10" s="1"/>
  <c r="G480" i="10" s="1"/>
  <c r="F482" i="8"/>
  <c r="H481" i="10" s="1"/>
  <c r="G481" i="10" s="1"/>
  <c r="F483" i="8"/>
  <c r="H482" i="10" s="1"/>
  <c r="G482" i="10" s="1"/>
  <c r="A484" i="8"/>
  <c r="D484" i="8" s="1"/>
  <c r="F484" i="8"/>
  <c r="H483" i="10" s="1"/>
  <c r="G483" i="10" s="1"/>
  <c r="F485" i="8"/>
  <c r="H484" i="10" s="1"/>
  <c r="G484" i="10" s="1"/>
  <c r="A486" i="8"/>
  <c r="D486" i="8"/>
  <c r="F486" i="8"/>
  <c r="H485" i="10" s="1"/>
  <c r="G485" i="10" s="1"/>
  <c r="A487" i="8"/>
  <c r="D487" i="8" s="1"/>
  <c r="F487" i="8"/>
  <c r="H486" i="10" s="1"/>
  <c r="G486" i="10" s="1"/>
  <c r="A488" i="8"/>
  <c r="D488" i="8"/>
  <c r="F488" i="8"/>
  <c r="H487" i="10" s="1"/>
  <c r="G487" i="10" s="1"/>
  <c r="A489" i="8"/>
  <c r="D489" i="8" s="1"/>
  <c r="F489" i="8"/>
  <c r="H488" i="10" s="1"/>
  <c r="G488" i="10" s="1"/>
  <c r="A490" i="8"/>
  <c r="D490" i="8" s="1"/>
  <c r="F490" i="8"/>
  <c r="H489" i="10" s="1"/>
  <c r="G489" i="10" s="1"/>
  <c r="F491" i="8"/>
  <c r="H490" i="10" s="1"/>
  <c r="G490" i="10" s="1"/>
  <c r="F492" i="8"/>
  <c r="H491" i="10" s="1"/>
  <c r="G491" i="10" s="1"/>
  <c r="A493" i="8"/>
  <c r="F493" i="8"/>
  <c r="H492" i="10" s="1"/>
  <c r="G492" i="10" s="1"/>
  <c r="A494" i="8"/>
  <c r="D494" i="8" s="1"/>
  <c r="F494" i="8"/>
  <c r="H493" i="10" s="1"/>
  <c r="G493" i="10" s="1"/>
  <c r="A495" i="8"/>
  <c r="D495" i="8"/>
  <c r="F495" i="8"/>
  <c r="H494" i="10" s="1"/>
  <c r="G494" i="10" s="1"/>
  <c r="A496" i="8"/>
  <c r="F496" i="8"/>
  <c r="H495" i="10" s="1"/>
  <c r="G495" i="10" s="1"/>
  <c r="A497" i="8"/>
  <c r="F497" i="8"/>
  <c r="H496" i="10" s="1"/>
  <c r="G496" i="10" s="1"/>
  <c r="F498" i="8"/>
  <c r="H497" i="10" s="1"/>
  <c r="G497" i="10" s="1"/>
  <c r="A499" i="8"/>
  <c r="D499" i="8"/>
  <c r="F499" i="8"/>
  <c r="H498" i="10" s="1"/>
  <c r="G498" i="10" s="1"/>
  <c r="F500" i="8"/>
  <c r="H499" i="10" s="1"/>
  <c r="G499" i="10" s="1"/>
  <c r="F501" i="8"/>
  <c r="H500" i="10" s="1"/>
  <c r="G500" i="10" s="1"/>
  <c r="A502" i="8"/>
  <c r="D502" i="8"/>
  <c r="F502" i="8"/>
  <c r="H501" i="10" s="1"/>
  <c r="G501" i="10" s="1"/>
  <c r="F503" i="8"/>
  <c r="H502" i="10" s="1"/>
  <c r="G502" i="10" s="1"/>
  <c r="A504" i="8"/>
  <c r="D504" i="8"/>
  <c r="F504" i="8"/>
  <c r="H503" i="10" s="1"/>
  <c r="G503" i="10" s="1"/>
  <c r="A505" i="8"/>
  <c r="D505" i="8" s="1"/>
  <c r="F505" i="8"/>
  <c r="H504" i="10" s="1"/>
  <c r="G504" i="10" s="1"/>
  <c r="F506" i="8"/>
  <c r="H505" i="10" s="1"/>
  <c r="G505" i="10" s="1"/>
  <c r="F507" i="8"/>
  <c r="H506" i="10" s="1"/>
  <c r="G506" i="10" s="1"/>
  <c r="A508" i="8"/>
  <c r="F508" i="8"/>
  <c r="H507" i="10" s="1"/>
  <c r="G507" i="10" s="1"/>
  <c r="F509" i="8"/>
  <c r="H508" i="10" s="1"/>
  <c r="G508" i="10" s="1"/>
  <c r="A510" i="8"/>
  <c r="D510" i="8"/>
  <c r="F510" i="8"/>
  <c r="H509" i="10" s="1"/>
  <c r="G509" i="10" s="1"/>
  <c r="A511" i="8"/>
  <c r="D511" i="8"/>
  <c r="F511" i="8"/>
  <c r="H510" i="10" s="1"/>
  <c r="G510" i="10" s="1"/>
  <c r="A512" i="8"/>
  <c r="D512" i="8"/>
  <c r="F512" i="8"/>
  <c r="H511" i="10" s="1"/>
  <c r="G511" i="10" s="1"/>
  <c r="A513" i="8"/>
  <c r="F513" i="8"/>
  <c r="H512" i="10" s="1"/>
  <c r="G512" i="10" s="1"/>
  <c r="A514" i="8"/>
  <c r="F514" i="8"/>
  <c r="H513" i="10" s="1"/>
  <c r="G513" i="10" s="1"/>
  <c r="A515" i="8"/>
  <c r="D515" i="8" s="1"/>
  <c r="F515" i="8"/>
  <c r="H514" i="10" s="1"/>
  <c r="G514" i="10" s="1"/>
  <c r="F516" i="8"/>
  <c r="H515" i="10" s="1"/>
  <c r="G515" i="10" s="1"/>
  <c r="F517" i="8"/>
  <c r="H516" i="10" s="1"/>
  <c r="G516" i="10" s="1"/>
  <c r="A518" i="8"/>
  <c r="D518" i="8" s="1"/>
  <c r="F518" i="8"/>
  <c r="H517" i="10" s="1"/>
  <c r="G517" i="10" s="1"/>
  <c r="F519" i="8"/>
  <c r="H518" i="10" s="1"/>
  <c r="G518" i="10" s="1"/>
  <c r="A520" i="8"/>
  <c r="D520" i="8"/>
  <c r="F520" i="8"/>
  <c r="H519" i="10" s="1"/>
  <c r="G519" i="10" s="1"/>
  <c r="A521" i="8"/>
  <c r="D521" i="8" s="1"/>
  <c r="F521" i="8"/>
  <c r="H520" i="10" s="1"/>
  <c r="G520" i="10" s="1"/>
  <c r="F522" i="8"/>
  <c r="H521" i="10" s="1"/>
  <c r="G521" i="10" s="1"/>
  <c r="A523" i="8"/>
  <c r="D523" i="8"/>
  <c r="F523" i="8"/>
  <c r="H522" i="10" s="1"/>
  <c r="G522" i="10" s="1"/>
  <c r="F524" i="8"/>
  <c r="H523" i="10" s="1"/>
  <c r="G523" i="10" s="1"/>
  <c r="F525" i="8"/>
  <c r="H524" i="10" s="1"/>
  <c r="G524" i="10" s="1"/>
  <c r="A526" i="8"/>
  <c r="D526" i="8"/>
  <c r="F526" i="8"/>
  <c r="H525" i="10" s="1"/>
  <c r="G525" i="10" s="1"/>
  <c r="A527" i="8"/>
  <c r="D527" i="8" s="1"/>
  <c r="F527" i="8"/>
  <c r="H526" i="10" s="1"/>
  <c r="G526" i="10" s="1"/>
  <c r="A528" i="8"/>
  <c r="F528" i="8"/>
  <c r="H527" i="10" s="1"/>
  <c r="G527" i="10" s="1"/>
  <c r="A529" i="8"/>
  <c r="F529" i="8"/>
  <c r="H528" i="10" s="1"/>
  <c r="G528" i="10" s="1"/>
  <c r="A530" i="8"/>
  <c r="F530" i="8"/>
  <c r="H529" i="10" s="1"/>
  <c r="G529" i="10" s="1"/>
  <c r="F531" i="8"/>
  <c r="H530" i="10" s="1"/>
  <c r="G530" i="10" s="1"/>
  <c r="F532" i="8"/>
  <c r="H531" i="10" s="1"/>
  <c r="G531" i="10" s="1"/>
  <c r="F533" i="8"/>
  <c r="H532" i="10" s="1"/>
  <c r="G532" i="10" s="1"/>
  <c r="A534" i="8"/>
  <c r="D534" i="8"/>
  <c r="F534" i="8"/>
  <c r="H533" i="10" s="1"/>
  <c r="G533" i="10" s="1"/>
  <c r="F535" i="8"/>
  <c r="H534" i="10" s="1"/>
  <c r="G534" i="10" s="1"/>
  <c r="A536" i="8"/>
  <c r="D536" i="8"/>
  <c r="F536" i="8"/>
  <c r="H535" i="10" s="1"/>
  <c r="G535" i="10" s="1"/>
  <c r="A537" i="8"/>
  <c r="D537" i="8" s="1"/>
  <c r="F537" i="8"/>
  <c r="H536" i="10" s="1"/>
  <c r="G536" i="10" s="1"/>
  <c r="F538" i="8"/>
  <c r="H537" i="10" s="1"/>
  <c r="G537" i="10" s="1"/>
  <c r="A539" i="8"/>
  <c r="D539" i="8"/>
  <c r="F539" i="8"/>
  <c r="H538" i="10" s="1"/>
  <c r="G538" i="10" s="1"/>
  <c r="F540" i="8"/>
  <c r="H539" i="10" s="1"/>
  <c r="G539" i="10" s="1"/>
  <c r="F541" i="8"/>
  <c r="H540" i="10" s="1"/>
  <c r="G540" i="10" s="1"/>
  <c r="A542" i="8"/>
  <c r="D542" i="8" s="1"/>
  <c r="F542" i="8"/>
  <c r="H541" i="10" s="1"/>
  <c r="G541" i="10" s="1"/>
  <c r="A543" i="8"/>
  <c r="D543" i="8" s="1"/>
  <c r="F543" i="8"/>
  <c r="H542" i="10" s="1"/>
  <c r="G542" i="10" s="1"/>
  <c r="A544" i="8"/>
  <c r="D544" i="8"/>
  <c r="F544" i="8"/>
  <c r="H543" i="10" s="1"/>
  <c r="G543" i="10" s="1"/>
  <c r="A545" i="8"/>
  <c r="F545" i="8"/>
  <c r="H544" i="10" s="1"/>
  <c r="G544" i="10" s="1"/>
  <c r="A546" i="8"/>
  <c r="F546" i="8"/>
  <c r="H545" i="10" s="1"/>
  <c r="G545" i="10" s="1"/>
  <c r="A547" i="8"/>
  <c r="D547" i="8" s="1"/>
  <c r="F547" i="8"/>
  <c r="H546" i="10" s="1"/>
  <c r="G546" i="10" s="1"/>
  <c r="F548" i="8"/>
  <c r="H547" i="10" s="1"/>
  <c r="G547" i="10" s="1"/>
  <c r="A549" i="8"/>
  <c r="D549" i="8" s="1"/>
  <c r="F549" i="8"/>
  <c r="H548" i="10" s="1"/>
  <c r="G548" i="10" s="1"/>
  <c r="A550" i="8"/>
  <c r="D550" i="8" s="1"/>
  <c r="F550" i="8"/>
  <c r="H549" i="10" s="1"/>
  <c r="G549" i="10" s="1"/>
  <c r="A551" i="8"/>
  <c r="D551" i="8"/>
  <c r="F551" i="8"/>
  <c r="H550" i="10" s="1"/>
  <c r="G550" i="10" s="1"/>
  <c r="A552" i="8"/>
  <c r="D552" i="8" s="1"/>
  <c r="F552" i="8"/>
  <c r="H551" i="10" s="1"/>
  <c r="G551" i="10" s="1"/>
  <c r="A553" i="8"/>
  <c r="D553" i="8" s="1"/>
  <c r="F553" i="8"/>
  <c r="H552" i="10" s="1"/>
  <c r="G552" i="10" s="1"/>
  <c r="A554" i="8"/>
  <c r="D554" i="8"/>
  <c r="F554" i="8"/>
  <c r="H553" i="10" s="1"/>
  <c r="G553" i="10" s="1"/>
  <c r="A555" i="8"/>
  <c r="D555" i="8" s="1"/>
  <c r="F555" i="8"/>
  <c r="H554" i="10" s="1"/>
  <c r="G554" i="10" s="1"/>
  <c r="F556" i="8"/>
  <c r="H555" i="10" s="1"/>
  <c r="G555" i="10" s="1"/>
  <c r="F557" i="8"/>
  <c r="H556" i="10" s="1"/>
  <c r="G556" i="10" s="1"/>
  <c r="A558" i="8"/>
  <c r="F558" i="8"/>
  <c r="H557" i="10" s="1"/>
  <c r="G557" i="10" s="1"/>
  <c r="F559" i="8"/>
  <c r="H558" i="10" s="1"/>
  <c r="G558" i="10" s="1"/>
  <c r="A560" i="8"/>
  <c r="D560" i="8"/>
  <c r="F560" i="8"/>
  <c r="H559" i="10" s="1"/>
  <c r="G559" i="10" s="1"/>
  <c r="A561" i="8"/>
  <c r="D561" i="8" s="1"/>
  <c r="F561" i="8"/>
  <c r="H560" i="10" s="1"/>
  <c r="G560" i="10" s="1"/>
  <c r="F562" i="8"/>
  <c r="H561" i="10" s="1"/>
  <c r="G561" i="10" s="1"/>
  <c r="F563" i="8"/>
  <c r="H562" i="10" s="1"/>
  <c r="G562" i="10" s="1"/>
  <c r="A564" i="8"/>
  <c r="D564" i="8"/>
  <c r="F564" i="8"/>
  <c r="H563" i="10" s="1"/>
  <c r="G563" i="10" s="1"/>
  <c r="F565" i="8"/>
  <c r="H564" i="10" s="1"/>
  <c r="G564" i="10" s="1"/>
  <c r="A566" i="8"/>
  <c r="D566" i="8"/>
  <c r="F566" i="8"/>
  <c r="H565" i="10" s="1"/>
  <c r="G565" i="10" s="1"/>
  <c r="A567" i="8"/>
  <c r="D567" i="8"/>
  <c r="F567" i="8"/>
  <c r="H566" i="10" s="1"/>
  <c r="G566" i="10" s="1"/>
  <c r="A568" i="8"/>
  <c r="D568" i="8" s="1"/>
  <c r="F568" i="8"/>
  <c r="H567" i="10" s="1"/>
  <c r="G567" i="10" s="1"/>
  <c r="A569" i="8"/>
  <c r="F569" i="8"/>
  <c r="H568" i="10" s="1"/>
  <c r="G568" i="10" s="1"/>
  <c r="A570" i="8"/>
  <c r="F570" i="8"/>
  <c r="H569" i="10" s="1"/>
  <c r="G569" i="10" s="1"/>
  <c r="F571" i="8"/>
  <c r="H570" i="10" s="1"/>
  <c r="G570" i="10" s="1"/>
  <c r="F572" i="8"/>
  <c r="H571" i="10" s="1"/>
  <c r="G571" i="10" s="1"/>
  <c r="K349" i="17"/>
  <c r="L349" i="17"/>
  <c r="N349" i="17"/>
  <c r="K350" i="17"/>
  <c r="N350" i="17" s="1"/>
  <c r="L350" i="17"/>
  <c r="K351" i="17"/>
  <c r="N351" i="17" s="1"/>
  <c r="L351" i="17"/>
  <c r="K352" i="17"/>
  <c r="L352" i="17"/>
  <c r="N352" i="17"/>
  <c r="K353" i="17"/>
  <c r="L353" i="17"/>
  <c r="N353" i="17"/>
  <c r="K354" i="17"/>
  <c r="N354" i="17" s="1"/>
  <c r="L354" i="17"/>
  <c r="K355" i="17"/>
  <c r="N355" i="17" s="1"/>
  <c r="L355" i="17"/>
  <c r="K356" i="17"/>
  <c r="L356" i="17"/>
  <c r="N356" i="17"/>
  <c r="K357" i="17"/>
  <c r="L357" i="17"/>
  <c r="N357" i="17"/>
  <c r="K358" i="17"/>
  <c r="N358" i="17" s="1"/>
  <c r="L358" i="17"/>
  <c r="K359" i="17"/>
  <c r="N359" i="17" s="1"/>
  <c r="L359" i="17"/>
  <c r="K360" i="17"/>
  <c r="L360" i="17"/>
  <c r="N360" i="17"/>
  <c r="K361" i="17"/>
  <c r="L361" i="17"/>
  <c r="N361" i="17"/>
  <c r="K362" i="17"/>
  <c r="N362" i="17" s="1"/>
  <c r="L362" i="17"/>
  <c r="K363" i="17"/>
  <c r="N363" i="17" s="1"/>
  <c r="L363" i="17"/>
  <c r="K364" i="17"/>
  <c r="L364" i="17"/>
  <c r="N364" i="17"/>
  <c r="K365" i="17"/>
  <c r="L365" i="17"/>
  <c r="N365" i="17"/>
  <c r="K366" i="17"/>
  <c r="N366" i="17" s="1"/>
  <c r="L366" i="17"/>
  <c r="K367" i="17"/>
  <c r="N367" i="17" s="1"/>
  <c r="L367" i="17"/>
  <c r="K368" i="17"/>
  <c r="L368" i="17"/>
  <c r="N368" i="17"/>
  <c r="K369" i="17"/>
  <c r="L369" i="17"/>
  <c r="N369" i="17"/>
  <c r="K370" i="17"/>
  <c r="N370" i="17" s="1"/>
  <c r="L370" i="17"/>
  <c r="K371" i="17"/>
  <c r="N371" i="17" s="1"/>
  <c r="L371" i="17"/>
  <c r="K372" i="17"/>
  <c r="L372" i="17"/>
  <c r="N372" i="17"/>
  <c r="K373" i="17"/>
  <c r="L373" i="17"/>
  <c r="N373" i="17"/>
  <c r="K374" i="17"/>
  <c r="N374" i="17" s="1"/>
  <c r="L374" i="17"/>
  <c r="K375" i="17"/>
  <c r="N375" i="17" s="1"/>
  <c r="L375" i="17"/>
  <c r="K376" i="17"/>
  <c r="L376" i="17"/>
  <c r="N376" i="17"/>
  <c r="K377" i="17"/>
  <c r="L377" i="17"/>
  <c r="N377" i="17"/>
  <c r="K378" i="17"/>
  <c r="N378" i="17" s="1"/>
  <c r="L378" i="17"/>
  <c r="K379" i="17"/>
  <c r="N379" i="17" s="1"/>
  <c r="L379" i="17"/>
  <c r="K380" i="17"/>
  <c r="L380" i="17"/>
  <c r="N380" i="17"/>
  <c r="K381" i="17"/>
  <c r="L381" i="17"/>
  <c r="N381" i="17"/>
  <c r="K382" i="17"/>
  <c r="N382" i="17" s="1"/>
  <c r="L382" i="17"/>
  <c r="K383" i="17"/>
  <c r="N383" i="17" s="1"/>
  <c r="L383" i="17"/>
  <c r="K384" i="17"/>
  <c r="L384" i="17"/>
  <c r="N384" i="17"/>
  <c r="K385" i="17"/>
  <c r="L385" i="17"/>
  <c r="N385" i="17"/>
  <c r="K386" i="17"/>
  <c r="N386" i="17" s="1"/>
  <c r="L386" i="17"/>
  <c r="K387" i="17"/>
  <c r="N387" i="17" s="1"/>
  <c r="L387" i="17"/>
  <c r="K388" i="17"/>
  <c r="L388" i="17"/>
  <c r="N388" i="17"/>
  <c r="K389" i="17"/>
  <c r="L389" i="17"/>
  <c r="N389" i="17"/>
  <c r="K390" i="17"/>
  <c r="N390" i="17" s="1"/>
  <c r="L390" i="17"/>
  <c r="K391" i="17"/>
  <c r="N391" i="17" s="1"/>
  <c r="L391" i="17"/>
  <c r="K392" i="17"/>
  <c r="L392" i="17"/>
  <c r="N392" i="17"/>
  <c r="K393" i="17"/>
  <c r="L393" i="17"/>
  <c r="N393" i="17"/>
  <c r="K394" i="17"/>
  <c r="N394" i="17" s="1"/>
  <c r="L394" i="17"/>
  <c r="K395" i="17"/>
  <c r="N395" i="17" s="1"/>
  <c r="L395" i="17"/>
  <c r="K396" i="17"/>
  <c r="L396" i="17"/>
  <c r="N396" i="17"/>
  <c r="K397" i="17"/>
  <c r="L397" i="17"/>
  <c r="N397" i="17"/>
  <c r="K398" i="17"/>
  <c r="N398" i="17" s="1"/>
  <c r="L398" i="17"/>
  <c r="K399" i="17"/>
  <c r="N399" i="17" s="1"/>
  <c r="L399" i="17"/>
  <c r="K400" i="17"/>
  <c r="L400" i="17"/>
  <c r="N400" i="17"/>
  <c r="K401" i="17"/>
  <c r="L401" i="17"/>
  <c r="N401" i="17"/>
  <c r="K402" i="17"/>
  <c r="N402" i="17" s="1"/>
  <c r="L402" i="17"/>
  <c r="K403" i="17"/>
  <c r="N403" i="17" s="1"/>
  <c r="L403" i="17"/>
  <c r="K404" i="17"/>
  <c r="L404" i="17"/>
  <c r="N404" i="17"/>
  <c r="K405" i="17"/>
  <c r="L405" i="17"/>
  <c r="N405" i="17"/>
  <c r="K406" i="17"/>
  <c r="N406" i="17" s="1"/>
  <c r="L406" i="17"/>
  <c r="K407" i="17"/>
  <c r="N407" i="17" s="1"/>
  <c r="L407" i="17"/>
  <c r="K408" i="17"/>
  <c r="L408" i="17"/>
  <c r="N408" i="17"/>
  <c r="K409" i="17"/>
  <c r="L409" i="17"/>
  <c r="N409" i="17"/>
  <c r="K410" i="17"/>
  <c r="N410" i="17" s="1"/>
  <c r="L410" i="17"/>
  <c r="K411" i="17"/>
  <c r="N411" i="17" s="1"/>
  <c r="L411" i="17"/>
  <c r="K412" i="17"/>
  <c r="L412" i="17"/>
  <c r="N412" i="17"/>
  <c r="K413" i="17"/>
  <c r="L413" i="17"/>
  <c r="N413" i="17"/>
  <c r="K414" i="17"/>
  <c r="N414" i="17" s="1"/>
  <c r="L414" i="17"/>
  <c r="K415" i="17"/>
  <c r="N415" i="17" s="1"/>
  <c r="L415" i="17"/>
  <c r="K416" i="17"/>
  <c r="L416" i="17"/>
  <c r="N416" i="17"/>
  <c r="K417" i="17"/>
  <c r="L417" i="17"/>
  <c r="N417" i="17"/>
  <c r="K418" i="17"/>
  <c r="N418" i="17" s="1"/>
  <c r="L418" i="17"/>
  <c r="K419" i="17"/>
  <c r="N419" i="17" s="1"/>
  <c r="L419" i="17"/>
  <c r="K420" i="17"/>
  <c r="L420" i="17"/>
  <c r="N420" i="17"/>
  <c r="K421" i="17"/>
  <c r="L421" i="17"/>
  <c r="N421" i="17"/>
  <c r="K422" i="17"/>
  <c r="N422" i="17" s="1"/>
  <c r="L422" i="17"/>
  <c r="K423" i="17"/>
  <c r="N423" i="17" s="1"/>
  <c r="L423" i="17"/>
  <c r="K424" i="17"/>
  <c r="L424" i="17"/>
  <c r="N424" i="17"/>
  <c r="K425" i="17"/>
  <c r="L425" i="17"/>
  <c r="N425" i="17"/>
  <c r="K426" i="17"/>
  <c r="N426" i="17" s="1"/>
  <c r="L426" i="17"/>
  <c r="K427" i="17"/>
  <c r="N427" i="17" s="1"/>
  <c r="L427" i="17"/>
  <c r="K428" i="17"/>
  <c r="L428" i="17"/>
  <c r="N428" i="17"/>
  <c r="K429" i="17"/>
  <c r="L429" i="17"/>
  <c r="N429" i="17"/>
  <c r="K430" i="17"/>
  <c r="N430" i="17" s="1"/>
  <c r="L430" i="17"/>
  <c r="K431" i="17"/>
  <c r="N431" i="17" s="1"/>
  <c r="L431" i="17"/>
  <c r="K432" i="17"/>
  <c r="L432" i="17"/>
  <c r="N432" i="17"/>
  <c r="K433" i="17"/>
  <c r="L433" i="17"/>
  <c r="N433" i="17"/>
  <c r="K434" i="17"/>
  <c r="N434" i="17" s="1"/>
  <c r="L434" i="17"/>
  <c r="K435" i="17"/>
  <c r="N435" i="17" s="1"/>
  <c r="L435" i="17"/>
  <c r="K436" i="17"/>
  <c r="L436" i="17"/>
  <c r="N436" i="17"/>
  <c r="K437" i="17"/>
  <c r="L437" i="17"/>
  <c r="N437" i="17"/>
  <c r="K438" i="17"/>
  <c r="N438" i="17" s="1"/>
  <c r="L438" i="17"/>
  <c r="K439" i="17"/>
  <c r="N439" i="17" s="1"/>
  <c r="L439" i="17"/>
  <c r="K440" i="17"/>
  <c r="L440" i="17"/>
  <c r="N440" i="17"/>
  <c r="K441" i="17"/>
  <c r="L441" i="17"/>
  <c r="N441" i="17"/>
  <c r="K442" i="17"/>
  <c r="N442" i="17" s="1"/>
  <c r="L442" i="17"/>
  <c r="K443" i="17"/>
  <c r="N443" i="17" s="1"/>
  <c r="L443" i="17"/>
  <c r="K444" i="17"/>
  <c r="L444" i="17"/>
  <c r="N444" i="17"/>
  <c r="K445" i="17"/>
  <c r="L445" i="17"/>
  <c r="N445" i="17"/>
  <c r="K446" i="17"/>
  <c r="N446" i="17" s="1"/>
  <c r="L446" i="17"/>
  <c r="K447" i="17"/>
  <c r="N447" i="17" s="1"/>
  <c r="L447" i="17"/>
  <c r="K448" i="17"/>
  <c r="L448" i="17"/>
  <c r="N448" i="17"/>
  <c r="K449" i="17"/>
  <c r="L449" i="17"/>
  <c r="N449" i="17"/>
  <c r="K450" i="17"/>
  <c r="N450" i="17" s="1"/>
  <c r="L450" i="17"/>
  <c r="K451" i="17"/>
  <c r="N451" i="17" s="1"/>
  <c r="L451" i="17"/>
  <c r="K452" i="17"/>
  <c r="L452" i="17"/>
  <c r="N452" i="17"/>
  <c r="K453" i="17"/>
  <c r="L453" i="17"/>
  <c r="N453" i="17"/>
  <c r="K454" i="17"/>
  <c r="N454" i="17" s="1"/>
  <c r="L454" i="17"/>
  <c r="K455" i="17"/>
  <c r="N455" i="17" s="1"/>
  <c r="L455" i="17"/>
  <c r="K456" i="17"/>
  <c r="L456" i="17"/>
  <c r="N456" i="17"/>
  <c r="K457" i="17"/>
  <c r="L457" i="17"/>
  <c r="N457" i="17"/>
  <c r="K458" i="17"/>
  <c r="N458" i="17" s="1"/>
  <c r="L458" i="17"/>
  <c r="K459" i="17"/>
  <c r="N459" i="17" s="1"/>
  <c r="L459" i="17"/>
  <c r="K460" i="17"/>
  <c r="L460" i="17"/>
  <c r="N460" i="17"/>
  <c r="K461" i="17"/>
  <c r="L461" i="17"/>
  <c r="N461" i="17"/>
  <c r="K462" i="17"/>
  <c r="N462" i="17" s="1"/>
  <c r="L462" i="17"/>
  <c r="K463" i="17"/>
  <c r="N463" i="17" s="1"/>
  <c r="L463" i="17"/>
  <c r="K464" i="17"/>
  <c r="L464" i="17"/>
  <c r="N464" i="17"/>
  <c r="K465" i="17"/>
  <c r="L465" i="17"/>
  <c r="N465" i="17"/>
  <c r="K466" i="17"/>
  <c r="N466" i="17" s="1"/>
  <c r="L466" i="17"/>
  <c r="K467" i="17"/>
  <c r="N467" i="17" s="1"/>
  <c r="L467" i="17"/>
  <c r="K468" i="17"/>
  <c r="L468" i="17"/>
  <c r="N468" i="17"/>
  <c r="K469" i="17"/>
  <c r="L469" i="17"/>
  <c r="N469" i="17"/>
  <c r="K470" i="17"/>
  <c r="N470" i="17" s="1"/>
  <c r="L470" i="17"/>
  <c r="K471" i="17"/>
  <c r="N471" i="17" s="1"/>
  <c r="L471" i="17"/>
  <c r="K472" i="17"/>
  <c r="L472" i="17"/>
  <c r="N472" i="17"/>
  <c r="K473" i="17"/>
  <c r="L473" i="17"/>
  <c r="N473" i="17"/>
  <c r="K474" i="17"/>
  <c r="N474" i="17" s="1"/>
  <c r="L474" i="17"/>
  <c r="K475" i="17"/>
  <c r="N475" i="17" s="1"/>
  <c r="L475" i="17"/>
  <c r="K476" i="17"/>
  <c r="L476" i="17"/>
  <c r="N476" i="17"/>
  <c r="K477" i="17"/>
  <c r="L477" i="17"/>
  <c r="N477" i="17"/>
  <c r="K478" i="17"/>
  <c r="N478" i="17" s="1"/>
  <c r="L478" i="17"/>
  <c r="K479" i="17"/>
  <c r="N479" i="17" s="1"/>
  <c r="L479" i="17"/>
  <c r="K480" i="17"/>
  <c r="L480" i="17"/>
  <c r="N480" i="17"/>
  <c r="K481" i="17"/>
  <c r="L481" i="17"/>
  <c r="N481" i="17"/>
  <c r="K482" i="17"/>
  <c r="N482" i="17" s="1"/>
  <c r="L482" i="17"/>
  <c r="K483" i="17"/>
  <c r="N483" i="17" s="1"/>
  <c r="L483" i="17"/>
  <c r="K484" i="17"/>
  <c r="L484" i="17"/>
  <c r="N484" i="17"/>
  <c r="K485" i="17"/>
  <c r="L485" i="17"/>
  <c r="N485" i="17"/>
  <c r="K486" i="17"/>
  <c r="N486" i="17" s="1"/>
  <c r="L486" i="17"/>
  <c r="K487" i="17"/>
  <c r="N487" i="17" s="1"/>
  <c r="L487" i="17"/>
  <c r="K488" i="17"/>
  <c r="L488" i="17"/>
  <c r="N488" i="17"/>
  <c r="K489" i="17"/>
  <c r="L489" i="17"/>
  <c r="N489" i="17"/>
  <c r="K490" i="17"/>
  <c r="N490" i="17" s="1"/>
  <c r="L490" i="17"/>
  <c r="K491" i="17"/>
  <c r="N491" i="17" s="1"/>
  <c r="L491" i="17"/>
  <c r="K492" i="17"/>
  <c r="L492" i="17"/>
  <c r="N492" i="17"/>
  <c r="K493" i="17"/>
  <c r="L493" i="17"/>
  <c r="N493" i="17"/>
  <c r="K494" i="17"/>
  <c r="N494" i="17" s="1"/>
  <c r="L494" i="17"/>
  <c r="K495" i="17"/>
  <c r="N495" i="17" s="1"/>
  <c r="L495" i="17"/>
  <c r="K496" i="17"/>
  <c r="L496" i="17"/>
  <c r="N496" i="17"/>
  <c r="K497" i="17"/>
  <c r="L497" i="17"/>
  <c r="N497" i="17"/>
  <c r="K498" i="17"/>
  <c r="N498" i="17" s="1"/>
  <c r="L498" i="17"/>
  <c r="K499" i="17"/>
  <c r="N499" i="17" s="1"/>
  <c r="L499" i="17"/>
  <c r="K500" i="17"/>
  <c r="L500" i="17"/>
  <c r="N500" i="17"/>
  <c r="K501" i="17"/>
  <c r="L501" i="17"/>
  <c r="N501" i="17"/>
  <c r="K502" i="17"/>
  <c r="N502" i="17" s="1"/>
  <c r="L502" i="17"/>
  <c r="K503" i="17"/>
  <c r="N503" i="17" s="1"/>
  <c r="L503" i="17"/>
  <c r="K504" i="17"/>
  <c r="L504" i="17"/>
  <c r="N504" i="17"/>
  <c r="K505" i="17"/>
  <c r="L505" i="17"/>
  <c r="N505" i="17"/>
  <c r="K506" i="17"/>
  <c r="N506" i="17" s="1"/>
  <c r="L506" i="17"/>
  <c r="K507" i="17"/>
  <c r="N507" i="17" s="1"/>
  <c r="L507" i="17"/>
  <c r="K508" i="17"/>
  <c r="L508" i="17"/>
  <c r="N508" i="17"/>
  <c r="K509" i="17"/>
  <c r="L509" i="17"/>
  <c r="N509" i="17"/>
  <c r="K510" i="17"/>
  <c r="N510" i="17" s="1"/>
  <c r="L510" i="17"/>
  <c r="K511" i="17"/>
  <c r="N511" i="17" s="1"/>
  <c r="L511" i="17"/>
  <c r="K512" i="17"/>
  <c r="L512" i="17"/>
  <c r="N512" i="17"/>
  <c r="K513" i="17"/>
  <c r="L513" i="17"/>
  <c r="N513" i="17"/>
  <c r="K514" i="17"/>
  <c r="N514" i="17" s="1"/>
  <c r="L514" i="17"/>
  <c r="K515" i="17"/>
  <c r="N515" i="17" s="1"/>
  <c r="L515" i="17"/>
  <c r="K516" i="17"/>
  <c r="L516" i="17"/>
  <c r="N516" i="17"/>
  <c r="K517" i="17"/>
  <c r="L517" i="17"/>
  <c r="N517" i="17"/>
  <c r="K518" i="17"/>
  <c r="N518" i="17" s="1"/>
  <c r="L518" i="17"/>
  <c r="K519" i="17"/>
  <c r="N519" i="17" s="1"/>
  <c r="L519" i="17"/>
  <c r="K520" i="17"/>
  <c r="L520" i="17"/>
  <c r="N520" i="17"/>
  <c r="K521" i="17"/>
  <c r="L521" i="17"/>
  <c r="N521" i="17"/>
  <c r="K522" i="17"/>
  <c r="N522" i="17" s="1"/>
  <c r="L522" i="17"/>
  <c r="K523" i="17"/>
  <c r="N523" i="17" s="1"/>
  <c r="L523" i="17"/>
  <c r="K524" i="17"/>
  <c r="L524" i="17"/>
  <c r="N524" i="17"/>
  <c r="K525" i="17"/>
  <c r="L525" i="17"/>
  <c r="N525" i="17"/>
  <c r="K526" i="17"/>
  <c r="N526" i="17" s="1"/>
  <c r="L526" i="17"/>
  <c r="K527" i="17"/>
  <c r="N527" i="17" s="1"/>
  <c r="L527" i="17"/>
  <c r="K528" i="17"/>
  <c r="L528" i="17"/>
  <c r="N528" i="17"/>
  <c r="K529" i="17"/>
  <c r="L529" i="17"/>
  <c r="N529" i="17"/>
  <c r="K530" i="17"/>
  <c r="N530" i="17" s="1"/>
  <c r="L530" i="17"/>
  <c r="K531" i="17"/>
  <c r="N531" i="17" s="1"/>
  <c r="L531" i="17"/>
  <c r="K532" i="17"/>
  <c r="L532" i="17"/>
  <c r="N532" i="17"/>
  <c r="K533" i="17"/>
  <c r="L533" i="17"/>
  <c r="N533" i="17"/>
  <c r="K534" i="17"/>
  <c r="N534" i="17" s="1"/>
  <c r="L534" i="17"/>
  <c r="K535" i="17"/>
  <c r="N535" i="17" s="1"/>
  <c r="L535" i="17"/>
  <c r="K536" i="17"/>
  <c r="L536" i="17"/>
  <c r="N536" i="17"/>
  <c r="K537" i="17"/>
  <c r="L537" i="17"/>
  <c r="N537" i="17"/>
  <c r="K538" i="17"/>
  <c r="N538" i="17" s="1"/>
  <c r="L538" i="17"/>
  <c r="K539" i="17"/>
  <c r="N539" i="17" s="1"/>
  <c r="L539" i="17"/>
  <c r="K540" i="17"/>
  <c r="L540" i="17"/>
  <c r="N540" i="17"/>
  <c r="K541" i="17"/>
  <c r="L541" i="17"/>
  <c r="N541" i="17"/>
  <c r="K542" i="17"/>
  <c r="N542" i="17" s="1"/>
  <c r="L542" i="17"/>
  <c r="K543" i="17"/>
  <c r="N543" i="17" s="1"/>
  <c r="L543" i="17"/>
  <c r="K544" i="17"/>
  <c r="L544" i="17"/>
  <c r="N544" i="17"/>
  <c r="K545" i="17"/>
  <c r="L545" i="17"/>
  <c r="N545" i="17"/>
  <c r="K546" i="17"/>
  <c r="N546" i="17" s="1"/>
  <c r="L546" i="17"/>
  <c r="K547" i="17"/>
  <c r="N547" i="17" s="1"/>
  <c r="L547" i="17"/>
  <c r="K548" i="17"/>
  <c r="L548" i="17"/>
  <c r="N548" i="17"/>
  <c r="K549" i="17"/>
  <c r="L549" i="17"/>
  <c r="N549" i="17"/>
  <c r="K550" i="17"/>
  <c r="N550" i="17" s="1"/>
  <c r="L550" i="17"/>
  <c r="K551" i="17"/>
  <c r="N551" i="17" s="1"/>
  <c r="L551" i="17"/>
  <c r="K552" i="17"/>
  <c r="L552" i="17"/>
  <c r="N552" i="17"/>
  <c r="K553" i="17"/>
  <c r="L553" i="17"/>
  <c r="N553" i="17"/>
  <c r="K554" i="17"/>
  <c r="N554" i="17" s="1"/>
  <c r="L554" i="17"/>
  <c r="K555" i="17"/>
  <c r="N555" i="17" s="1"/>
  <c r="L555" i="17"/>
  <c r="K556" i="17"/>
  <c r="L556" i="17"/>
  <c r="N556" i="17"/>
  <c r="K557" i="17"/>
  <c r="L557" i="17"/>
  <c r="N557" i="17"/>
  <c r="K558" i="17"/>
  <c r="N558" i="17" s="1"/>
  <c r="L558" i="17"/>
  <c r="K559" i="17"/>
  <c r="N559" i="17" s="1"/>
  <c r="L559" i="17"/>
  <c r="K560" i="17"/>
  <c r="L560" i="17"/>
  <c r="N560" i="17"/>
  <c r="K561" i="17"/>
  <c r="L561" i="17"/>
  <c r="N561" i="17"/>
  <c r="K562" i="17"/>
  <c r="N562" i="17" s="1"/>
  <c r="L562" i="17"/>
  <c r="K563" i="17"/>
  <c r="N563" i="17" s="1"/>
  <c r="L563" i="17"/>
  <c r="K564" i="17"/>
  <c r="L564" i="17"/>
  <c r="N564" i="17"/>
  <c r="K565" i="17"/>
  <c r="L565" i="17"/>
  <c r="N565" i="17"/>
  <c r="K566" i="17"/>
  <c r="N566" i="17" s="1"/>
  <c r="L566" i="17"/>
  <c r="K567" i="17"/>
  <c r="N567" i="17" s="1"/>
  <c r="L567" i="17"/>
  <c r="K568" i="17"/>
  <c r="L568" i="17"/>
  <c r="N568" i="17"/>
  <c r="K569" i="17"/>
  <c r="L569" i="17"/>
  <c r="N569" i="17"/>
  <c r="K570" i="17"/>
  <c r="N570" i="17" s="1"/>
  <c r="L570" i="17"/>
  <c r="K571" i="17"/>
  <c r="N571" i="17" s="1"/>
  <c r="L571" i="17"/>
  <c r="D349" i="17"/>
  <c r="D350" i="17"/>
  <c r="D351" i="17"/>
  <c r="D352" i="17"/>
  <c r="D353" i="17"/>
  <c r="D354" i="17"/>
  <c r="D355" i="17"/>
  <c r="D356" i="17"/>
  <c r="D357" i="17"/>
  <c r="D358" i="17"/>
  <c r="D359" i="17"/>
  <c r="D360" i="17"/>
  <c r="D361" i="17"/>
  <c r="D362" i="17"/>
  <c r="D363" i="17"/>
  <c r="D364" i="17"/>
  <c r="D365" i="17"/>
  <c r="D366" i="17"/>
  <c r="D367" i="17"/>
  <c r="D368" i="17"/>
  <c r="D369" i="17"/>
  <c r="D370" i="17"/>
  <c r="D371" i="17"/>
  <c r="D372" i="17"/>
  <c r="D373" i="17"/>
  <c r="D374" i="17"/>
  <c r="D375" i="17"/>
  <c r="D376" i="17"/>
  <c r="D377" i="17"/>
  <c r="D378" i="17"/>
  <c r="D379" i="17"/>
  <c r="D380" i="17"/>
  <c r="D381" i="17"/>
  <c r="D382" i="17"/>
  <c r="D383" i="17"/>
  <c r="D384" i="17"/>
  <c r="D385" i="17"/>
  <c r="D386" i="17"/>
  <c r="D387" i="17"/>
  <c r="D388" i="17"/>
  <c r="D389" i="17"/>
  <c r="D390" i="17"/>
  <c r="D391" i="17"/>
  <c r="D392" i="17"/>
  <c r="D393" i="17"/>
  <c r="D394" i="17"/>
  <c r="D395" i="17"/>
  <c r="D396" i="17"/>
  <c r="D397" i="17"/>
  <c r="D398" i="17"/>
  <c r="D399" i="17"/>
  <c r="D400" i="17"/>
  <c r="D401" i="17"/>
  <c r="D402" i="17"/>
  <c r="D403" i="17"/>
  <c r="D404" i="17"/>
  <c r="D405" i="17"/>
  <c r="D406" i="17"/>
  <c r="D407" i="17"/>
  <c r="D408" i="17"/>
  <c r="D409" i="17"/>
  <c r="D410" i="17"/>
  <c r="D411" i="17"/>
  <c r="D412" i="17"/>
  <c r="D413" i="17"/>
  <c r="D414" i="17"/>
  <c r="D415" i="17"/>
  <c r="D416" i="17"/>
  <c r="D417" i="17"/>
  <c r="D418" i="17"/>
  <c r="D419" i="17"/>
  <c r="D420" i="17"/>
  <c r="D421" i="17"/>
  <c r="D422" i="17"/>
  <c r="D423" i="17"/>
  <c r="D424" i="17"/>
  <c r="D425" i="17"/>
  <c r="D426" i="17"/>
  <c r="D427" i="17"/>
  <c r="D428" i="17"/>
  <c r="D429" i="17"/>
  <c r="D430" i="17"/>
  <c r="D431" i="17"/>
  <c r="D432" i="17"/>
  <c r="D433" i="17"/>
  <c r="D434" i="17"/>
  <c r="D435" i="17"/>
  <c r="D436" i="17"/>
  <c r="D437" i="17"/>
  <c r="D438" i="17"/>
  <c r="D439" i="17"/>
  <c r="D440" i="17"/>
  <c r="D441" i="17"/>
  <c r="D442" i="17"/>
  <c r="D443" i="17"/>
  <c r="D444" i="17"/>
  <c r="D445" i="17"/>
  <c r="D446" i="17"/>
  <c r="D447" i="17"/>
  <c r="D448" i="17"/>
  <c r="D449" i="17"/>
  <c r="D450" i="17"/>
  <c r="D451" i="17"/>
  <c r="D452" i="17"/>
  <c r="D453" i="17"/>
  <c r="D454" i="17"/>
  <c r="D455" i="17"/>
  <c r="D456" i="17"/>
  <c r="D457" i="17"/>
  <c r="D458" i="17"/>
  <c r="D459" i="17"/>
  <c r="D460" i="17"/>
  <c r="D461" i="17"/>
  <c r="D462" i="17"/>
  <c r="D463" i="17"/>
  <c r="D464" i="17"/>
  <c r="D465" i="17"/>
  <c r="D466" i="17"/>
  <c r="D467" i="17"/>
  <c r="D468" i="17"/>
  <c r="D469" i="17"/>
  <c r="D470" i="17"/>
  <c r="D471" i="17"/>
  <c r="D472" i="17"/>
  <c r="D473" i="17"/>
  <c r="D474" i="17"/>
  <c r="D475" i="17"/>
  <c r="D476" i="17"/>
  <c r="D477" i="17"/>
  <c r="D478" i="17"/>
  <c r="D479" i="17"/>
  <c r="D480" i="17"/>
  <c r="D481" i="17"/>
  <c r="D482" i="17"/>
  <c r="D483" i="17"/>
  <c r="D484" i="17"/>
  <c r="D485" i="17"/>
  <c r="D486" i="17"/>
  <c r="D487" i="17"/>
  <c r="D488" i="17"/>
  <c r="D489" i="17"/>
  <c r="D490" i="17"/>
  <c r="D491" i="17"/>
  <c r="D492" i="17"/>
  <c r="D493" i="17"/>
  <c r="D494" i="17"/>
  <c r="D495" i="17"/>
  <c r="D496" i="17"/>
  <c r="D497" i="17"/>
  <c r="D498" i="17"/>
  <c r="D499" i="17"/>
  <c r="D500" i="17"/>
  <c r="D501" i="17"/>
  <c r="D502" i="17"/>
  <c r="D503" i="17"/>
  <c r="D504" i="17"/>
  <c r="D505" i="17"/>
  <c r="D506" i="17"/>
  <c r="D507" i="17"/>
  <c r="D508" i="17"/>
  <c r="D509" i="17"/>
  <c r="D510" i="17"/>
  <c r="D511" i="17"/>
  <c r="D512" i="17"/>
  <c r="D513" i="17"/>
  <c r="D514" i="17"/>
  <c r="D515" i="17"/>
  <c r="D516" i="17"/>
  <c r="D517" i="17"/>
  <c r="D518" i="17"/>
  <c r="D519" i="17"/>
  <c r="D520" i="17"/>
  <c r="D521" i="17"/>
  <c r="D522" i="17"/>
  <c r="D523" i="17"/>
  <c r="D524" i="17"/>
  <c r="D525" i="17"/>
  <c r="D526" i="17"/>
  <c r="D527" i="17"/>
  <c r="D528" i="17"/>
  <c r="D529" i="17"/>
  <c r="D530" i="17"/>
  <c r="D531" i="17"/>
  <c r="D532" i="17"/>
  <c r="D533" i="17"/>
  <c r="D534" i="17"/>
  <c r="D535" i="17"/>
  <c r="D536" i="17"/>
  <c r="D537" i="17"/>
  <c r="D538" i="17"/>
  <c r="D539" i="17"/>
  <c r="D540" i="17"/>
  <c r="D541" i="17"/>
  <c r="D542" i="17"/>
  <c r="D543" i="17"/>
  <c r="D544" i="17"/>
  <c r="D545" i="17"/>
  <c r="D546" i="17"/>
  <c r="D547" i="17"/>
  <c r="D548" i="17"/>
  <c r="D549" i="17"/>
  <c r="D550" i="17"/>
  <c r="D551" i="17"/>
  <c r="D552" i="17"/>
  <c r="D553" i="17"/>
  <c r="D554" i="17"/>
  <c r="D555" i="17"/>
  <c r="D556" i="17"/>
  <c r="D557" i="17"/>
  <c r="D558" i="17"/>
  <c r="D559" i="17"/>
  <c r="D560" i="17"/>
  <c r="D561" i="17"/>
  <c r="D562" i="17"/>
  <c r="D563" i="17"/>
  <c r="D564" i="17"/>
  <c r="D565" i="17"/>
  <c r="D566" i="17"/>
  <c r="D567" i="17"/>
  <c r="D568" i="17"/>
  <c r="D569" i="17"/>
  <c r="D570" i="17"/>
  <c r="D571" i="17"/>
  <c r="D493" i="8" l="1"/>
  <c r="D565" i="8"/>
  <c r="D556" i="8"/>
  <c r="D545" i="8"/>
  <c r="D540" i="8"/>
  <c r="D481" i="8"/>
  <c r="D469" i="8"/>
  <c r="D417" i="8"/>
  <c r="D569" i="8"/>
  <c r="D558" i="8"/>
  <c r="D529" i="8"/>
  <c r="D524" i="8"/>
  <c r="D513" i="8"/>
  <c r="D508" i="8"/>
  <c r="D402" i="8"/>
  <c r="D482" i="8"/>
  <c r="D409" i="8"/>
  <c r="D514" i="8"/>
  <c r="D498" i="8"/>
  <c r="D476" i="8"/>
  <c r="D466" i="8"/>
  <c r="D394" i="8"/>
  <c r="D492" i="8"/>
  <c r="D480" i="8"/>
  <c r="D405" i="8"/>
  <c r="D396" i="8"/>
  <c r="D528" i="8"/>
  <c r="D460" i="8"/>
  <c r="D413" i="8"/>
  <c r="D496" i="8"/>
  <c r="D477" i="8"/>
  <c r="D404" i="8"/>
  <c r="D570" i="8"/>
  <c r="D546" i="8"/>
  <c r="D530" i="8"/>
  <c r="D525" i="8"/>
  <c r="D509" i="8"/>
  <c r="D497" i="8"/>
  <c r="D473" i="8"/>
  <c r="D468" i="8"/>
  <c r="D541" i="8"/>
  <c r="D353" i="8"/>
  <c r="D433" i="8"/>
  <c r="D420" i="8"/>
  <c r="D369" i="8"/>
  <c r="C421" i="8" s="1"/>
  <c r="E421" i="8" s="1"/>
  <c r="D356" i="8"/>
  <c r="C354" i="8"/>
  <c r="C355" i="8"/>
  <c r="E355" i="8" s="1"/>
  <c r="D457" i="8"/>
  <c r="D444" i="8"/>
  <c r="D393" i="8"/>
  <c r="D380" i="8"/>
  <c r="C358" i="8"/>
  <c r="E358" i="8" s="1"/>
  <c r="C351" i="8"/>
  <c r="E351" i="8" s="1"/>
  <c r="D465" i="8"/>
  <c r="D452" i="8"/>
  <c r="D401" i="8"/>
  <c r="D388" i="8"/>
  <c r="C359" i="8"/>
  <c r="E359" i="8" s="1"/>
  <c r="D441" i="8"/>
  <c r="D428" i="8"/>
  <c r="D377" i="8"/>
  <c r="D364" i="8"/>
  <c r="C385" i="8" s="1"/>
  <c r="E385" i="8" s="1"/>
  <c r="C483" i="8"/>
  <c r="E483" i="8" s="1"/>
  <c r="D425" i="8"/>
  <c r="D412" i="8"/>
  <c r="D361" i="8"/>
  <c r="C386" i="8" s="1"/>
  <c r="E386" i="8" s="1"/>
  <c r="C352" i="8"/>
  <c r="E352" i="8" s="1"/>
  <c r="D449" i="8"/>
  <c r="D436" i="8"/>
  <c r="C462" i="8" s="1"/>
  <c r="E462" i="8" s="1"/>
  <c r="D385" i="8"/>
  <c r="D372" i="8"/>
  <c r="E354" i="8"/>
  <c r="D470" i="8"/>
  <c r="K2" i="17"/>
  <c r="C402" i="8" l="1"/>
  <c r="E402" i="8" s="1"/>
  <c r="C502" i="8"/>
  <c r="E502" i="8" s="1"/>
  <c r="C370" i="8"/>
  <c r="E370" i="8" s="1"/>
  <c r="C361" i="8"/>
  <c r="E361" i="8" s="1"/>
  <c r="C363" i="8"/>
  <c r="E363" i="8" s="1"/>
  <c r="C522" i="8"/>
  <c r="E522" i="8" s="1"/>
  <c r="C419" i="8"/>
  <c r="E419" i="8" s="1"/>
  <c r="C427" i="8"/>
  <c r="E427" i="8" s="1"/>
  <c r="C381" i="8"/>
  <c r="E381" i="8" s="1"/>
  <c r="C405" i="8"/>
  <c r="E405" i="8" s="1"/>
  <c r="C398" i="8"/>
  <c r="E398" i="8" s="1"/>
  <c r="C459" i="8"/>
  <c r="E459" i="8" s="1"/>
  <c r="C416" i="8"/>
  <c r="E416" i="8" s="1"/>
  <c r="C530" i="8"/>
  <c r="E530" i="8" s="1"/>
  <c r="C474" i="8"/>
  <c r="E474" i="8" s="1"/>
  <c r="C457" i="8"/>
  <c r="E457" i="8" s="1"/>
  <c r="C513" i="8"/>
  <c r="E513" i="8" s="1"/>
  <c r="C492" i="8"/>
  <c r="E492" i="8" s="1"/>
  <c r="C440" i="8"/>
  <c r="E440" i="8" s="1"/>
  <c r="C485" i="8"/>
  <c r="E485" i="8" s="1"/>
  <c r="C566" i="8"/>
  <c r="E566" i="8" s="1"/>
  <c r="C509" i="8"/>
  <c r="E509" i="8" s="1"/>
  <c r="C557" i="8"/>
  <c r="E557" i="8" s="1"/>
  <c r="C487" i="8"/>
  <c r="E487" i="8" s="1"/>
  <c r="C538" i="8"/>
  <c r="E538" i="8" s="1"/>
  <c r="C377" i="8"/>
  <c r="E377" i="8" s="1"/>
  <c r="C441" i="8"/>
  <c r="E441" i="8" s="1"/>
  <c r="C430" i="8"/>
  <c r="E430" i="8" s="1"/>
  <c r="C465" i="8"/>
  <c r="E465" i="8" s="1"/>
  <c r="C384" i="8"/>
  <c r="E384" i="8" s="1"/>
  <c r="C442" i="8"/>
  <c r="E442" i="8" s="1"/>
  <c r="C486" i="8"/>
  <c r="E486" i="8" s="1"/>
  <c r="C571" i="8"/>
  <c r="E571" i="8" s="1"/>
  <c r="C411" i="8"/>
  <c r="E411" i="8" s="1"/>
  <c r="C418" i="8"/>
  <c r="E418" i="8" s="1"/>
  <c r="C525" i="8"/>
  <c r="E525" i="8" s="1"/>
  <c r="C544" i="8"/>
  <c r="E544" i="8" s="1"/>
  <c r="C404" i="8"/>
  <c r="E404" i="8" s="1"/>
  <c r="C494" i="8"/>
  <c r="E494" i="8" s="1"/>
  <c r="C564" i="8"/>
  <c r="E564" i="8" s="1"/>
  <c r="C458" i="8"/>
  <c r="E458" i="8" s="1"/>
  <c r="C558" i="8"/>
  <c r="E558" i="8" s="1"/>
  <c r="C545" i="8"/>
  <c r="E545" i="8" s="1"/>
  <c r="C390" i="8"/>
  <c r="E390" i="8" s="1"/>
  <c r="C425" i="8"/>
  <c r="E425" i="8" s="1"/>
  <c r="C515" i="8"/>
  <c r="E515" i="8" s="1"/>
  <c r="C500" i="8"/>
  <c r="E500" i="8" s="1"/>
  <c r="C549" i="8"/>
  <c r="E549" i="8" s="1"/>
  <c r="C406" i="8"/>
  <c r="E406" i="8" s="1"/>
  <c r="C357" i="8"/>
  <c r="E357" i="8" s="1"/>
  <c r="C392" i="8"/>
  <c r="E392" i="8" s="1"/>
  <c r="C499" i="8"/>
  <c r="E499" i="8" s="1"/>
  <c r="C467" i="8"/>
  <c r="E467" i="8" s="1"/>
  <c r="C403" i="8"/>
  <c r="E403" i="8" s="1"/>
  <c r="C490" i="8"/>
  <c r="E490" i="8" s="1"/>
  <c r="C510" i="8"/>
  <c r="E510" i="8" s="1"/>
  <c r="C480" i="8"/>
  <c r="E480" i="8" s="1"/>
  <c r="C514" i="8"/>
  <c r="E514" i="8" s="1"/>
  <c r="C482" i="8"/>
  <c r="E482" i="8" s="1"/>
  <c r="C417" i="8"/>
  <c r="E417" i="8" s="1"/>
  <c r="C407" i="8"/>
  <c r="E407" i="8" s="1"/>
  <c r="C423" i="8"/>
  <c r="E423" i="8" s="1"/>
  <c r="C497" i="8"/>
  <c r="E497" i="8" s="1"/>
  <c r="C498" i="8"/>
  <c r="E498" i="8" s="1"/>
  <c r="C565" i="8"/>
  <c r="E565" i="8" s="1"/>
  <c r="C383" i="8"/>
  <c r="E383" i="8" s="1"/>
  <c r="C449" i="8"/>
  <c r="E449" i="8" s="1"/>
  <c r="C551" i="8"/>
  <c r="E551" i="8" s="1"/>
  <c r="C395" i="8"/>
  <c r="E395" i="8" s="1"/>
  <c r="C542" i="8"/>
  <c r="E542" i="8" s="1"/>
  <c r="C396" i="8"/>
  <c r="E396" i="8" s="1"/>
  <c r="C478" i="8"/>
  <c r="E478" i="8" s="1"/>
  <c r="C376" i="8"/>
  <c r="E376" i="8" s="1"/>
  <c r="C410" i="8"/>
  <c r="E410" i="8" s="1"/>
  <c r="C534" i="8"/>
  <c r="E534" i="8" s="1"/>
  <c r="C362" i="8"/>
  <c r="E362" i="8" s="1"/>
  <c r="C366" i="8"/>
  <c r="E366" i="8" s="1"/>
  <c r="C448" i="8"/>
  <c r="E448" i="8" s="1"/>
  <c r="C518" i="8"/>
  <c r="E518" i="8" s="1"/>
  <c r="C387" i="8"/>
  <c r="E387" i="8" s="1"/>
  <c r="C560" i="8"/>
  <c r="E560" i="8" s="1"/>
  <c r="C567" i="8"/>
  <c r="E567" i="8" s="1"/>
  <c r="C572" i="8"/>
  <c r="E572" i="8" s="1"/>
  <c r="C368" i="8"/>
  <c r="E368" i="8" s="1"/>
  <c r="C388" i="8"/>
  <c r="E388" i="8" s="1"/>
  <c r="C397" i="8"/>
  <c r="E397" i="8" s="1"/>
  <c r="C399" i="8"/>
  <c r="E399" i="8" s="1"/>
  <c r="C432" i="8"/>
  <c r="E432" i="8" s="1"/>
  <c r="C452" i="8"/>
  <c r="E452" i="8" s="1"/>
  <c r="C461" i="8"/>
  <c r="E461" i="8" s="1"/>
  <c r="C360" i="8"/>
  <c r="E360" i="8" s="1"/>
  <c r="C380" i="8"/>
  <c r="E380" i="8" s="1"/>
  <c r="C389" i="8"/>
  <c r="E389" i="8" s="1"/>
  <c r="C391" i="8"/>
  <c r="E391" i="8" s="1"/>
  <c r="C424" i="8"/>
  <c r="E424" i="8" s="1"/>
  <c r="C444" i="8"/>
  <c r="E444" i="8" s="1"/>
  <c r="C453" i="8"/>
  <c r="E453" i="8" s="1"/>
  <c r="C455" i="8"/>
  <c r="E455" i="8" s="1"/>
  <c r="C484" i="8"/>
  <c r="E484" i="8" s="1"/>
  <c r="C431" i="8"/>
  <c r="E431" i="8" s="1"/>
  <c r="C437" i="8"/>
  <c r="E437" i="8" s="1"/>
  <c r="C472" i="8"/>
  <c r="E472" i="8" s="1"/>
  <c r="C479" i="8"/>
  <c r="E479" i="8" s="1"/>
  <c r="C489" i="8"/>
  <c r="E489" i="8" s="1"/>
  <c r="C491" i="8"/>
  <c r="E491" i="8" s="1"/>
  <c r="C501" i="8"/>
  <c r="E501" i="8" s="1"/>
  <c r="C503" i="8"/>
  <c r="E503" i="8" s="1"/>
  <c r="C555" i="8"/>
  <c r="E555" i="8" s="1"/>
  <c r="C367" i="8"/>
  <c r="E367" i="8" s="1"/>
  <c r="C475" i="8"/>
  <c r="E475" i="8" s="1"/>
  <c r="C439" i="8"/>
  <c r="E439" i="8" s="1"/>
  <c r="C400" i="8"/>
  <c r="E400" i="8" s="1"/>
  <c r="C476" i="8"/>
  <c r="E476" i="8" s="1"/>
  <c r="C548" i="8"/>
  <c r="E548" i="8" s="1"/>
  <c r="C364" i="8"/>
  <c r="E364" i="8" s="1"/>
  <c r="C375" i="8"/>
  <c r="E375" i="8" s="1"/>
  <c r="C429" i="8"/>
  <c r="E429" i="8" s="1"/>
  <c r="C464" i="8"/>
  <c r="E464" i="8" s="1"/>
  <c r="C507" i="8"/>
  <c r="E507" i="8" s="1"/>
  <c r="C521" i="8"/>
  <c r="E521" i="8" s="1"/>
  <c r="C523" i="8"/>
  <c r="E523" i="8" s="1"/>
  <c r="C533" i="8"/>
  <c r="E533" i="8" s="1"/>
  <c r="C535" i="8"/>
  <c r="E535" i="8" s="1"/>
  <c r="C356" i="8"/>
  <c r="E356" i="8" s="1"/>
  <c r="C477" i="8"/>
  <c r="E477" i="8" s="1"/>
  <c r="C537" i="8"/>
  <c r="E537" i="8" s="1"/>
  <c r="C539" i="8"/>
  <c r="E539" i="8" s="1"/>
  <c r="C553" i="8"/>
  <c r="E553" i="8" s="1"/>
  <c r="C373" i="8"/>
  <c r="E373" i="8" s="1"/>
  <c r="C460" i="8"/>
  <c r="E460" i="8" s="1"/>
  <c r="C562" i="8"/>
  <c r="E562" i="8" s="1"/>
  <c r="C428" i="8"/>
  <c r="E428" i="8" s="1"/>
  <c r="C469" i="8"/>
  <c r="E469" i="8" s="1"/>
  <c r="C516" i="8"/>
  <c r="E516" i="8" s="1"/>
  <c r="C536" i="8"/>
  <c r="E536" i="8" s="1"/>
  <c r="C556" i="8"/>
  <c r="E556" i="8" s="1"/>
  <c r="C420" i="8"/>
  <c r="E420" i="8" s="1"/>
  <c r="C493" i="8"/>
  <c r="E493" i="8" s="1"/>
  <c r="C543" i="8"/>
  <c r="E543" i="8" s="1"/>
  <c r="C563" i="8"/>
  <c r="E563" i="8" s="1"/>
  <c r="C365" i="8"/>
  <c r="E365" i="8" s="1"/>
  <c r="C408" i="8"/>
  <c r="E408" i="8" s="1"/>
  <c r="C471" i="8"/>
  <c r="E471" i="8" s="1"/>
  <c r="C488" i="8"/>
  <c r="E488" i="8" s="1"/>
  <c r="C463" i="8"/>
  <c r="E463" i="8" s="1"/>
  <c r="C495" i="8"/>
  <c r="E495" i="8" s="1"/>
  <c r="C504" i="8"/>
  <c r="E504" i="8" s="1"/>
  <c r="C508" i="8"/>
  <c r="E508" i="8" s="1"/>
  <c r="C520" i="8"/>
  <c r="E520" i="8" s="1"/>
  <c r="C524" i="8"/>
  <c r="E524" i="8" s="1"/>
  <c r="C569" i="8"/>
  <c r="E569" i="8" s="1"/>
  <c r="C511" i="8"/>
  <c r="E511" i="8" s="1"/>
  <c r="C527" i="8"/>
  <c r="E527" i="8" s="1"/>
  <c r="C540" i="8"/>
  <c r="E540" i="8" s="1"/>
  <c r="C552" i="8"/>
  <c r="E552" i="8" s="1"/>
  <c r="C561" i="8"/>
  <c r="E561" i="8" s="1"/>
  <c r="C559" i="8"/>
  <c r="E559" i="8" s="1"/>
  <c r="C413" i="8"/>
  <c r="E413" i="8" s="1"/>
  <c r="C526" i="8"/>
  <c r="E526" i="8" s="1"/>
  <c r="C374" i="8"/>
  <c r="E374" i="8" s="1"/>
  <c r="C481" i="8"/>
  <c r="E481" i="8" s="1"/>
  <c r="C554" i="8"/>
  <c r="E554" i="8" s="1"/>
  <c r="C434" i="8"/>
  <c r="E434" i="8" s="1"/>
  <c r="C454" i="8"/>
  <c r="E454" i="8" s="1"/>
  <c r="C547" i="8"/>
  <c r="E547" i="8" s="1"/>
  <c r="C517" i="8"/>
  <c r="E517" i="8" s="1"/>
  <c r="C401" i="8"/>
  <c r="E401" i="8" s="1"/>
  <c r="C415" i="8"/>
  <c r="E415" i="8" s="1"/>
  <c r="C531" i="8"/>
  <c r="E531" i="8" s="1"/>
  <c r="C443" i="8"/>
  <c r="E443" i="8" s="1"/>
  <c r="C379" i="8"/>
  <c r="E379" i="8" s="1"/>
  <c r="C353" i="8"/>
  <c r="E353" i="8" s="1"/>
  <c r="C446" i="8"/>
  <c r="E446" i="8" s="1"/>
  <c r="C505" i="8"/>
  <c r="E505" i="8" s="1"/>
  <c r="C409" i="8"/>
  <c r="E409" i="8" s="1"/>
  <c r="C529" i="8"/>
  <c r="E529" i="8" s="1"/>
  <c r="C541" i="8"/>
  <c r="E541" i="8" s="1"/>
  <c r="C532" i="8"/>
  <c r="E532" i="8" s="1"/>
  <c r="C550" i="8"/>
  <c r="E550" i="8" s="1"/>
  <c r="C470" i="8"/>
  <c r="E470" i="8" s="1"/>
  <c r="C570" i="8"/>
  <c r="E570" i="8" s="1"/>
  <c r="C394" i="8"/>
  <c r="E394" i="8" s="1"/>
  <c r="C436" i="8"/>
  <c r="E436" i="8" s="1"/>
  <c r="C414" i="8"/>
  <c r="E414" i="8" s="1"/>
  <c r="C445" i="8"/>
  <c r="E445" i="8" s="1"/>
  <c r="C450" i="8"/>
  <c r="E450" i="8" s="1"/>
  <c r="C468" i="8"/>
  <c r="E468" i="8" s="1"/>
  <c r="C496" i="8"/>
  <c r="E496" i="8" s="1"/>
  <c r="C466" i="8"/>
  <c r="E466" i="8" s="1"/>
  <c r="C568" i="8"/>
  <c r="E568" i="8" s="1"/>
  <c r="C447" i="8"/>
  <c r="E447" i="8" s="1"/>
  <c r="C506" i="8"/>
  <c r="E506" i="8" s="1"/>
  <c r="C426" i="8"/>
  <c r="E426" i="8" s="1"/>
  <c r="C393" i="8"/>
  <c r="E393" i="8" s="1"/>
  <c r="C451" i="8"/>
  <c r="E451" i="8" s="1"/>
  <c r="C382" i="8"/>
  <c r="E382" i="8" s="1"/>
  <c r="C519" i="8"/>
  <c r="E519" i="8" s="1"/>
  <c r="C412" i="8"/>
  <c r="E412" i="8" s="1"/>
  <c r="C456" i="8"/>
  <c r="E456" i="8" s="1"/>
  <c r="C378" i="8"/>
  <c r="E378" i="8" s="1"/>
  <c r="C422" i="8"/>
  <c r="E422" i="8" s="1"/>
  <c r="C435" i="8"/>
  <c r="E435" i="8" s="1"/>
  <c r="C371" i="8"/>
  <c r="E371" i="8" s="1"/>
  <c r="C369" i="8"/>
  <c r="E369" i="8" s="1"/>
  <c r="C433" i="8"/>
  <c r="E433" i="8" s="1"/>
  <c r="C372" i="8"/>
  <c r="E372" i="8" s="1"/>
  <c r="C546" i="8"/>
  <c r="E546" i="8" s="1"/>
  <c r="C512" i="8"/>
  <c r="E512" i="8" s="1"/>
  <c r="C438" i="8"/>
  <c r="E438" i="8" s="1"/>
  <c r="C528" i="8"/>
  <c r="E528" i="8" s="1"/>
  <c r="C473" i="8"/>
  <c r="E473" i="8" s="1"/>
  <c r="S20" i="8"/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A339" i="8" s="1"/>
  <c r="J340" i="8"/>
  <c r="A340" i="8" s="1"/>
  <c r="D340" i="8" s="1"/>
  <c r="J341" i="8"/>
  <c r="A341" i="8" s="1"/>
  <c r="D341" i="8" s="1"/>
  <c r="J342" i="8"/>
  <c r="A342" i="8" s="1"/>
  <c r="J343" i="8"/>
  <c r="A343" i="8" s="1"/>
  <c r="D343" i="8" s="1"/>
  <c r="J344" i="8"/>
  <c r="A344" i="8" s="1"/>
  <c r="J345" i="8"/>
  <c r="A345" i="8" s="1"/>
  <c r="D345" i="8" s="1"/>
  <c r="J346" i="8"/>
  <c r="A346" i="8" s="1"/>
  <c r="D346" i="8" s="1"/>
  <c r="J347" i="8"/>
  <c r="A347" i="8" s="1"/>
  <c r="J348" i="8"/>
  <c r="A348" i="8" s="1"/>
  <c r="D348" i="8" s="1"/>
  <c r="J349" i="8"/>
  <c r="A349" i="8" s="1"/>
  <c r="D349" i="8" s="1"/>
  <c r="J3" i="8"/>
  <c r="A3" i="8" s="1"/>
  <c r="M349" i="8"/>
  <c r="L349" i="8"/>
  <c r="I349" i="8"/>
  <c r="M348" i="8"/>
  <c r="L348" i="8"/>
  <c r="I348" i="8"/>
  <c r="M347" i="8"/>
  <c r="L347" i="8"/>
  <c r="I347" i="8"/>
  <c r="M346" i="8"/>
  <c r="L346" i="8"/>
  <c r="I346" i="8"/>
  <c r="M345" i="8"/>
  <c r="L345" i="8"/>
  <c r="I345" i="8"/>
  <c r="M344" i="8"/>
  <c r="L344" i="8"/>
  <c r="I344" i="8"/>
  <c r="M343" i="8"/>
  <c r="L343" i="8"/>
  <c r="I343" i="8"/>
  <c r="M342" i="8"/>
  <c r="L342" i="8"/>
  <c r="I342" i="8"/>
  <c r="M341" i="8"/>
  <c r="L341" i="8"/>
  <c r="I341" i="8"/>
  <c r="M340" i="8"/>
  <c r="L340" i="8"/>
  <c r="I340" i="8"/>
  <c r="M339" i="8"/>
  <c r="L339" i="8"/>
  <c r="I339" i="8"/>
  <c r="D342" i="8" l="1"/>
  <c r="D339" i="8"/>
  <c r="D347" i="8"/>
  <c r="D344" i="8"/>
  <c r="X15" i="8" l="1"/>
  <c r="W15" i="8"/>
  <c r="V15" i="8"/>
  <c r="U15" i="8"/>
  <c r="T15" i="8"/>
  <c r="S15" i="8"/>
  <c r="X14" i="8"/>
  <c r="W14" i="8"/>
  <c r="V14" i="8"/>
  <c r="U14" i="8"/>
  <c r="T14" i="8"/>
  <c r="S14" i="8"/>
  <c r="X13" i="8"/>
  <c r="W13" i="8"/>
  <c r="V13" i="8"/>
  <c r="U13" i="8"/>
  <c r="T13" i="8"/>
  <c r="S13" i="8"/>
  <c r="X12" i="8"/>
  <c r="W12" i="8"/>
  <c r="V12" i="8"/>
  <c r="U12" i="8"/>
  <c r="T12" i="8"/>
  <c r="S12" i="8"/>
  <c r="X11" i="8"/>
  <c r="W11" i="8"/>
  <c r="V11" i="8"/>
  <c r="U11" i="8"/>
  <c r="T11" i="8"/>
  <c r="S11" i="8"/>
  <c r="X10" i="8"/>
  <c r="W10" i="8"/>
  <c r="V10" i="8"/>
  <c r="U10" i="8"/>
  <c r="T10" i="8"/>
  <c r="S10" i="8"/>
  <c r="D2" i="17" l="1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321" i="17"/>
  <c r="D322" i="17"/>
  <c r="D323" i="17"/>
  <c r="D324" i="17"/>
  <c r="D325" i="17"/>
  <c r="D326" i="17"/>
  <c r="D327" i="17"/>
  <c r="D328" i="17"/>
  <c r="D329" i="17"/>
  <c r="D330" i="17"/>
  <c r="D331" i="17"/>
  <c r="D332" i="17"/>
  <c r="D333" i="17"/>
  <c r="D334" i="17"/>
  <c r="D335" i="17"/>
  <c r="D336" i="17"/>
  <c r="D337" i="17"/>
  <c r="D338" i="17"/>
  <c r="D339" i="17"/>
  <c r="D340" i="17"/>
  <c r="D341" i="17"/>
  <c r="D342" i="17"/>
  <c r="D343" i="17"/>
  <c r="D344" i="17"/>
  <c r="D345" i="17"/>
  <c r="D346" i="17"/>
  <c r="D347" i="17"/>
  <c r="D348" i="17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" i="8"/>
  <c r="K338" i="17"/>
  <c r="L338" i="17"/>
  <c r="N338" i="17" s="1"/>
  <c r="F339" i="8" s="1"/>
  <c r="H32" i="10" s="1"/>
  <c r="G32" i="10" s="1"/>
  <c r="K339" i="17"/>
  <c r="L339" i="17"/>
  <c r="K340" i="17"/>
  <c r="L340" i="17"/>
  <c r="N340" i="17" s="1"/>
  <c r="F341" i="8" s="1"/>
  <c r="H34" i="10" s="1"/>
  <c r="G34" i="10" s="1"/>
  <c r="K341" i="17"/>
  <c r="L341" i="17"/>
  <c r="N341" i="17" s="1"/>
  <c r="F342" i="8" s="1"/>
  <c r="H35" i="10" s="1"/>
  <c r="G35" i="10" s="1"/>
  <c r="K342" i="17"/>
  <c r="L342" i="17"/>
  <c r="K343" i="17"/>
  <c r="L343" i="17"/>
  <c r="K344" i="17"/>
  <c r="L344" i="17"/>
  <c r="N344" i="17" s="1"/>
  <c r="F345" i="8" s="1"/>
  <c r="H38" i="10" s="1"/>
  <c r="G38" i="10" s="1"/>
  <c r="K345" i="17"/>
  <c r="L345" i="17"/>
  <c r="N345" i="17" s="1"/>
  <c r="F346" i="8" s="1"/>
  <c r="H39" i="10" s="1"/>
  <c r="G39" i="10" s="1"/>
  <c r="K346" i="17"/>
  <c r="L346" i="17"/>
  <c r="N346" i="17" s="1"/>
  <c r="F347" i="8" s="1"/>
  <c r="H40" i="10" s="1"/>
  <c r="G40" i="10" s="1"/>
  <c r="K347" i="17"/>
  <c r="L347" i="17"/>
  <c r="K348" i="17"/>
  <c r="L348" i="17"/>
  <c r="N348" i="17" s="1"/>
  <c r="F349" i="8" s="1"/>
  <c r="H42" i="10" s="1"/>
  <c r="G42" i="10" s="1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N15" i="17" s="1"/>
  <c r="L16" i="17"/>
  <c r="L17" i="17"/>
  <c r="N17" i="17" s="1"/>
  <c r="L18" i="17"/>
  <c r="N18" i="17" s="1"/>
  <c r="L19" i="17"/>
  <c r="L20" i="17"/>
  <c r="L21" i="17"/>
  <c r="L22" i="17"/>
  <c r="L23" i="17"/>
  <c r="N23" i="17" s="1"/>
  <c r="L24" i="17"/>
  <c r="L25" i="17"/>
  <c r="N25" i="17" s="1"/>
  <c r="L26" i="17"/>
  <c r="N26" i="17" s="1"/>
  <c r="L27" i="17"/>
  <c r="L28" i="17"/>
  <c r="L29" i="17"/>
  <c r="L30" i="17"/>
  <c r="L31" i="17"/>
  <c r="N31" i="17" s="1"/>
  <c r="L32" i="17"/>
  <c r="L33" i="17"/>
  <c r="N33" i="17" s="1"/>
  <c r="L34" i="17"/>
  <c r="N34" i="17" s="1"/>
  <c r="L35" i="17"/>
  <c r="L36" i="17"/>
  <c r="L37" i="17"/>
  <c r="L38" i="17"/>
  <c r="L39" i="17"/>
  <c r="N39" i="17" s="1"/>
  <c r="L40" i="17"/>
  <c r="L41" i="17"/>
  <c r="N41" i="17" s="1"/>
  <c r="L42" i="17"/>
  <c r="N42" i="17" s="1"/>
  <c r="L43" i="17"/>
  <c r="L44" i="17"/>
  <c r="L45" i="17"/>
  <c r="L46" i="17"/>
  <c r="L47" i="17"/>
  <c r="N47" i="17" s="1"/>
  <c r="L48" i="17"/>
  <c r="L49" i="17"/>
  <c r="N49" i="17" s="1"/>
  <c r="L50" i="17"/>
  <c r="N50" i="17" s="1"/>
  <c r="L51" i="17"/>
  <c r="L52" i="17"/>
  <c r="N52" i="17" s="1"/>
  <c r="L53" i="17"/>
  <c r="L54" i="17"/>
  <c r="L55" i="17"/>
  <c r="N55" i="17" s="1"/>
  <c r="L56" i="17"/>
  <c r="L57" i="17"/>
  <c r="N57" i="17" s="1"/>
  <c r="L58" i="17"/>
  <c r="N58" i="17" s="1"/>
  <c r="L59" i="17"/>
  <c r="L60" i="17"/>
  <c r="L61" i="17"/>
  <c r="L62" i="17"/>
  <c r="L63" i="17"/>
  <c r="N63" i="17" s="1"/>
  <c r="L64" i="17"/>
  <c r="L65" i="17"/>
  <c r="N65" i="17" s="1"/>
  <c r="L66" i="17"/>
  <c r="N66" i="17" s="1"/>
  <c r="L67" i="17"/>
  <c r="L68" i="17"/>
  <c r="L69" i="17"/>
  <c r="L70" i="17"/>
  <c r="L71" i="17"/>
  <c r="N71" i="17" s="1"/>
  <c r="L72" i="17"/>
  <c r="L73" i="17"/>
  <c r="N73" i="17" s="1"/>
  <c r="L74" i="17"/>
  <c r="N74" i="17" s="1"/>
  <c r="L75" i="17"/>
  <c r="L76" i="17"/>
  <c r="L77" i="17"/>
  <c r="L78" i="17"/>
  <c r="L79" i="17"/>
  <c r="L80" i="17"/>
  <c r="L81" i="17"/>
  <c r="N81" i="17" s="1"/>
  <c r="L82" i="17"/>
  <c r="N82" i="17" s="1"/>
  <c r="L83" i="17"/>
  <c r="L84" i="17"/>
  <c r="L85" i="17"/>
  <c r="L86" i="17"/>
  <c r="L87" i="17"/>
  <c r="N87" i="17" s="1"/>
  <c r="L88" i="17"/>
  <c r="L89" i="17"/>
  <c r="N89" i="17" s="1"/>
  <c r="L90" i="17"/>
  <c r="N90" i="17" s="1"/>
  <c r="L91" i="17"/>
  <c r="L92" i="17"/>
  <c r="L93" i="17"/>
  <c r="L94" i="17"/>
  <c r="L95" i="17"/>
  <c r="N95" i="17" s="1"/>
  <c r="L96" i="17"/>
  <c r="L97" i="17"/>
  <c r="N97" i="17" s="1"/>
  <c r="L98" i="17"/>
  <c r="N98" i="17" s="1"/>
  <c r="L99" i="17"/>
  <c r="L100" i="17"/>
  <c r="L101" i="17"/>
  <c r="L102" i="17"/>
  <c r="L103" i="17"/>
  <c r="N103" i="17" s="1"/>
  <c r="L104" i="17"/>
  <c r="L105" i="17"/>
  <c r="N105" i="17" s="1"/>
  <c r="L106" i="17"/>
  <c r="N106" i="17" s="1"/>
  <c r="L107" i="17"/>
  <c r="L108" i="17"/>
  <c r="L109" i="17"/>
  <c r="L110" i="17"/>
  <c r="L111" i="17"/>
  <c r="N111" i="17" s="1"/>
  <c r="L112" i="17"/>
  <c r="L113" i="17"/>
  <c r="N113" i="17" s="1"/>
  <c r="L114" i="17"/>
  <c r="N114" i="17" s="1"/>
  <c r="L115" i="17"/>
  <c r="L116" i="17"/>
  <c r="L117" i="17"/>
  <c r="L118" i="17"/>
  <c r="L119" i="17"/>
  <c r="N119" i="17" s="1"/>
  <c r="L120" i="17"/>
  <c r="L121" i="17"/>
  <c r="N121" i="17" s="1"/>
  <c r="L122" i="17"/>
  <c r="N122" i="17" s="1"/>
  <c r="L123" i="17"/>
  <c r="L124" i="17"/>
  <c r="L125" i="17"/>
  <c r="L126" i="17"/>
  <c r="L127" i="17"/>
  <c r="N127" i="17" s="1"/>
  <c r="L128" i="17"/>
  <c r="L129" i="17"/>
  <c r="N129" i="17" s="1"/>
  <c r="L130" i="17"/>
  <c r="N130" i="17" s="1"/>
  <c r="L131" i="17"/>
  <c r="L132" i="17"/>
  <c r="L133" i="17"/>
  <c r="L134" i="17"/>
  <c r="L135" i="17"/>
  <c r="N135" i="17" s="1"/>
  <c r="L136" i="17"/>
  <c r="N136" i="17" s="1"/>
  <c r="L137" i="17"/>
  <c r="N137" i="17" s="1"/>
  <c r="L138" i="17"/>
  <c r="N138" i="17" s="1"/>
  <c r="L139" i="17"/>
  <c r="L140" i="17"/>
  <c r="L141" i="17"/>
  <c r="L142" i="17"/>
  <c r="L143" i="17"/>
  <c r="N143" i="17" s="1"/>
  <c r="L144" i="17"/>
  <c r="L145" i="17"/>
  <c r="N145" i="17" s="1"/>
  <c r="L146" i="17"/>
  <c r="N146" i="17" s="1"/>
  <c r="L147" i="17"/>
  <c r="L148" i="17"/>
  <c r="L149" i="17"/>
  <c r="L150" i="17"/>
  <c r="L151" i="17"/>
  <c r="N151" i="17" s="1"/>
  <c r="L152" i="17"/>
  <c r="L153" i="17"/>
  <c r="N153" i="17" s="1"/>
  <c r="L154" i="17"/>
  <c r="N154" i="17" s="1"/>
  <c r="L155" i="17"/>
  <c r="L156" i="17"/>
  <c r="L157" i="17"/>
  <c r="L158" i="17"/>
  <c r="L159" i="17"/>
  <c r="N159" i="17" s="1"/>
  <c r="L160" i="17"/>
  <c r="L161" i="17"/>
  <c r="N161" i="17" s="1"/>
  <c r="L162" i="17"/>
  <c r="N162" i="17" s="1"/>
  <c r="L163" i="17"/>
  <c r="L164" i="17"/>
  <c r="L165" i="17"/>
  <c r="L166" i="17"/>
  <c r="L167" i="17"/>
  <c r="N167" i="17" s="1"/>
  <c r="L168" i="17"/>
  <c r="L169" i="17"/>
  <c r="N169" i="17" s="1"/>
  <c r="L170" i="17"/>
  <c r="N170" i="17" s="1"/>
  <c r="L171" i="17"/>
  <c r="L172" i="17"/>
  <c r="L173" i="17"/>
  <c r="L174" i="17"/>
  <c r="L175" i="17"/>
  <c r="N175" i="17" s="1"/>
  <c r="L176" i="17"/>
  <c r="L177" i="17"/>
  <c r="N177" i="17" s="1"/>
  <c r="L178" i="17"/>
  <c r="N178" i="17" s="1"/>
  <c r="L179" i="17"/>
  <c r="L180" i="17"/>
  <c r="L181" i="17"/>
  <c r="L182" i="17"/>
  <c r="L183" i="17"/>
  <c r="N183" i="17" s="1"/>
  <c r="L184" i="17"/>
  <c r="L185" i="17"/>
  <c r="N185" i="17" s="1"/>
  <c r="L186" i="17"/>
  <c r="N186" i="17" s="1"/>
  <c r="L187" i="17"/>
  <c r="L188" i="17"/>
  <c r="L189" i="17"/>
  <c r="L190" i="17"/>
  <c r="L191" i="17"/>
  <c r="N191" i="17" s="1"/>
  <c r="L192" i="17"/>
  <c r="L193" i="17"/>
  <c r="N193" i="17" s="1"/>
  <c r="L194" i="17"/>
  <c r="N194" i="17" s="1"/>
  <c r="L195" i="17"/>
  <c r="L196" i="17"/>
  <c r="L197" i="17"/>
  <c r="L198" i="17"/>
  <c r="L199" i="17"/>
  <c r="N199" i="17" s="1"/>
  <c r="L200" i="17"/>
  <c r="L201" i="17"/>
  <c r="N201" i="17" s="1"/>
  <c r="L202" i="17"/>
  <c r="N202" i="17" s="1"/>
  <c r="L203" i="17"/>
  <c r="L204" i="17"/>
  <c r="L205" i="17"/>
  <c r="L206" i="17"/>
  <c r="L207" i="17"/>
  <c r="N207" i="17" s="1"/>
  <c r="L208" i="17"/>
  <c r="L209" i="17"/>
  <c r="N209" i="17" s="1"/>
  <c r="L210" i="17"/>
  <c r="N210" i="17" s="1"/>
  <c r="L211" i="17"/>
  <c r="L212" i="17"/>
  <c r="L213" i="17"/>
  <c r="L214" i="17"/>
  <c r="L215" i="17"/>
  <c r="N215" i="17" s="1"/>
  <c r="L216" i="17"/>
  <c r="L217" i="17"/>
  <c r="N217" i="17" s="1"/>
  <c r="L218" i="17"/>
  <c r="N218" i="17" s="1"/>
  <c r="L219" i="17"/>
  <c r="L220" i="17"/>
  <c r="L221" i="17"/>
  <c r="L222" i="17"/>
  <c r="L223" i="17"/>
  <c r="N223" i="17" s="1"/>
  <c r="L224" i="17"/>
  <c r="L225" i="17"/>
  <c r="N225" i="17" s="1"/>
  <c r="L226" i="17"/>
  <c r="N226" i="17" s="1"/>
  <c r="L227" i="17"/>
  <c r="L228" i="17"/>
  <c r="L229" i="17"/>
  <c r="L230" i="17"/>
  <c r="L231" i="17"/>
  <c r="N231" i="17" s="1"/>
  <c r="L232" i="17"/>
  <c r="L233" i="17"/>
  <c r="N233" i="17" s="1"/>
  <c r="L234" i="17"/>
  <c r="N234" i="17" s="1"/>
  <c r="L235" i="17"/>
  <c r="L236" i="17"/>
  <c r="L237" i="17"/>
  <c r="L238" i="17"/>
  <c r="L239" i="17"/>
  <c r="N239" i="17" s="1"/>
  <c r="L240" i="17"/>
  <c r="L241" i="17"/>
  <c r="N241" i="17" s="1"/>
  <c r="L242" i="17"/>
  <c r="N242" i="17" s="1"/>
  <c r="L243" i="17"/>
  <c r="L244" i="17"/>
  <c r="L245" i="17"/>
  <c r="L246" i="17"/>
  <c r="L247" i="17"/>
  <c r="N247" i="17" s="1"/>
  <c r="L248" i="17"/>
  <c r="L249" i="17"/>
  <c r="N249" i="17" s="1"/>
  <c r="L250" i="17"/>
  <c r="N250" i="17" s="1"/>
  <c r="L251" i="17"/>
  <c r="L252" i="17"/>
  <c r="L253" i="17"/>
  <c r="L254" i="17"/>
  <c r="L255" i="17"/>
  <c r="N255" i="17" s="1"/>
  <c r="L256" i="17"/>
  <c r="L257" i="17"/>
  <c r="N257" i="17" s="1"/>
  <c r="L258" i="17"/>
  <c r="N258" i="17" s="1"/>
  <c r="L259" i="17"/>
  <c r="L260" i="17"/>
  <c r="L261" i="17"/>
  <c r="L262" i="17"/>
  <c r="L263" i="17"/>
  <c r="N263" i="17" s="1"/>
  <c r="L264" i="17"/>
  <c r="L265" i="17"/>
  <c r="N265" i="17" s="1"/>
  <c r="L266" i="17"/>
  <c r="N266" i="17" s="1"/>
  <c r="L267" i="17"/>
  <c r="L268" i="17"/>
  <c r="L269" i="17"/>
  <c r="L270" i="17"/>
  <c r="L271" i="17"/>
  <c r="N271" i="17" s="1"/>
  <c r="L272" i="17"/>
  <c r="L273" i="17"/>
  <c r="N273" i="17" s="1"/>
  <c r="L274" i="17"/>
  <c r="N274" i="17" s="1"/>
  <c r="L275" i="17"/>
  <c r="L276" i="17"/>
  <c r="N276" i="17" s="1"/>
  <c r="L277" i="17"/>
  <c r="L278" i="17"/>
  <c r="L279" i="17"/>
  <c r="N279" i="17" s="1"/>
  <c r="L280" i="17"/>
  <c r="L281" i="17"/>
  <c r="N281" i="17" s="1"/>
  <c r="L282" i="17"/>
  <c r="N282" i="17" s="1"/>
  <c r="L283" i="17"/>
  <c r="L284" i="17"/>
  <c r="L285" i="17"/>
  <c r="L286" i="17"/>
  <c r="L287" i="17"/>
  <c r="N287" i="17" s="1"/>
  <c r="L288" i="17"/>
  <c r="L289" i="17"/>
  <c r="N289" i="17" s="1"/>
  <c r="L290" i="17"/>
  <c r="N290" i="17" s="1"/>
  <c r="L291" i="17"/>
  <c r="L292" i="17"/>
  <c r="L293" i="17"/>
  <c r="L294" i="17"/>
  <c r="L295" i="17"/>
  <c r="N295" i="17" s="1"/>
  <c r="L296" i="17"/>
  <c r="L297" i="17"/>
  <c r="N297" i="17" s="1"/>
  <c r="L298" i="17"/>
  <c r="N298" i="17" s="1"/>
  <c r="L299" i="17"/>
  <c r="L300" i="17"/>
  <c r="L301" i="17"/>
  <c r="L302" i="17"/>
  <c r="L303" i="17"/>
  <c r="N303" i="17" s="1"/>
  <c r="L304" i="17"/>
  <c r="L305" i="17"/>
  <c r="N305" i="17" s="1"/>
  <c r="L306" i="17"/>
  <c r="N306" i="17" s="1"/>
  <c r="L307" i="17"/>
  <c r="L308" i="17"/>
  <c r="L309" i="17"/>
  <c r="L310" i="17"/>
  <c r="L311" i="17"/>
  <c r="N311" i="17" s="1"/>
  <c r="F312" i="8" s="1"/>
  <c r="H5" i="10" s="1"/>
  <c r="G5" i="10" s="1"/>
  <c r="L312" i="17"/>
  <c r="L313" i="17"/>
  <c r="N313" i="17" s="1"/>
  <c r="F314" i="8" s="1"/>
  <c r="H7" i="10" s="1"/>
  <c r="G7" i="10" s="1"/>
  <c r="L314" i="17"/>
  <c r="N314" i="17" s="1"/>
  <c r="F315" i="8" s="1"/>
  <c r="H8" i="10" s="1"/>
  <c r="G8" i="10" s="1"/>
  <c r="L315" i="17"/>
  <c r="L316" i="17"/>
  <c r="L317" i="17"/>
  <c r="L318" i="17"/>
  <c r="L319" i="17"/>
  <c r="N319" i="17" s="1"/>
  <c r="F320" i="8" s="1"/>
  <c r="H13" i="10" s="1"/>
  <c r="G13" i="10" s="1"/>
  <c r="L320" i="17"/>
  <c r="L321" i="17"/>
  <c r="N321" i="17" s="1"/>
  <c r="F322" i="8" s="1"/>
  <c r="H15" i="10" s="1"/>
  <c r="G15" i="10" s="1"/>
  <c r="L322" i="17"/>
  <c r="N322" i="17" s="1"/>
  <c r="F323" i="8" s="1"/>
  <c r="H16" i="10" s="1"/>
  <c r="G16" i="10" s="1"/>
  <c r="L323" i="17"/>
  <c r="L324" i="17"/>
  <c r="L325" i="17"/>
  <c r="L326" i="17"/>
  <c r="L327" i="17"/>
  <c r="N327" i="17" s="1"/>
  <c r="F328" i="8" s="1"/>
  <c r="H21" i="10" s="1"/>
  <c r="G21" i="10" s="1"/>
  <c r="L328" i="17"/>
  <c r="L329" i="17"/>
  <c r="N329" i="17" s="1"/>
  <c r="F330" i="8" s="1"/>
  <c r="H23" i="10" s="1"/>
  <c r="G23" i="10" s="1"/>
  <c r="L330" i="17"/>
  <c r="N330" i="17" s="1"/>
  <c r="F331" i="8" s="1"/>
  <c r="H24" i="10" s="1"/>
  <c r="G24" i="10" s="1"/>
  <c r="L331" i="17"/>
  <c r="L332" i="17"/>
  <c r="L333" i="17"/>
  <c r="L334" i="17"/>
  <c r="L335" i="17"/>
  <c r="N335" i="17" s="1"/>
  <c r="F336" i="8" s="1"/>
  <c r="H29" i="10" s="1"/>
  <c r="G29" i="10" s="1"/>
  <c r="L336" i="17"/>
  <c r="L337" i="17"/>
  <c r="N337" i="17" s="1"/>
  <c r="F338" i="8" s="1"/>
  <c r="H31" i="10" s="1"/>
  <c r="G31" i="10" s="1"/>
  <c r="L2" i="17"/>
  <c r="N2" i="17" s="1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K197" i="17"/>
  <c r="K198" i="17"/>
  <c r="K199" i="17"/>
  <c r="K200" i="17"/>
  <c r="K201" i="17"/>
  <c r="K202" i="17"/>
  <c r="K203" i="17"/>
  <c r="K204" i="17"/>
  <c r="K205" i="17"/>
  <c r="K206" i="17"/>
  <c r="K207" i="17"/>
  <c r="K208" i="17"/>
  <c r="K209" i="17"/>
  <c r="K210" i="17"/>
  <c r="K211" i="17"/>
  <c r="K212" i="17"/>
  <c r="K213" i="17"/>
  <c r="K214" i="17"/>
  <c r="K215" i="17"/>
  <c r="K216" i="17"/>
  <c r="K217" i="17"/>
  <c r="K218" i="17"/>
  <c r="K219" i="17"/>
  <c r="K220" i="17"/>
  <c r="K221" i="17"/>
  <c r="K222" i="17"/>
  <c r="K223" i="17"/>
  <c r="K224" i="17"/>
  <c r="K225" i="17"/>
  <c r="K226" i="17"/>
  <c r="K227" i="17"/>
  <c r="K228" i="17"/>
  <c r="K229" i="17"/>
  <c r="K230" i="17"/>
  <c r="K231" i="17"/>
  <c r="K232" i="17"/>
  <c r="K233" i="17"/>
  <c r="K234" i="17"/>
  <c r="K235" i="17"/>
  <c r="K236" i="17"/>
  <c r="K237" i="17"/>
  <c r="K238" i="17"/>
  <c r="K239" i="17"/>
  <c r="K240" i="17"/>
  <c r="K241" i="17"/>
  <c r="K242" i="17"/>
  <c r="K243" i="17"/>
  <c r="K244" i="17"/>
  <c r="K245" i="17"/>
  <c r="K246" i="17"/>
  <c r="K247" i="17"/>
  <c r="K248" i="17"/>
  <c r="K249" i="17"/>
  <c r="K250" i="17"/>
  <c r="K251" i="17"/>
  <c r="K252" i="17"/>
  <c r="K253" i="17"/>
  <c r="K254" i="17"/>
  <c r="K255" i="17"/>
  <c r="K256" i="17"/>
  <c r="K257" i="17"/>
  <c r="K258" i="17"/>
  <c r="K259" i="17"/>
  <c r="K260" i="17"/>
  <c r="K261" i="17"/>
  <c r="K262" i="17"/>
  <c r="K263" i="17"/>
  <c r="K264" i="17"/>
  <c r="K265" i="17"/>
  <c r="K266" i="17"/>
  <c r="K267" i="17"/>
  <c r="K268" i="17"/>
  <c r="K269" i="17"/>
  <c r="K270" i="17"/>
  <c r="K271" i="17"/>
  <c r="K272" i="17"/>
  <c r="K273" i="17"/>
  <c r="K274" i="17"/>
  <c r="K275" i="17"/>
  <c r="K276" i="17"/>
  <c r="K277" i="17"/>
  <c r="K278" i="17"/>
  <c r="K279" i="17"/>
  <c r="K280" i="17"/>
  <c r="K281" i="17"/>
  <c r="K282" i="17"/>
  <c r="K283" i="17"/>
  <c r="K284" i="17"/>
  <c r="K285" i="17"/>
  <c r="K286" i="17"/>
  <c r="K287" i="17"/>
  <c r="K288" i="17"/>
  <c r="K289" i="17"/>
  <c r="K290" i="17"/>
  <c r="K291" i="17"/>
  <c r="K292" i="17"/>
  <c r="K293" i="17"/>
  <c r="K294" i="17"/>
  <c r="K295" i="17"/>
  <c r="K296" i="17"/>
  <c r="K297" i="17"/>
  <c r="K298" i="17"/>
  <c r="K299" i="17"/>
  <c r="K300" i="17"/>
  <c r="K301" i="17"/>
  <c r="K302" i="17"/>
  <c r="K303" i="17"/>
  <c r="K304" i="17"/>
  <c r="K305" i="17"/>
  <c r="K306" i="17"/>
  <c r="K307" i="17"/>
  <c r="K308" i="17"/>
  <c r="K309" i="17"/>
  <c r="K310" i="17"/>
  <c r="K311" i="17"/>
  <c r="K312" i="17"/>
  <c r="K313" i="17"/>
  <c r="K314" i="17"/>
  <c r="K315" i="17"/>
  <c r="K316" i="17"/>
  <c r="K317" i="17"/>
  <c r="K318" i="17"/>
  <c r="K319" i="17"/>
  <c r="K320" i="17"/>
  <c r="K321" i="17"/>
  <c r="K322" i="17"/>
  <c r="K323" i="17"/>
  <c r="K324" i="17"/>
  <c r="K325" i="17"/>
  <c r="K326" i="17"/>
  <c r="K327" i="17"/>
  <c r="K328" i="17"/>
  <c r="K329" i="17"/>
  <c r="K330" i="17"/>
  <c r="K331" i="17"/>
  <c r="K332" i="17"/>
  <c r="K333" i="17"/>
  <c r="K334" i="17"/>
  <c r="K335" i="17"/>
  <c r="K336" i="17"/>
  <c r="K337" i="17"/>
  <c r="K3" i="17"/>
  <c r="K4" i="17"/>
  <c r="K5" i="17"/>
  <c r="K6" i="17"/>
  <c r="N64" i="17" l="1"/>
  <c r="F66" i="8" s="1"/>
  <c r="H105" i="10" s="1"/>
  <c r="G105" i="10" s="1"/>
  <c r="N328" i="17"/>
  <c r="F329" i="8" s="1"/>
  <c r="H22" i="10" s="1"/>
  <c r="G22" i="10" s="1"/>
  <c r="N334" i="17"/>
  <c r="F335" i="8" s="1"/>
  <c r="H28" i="10" s="1"/>
  <c r="G28" i="10" s="1"/>
  <c r="N326" i="17"/>
  <c r="F327" i="8" s="1"/>
  <c r="H20" i="10" s="1"/>
  <c r="G20" i="10" s="1"/>
  <c r="N318" i="17"/>
  <c r="F319" i="8" s="1"/>
  <c r="H12" i="10" s="1"/>
  <c r="G12" i="10" s="1"/>
  <c r="N310" i="17"/>
  <c r="F311" i="8" s="1"/>
  <c r="H4" i="10" s="1"/>
  <c r="G4" i="10" s="1"/>
  <c r="N302" i="17"/>
  <c r="F304" i="8" s="1"/>
  <c r="H344" i="10" s="1"/>
  <c r="G344" i="10" s="1"/>
  <c r="N294" i="17"/>
  <c r="F296" i="8" s="1"/>
  <c r="H335" i="10" s="1"/>
  <c r="G335" i="10" s="1"/>
  <c r="N286" i="17"/>
  <c r="F288" i="8" s="1"/>
  <c r="H314" i="10" s="1"/>
  <c r="G314" i="10" s="1"/>
  <c r="N278" i="17"/>
  <c r="F280" i="8" s="1"/>
  <c r="H306" i="10" s="1"/>
  <c r="G306" i="10" s="1"/>
  <c r="N270" i="17"/>
  <c r="F272" i="8" s="1"/>
  <c r="H331" i="10" s="1"/>
  <c r="G331" i="10" s="1"/>
  <c r="N262" i="17"/>
  <c r="F264" i="8" s="1"/>
  <c r="H333" i="10" s="1"/>
  <c r="G333" i="10" s="1"/>
  <c r="N254" i="17"/>
  <c r="F256" i="8" s="1"/>
  <c r="H295" i="10" s="1"/>
  <c r="G295" i="10" s="1"/>
  <c r="N246" i="17"/>
  <c r="F248" i="8" s="1"/>
  <c r="H275" i="10" s="1"/>
  <c r="G275" i="10" s="1"/>
  <c r="N238" i="17"/>
  <c r="F240" i="8" s="1"/>
  <c r="H267" i="10" s="1"/>
  <c r="G267" i="10" s="1"/>
  <c r="N230" i="17"/>
  <c r="F232" i="8" s="1"/>
  <c r="H259" i="10" s="1"/>
  <c r="G259" i="10" s="1"/>
  <c r="N222" i="17"/>
  <c r="F224" i="8" s="1"/>
  <c r="H282" i="10" s="1"/>
  <c r="G282" i="10" s="1"/>
  <c r="N214" i="17"/>
  <c r="F216" i="8" s="1"/>
  <c r="H256" i="10" s="1"/>
  <c r="G256" i="10" s="1"/>
  <c r="N206" i="17"/>
  <c r="F208" i="8" s="1"/>
  <c r="H247" i="10" s="1"/>
  <c r="G247" i="10" s="1"/>
  <c r="N198" i="17"/>
  <c r="F200" i="8" s="1"/>
  <c r="H228" i="10" s="1"/>
  <c r="G228" i="10" s="1"/>
  <c r="N190" i="17"/>
  <c r="F192" i="8" s="1"/>
  <c r="H220" i="10" s="1"/>
  <c r="G220" i="10" s="1"/>
  <c r="N182" i="17"/>
  <c r="F184" i="8" s="1"/>
  <c r="H233" i="10" s="1"/>
  <c r="G233" i="10" s="1"/>
  <c r="N174" i="17"/>
  <c r="F176" i="8" s="1"/>
  <c r="H243" i="10" s="1"/>
  <c r="G243" i="10" s="1"/>
  <c r="N166" i="17"/>
  <c r="F168" i="8" s="1"/>
  <c r="H207" i="10" s="1"/>
  <c r="G207" i="10" s="1"/>
  <c r="N158" i="17"/>
  <c r="F160" i="8" s="1"/>
  <c r="H189" i="10" s="1"/>
  <c r="G189" i="10" s="1"/>
  <c r="N150" i="17"/>
  <c r="F152" i="8" s="1"/>
  <c r="H181" i="10" s="1"/>
  <c r="G181" i="10" s="1"/>
  <c r="N142" i="17"/>
  <c r="F144" i="8" s="1"/>
  <c r="H173" i="10" s="1"/>
  <c r="G173" i="10" s="1"/>
  <c r="N134" i="17"/>
  <c r="F136" i="8" s="1"/>
  <c r="H193" i="10" s="1"/>
  <c r="G193" i="10" s="1"/>
  <c r="N126" i="17"/>
  <c r="F128" i="8" s="1"/>
  <c r="H166" i="10" s="1"/>
  <c r="G166" i="10" s="1"/>
  <c r="N118" i="17"/>
  <c r="F120" i="8" s="1"/>
  <c r="H157" i="10" s="1"/>
  <c r="G157" i="10" s="1"/>
  <c r="N110" i="17"/>
  <c r="F112" i="8" s="1"/>
  <c r="H130" i="10" s="1"/>
  <c r="G130" i="10" s="1"/>
  <c r="N102" i="17"/>
  <c r="F104" i="8" s="1"/>
  <c r="H122" i="10" s="1"/>
  <c r="G122" i="10" s="1"/>
  <c r="N94" i="17"/>
  <c r="F96" i="8" s="1"/>
  <c r="H114" i="10" s="1"/>
  <c r="G114" i="10" s="1"/>
  <c r="N86" i="17"/>
  <c r="F88" i="8" s="1"/>
  <c r="H141" i="10" s="1"/>
  <c r="G141" i="10" s="1"/>
  <c r="N78" i="17"/>
  <c r="F80" i="8" s="1"/>
  <c r="H148" i="10" s="1"/>
  <c r="G148" i="10" s="1"/>
  <c r="N70" i="17"/>
  <c r="F72" i="8" s="1"/>
  <c r="H149" i="10" s="1"/>
  <c r="G149" i="10" s="1"/>
  <c r="N62" i="17"/>
  <c r="F64" i="8" s="1"/>
  <c r="H103" i="10" s="1"/>
  <c r="G103" i="10" s="1"/>
  <c r="N54" i="17"/>
  <c r="F56" i="8" s="1"/>
  <c r="H84" i="10" s="1"/>
  <c r="G84" i="10" s="1"/>
  <c r="N46" i="17"/>
  <c r="F48" i="8" s="1"/>
  <c r="H76" i="10" s="1"/>
  <c r="G76" i="10" s="1"/>
  <c r="N38" i="17"/>
  <c r="F40" i="8" s="1"/>
  <c r="H94" i="10" s="1"/>
  <c r="G94" i="10" s="1"/>
  <c r="N30" i="17"/>
  <c r="F32" i="8" s="1"/>
  <c r="H72" i="10" s="1"/>
  <c r="G72" i="10" s="1"/>
  <c r="N22" i="17"/>
  <c r="F24" i="8" s="1"/>
  <c r="H64" i="10" s="1"/>
  <c r="G64" i="10" s="1"/>
  <c r="N14" i="17"/>
  <c r="F16" i="8" s="1"/>
  <c r="H45" i="10" s="1"/>
  <c r="G45" i="10" s="1"/>
  <c r="N6" i="17"/>
  <c r="N4" i="17"/>
  <c r="F137" i="8"/>
  <c r="H194" i="10" s="1"/>
  <c r="G194" i="10" s="1"/>
  <c r="N339" i="17"/>
  <c r="F340" i="8" s="1"/>
  <c r="H33" i="10" s="1"/>
  <c r="G33" i="10" s="1"/>
  <c r="F283" i="8"/>
  <c r="H309" i="10" s="1"/>
  <c r="G309" i="10" s="1"/>
  <c r="F251" i="8"/>
  <c r="H290" i="10" s="1"/>
  <c r="G290" i="10" s="1"/>
  <c r="F219" i="8"/>
  <c r="H287" i="10" s="1"/>
  <c r="G287" i="10" s="1"/>
  <c r="F187" i="8"/>
  <c r="H215" i="10" s="1"/>
  <c r="G215" i="10" s="1"/>
  <c r="F291" i="8"/>
  <c r="H317" i="10" s="1"/>
  <c r="G317" i="10" s="1"/>
  <c r="F267" i="8"/>
  <c r="H326" i="10" s="1"/>
  <c r="G326" i="10" s="1"/>
  <c r="F243" i="8"/>
  <c r="H270" i="10" s="1"/>
  <c r="G270" i="10" s="1"/>
  <c r="F211" i="8"/>
  <c r="H250" i="10" s="1"/>
  <c r="G250" i="10" s="1"/>
  <c r="F179" i="8"/>
  <c r="H236" i="10" s="1"/>
  <c r="G236" i="10" s="1"/>
  <c r="F171" i="8"/>
  <c r="H210" i="10" s="1"/>
  <c r="G210" i="10" s="1"/>
  <c r="F163" i="8"/>
  <c r="H201" i="10" s="1"/>
  <c r="G201" i="10" s="1"/>
  <c r="F155" i="8"/>
  <c r="H184" i="10" s="1"/>
  <c r="G184" i="10" s="1"/>
  <c r="F147" i="8"/>
  <c r="H176" i="10" s="1"/>
  <c r="G176" i="10" s="1"/>
  <c r="F139" i="8"/>
  <c r="H196" i="10" s="1"/>
  <c r="G196" i="10" s="1"/>
  <c r="F131" i="8"/>
  <c r="H169" i="10" s="1"/>
  <c r="G169" i="10" s="1"/>
  <c r="F123" i="8"/>
  <c r="H161" i="10" s="1"/>
  <c r="G161" i="10" s="1"/>
  <c r="F115" i="8"/>
  <c r="H133" i="10" s="1"/>
  <c r="G133" i="10" s="1"/>
  <c r="F107" i="8"/>
  <c r="H125" i="10" s="1"/>
  <c r="G125" i="10" s="1"/>
  <c r="F99" i="8"/>
  <c r="H117" i="10" s="1"/>
  <c r="G117" i="10" s="1"/>
  <c r="F91" i="8"/>
  <c r="H144" i="10" s="1"/>
  <c r="G144" i="10" s="1"/>
  <c r="F83" i="8"/>
  <c r="H136" i="10" s="1"/>
  <c r="G136" i="10" s="1"/>
  <c r="F75" i="8"/>
  <c r="H152" i="10" s="1"/>
  <c r="G152" i="10" s="1"/>
  <c r="F67" i="8"/>
  <c r="H106" i="10" s="1"/>
  <c r="G106" i="10" s="1"/>
  <c r="F59" i="8"/>
  <c r="H87" i="10" s="1"/>
  <c r="G87" i="10" s="1"/>
  <c r="F51" i="8"/>
  <c r="H79" i="10" s="1"/>
  <c r="G79" i="10" s="1"/>
  <c r="F43" i="8"/>
  <c r="H89" i="10" s="1"/>
  <c r="G89" i="10" s="1"/>
  <c r="F35" i="8"/>
  <c r="H101" i="10" s="1"/>
  <c r="G101" i="10" s="1"/>
  <c r="F27" i="8"/>
  <c r="H67" i="10" s="1"/>
  <c r="G67" i="10" s="1"/>
  <c r="F19" i="8"/>
  <c r="H48" i="10" s="1"/>
  <c r="G48" i="10" s="1"/>
  <c r="F138" i="8"/>
  <c r="H195" i="10" s="1"/>
  <c r="G195" i="10" s="1"/>
  <c r="N332" i="17"/>
  <c r="F333" i="8" s="1"/>
  <c r="H26" i="10" s="1"/>
  <c r="G26" i="10" s="1"/>
  <c r="N324" i="17"/>
  <c r="F325" i="8" s="1"/>
  <c r="H18" i="10" s="1"/>
  <c r="G18" i="10" s="1"/>
  <c r="N316" i="17"/>
  <c r="F317" i="8" s="1"/>
  <c r="H10" i="10" s="1"/>
  <c r="G10" i="10" s="1"/>
  <c r="N308" i="17"/>
  <c r="F309" i="8" s="1"/>
  <c r="H2" i="10" s="1"/>
  <c r="N300" i="17"/>
  <c r="N292" i="17"/>
  <c r="N284" i="17"/>
  <c r="N268" i="17"/>
  <c r="N260" i="17"/>
  <c r="N252" i="17"/>
  <c r="N244" i="17"/>
  <c r="N236" i="17"/>
  <c r="N228" i="17"/>
  <c r="N220" i="17"/>
  <c r="N212" i="17"/>
  <c r="N204" i="17"/>
  <c r="N196" i="17"/>
  <c r="N188" i="17"/>
  <c r="N180" i="17"/>
  <c r="N172" i="17"/>
  <c r="N164" i="17"/>
  <c r="N156" i="17"/>
  <c r="N148" i="17"/>
  <c r="N140" i="17"/>
  <c r="N132" i="17"/>
  <c r="N124" i="17"/>
  <c r="N116" i="17"/>
  <c r="N108" i="17"/>
  <c r="N100" i="17"/>
  <c r="N92" i="17"/>
  <c r="N84" i="17"/>
  <c r="N76" i="17"/>
  <c r="N68" i="17"/>
  <c r="N60" i="17"/>
  <c r="N44" i="17"/>
  <c r="N36" i="17"/>
  <c r="N28" i="17"/>
  <c r="N20" i="17"/>
  <c r="N12" i="17"/>
  <c r="N320" i="17"/>
  <c r="F321" i="8" s="1"/>
  <c r="H14" i="10" s="1"/>
  <c r="G14" i="10" s="1"/>
  <c r="N296" i="17"/>
  <c r="F298" i="8" s="1"/>
  <c r="H337" i="10" s="1"/>
  <c r="G337" i="10" s="1"/>
  <c r="N264" i="17"/>
  <c r="F266" i="8" s="1"/>
  <c r="H342" i="10" s="1"/>
  <c r="G342" i="10" s="1"/>
  <c r="N256" i="17"/>
  <c r="F258" i="8" s="1"/>
  <c r="H298" i="10" s="1"/>
  <c r="G298" i="10" s="1"/>
  <c r="N232" i="17"/>
  <c r="F234" i="8" s="1"/>
  <c r="H261" i="10" s="1"/>
  <c r="G261" i="10" s="1"/>
  <c r="N200" i="17"/>
  <c r="F202" i="8" s="1"/>
  <c r="H230" i="10" s="1"/>
  <c r="G230" i="10" s="1"/>
  <c r="N192" i="17"/>
  <c r="F194" i="8" s="1"/>
  <c r="H222" i="10" s="1"/>
  <c r="G222" i="10" s="1"/>
  <c r="N168" i="17"/>
  <c r="F170" i="8" s="1"/>
  <c r="H209" i="10" s="1"/>
  <c r="G209" i="10" s="1"/>
  <c r="N128" i="17"/>
  <c r="F130" i="8" s="1"/>
  <c r="H168" i="10" s="1"/>
  <c r="G168" i="10" s="1"/>
  <c r="N104" i="17"/>
  <c r="F106" i="8" s="1"/>
  <c r="H124" i="10" s="1"/>
  <c r="G124" i="10" s="1"/>
  <c r="N72" i="17"/>
  <c r="F74" i="8" s="1"/>
  <c r="H151" i="10" s="1"/>
  <c r="G151" i="10" s="1"/>
  <c r="N40" i="17"/>
  <c r="F42" i="8" s="1"/>
  <c r="H96" i="10" s="1"/>
  <c r="G96" i="10" s="1"/>
  <c r="F307" i="8"/>
  <c r="H347" i="10" s="1"/>
  <c r="G347" i="10" s="1"/>
  <c r="F275" i="8"/>
  <c r="H324" i="10" s="1"/>
  <c r="G324" i="10" s="1"/>
  <c r="F235" i="8"/>
  <c r="H262" i="10" s="1"/>
  <c r="G262" i="10" s="1"/>
  <c r="F203" i="8"/>
  <c r="H231" i="10" s="1"/>
  <c r="G231" i="10" s="1"/>
  <c r="F65" i="8"/>
  <c r="H104" i="10" s="1"/>
  <c r="G104" i="10" s="1"/>
  <c r="F299" i="8"/>
  <c r="H338" i="10" s="1"/>
  <c r="G338" i="10" s="1"/>
  <c r="F259" i="8"/>
  <c r="H299" i="10" s="1"/>
  <c r="G299" i="10" s="1"/>
  <c r="F227" i="8"/>
  <c r="H285" i="10" s="1"/>
  <c r="G285" i="10" s="1"/>
  <c r="F195" i="8"/>
  <c r="H223" i="10" s="1"/>
  <c r="G223" i="10" s="1"/>
  <c r="F193" i="8"/>
  <c r="H221" i="10" s="1"/>
  <c r="G221" i="10" s="1"/>
  <c r="F169" i="8"/>
  <c r="H208" i="10" s="1"/>
  <c r="G208" i="10" s="1"/>
  <c r="F3" i="8"/>
  <c r="H62" i="10" s="1"/>
  <c r="G62" i="10" s="1"/>
  <c r="N347" i="17"/>
  <c r="F348" i="8" s="1"/>
  <c r="H41" i="10" s="1"/>
  <c r="G41" i="10" s="1"/>
  <c r="N343" i="17"/>
  <c r="F344" i="8" s="1"/>
  <c r="H37" i="10" s="1"/>
  <c r="G37" i="10" s="1"/>
  <c r="N342" i="17"/>
  <c r="F343" i="8" s="1"/>
  <c r="H36" i="10" s="1"/>
  <c r="G36" i="10" s="1"/>
  <c r="N336" i="17"/>
  <c r="F337" i="8" s="1"/>
  <c r="H30" i="10" s="1"/>
  <c r="G30" i="10" s="1"/>
  <c r="N312" i="17"/>
  <c r="F313" i="8" s="1"/>
  <c r="H6" i="10" s="1"/>
  <c r="G6" i="10" s="1"/>
  <c r="N304" i="17"/>
  <c r="F306" i="8" s="1"/>
  <c r="H346" i="10" s="1"/>
  <c r="G346" i="10" s="1"/>
  <c r="N288" i="17"/>
  <c r="F290" i="8" s="1"/>
  <c r="H316" i="10" s="1"/>
  <c r="G316" i="10" s="1"/>
  <c r="N280" i="17"/>
  <c r="F282" i="8" s="1"/>
  <c r="H308" i="10" s="1"/>
  <c r="G308" i="10" s="1"/>
  <c r="N272" i="17"/>
  <c r="F274" i="8" s="1"/>
  <c r="H323" i="10" s="1"/>
  <c r="G323" i="10" s="1"/>
  <c r="N248" i="17"/>
  <c r="F250" i="8" s="1"/>
  <c r="H289" i="10" s="1"/>
  <c r="G289" i="10" s="1"/>
  <c r="N240" i="17"/>
  <c r="F242" i="8" s="1"/>
  <c r="H269" i="10" s="1"/>
  <c r="G269" i="10" s="1"/>
  <c r="N224" i="17"/>
  <c r="F226" i="8" s="1"/>
  <c r="H284" i="10" s="1"/>
  <c r="G284" i="10" s="1"/>
  <c r="N216" i="17"/>
  <c r="F218" i="8" s="1"/>
  <c r="H286" i="10" s="1"/>
  <c r="G286" i="10" s="1"/>
  <c r="N208" i="17"/>
  <c r="F210" i="8" s="1"/>
  <c r="H249" i="10" s="1"/>
  <c r="G249" i="10" s="1"/>
  <c r="N184" i="17"/>
  <c r="F186" i="8" s="1"/>
  <c r="H214" i="10" s="1"/>
  <c r="G214" i="10" s="1"/>
  <c r="N176" i="17"/>
  <c r="F178" i="8" s="1"/>
  <c r="H235" i="10" s="1"/>
  <c r="G235" i="10" s="1"/>
  <c r="N160" i="17"/>
  <c r="F162" i="8" s="1"/>
  <c r="H191" i="10" s="1"/>
  <c r="G191" i="10" s="1"/>
  <c r="N152" i="17"/>
  <c r="F154" i="8" s="1"/>
  <c r="H183" i="10" s="1"/>
  <c r="G183" i="10" s="1"/>
  <c r="N144" i="17"/>
  <c r="F146" i="8" s="1"/>
  <c r="H175" i="10" s="1"/>
  <c r="G175" i="10" s="1"/>
  <c r="N120" i="17"/>
  <c r="F122" i="8" s="1"/>
  <c r="H160" i="10" s="1"/>
  <c r="G160" i="10" s="1"/>
  <c r="N112" i="17"/>
  <c r="F114" i="8" s="1"/>
  <c r="H132" i="10" s="1"/>
  <c r="G132" i="10" s="1"/>
  <c r="N96" i="17"/>
  <c r="F98" i="8" s="1"/>
  <c r="H116" i="10" s="1"/>
  <c r="G116" i="10" s="1"/>
  <c r="N88" i="17"/>
  <c r="F90" i="8" s="1"/>
  <c r="H143" i="10" s="1"/>
  <c r="G143" i="10" s="1"/>
  <c r="N80" i="17"/>
  <c r="F82" i="8" s="1"/>
  <c r="H135" i="10" s="1"/>
  <c r="G135" i="10" s="1"/>
  <c r="N56" i="17"/>
  <c r="F58" i="8" s="1"/>
  <c r="H86" i="10" s="1"/>
  <c r="G86" i="10" s="1"/>
  <c r="N48" i="17"/>
  <c r="F50" i="8" s="1"/>
  <c r="H78" i="10" s="1"/>
  <c r="G78" i="10" s="1"/>
  <c r="N32" i="17"/>
  <c r="F34" i="8" s="1"/>
  <c r="H98" i="10" s="1"/>
  <c r="G98" i="10" s="1"/>
  <c r="N24" i="17"/>
  <c r="F26" i="8" s="1"/>
  <c r="H66" i="10" s="1"/>
  <c r="G66" i="10" s="1"/>
  <c r="N16" i="17"/>
  <c r="F18" i="8" s="1"/>
  <c r="H47" i="10" s="1"/>
  <c r="G47" i="10" s="1"/>
  <c r="N333" i="17"/>
  <c r="F334" i="8" s="1"/>
  <c r="H27" i="10" s="1"/>
  <c r="G27" i="10" s="1"/>
  <c r="N325" i="17"/>
  <c r="F326" i="8" s="1"/>
  <c r="H19" i="10" s="1"/>
  <c r="G19" i="10" s="1"/>
  <c r="N317" i="17"/>
  <c r="F318" i="8" s="1"/>
  <c r="H11" i="10" s="1"/>
  <c r="G11" i="10" s="1"/>
  <c r="N309" i="17"/>
  <c r="F310" i="8" s="1"/>
  <c r="H3" i="10" s="1"/>
  <c r="G3" i="10" s="1"/>
  <c r="N301" i="17"/>
  <c r="N293" i="17"/>
  <c r="N285" i="17"/>
  <c r="N277" i="17"/>
  <c r="N269" i="17"/>
  <c r="F271" i="8" s="1"/>
  <c r="H330" i="10" s="1"/>
  <c r="G330" i="10" s="1"/>
  <c r="N261" i="17"/>
  <c r="F263" i="8" s="1"/>
  <c r="H332" i="10" s="1"/>
  <c r="G332" i="10" s="1"/>
  <c r="N253" i="17"/>
  <c r="F255" i="8" s="1"/>
  <c r="H294" i="10" s="1"/>
  <c r="G294" i="10" s="1"/>
  <c r="N245" i="17"/>
  <c r="N237" i="17"/>
  <c r="N229" i="17"/>
  <c r="N221" i="17"/>
  <c r="N213" i="17"/>
  <c r="N205" i="17"/>
  <c r="F207" i="8" s="1"/>
  <c r="H246" i="10" s="1"/>
  <c r="G246" i="10" s="1"/>
  <c r="N197" i="17"/>
  <c r="F199" i="8" s="1"/>
  <c r="H227" i="10" s="1"/>
  <c r="G227" i="10" s="1"/>
  <c r="N189" i="17"/>
  <c r="N181" i="17"/>
  <c r="N173" i="17"/>
  <c r="N165" i="17"/>
  <c r="N157" i="17"/>
  <c r="N149" i="17"/>
  <c r="N141" i="17"/>
  <c r="F143" i="8" s="1"/>
  <c r="H172" i="10" s="1"/>
  <c r="G172" i="10" s="1"/>
  <c r="N133" i="17"/>
  <c r="F135" i="8" s="1"/>
  <c r="H213" i="10" s="1"/>
  <c r="G213" i="10" s="1"/>
  <c r="N125" i="17"/>
  <c r="N117" i="17"/>
  <c r="N109" i="17"/>
  <c r="N101" i="17"/>
  <c r="N93" i="17"/>
  <c r="N85" i="17"/>
  <c r="N77" i="17"/>
  <c r="F79" i="8" s="1"/>
  <c r="H147" i="10" s="1"/>
  <c r="G147" i="10" s="1"/>
  <c r="N69" i="17"/>
  <c r="F71" i="8" s="1"/>
  <c r="H110" i="10" s="1"/>
  <c r="G110" i="10" s="1"/>
  <c r="N61" i="17"/>
  <c r="N53" i="17"/>
  <c r="N45" i="17"/>
  <c r="N37" i="17"/>
  <c r="N29" i="17"/>
  <c r="N21" i="17"/>
  <c r="N13" i="17"/>
  <c r="F15" i="8" s="1"/>
  <c r="H44" i="10" s="1"/>
  <c r="G44" i="10" s="1"/>
  <c r="N5" i="17"/>
  <c r="F6" i="8" s="1"/>
  <c r="H56" i="10" s="1"/>
  <c r="G56" i="10" s="1"/>
  <c r="N8" i="17"/>
  <c r="F9" i="8" s="1"/>
  <c r="H59" i="10" s="1"/>
  <c r="G59" i="10" s="1"/>
  <c r="N331" i="17"/>
  <c r="F332" i="8" s="1"/>
  <c r="H25" i="10" s="1"/>
  <c r="G25" i="10" s="1"/>
  <c r="N323" i="17"/>
  <c r="F324" i="8" s="1"/>
  <c r="H17" i="10" s="1"/>
  <c r="G17" i="10" s="1"/>
  <c r="N315" i="17"/>
  <c r="F316" i="8" s="1"/>
  <c r="H9" i="10" s="1"/>
  <c r="G9" i="10" s="1"/>
  <c r="N307" i="17"/>
  <c r="F308" i="8" s="1"/>
  <c r="H348" i="10" s="1"/>
  <c r="G348" i="10" s="1"/>
  <c r="N299" i="17"/>
  <c r="N291" i="17"/>
  <c r="F293" i="8" s="1"/>
  <c r="H319" i="10" s="1"/>
  <c r="G319" i="10" s="1"/>
  <c r="N283" i="17"/>
  <c r="F285" i="8" s="1"/>
  <c r="H311" i="10" s="1"/>
  <c r="G311" i="10" s="1"/>
  <c r="N275" i="17"/>
  <c r="F277" i="8" s="1"/>
  <c r="H303" i="10" s="1"/>
  <c r="G303" i="10" s="1"/>
  <c r="N267" i="17"/>
  <c r="F269" i="8" s="1"/>
  <c r="H328" i="10" s="1"/>
  <c r="G328" i="10" s="1"/>
  <c r="N259" i="17"/>
  <c r="F260" i="8" s="1"/>
  <c r="H300" i="10" s="1"/>
  <c r="G300" i="10" s="1"/>
  <c r="N251" i="17"/>
  <c r="F252" i="8" s="1"/>
  <c r="H291" i="10" s="1"/>
  <c r="G291" i="10" s="1"/>
  <c r="N243" i="17"/>
  <c r="N235" i="17"/>
  <c r="N227" i="17"/>
  <c r="N219" i="17"/>
  <c r="F221" i="8" s="1"/>
  <c r="H297" i="10" s="1"/>
  <c r="G297" i="10" s="1"/>
  <c r="N211" i="17"/>
  <c r="F213" i="8" s="1"/>
  <c r="H252" i="10" s="1"/>
  <c r="G252" i="10" s="1"/>
  <c r="N203" i="17"/>
  <c r="F205" i="8" s="1"/>
  <c r="H244" i="10" s="1"/>
  <c r="G244" i="10" s="1"/>
  <c r="N195" i="17"/>
  <c r="F196" i="8" s="1"/>
  <c r="H224" i="10" s="1"/>
  <c r="G224" i="10" s="1"/>
  <c r="N187" i="17"/>
  <c r="F188" i="8" s="1"/>
  <c r="H216" i="10" s="1"/>
  <c r="G216" i="10" s="1"/>
  <c r="N179" i="17"/>
  <c r="N171" i="17"/>
  <c r="F172" i="8" s="1"/>
  <c r="H211" i="10" s="1"/>
  <c r="G211" i="10" s="1"/>
  <c r="N163" i="17"/>
  <c r="N155" i="17"/>
  <c r="F157" i="8" s="1"/>
  <c r="H186" i="10" s="1"/>
  <c r="G186" i="10" s="1"/>
  <c r="N147" i="17"/>
  <c r="F149" i="8" s="1"/>
  <c r="H178" i="10" s="1"/>
  <c r="G178" i="10" s="1"/>
  <c r="N139" i="17"/>
  <c r="F141" i="8" s="1"/>
  <c r="H198" i="10" s="1"/>
  <c r="G198" i="10" s="1"/>
  <c r="N131" i="17"/>
  <c r="F132" i="8" s="1"/>
  <c r="H199" i="10" s="1"/>
  <c r="G199" i="10" s="1"/>
  <c r="N123" i="17"/>
  <c r="F124" i="8" s="1"/>
  <c r="H162" i="10" s="1"/>
  <c r="G162" i="10" s="1"/>
  <c r="N115" i="17"/>
  <c r="N107" i="17"/>
  <c r="F108" i="8" s="1"/>
  <c r="H126" i="10" s="1"/>
  <c r="G126" i="10" s="1"/>
  <c r="N99" i="17"/>
  <c r="N91" i="17"/>
  <c r="F93" i="8" s="1"/>
  <c r="H146" i="10" s="1"/>
  <c r="G146" i="10" s="1"/>
  <c r="N83" i="17"/>
  <c r="F85" i="8" s="1"/>
  <c r="H138" i="10" s="1"/>
  <c r="G138" i="10" s="1"/>
  <c r="N75" i="17"/>
  <c r="F77" i="8" s="1"/>
  <c r="H170" i="10" s="1"/>
  <c r="G170" i="10" s="1"/>
  <c r="N67" i="17"/>
  <c r="N59" i="17"/>
  <c r="F60" i="8" s="1"/>
  <c r="H88" i="10" s="1"/>
  <c r="G88" i="10" s="1"/>
  <c r="N51" i="17"/>
  <c r="F53" i="8" s="1"/>
  <c r="H81" i="10" s="1"/>
  <c r="G81" i="10" s="1"/>
  <c r="N43" i="17"/>
  <c r="N35" i="17"/>
  <c r="N27" i="17"/>
  <c r="N19" i="17"/>
  <c r="F21" i="8" s="1"/>
  <c r="H50" i="10" s="1"/>
  <c r="G50" i="10" s="1"/>
  <c r="N11" i="17"/>
  <c r="F13" i="8" s="1"/>
  <c r="H43" i="10" s="1"/>
  <c r="G43" i="10" s="1"/>
  <c r="N3" i="17"/>
  <c r="F5" i="8" s="1"/>
  <c r="H55" i="10" s="1"/>
  <c r="G55" i="10" s="1"/>
  <c r="N10" i="17"/>
  <c r="N7" i="17"/>
  <c r="F8" i="8" s="1"/>
  <c r="H58" i="10" s="1"/>
  <c r="G58" i="10" s="1"/>
  <c r="N9" i="17"/>
  <c r="Z10" i="8"/>
  <c r="Z12" i="8"/>
  <c r="Z15" i="8"/>
  <c r="Z14" i="8"/>
  <c r="Z13" i="8"/>
  <c r="Z11" i="8"/>
  <c r="A185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A221" i="8"/>
  <c r="D221" i="8" s="1"/>
  <c r="A229" i="8"/>
  <c r="D229" i="8" s="1"/>
  <c r="A234" i="8"/>
  <c r="A237" i="8"/>
  <c r="D237" i="8" s="1"/>
  <c r="A239" i="8"/>
  <c r="D239" i="8" s="1"/>
  <c r="A246" i="8"/>
  <c r="D246" i="8" s="1"/>
  <c r="A247" i="8"/>
  <c r="D247" i="8" s="1"/>
  <c r="A248" i="8"/>
  <c r="D248" i="8" s="1"/>
  <c r="A249" i="8"/>
  <c r="D249" i="8" s="1"/>
  <c r="A250" i="8"/>
  <c r="D250" i="8" s="1"/>
  <c r="A251" i="8"/>
  <c r="D251" i="8" s="1"/>
  <c r="A252" i="8"/>
  <c r="D252" i="8" s="1"/>
  <c r="A255" i="8"/>
  <c r="D255" i="8" s="1"/>
  <c r="A257" i="8"/>
  <c r="D257" i="8" s="1"/>
  <c r="A258" i="8"/>
  <c r="D258" i="8" s="1"/>
  <c r="A260" i="8"/>
  <c r="D260" i="8" s="1"/>
  <c r="A265" i="8"/>
  <c r="D265" i="8" s="1"/>
  <c r="A266" i="8"/>
  <c r="D266" i="8" s="1"/>
  <c r="A267" i="8"/>
  <c r="D267" i="8" s="1"/>
  <c r="A272" i="8"/>
  <c r="D272" i="8" s="1"/>
  <c r="A273" i="8"/>
  <c r="D273" i="8" s="1"/>
  <c r="A274" i="8"/>
  <c r="A275" i="8"/>
  <c r="D275" i="8" s="1"/>
  <c r="A284" i="8"/>
  <c r="D284" i="8" s="1"/>
  <c r="A285" i="8"/>
  <c r="D285" i="8" s="1"/>
  <c r="A287" i="8"/>
  <c r="D287" i="8" s="1"/>
  <c r="A288" i="8"/>
  <c r="D288" i="8" s="1"/>
  <c r="A289" i="8"/>
  <c r="D289" i="8" s="1"/>
  <c r="A290" i="8"/>
  <c r="D290" i="8" s="1"/>
  <c r="A291" i="8"/>
  <c r="D291" i="8" s="1"/>
  <c r="A292" i="8"/>
  <c r="D292" i="8" s="1"/>
  <c r="A293" i="8"/>
  <c r="D293" i="8" s="1"/>
  <c r="A297" i="8"/>
  <c r="D297" i="8" s="1"/>
  <c r="A298" i="8"/>
  <c r="D298" i="8" s="1"/>
  <c r="A299" i="8"/>
  <c r="D299" i="8" s="1"/>
  <c r="A300" i="8"/>
  <c r="D300" i="8" s="1"/>
  <c r="A305" i="8"/>
  <c r="D305" i="8" s="1"/>
  <c r="A306" i="8"/>
  <c r="A307" i="8"/>
  <c r="D307" i="8" s="1"/>
  <c r="A313" i="8"/>
  <c r="D313" i="8" s="1"/>
  <c r="A314" i="8"/>
  <c r="D314" i="8" s="1"/>
  <c r="A315" i="8"/>
  <c r="D315" i="8" s="1"/>
  <c r="A316" i="8"/>
  <c r="A320" i="8"/>
  <c r="D320" i="8" s="1"/>
  <c r="A321" i="8"/>
  <c r="D321" i="8" s="1"/>
  <c r="A322" i="8"/>
  <c r="D322" i="8" s="1"/>
  <c r="A323" i="8"/>
  <c r="D323" i="8" s="1"/>
  <c r="A325" i="8"/>
  <c r="D325" i="8" s="1"/>
  <c r="A327" i="8"/>
  <c r="D327" i="8" s="1"/>
  <c r="A332" i="8"/>
  <c r="D332" i="8" s="1"/>
  <c r="A333" i="8"/>
  <c r="D333" i="8" s="1"/>
  <c r="A334" i="8"/>
  <c r="D334" i="8" s="1"/>
  <c r="A335" i="8"/>
  <c r="D335" i="8" s="1"/>
  <c r="A336" i="8"/>
  <c r="D336" i="8" s="1"/>
  <c r="A337" i="8"/>
  <c r="D337" i="8" s="1"/>
  <c r="A338" i="8"/>
  <c r="A210" i="8"/>
  <c r="D210" i="8" s="1"/>
  <c r="A207" i="8"/>
  <c r="D207" i="8" s="1"/>
  <c r="A208" i="8"/>
  <c r="D208" i="8" s="1"/>
  <c r="A209" i="8"/>
  <c r="D209" i="8" s="1"/>
  <c r="A211" i="8"/>
  <c r="D211" i="8" s="1"/>
  <c r="A213" i="8"/>
  <c r="D213" i="8" s="1"/>
  <c r="A214" i="8"/>
  <c r="D214" i="8" s="1"/>
  <c r="A215" i="8"/>
  <c r="D215" i="8" s="1"/>
  <c r="A219" i="8"/>
  <c r="D219" i="8" s="1"/>
  <c r="A220" i="8"/>
  <c r="D220" i="8" s="1"/>
  <c r="F249" i="8" l="1"/>
  <c r="H276" i="10" s="1"/>
  <c r="G276" i="10" s="1"/>
  <c r="F127" i="8"/>
  <c r="H165" i="10" s="1"/>
  <c r="G165" i="10" s="1"/>
  <c r="F101" i="8"/>
  <c r="H119" i="10" s="1"/>
  <c r="G119" i="10" s="1"/>
  <c r="F165" i="8"/>
  <c r="H204" i="10" s="1"/>
  <c r="G204" i="10" s="1"/>
  <c r="F301" i="8"/>
  <c r="H340" i="10" s="1"/>
  <c r="G340" i="10" s="1"/>
  <c r="F89" i="8"/>
  <c r="H142" i="10" s="1"/>
  <c r="G142" i="10" s="1"/>
  <c r="F300" i="8"/>
  <c r="H339" i="10" s="1"/>
  <c r="G339" i="10" s="1"/>
  <c r="F55" i="8"/>
  <c r="H83" i="10" s="1"/>
  <c r="G83" i="10" s="1"/>
  <c r="F119" i="8"/>
  <c r="H156" i="10" s="1"/>
  <c r="G156" i="10" s="1"/>
  <c r="F183" i="8"/>
  <c r="H240" i="10" s="1"/>
  <c r="G240" i="10" s="1"/>
  <c r="F247" i="8"/>
  <c r="H274" i="10" s="1"/>
  <c r="G274" i="10" s="1"/>
  <c r="F4" i="8"/>
  <c r="H63" i="10" s="1"/>
  <c r="G63" i="10" s="1"/>
  <c r="F201" i="8"/>
  <c r="H229" i="10" s="1"/>
  <c r="G229" i="10" s="1"/>
  <c r="F191" i="8"/>
  <c r="H219" i="10" s="1"/>
  <c r="G219" i="10" s="1"/>
  <c r="F29" i="8"/>
  <c r="H69" i="10" s="1"/>
  <c r="G69" i="10" s="1"/>
  <c r="F241" i="8"/>
  <c r="H268" i="10" s="1"/>
  <c r="G268" i="10" s="1"/>
  <c r="F63" i="8"/>
  <c r="H102" i="10" s="1"/>
  <c r="G102" i="10" s="1"/>
  <c r="F229" i="8"/>
  <c r="H278" i="10" s="1"/>
  <c r="G278" i="10" s="1"/>
  <c r="F45" i="8"/>
  <c r="H73" i="10" s="1"/>
  <c r="G73" i="10" s="1"/>
  <c r="F23" i="8"/>
  <c r="H52" i="10" s="1"/>
  <c r="G52" i="10" s="1"/>
  <c r="F87" i="8"/>
  <c r="H140" i="10" s="1"/>
  <c r="G140" i="10" s="1"/>
  <c r="F151" i="8"/>
  <c r="H180" i="10" s="1"/>
  <c r="G180" i="10" s="1"/>
  <c r="F215" i="8"/>
  <c r="H255" i="10" s="1"/>
  <c r="G255" i="10" s="1"/>
  <c r="F279" i="8"/>
  <c r="H305" i="10" s="1"/>
  <c r="G305" i="10" s="1"/>
  <c r="F204" i="8"/>
  <c r="H232" i="10" s="1"/>
  <c r="G232" i="10" s="1"/>
  <c r="F273" i="8"/>
  <c r="H322" i="10" s="1"/>
  <c r="G322" i="10" s="1"/>
  <c r="F198" i="8"/>
  <c r="H226" i="10" s="1"/>
  <c r="G226" i="10" s="1"/>
  <c r="F117" i="8"/>
  <c r="H154" i="10" s="1"/>
  <c r="G154" i="10" s="1"/>
  <c r="F245" i="8"/>
  <c r="H272" i="10" s="1"/>
  <c r="G272" i="10" s="1"/>
  <c r="F31" i="8"/>
  <c r="H71" i="10" s="1"/>
  <c r="G71" i="10" s="1"/>
  <c r="F287" i="8"/>
  <c r="H313" i="10" s="1"/>
  <c r="G313" i="10" s="1"/>
  <c r="F134" i="8"/>
  <c r="H203" i="10" s="1"/>
  <c r="G203" i="10" s="1"/>
  <c r="F181" i="8"/>
  <c r="H238" i="10" s="1"/>
  <c r="G238" i="10" s="1"/>
  <c r="F95" i="8"/>
  <c r="H113" i="10" s="1"/>
  <c r="G113" i="10" s="1"/>
  <c r="F159" i="8"/>
  <c r="H188" i="10" s="1"/>
  <c r="G188" i="10" s="1"/>
  <c r="F223" i="8"/>
  <c r="H281" i="10" s="1"/>
  <c r="G281" i="10" s="1"/>
  <c r="F39" i="8"/>
  <c r="H93" i="10" s="1"/>
  <c r="G93" i="10" s="1"/>
  <c r="F103" i="8"/>
  <c r="H121" i="10" s="1"/>
  <c r="G121" i="10" s="1"/>
  <c r="F167" i="8"/>
  <c r="H206" i="10" s="1"/>
  <c r="G206" i="10" s="1"/>
  <c r="F231" i="8"/>
  <c r="H258" i="10" s="1"/>
  <c r="G258" i="10" s="1"/>
  <c r="F295" i="8"/>
  <c r="H321" i="10" s="1"/>
  <c r="G321" i="10" s="1"/>
  <c r="F225" i="8"/>
  <c r="H283" i="10" s="1"/>
  <c r="G283" i="10" s="1"/>
  <c r="F116" i="8"/>
  <c r="H153" i="10" s="1"/>
  <c r="G153" i="10" s="1"/>
  <c r="F262" i="8"/>
  <c r="H302" i="10" s="1"/>
  <c r="G302" i="10" s="1"/>
  <c r="F54" i="8"/>
  <c r="H82" i="10" s="1"/>
  <c r="G82" i="10" s="1"/>
  <c r="F47" i="8"/>
  <c r="H75" i="10" s="1"/>
  <c r="G75" i="10" s="1"/>
  <c r="F111" i="8"/>
  <c r="H129" i="10" s="1"/>
  <c r="G129" i="10" s="1"/>
  <c r="F175" i="8"/>
  <c r="H242" i="10" s="1"/>
  <c r="G242" i="10" s="1"/>
  <c r="F239" i="8"/>
  <c r="H266" i="10" s="1"/>
  <c r="G266" i="10" s="1"/>
  <c r="F303" i="8"/>
  <c r="H343" i="10" s="1"/>
  <c r="G343" i="10" s="1"/>
  <c r="F257" i="8"/>
  <c r="H296" i="10" s="1"/>
  <c r="G296" i="10" s="1"/>
  <c r="F185" i="8"/>
  <c r="H234" i="10" s="1"/>
  <c r="G234" i="10" s="1"/>
  <c r="F180" i="8"/>
  <c r="H237" i="10" s="1"/>
  <c r="G237" i="10" s="1"/>
  <c r="F38" i="8"/>
  <c r="H92" i="10" s="1"/>
  <c r="G92" i="10" s="1"/>
  <c r="F110" i="8"/>
  <c r="H128" i="10" s="1"/>
  <c r="G128" i="10" s="1"/>
  <c r="F174" i="8"/>
  <c r="H241" i="10" s="1"/>
  <c r="G241" i="10" s="1"/>
  <c r="F238" i="8"/>
  <c r="H265" i="10" s="1"/>
  <c r="G265" i="10" s="1"/>
  <c r="F57" i="8"/>
  <c r="H85" i="10" s="1"/>
  <c r="G85" i="10" s="1"/>
  <c r="F140" i="8"/>
  <c r="H197" i="10" s="1"/>
  <c r="G197" i="10" s="1"/>
  <c r="F37" i="8"/>
  <c r="H91" i="10" s="1"/>
  <c r="G91" i="10" s="1"/>
  <c r="F190" i="8"/>
  <c r="H218" i="10" s="1"/>
  <c r="G218" i="10" s="1"/>
  <c r="F105" i="8"/>
  <c r="H123" i="10" s="1"/>
  <c r="G123" i="10" s="1"/>
  <c r="F153" i="8"/>
  <c r="H182" i="10" s="1"/>
  <c r="G182" i="10" s="1"/>
  <c r="F30" i="8"/>
  <c r="H70" i="10" s="1"/>
  <c r="G70" i="10" s="1"/>
  <c r="F102" i="8"/>
  <c r="H120" i="10" s="1"/>
  <c r="G120" i="10" s="1"/>
  <c r="F166" i="8"/>
  <c r="H205" i="10" s="1"/>
  <c r="G205" i="10" s="1"/>
  <c r="F230" i="8"/>
  <c r="H279" i="10" s="1"/>
  <c r="G279" i="10" s="1"/>
  <c r="F302" i="8"/>
  <c r="H341" i="10" s="1"/>
  <c r="G341" i="10" s="1"/>
  <c r="F36" i="8"/>
  <c r="H111" i="10" s="1"/>
  <c r="G111" i="10" s="1"/>
  <c r="F41" i="8"/>
  <c r="H95" i="10" s="1"/>
  <c r="G95" i="10" s="1"/>
  <c r="F177" i="8"/>
  <c r="H253" i="10" s="1"/>
  <c r="G253" i="10" s="1"/>
  <c r="F228" i="8"/>
  <c r="H277" i="10" s="1"/>
  <c r="G277" i="10" s="1"/>
  <c r="F76" i="8"/>
  <c r="H159" i="10" s="1"/>
  <c r="G159" i="10" s="1"/>
  <c r="F209" i="8"/>
  <c r="H248" i="10" s="1"/>
  <c r="G248" i="10" s="1"/>
  <c r="F84" i="8"/>
  <c r="H137" i="10" s="1"/>
  <c r="G137" i="10" s="1"/>
  <c r="F46" i="8"/>
  <c r="H74" i="10" s="1"/>
  <c r="G74" i="10" s="1"/>
  <c r="F118" i="8"/>
  <c r="H155" i="10" s="1"/>
  <c r="G155" i="10" s="1"/>
  <c r="F182" i="8"/>
  <c r="H239" i="10" s="1"/>
  <c r="G239" i="10" s="1"/>
  <c r="F246" i="8"/>
  <c r="H273" i="10" s="1"/>
  <c r="G273" i="10" s="1"/>
  <c r="F92" i="8"/>
  <c r="H145" i="10" s="1"/>
  <c r="G145" i="10" s="1"/>
  <c r="F81" i="8"/>
  <c r="H134" i="10" s="1"/>
  <c r="G134" i="10" s="1"/>
  <c r="F217" i="8"/>
  <c r="H257" i="10" s="1"/>
  <c r="G257" i="10" s="1"/>
  <c r="F164" i="8"/>
  <c r="H202" i="10" s="1"/>
  <c r="G202" i="10" s="1"/>
  <c r="F276" i="8"/>
  <c r="H325" i="10" s="1"/>
  <c r="G325" i="10" s="1"/>
  <c r="F126" i="8"/>
  <c r="H164" i="10" s="1"/>
  <c r="G164" i="10" s="1"/>
  <c r="F233" i="8"/>
  <c r="H260" i="10" s="1"/>
  <c r="G260" i="10" s="1"/>
  <c r="F109" i="8"/>
  <c r="H127" i="10" s="1"/>
  <c r="G127" i="10" s="1"/>
  <c r="F278" i="8"/>
  <c r="H304" i="10" s="1"/>
  <c r="G304" i="10" s="1"/>
  <c r="F281" i="8"/>
  <c r="H307" i="10" s="1"/>
  <c r="G307" i="10" s="1"/>
  <c r="F297" i="8"/>
  <c r="H336" i="10" s="1"/>
  <c r="G336" i="10" s="1"/>
  <c r="F52" i="8"/>
  <c r="H80" i="10" s="1"/>
  <c r="G80" i="10" s="1"/>
  <c r="F78" i="8"/>
  <c r="H171" i="10" s="1"/>
  <c r="G171" i="10" s="1"/>
  <c r="F142" i="8"/>
  <c r="H192" i="10" s="1"/>
  <c r="G192" i="10" s="1"/>
  <c r="F206" i="8"/>
  <c r="H245" i="10" s="1"/>
  <c r="G245" i="10" s="1"/>
  <c r="F270" i="8"/>
  <c r="H329" i="10" s="1"/>
  <c r="G329" i="10" s="1"/>
  <c r="F129" i="8"/>
  <c r="H167" i="10" s="1"/>
  <c r="G167" i="10" s="1"/>
  <c r="F265" i="8"/>
  <c r="H334" i="10" s="1"/>
  <c r="G334" i="10" s="1"/>
  <c r="F28" i="8"/>
  <c r="H68" i="10" s="1"/>
  <c r="G68" i="10" s="1"/>
  <c r="F244" i="8"/>
  <c r="H271" i="10" s="1"/>
  <c r="G271" i="10" s="1"/>
  <c r="F62" i="8"/>
  <c r="H100" i="10" s="1"/>
  <c r="G100" i="10" s="1"/>
  <c r="F237" i="8"/>
  <c r="H264" i="10" s="1"/>
  <c r="G264" i="10" s="1"/>
  <c r="F156" i="8"/>
  <c r="H185" i="10" s="1"/>
  <c r="G185" i="10" s="1"/>
  <c r="F113" i="8"/>
  <c r="H131" i="10" s="1"/>
  <c r="G131" i="10" s="1"/>
  <c r="F236" i="8"/>
  <c r="H263" i="10" s="1"/>
  <c r="G263" i="10" s="1"/>
  <c r="F189" i="8"/>
  <c r="H217" i="10" s="1"/>
  <c r="G217" i="10" s="1"/>
  <c r="F253" i="8"/>
  <c r="H292" i="10" s="1"/>
  <c r="G292" i="10" s="1"/>
  <c r="F49" i="8"/>
  <c r="H77" i="10" s="1"/>
  <c r="G77" i="10" s="1"/>
  <c r="F97" i="8"/>
  <c r="H115" i="10" s="1"/>
  <c r="G115" i="10" s="1"/>
  <c r="F100" i="8"/>
  <c r="H118" i="10" s="1"/>
  <c r="G118" i="10" s="1"/>
  <c r="F14" i="8"/>
  <c r="H54" i="10" s="1"/>
  <c r="G54" i="10" s="1"/>
  <c r="F86" i="8"/>
  <c r="H139" i="10" s="1"/>
  <c r="G139" i="10" s="1"/>
  <c r="F150" i="8"/>
  <c r="H179" i="10" s="1"/>
  <c r="G179" i="10" s="1"/>
  <c r="F214" i="8"/>
  <c r="H254" i="10" s="1"/>
  <c r="G254" i="10" s="1"/>
  <c r="F286" i="8"/>
  <c r="H312" i="10" s="1"/>
  <c r="G312" i="10" s="1"/>
  <c r="F17" i="8"/>
  <c r="H46" i="10" s="1"/>
  <c r="G46" i="10" s="1"/>
  <c r="F145" i="8"/>
  <c r="H174" i="10" s="1"/>
  <c r="G174" i="10" s="1"/>
  <c r="F289" i="8"/>
  <c r="H315" i="10" s="1"/>
  <c r="G315" i="10" s="1"/>
  <c r="F44" i="8"/>
  <c r="H90" i="10" s="1"/>
  <c r="G90" i="10" s="1"/>
  <c r="F268" i="8"/>
  <c r="H327" i="10" s="1"/>
  <c r="G327" i="10" s="1"/>
  <c r="F212" i="8"/>
  <c r="H251" i="10" s="1"/>
  <c r="G251" i="10" s="1"/>
  <c r="W16" i="8"/>
  <c r="X16" i="8"/>
  <c r="V16" i="8"/>
  <c r="U16" i="8"/>
  <c r="T16" i="8"/>
  <c r="S16" i="8"/>
  <c r="F254" i="8"/>
  <c r="H293" i="10" s="1"/>
  <c r="G293" i="10" s="1"/>
  <c r="F173" i="8"/>
  <c r="H212" i="10" s="1"/>
  <c r="G212" i="10" s="1"/>
  <c r="F70" i="8"/>
  <c r="H109" i="10" s="1"/>
  <c r="G109" i="10" s="1"/>
  <c r="F220" i="8"/>
  <c r="H288" i="10" s="1"/>
  <c r="G288" i="10" s="1"/>
  <c r="F25" i="8"/>
  <c r="H65" i="10" s="1"/>
  <c r="G65" i="10" s="1"/>
  <c r="F61" i="8"/>
  <c r="H99" i="10" s="1"/>
  <c r="G99" i="10" s="1"/>
  <c r="F125" i="8"/>
  <c r="H163" i="10" s="1"/>
  <c r="G163" i="10" s="1"/>
  <c r="F69" i="8"/>
  <c r="H108" i="10" s="1"/>
  <c r="G108" i="10" s="1"/>
  <c r="F133" i="8"/>
  <c r="H200" i="10" s="1"/>
  <c r="G200" i="10" s="1"/>
  <c r="F197" i="8"/>
  <c r="H225" i="10" s="1"/>
  <c r="G225" i="10" s="1"/>
  <c r="F261" i="8"/>
  <c r="H301" i="10" s="1"/>
  <c r="G301" i="10" s="1"/>
  <c r="F73" i="8"/>
  <c r="H150" i="10" s="1"/>
  <c r="G150" i="10" s="1"/>
  <c r="F121" i="8"/>
  <c r="H158" i="10" s="1"/>
  <c r="G158" i="10" s="1"/>
  <c r="F148" i="8"/>
  <c r="H177" i="10" s="1"/>
  <c r="G177" i="10" s="1"/>
  <c r="F22" i="8"/>
  <c r="H51" i="10" s="1"/>
  <c r="G51" i="10" s="1"/>
  <c r="F94" i="8"/>
  <c r="H112" i="10" s="1"/>
  <c r="G112" i="10" s="1"/>
  <c r="F158" i="8"/>
  <c r="H187" i="10" s="1"/>
  <c r="G187" i="10" s="1"/>
  <c r="F222" i="8"/>
  <c r="H280" i="10" s="1"/>
  <c r="G280" i="10" s="1"/>
  <c r="F294" i="8"/>
  <c r="H320" i="10" s="1"/>
  <c r="G320" i="10" s="1"/>
  <c r="F20" i="8"/>
  <c r="H49" i="10" s="1"/>
  <c r="G49" i="10" s="1"/>
  <c r="F33" i="8"/>
  <c r="H97" i="10" s="1"/>
  <c r="G97" i="10" s="1"/>
  <c r="F161" i="8"/>
  <c r="H190" i="10" s="1"/>
  <c r="G190" i="10" s="1"/>
  <c r="F305" i="8"/>
  <c r="H345" i="10" s="1"/>
  <c r="G345" i="10" s="1"/>
  <c r="F68" i="8"/>
  <c r="H107" i="10" s="1"/>
  <c r="G107" i="10" s="1"/>
  <c r="F284" i="8"/>
  <c r="H310" i="10" s="1"/>
  <c r="G310" i="10" s="1"/>
  <c r="F292" i="8"/>
  <c r="H318" i="10" s="1"/>
  <c r="G318" i="10" s="1"/>
  <c r="F10" i="8"/>
  <c r="H60" i="10" s="1"/>
  <c r="G60" i="10" s="1"/>
  <c r="F11" i="8"/>
  <c r="H61" i="10" s="1"/>
  <c r="G61" i="10" s="1"/>
  <c r="F12" i="8"/>
  <c r="H53" i="10" s="1"/>
  <c r="G53" i="10" s="1"/>
  <c r="F7" i="8"/>
  <c r="H57" i="10" s="1"/>
  <c r="G57" i="10" s="1"/>
  <c r="A244" i="8"/>
  <c r="D244" i="8" s="1"/>
  <c r="A280" i="8"/>
  <c r="D280" i="8" s="1"/>
  <c r="A240" i="8"/>
  <c r="D240" i="8" s="1"/>
  <c r="A224" i="8"/>
  <c r="D224" i="8" s="1"/>
  <c r="A259" i="8"/>
  <c r="D259" i="8" s="1"/>
  <c r="A227" i="8"/>
  <c r="D227" i="8" s="1"/>
  <c r="A296" i="8"/>
  <c r="D296" i="8" s="1"/>
  <c r="A331" i="8"/>
  <c r="D331" i="8" s="1"/>
  <c r="A264" i="8"/>
  <c r="D264" i="8" s="1"/>
  <c r="A256" i="8"/>
  <c r="D256" i="8" s="1"/>
  <c r="A235" i="8"/>
  <c r="D235" i="8" s="1"/>
  <c r="A226" i="8"/>
  <c r="D226" i="8" s="1"/>
  <c r="A311" i="8"/>
  <c r="D311" i="8" s="1"/>
  <c r="A295" i="8"/>
  <c r="D295" i="8" s="1"/>
  <c r="A319" i="8"/>
  <c r="D319" i="8" s="1"/>
  <c r="A217" i="8"/>
  <c r="D217" i="8" s="1"/>
  <c r="A268" i="8"/>
  <c r="D268" i="8" s="1"/>
  <c r="A330" i="8"/>
  <c r="D330" i="8" s="1"/>
  <c r="A216" i="8"/>
  <c r="D216" i="8" s="1"/>
  <c r="A228" i="8"/>
  <c r="D228" i="8" s="1"/>
  <c r="A271" i="8"/>
  <c r="D271" i="8" s="1"/>
  <c r="A324" i="8"/>
  <c r="D324" i="8" s="1"/>
  <c r="A303" i="8"/>
  <c r="D303" i="8" s="1"/>
  <c r="A283" i="8"/>
  <c r="D283" i="8" s="1"/>
  <c r="A243" i="8"/>
  <c r="D243" i="8" s="1"/>
  <c r="A212" i="8"/>
  <c r="D212" i="8" s="1"/>
  <c r="A312" i="8"/>
  <c r="D312" i="8" s="1"/>
  <c r="A263" i="8"/>
  <c r="D263" i="8" s="1"/>
  <c r="A232" i="8"/>
  <c r="D232" i="8" s="1"/>
  <c r="A242" i="8"/>
  <c r="D242" i="8" s="1"/>
  <c r="A231" i="8"/>
  <c r="D231" i="8" s="1"/>
  <c r="A329" i="8"/>
  <c r="D329" i="8" s="1"/>
  <c r="A281" i="8"/>
  <c r="D281" i="8" s="1"/>
  <c r="A233" i="8"/>
  <c r="D233" i="8" s="1"/>
  <c r="A225" i="8"/>
  <c r="D225" i="8" s="1"/>
  <c r="A282" i="8"/>
  <c r="D282" i="8" s="1"/>
  <c r="A328" i="8"/>
  <c r="D328" i="8" s="1"/>
  <c r="A279" i="8"/>
  <c r="D279" i="8" s="1"/>
  <c r="A218" i="8"/>
  <c r="D218" i="8" s="1"/>
  <c r="A326" i="8"/>
  <c r="D326" i="8" s="1"/>
  <c r="A318" i="8"/>
  <c r="D318" i="8" s="1"/>
  <c r="A310" i="8"/>
  <c r="D310" i="8" s="1"/>
  <c r="A302" i="8"/>
  <c r="D302" i="8" s="1"/>
  <c r="A294" i="8"/>
  <c r="D294" i="8" s="1"/>
  <c r="A286" i="8"/>
  <c r="D286" i="8" s="1"/>
  <c r="A278" i="8"/>
  <c r="D278" i="8" s="1"/>
  <c r="A270" i="8"/>
  <c r="D270" i="8" s="1"/>
  <c r="A262" i="8"/>
  <c r="D262" i="8" s="1"/>
  <c r="A254" i="8"/>
  <c r="D254" i="8" s="1"/>
  <c r="A238" i="8"/>
  <c r="D238" i="8" s="1"/>
  <c r="A230" i="8"/>
  <c r="D230" i="8" s="1"/>
  <c r="A222" i="8"/>
  <c r="D222" i="8" s="1"/>
  <c r="A308" i="8"/>
  <c r="D308" i="8" s="1"/>
  <c r="A276" i="8"/>
  <c r="D276" i="8" s="1"/>
  <c r="A241" i="8"/>
  <c r="D241" i="8" s="1"/>
  <c r="A317" i="8"/>
  <c r="D317" i="8" s="1"/>
  <c r="A309" i="8"/>
  <c r="D309" i="8" s="1"/>
  <c r="A301" i="8"/>
  <c r="D301" i="8" s="1"/>
  <c r="A277" i="8"/>
  <c r="D277" i="8" s="1"/>
  <c r="A269" i="8"/>
  <c r="D269" i="8" s="1"/>
  <c r="A261" i="8"/>
  <c r="D261" i="8" s="1"/>
  <c r="A253" i="8"/>
  <c r="D253" i="8" s="1"/>
  <c r="A245" i="8"/>
  <c r="D245" i="8" s="1"/>
  <c r="A304" i="8"/>
  <c r="D304" i="8" s="1"/>
  <c r="A236" i="8"/>
  <c r="D236" i="8" s="1"/>
  <c r="A223" i="8"/>
  <c r="D223" i="8" s="1"/>
  <c r="D234" i="8"/>
  <c r="D306" i="8"/>
  <c r="D274" i="8"/>
  <c r="D316" i="8"/>
  <c r="D338" i="8"/>
  <c r="Q8" i="8" l="1"/>
  <c r="X5" i="8"/>
  <c r="T8" i="8"/>
  <c r="S5" i="8"/>
  <c r="U6" i="8"/>
  <c r="W4" i="8"/>
  <c r="S4" i="8"/>
  <c r="V6" i="8"/>
  <c r="U8" i="8"/>
  <c r="S9" i="8"/>
  <c r="U5" i="8"/>
  <c r="U7" i="8"/>
  <c r="V8" i="8"/>
  <c r="X6" i="8"/>
  <c r="T5" i="8"/>
  <c r="W9" i="8"/>
  <c r="V3" i="8"/>
  <c r="Q7" i="8"/>
  <c r="U4" i="8"/>
  <c r="V7" i="8"/>
  <c r="T3" i="8"/>
  <c r="W7" i="8"/>
  <c r="W6" i="8"/>
  <c r="V4" i="8"/>
  <c r="V9" i="8"/>
  <c r="T6" i="8"/>
  <c r="W5" i="8"/>
  <c r="X9" i="8"/>
  <c r="X4" i="8"/>
  <c r="T9" i="8"/>
  <c r="S6" i="8"/>
  <c r="T4" i="8"/>
  <c r="T7" i="8"/>
  <c r="S8" i="8"/>
  <c r="U3" i="8"/>
  <c r="X7" i="8"/>
  <c r="X8" i="8"/>
  <c r="U9" i="8"/>
  <c r="S7" i="8"/>
  <c r="V5" i="8"/>
  <c r="W8" i="8"/>
  <c r="X3" i="8"/>
  <c r="W3" i="8"/>
  <c r="Q4" i="8"/>
  <c r="S3" i="8"/>
  <c r="Q3" i="8"/>
  <c r="Z16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3" i="8"/>
  <c r="Z5" i="8" l="1"/>
  <c r="Z9" i="8"/>
  <c r="Z4" i="8"/>
  <c r="Z8" i="8"/>
  <c r="Z6" i="8"/>
  <c r="S18" i="8"/>
  <c r="Z7" i="8"/>
  <c r="V18" i="8"/>
  <c r="W18" i="8"/>
  <c r="X18" i="8"/>
  <c r="Z3" i="8"/>
  <c r="Q6" i="8"/>
  <c r="Q5" i="8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26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" i="15"/>
  <c r="G2" i="10" l="1"/>
  <c r="A13" i="8"/>
  <c r="D13" i="8" s="1"/>
  <c r="A21" i="8"/>
  <c r="A26" i="8"/>
  <c r="A27" i="8"/>
  <c r="A28" i="8"/>
  <c r="A29" i="8"/>
  <c r="A31" i="8"/>
  <c r="A34" i="8"/>
  <c r="A35" i="8"/>
  <c r="A36" i="8"/>
  <c r="A37" i="8"/>
  <c r="A42" i="8"/>
  <c r="A43" i="8"/>
  <c r="A44" i="8"/>
  <c r="A45" i="8"/>
  <c r="A47" i="8"/>
  <c r="A51" i="8"/>
  <c r="A53" i="8"/>
  <c r="A57" i="8"/>
  <c r="A58" i="8"/>
  <c r="A59" i="8"/>
  <c r="A63" i="8"/>
  <c r="A65" i="8"/>
  <c r="A66" i="8"/>
  <c r="A67" i="8"/>
  <c r="A69" i="8"/>
  <c r="A71" i="8"/>
  <c r="A74" i="8"/>
  <c r="A75" i="8"/>
  <c r="A76" i="8"/>
  <c r="A77" i="8"/>
  <c r="A78" i="8"/>
  <c r="A82" i="8"/>
  <c r="A83" i="8"/>
  <c r="A84" i="8"/>
  <c r="A85" i="8"/>
  <c r="A86" i="8"/>
  <c r="A89" i="8"/>
  <c r="A90" i="8"/>
  <c r="A91" i="8"/>
  <c r="A93" i="8"/>
  <c r="A95" i="8"/>
  <c r="A96" i="8"/>
  <c r="A97" i="8"/>
  <c r="A99" i="8"/>
  <c r="A101" i="8"/>
  <c r="A102" i="8"/>
  <c r="A103" i="8"/>
  <c r="A104" i="8"/>
  <c r="A105" i="8"/>
  <c r="A106" i="8"/>
  <c r="A107" i="8"/>
  <c r="A108" i="8"/>
  <c r="A109" i="8"/>
  <c r="A114" i="8"/>
  <c r="A115" i="8"/>
  <c r="A116" i="8"/>
  <c r="A117" i="8"/>
  <c r="A122" i="8"/>
  <c r="A123" i="8"/>
  <c r="A124" i="8"/>
  <c r="A125" i="8"/>
  <c r="A130" i="8"/>
  <c r="A131" i="8"/>
  <c r="A132" i="8"/>
  <c r="A133" i="8"/>
  <c r="A134" i="8"/>
  <c r="A138" i="8"/>
  <c r="A139" i="8"/>
  <c r="A140" i="8"/>
  <c r="A141" i="8"/>
  <c r="A142" i="8"/>
  <c r="A146" i="8"/>
  <c r="A147" i="8"/>
  <c r="A149" i="8"/>
  <c r="A154" i="8"/>
  <c r="A155" i="8"/>
  <c r="A156" i="8"/>
  <c r="A159" i="8"/>
  <c r="A163" i="8"/>
  <c r="A165" i="8"/>
  <c r="A171" i="8"/>
  <c r="A173" i="8"/>
  <c r="A175" i="8"/>
  <c r="A179" i="8"/>
  <c r="A181" i="8"/>
  <c r="A182" i="8"/>
  <c r="A183" i="8"/>
  <c r="A186" i="8"/>
  <c r="A187" i="8"/>
  <c r="A189" i="8"/>
  <c r="A191" i="8"/>
  <c r="A192" i="8"/>
  <c r="A193" i="8"/>
  <c r="A195" i="8"/>
  <c r="A197" i="8"/>
  <c r="A198" i="8"/>
  <c r="A199" i="8"/>
  <c r="A200" i="8"/>
  <c r="A201" i="8"/>
  <c r="A202" i="8"/>
  <c r="A203" i="8"/>
  <c r="A204" i="8"/>
  <c r="A205" i="8"/>
  <c r="A11" i="8" l="1"/>
  <c r="D11" i="8" s="1"/>
  <c r="A170" i="8"/>
  <c r="D170" i="8" s="1"/>
  <c r="A162" i="8"/>
  <c r="D162" i="8" s="1"/>
  <c r="A177" i="8"/>
  <c r="D177" i="8" s="1"/>
  <c r="A169" i="8"/>
  <c r="D169" i="8" s="1"/>
  <c r="A161" i="8"/>
  <c r="D161" i="8" s="1"/>
  <c r="A153" i="8"/>
  <c r="D153" i="8" s="1"/>
  <c r="A145" i="8"/>
  <c r="D145" i="8" s="1"/>
  <c r="A137" i="8"/>
  <c r="D137" i="8" s="1"/>
  <c r="A129" i="8"/>
  <c r="D129" i="8" s="1"/>
  <c r="A121" i="8"/>
  <c r="D121" i="8" s="1"/>
  <c r="A113" i="8"/>
  <c r="D113" i="8" s="1"/>
  <c r="A81" i="8"/>
  <c r="D81" i="8" s="1"/>
  <c r="A73" i="8"/>
  <c r="D73" i="8" s="1"/>
  <c r="A49" i="8"/>
  <c r="D49" i="8" s="1"/>
  <c r="A41" i="8"/>
  <c r="D41" i="8" s="1"/>
  <c r="A33" i="8"/>
  <c r="D33" i="8" s="1"/>
  <c r="A25" i="8"/>
  <c r="D25" i="8" s="1"/>
  <c r="A17" i="8"/>
  <c r="D17" i="8" s="1"/>
  <c r="A9" i="8"/>
  <c r="D9" i="8" s="1"/>
  <c r="A184" i="8"/>
  <c r="D184" i="8" s="1"/>
  <c r="A176" i="8"/>
  <c r="D176" i="8" s="1"/>
  <c r="A168" i="8"/>
  <c r="D168" i="8" s="1"/>
  <c r="A160" i="8"/>
  <c r="D160" i="8" s="1"/>
  <c r="A152" i="8"/>
  <c r="D152" i="8" s="1"/>
  <c r="A144" i="8"/>
  <c r="D144" i="8" s="1"/>
  <c r="A136" i="8"/>
  <c r="D136" i="8" s="1"/>
  <c r="A128" i="8"/>
  <c r="D128" i="8" s="1"/>
  <c r="A120" i="8"/>
  <c r="D120" i="8" s="1"/>
  <c r="A112" i="8"/>
  <c r="D112" i="8" s="1"/>
  <c r="A88" i="8"/>
  <c r="D88" i="8" s="1"/>
  <c r="A80" i="8"/>
  <c r="D80" i="8" s="1"/>
  <c r="A72" i="8"/>
  <c r="D72" i="8" s="1"/>
  <c r="A64" i="8"/>
  <c r="D64" i="8" s="1"/>
  <c r="A56" i="8"/>
  <c r="D56" i="8" s="1"/>
  <c r="A48" i="8"/>
  <c r="D48" i="8" s="1"/>
  <c r="A40" i="8"/>
  <c r="D40" i="8" s="1"/>
  <c r="A32" i="8"/>
  <c r="D32" i="8" s="1"/>
  <c r="A24" i="8"/>
  <c r="D24" i="8" s="1"/>
  <c r="A16" i="8"/>
  <c r="D16" i="8" s="1"/>
  <c r="A8" i="8"/>
  <c r="D8" i="8" s="1"/>
  <c r="A194" i="8"/>
  <c r="D194" i="8" s="1"/>
  <c r="A178" i="8"/>
  <c r="D178" i="8" s="1"/>
  <c r="A98" i="8"/>
  <c r="D98" i="8" s="1"/>
  <c r="A50" i="8"/>
  <c r="D50" i="8" s="1"/>
  <c r="A18" i="8"/>
  <c r="D18" i="8" s="1"/>
  <c r="A10" i="8"/>
  <c r="D10" i="8" s="1"/>
  <c r="A167" i="8"/>
  <c r="D167" i="8" s="1"/>
  <c r="A151" i="8"/>
  <c r="D151" i="8" s="1"/>
  <c r="A143" i="8"/>
  <c r="D143" i="8" s="1"/>
  <c r="A135" i="8"/>
  <c r="D135" i="8" s="1"/>
  <c r="A127" i="8"/>
  <c r="D127" i="8" s="1"/>
  <c r="A119" i="8"/>
  <c r="D119" i="8" s="1"/>
  <c r="A111" i="8"/>
  <c r="D111" i="8" s="1"/>
  <c r="A87" i="8"/>
  <c r="D87" i="8" s="1"/>
  <c r="A79" i="8"/>
  <c r="D79" i="8" s="1"/>
  <c r="A55" i="8"/>
  <c r="D55" i="8" s="1"/>
  <c r="A39" i="8"/>
  <c r="D39" i="8" s="1"/>
  <c r="A23" i="8"/>
  <c r="D23" i="8" s="1"/>
  <c r="A15" i="8"/>
  <c r="D15" i="8" s="1"/>
  <c r="A7" i="8"/>
  <c r="D7" i="8" s="1"/>
  <c r="A19" i="8"/>
  <c r="A206" i="8"/>
  <c r="D206" i="8" s="1"/>
  <c r="A190" i="8"/>
  <c r="D190" i="8" s="1"/>
  <c r="A174" i="8"/>
  <c r="D174" i="8" s="1"/>
  <c r="A166" i="8"/>
  <c r="D166" i="8" s="1"/>
  <c r="A158" i="8"/>
  <c r="D158" i="8" s="1"/>
  <c r="A150" i="8"/>
  <c r="D150" i="8" s="1"/>
  <c r="A126" i="8"/>
  <c r="D126" i="8" s="1"/>
  <c r="A118" i="8"/>
  <c r="D118" i="8" s="1"/>
  <c r="A110" i="8"/>
  <c r="D110" i="8" s="1"/>
  <c r="A94" i="8"/>
  <c r="D94" i="8" s="1"/>
  <c r="A70" i="8"/>
  <c r="D70" i="8" s="1"/>
  <c r="A54" i="8"/>
  <c r="D54" i="8" s="1"/>
  <c r="A46" i="8"/>
  <c r="D46" i="8" s="1"/>
  <c r="A38" i="8"/>
  <c r="D38" i="8" s="1"/>
  <c r="A30" i="8"/>
  <c r="D30" i="8" s="1"/>
  <c r="A22" i="8"/>
  <c r="D22" i="8" s="1"/>
  <c r="A14" i="8"/>
  <c r="D14" i="8" s="1"/>
  <c r="A6" i="8"/>
  <c r="D6" i="8" s="1"/>
  <c r="A157" i="8"/>
  <c r="D157" i="8" s="1"/>
  <c r="A61" i="8"/>
  <c r="D61" i="8" s="1"/>
  <c r="A5" i="8"/>
  <c r="D5" i="8" s="1"/>
  <c r="A196" i="8"/>
  <c r="D196" i="8" s="1"/>
  <c r="A188" i="8"/>
  <c r="D188" i="8" s="1"/>
  <c r="A180" i="8"/>
  <c r="D180" i="8" s="1"/>
  <c r="A172" i="8"/>
  <c r="D172" i="8" s="1"/>
  <c r="A164" i="8"/>
  <c r="D164" i="8" s="1"/>
  <c r="A148" i="8"/>
  <c r="D148" i="8" s="1"/>
  <c r="A100" i="8"/>
  <c r="D100" i="8" s="1"/>
  <c r="A92" i="8"/>
  <c r="D92" i="8" s="1"/>
  <c r="A68" i="8"/>
  <c r="D68" i="8" s="1"/>
  <c r="A60" i="8"/>
  <c r="D60" i="8" s="1"/>
  <c r="A52" i="8"/>
  <c r="D52" i="8" s="1"/>
  <c r="A20" i="8"/>
  <c r="A12" i="8"/>
  <c r="D12" i="8" s="1"/>
  <c r="A4" i="8"/>
  <c r="D4" i="8" s="1"/>
  <c r="D200" i="8"/>
  <c r="D104" i="8"/>
  <c r="D203" i="8"/>
  <c r="D195" i="8"/>
  <c r="D187" i="8"/>
  <c r="D179" i="8"/>
  <c r="D171" i="8"/>
  <c r="D163" i="8"/>
  <c r="D155" i="8"/>
  <c r="D147" i="8"/>
  <c r="D139" i="8"/>
  <c r="D131" i="8"/>
  <c r="D123" i="8"/>
  <c r="D115" i="8"/>
  <c r="D107" i="8"/>
  <c r="D99" i="8"/>
  <c r="D91" i="8"/>
  <c r="D83" i="8"/>
  <c r="D75" i="8"/>
  <c r="D67" i="8"/>
  <c r="D59" i="8"/>
  <c r="D51" i="8"/>
  <c r="D43" i="8"/>
  <c r="D35" i="8"/>
  <c r="D27" i="8"/>
  <c r="D202" i="8"/>
  <c r="D186" i="8"/>
  <c r="D154" i="8"/>
  <c r="D146" i="8"/>
  <c r="D138" i="8"/>
  <c r="D130" i="8"/>
  <c r="D122" i="8"/>
  <c r="D114" i="8"/>
  <c r="D106" i="8"/>
  <c r="D90" i="8"/>
  <c r="D82" i="8"/>
  <c r="D74" i="8"/>
  <c r="D66" i="8"/>
  <c r="D58" i="8"/>
  <c r="D42" i="8"/>
  <c r="D34" i="8"/>
  <c r="D26" i="8"/>
  <c r="D192" i="8"/>
  <c r="D96" i="8"/>
  <c r="D201" i="8"/>
  <c r="D193" i="8"/>
  <c r="D185" i="8"/>
  <c r="D105" i="8"/>
  <c r="D97" i="8"/>
  <c r="D89" i="8"/>
  <c r="D65" i="8"/>
  <c r="D57" i="8"/>
  <c r="D199" i="8"/>
  <c r="D183" i="8"/>
  <c r="D103" i="8"/>
  <c r="D71" i="8"/>
  <c r="D134" i="8"/>
  <c r="D102" i="8"/>
  <c r="D86" i="8"/>
  <c r="D205" i="8"/>
  <c r="D197" i="8"/>
  <c r="D189" i="8"/>
  <c r="D181" i="8"/>
  <c r="D173" i="8"/>
  <c r="D165" i="8"/>
  <c r="D149" i="8"/>
  <c r="D141" i="8"/>
  <c r="D133" i="8"/>
  <c r="D125" i="8"/>
  <c r="D117" i="8"/>
  <c r="D109" i="8"/>
  <c r="D101" i="8"/>
  <c r="D93" i="8"/>
  <c r="D85" i="8"/>
  <c r="D77" i="8"/>
  <c r="D69" i="8"/>
  <c r="D53" i="8"/>
  <c r="D45" i="8"/>
  <c r="D37" i="8"/>
  <c r="D29" i="8"/>
  <c r="D21" i="8"/>
  <c r="D191" i="8"/>
  <c r="D175" i="8"/>
  <c r="D159" i="8"/>
  <c r="D95" i="8"/>
  <c r="D63" i="8"/>
  <c r="D47" i="8"/>
  <c r="D31" i="8"/>
  <c r="D198" i="8"/>
  <c r="D182" i="8"/>
  <c r="D142" i="8"/>
  <c r="D78" i="8"/>
  <c r="D204" i="8"/>
  <c r="D156" i="8"/>
  <c r="D140" i="8"/>
  <c r="D132" i="8"/>
  <c r="D124" i="8"/>
  <c r="D116" i="8"/>
  <c r="D108" i="8"/>
  <c r="D84" i="8"/>
  <c r="D76" i="8"/>
  <c r="D44" i="8"/>
  <c r="D36" i="8"/>
  <c r="D28" i="8"/>
  <c r="D19" i="8" l="1"/>
  <c r="D20" i="8"/>
  <c r="A62" i="8" l="1"/>
  <c r="D62" i="8" s="1"/>
  <c r="D3" i="8"/>
  <c r="C340" i="8" l="1"/>
  <c r="C349" i="8"/>
  <c r="C339" i="8"/>
  <c r="C341" i="8"/>
  <c r="C342" i="8"/>
  <c r="C344" i="8"/>
  <c r="C348" i="8"/>
  <c r="C343" i="8"/>
  <c r="C346" i="8"/>
  <c r="C347" i="8"/>
  <c r="C345" i="8"/>
  <c r="C3" i="8"/>
  <c r="C20" i="8"/>
  <c r="C19" i="8"/>
  <c r="C184" i="8"/>
  <c r="E184" i="8" s="1"/>
  <c r="C186" i="8"/>
  <c r="E186" i="8" s="1"/>
  <c r="C332" i="8"/>
  <c r="C210" i="8"/>
  <c r="E210" i="8" s="1"/>
  <c r="C284" i="8"/>
  <c r="E284" i="8" s="1"/>
  <c r="C212" i="8"/>
  <c r="E212" i="8" s="1"/>
  <c r="C228" i="8"/>
  <c r="E228" i="8" s="1"/>
  <c r="C242" i="8"/>
  <c r="E242" i="8" s="1"/>
  <c r="C330" i="8"/>
  <c r="C300" i="8"/>
  <c r="E300" i="8" s="1"/>
  <c r="C236" i="8"/>
  <c r="E236" i="8" s="1"/>
  <c r="C282" i="8"/>
  <c r="E282" i="8" s="1"/>
  <c r="C260" i="8"/>
  <c r="E260" i="8" s="1"/>
  <c r="C225" i="8"/>
  <c r="E225" i="8" s="1"/>
  <c r="C238" i="8"/>
  <c r="E238" i="8" s="1"/>
  <c r="C235" i="8"/>
  <c r="E235" i="8" s="1"/>
  <c r="C233" i="8"/>
  <c r="E233" i="8" s="1"/>
  <c r="C230" i="8"/>
  <c r="E230" i="8" s="1"/>
  <c r="C227" i="8"/>
  <c r="E227" i="8" s="1"/>
  <c r="C288" i="8"/>
  <c r="E288" i="8" s="1"/>
  <c r="C224" i="8"/>
  <c r="E224" i="8" s="1"/>
  <c r="C261" i="8"/>
  <c r="E261" i="8" s="1"/>
  <c r="C327" i="8"/>
  <c r="C263" i="8"/>
  <c r="E263" i="8" s="1"/>
  <c r="C218" i="8"/>
  <c r="E218" i="8" s="1"/>
  <c r="C324" i="8"/>
  <c r="C274" i="8"/>
  <c r="E274" i="8" s="1"/>
  <c r="C220" i="8"/>
  <c r="E220" i="8" s="1"/>
  <c r="C266" i="8"/>
  <c r="E266" i="8" s="1"/>
  <c r="C337" i="8"/>
  <c r="C209" i="8"/>
  <c r="E209" i="8" s="1"/>
  <c r="C222" i="8"/>
  <c r="E222" i="8" s="1"/>
  <c r="C219" i="8"/>
  <c r="E219" i="8" s="1"/>
  <c r="C217" i="8"/>
  <c r="E217" i="8" s="1"/>
  <c r="C214" i="8"/>
  <c r="E214" i="8" s="1"/>
  <c r="C211" i="8"/>
  <c r="E211" i="8" s="1"/>
  <c r="C280" i="8"/>
  <c r="E280" i="8" s="1"/>
  <c r="C216" i="8"/>
  <c r="E216" i="8" s="1"/>
  <c r="C253" i="8"/>
  <c r="E253" i="8" s="1"/>
  <c r="C319" i="8"/>
  <c r="C255" i="8"/>
  <c r="E255" i="8" s="1"/>
  <c r="C312" i="8"/>
  <c r="C221" i="8"/>
  <c r="E221" i="8" s="1"/>
  <c r="C268" i="8"/>
  <c r="E268" i="8" s="1"/>
  <c r="C314" i="8"/>
  <c r="C267" i="8"/>
  <c r="E267" i="8" s="1"/>
  <c r="C259" i="8"/>
  <c r="E259" i="8" s="1"/>
  <c r="C277" i="8"/>
  <c r="E277" i="8" s="1"/>
  <c r="C215" i="8"/>
  <c r="E215" i="8" s="1"/>
  <c r="C298" i="8"/>
  <c r="E298" i="8" s="1"/>
  <c r="C254" i="8"/>
  <c r="E254" i="8" s="1"/>
  <c r="C246" i="8"/>
  <c r="E246" i="8" s="1"/>
  <c r="C232" i="8"/>
  <c r="E232" i="8" s="1"/>
  <c r="C271" i="8"/>
  <c r="E271" i="8" s="1"/>
  <c r="C258" i="8"/>
  <c r="E258" i="8" s="1"/>
  <c r="C250" i="8"/>
  <c r="E250" i="8" s="1"/>
  <c r="C325" i="8"/>
  <c r="C308" i="8"/>
  <c r="E308" i="8" s="1"/>
  <c r="C321" i="8"/>
  <c r="C326" i="8"/>
  <c r="C331" i="8"/>
  <c r="C329" i="8"/>
  <c r="C334" i="8"/>
  <c r="C323" i="8"/>
  <c r="C336" i="8"/>
  <c r="C272" i="8"/>
  <c r="E272" i="8" s="1"/>
  <c r="C208" i="8"/>
  <c r="E208" i="8" s="1"/>
  <c r="C245" i="8"/>
  <c r="E245" i="8" s="1"/>
  <c r="C311" i="8"/>
  <c r="C247" i="8"/>
  <c r="E247" i="8" s="1"/>
  <c r="C292" i="8"/>
  <c r="E292" i="8" s="1"/>
  <c r="C302" i="8"/>
  <c r="E302" i="8" s="1"/>
  <c r="C297" i="8"/>
  <c r="E297" i="8" s="1"/>
  <c r="C291" i="8"/>
  <c r="E291" i="8" s="1"/>
  <c r="C256" i="8"/>
  <c r="E256" i="8" s="1"/>
  <c r="C229" i="8"/>
  <c r="E229" i="8" s="1"/>
  <c r="C231" i="8"/>
  <c r="E231" i="8" s="1"/>
  <c r="C322" i="8"/>
  <c r="C333" i="8"/>
  <c r="C286" i="8"/>
  <c r="E286" i="8" s="1"/>
  <c r="C281" i="8"/>
  <c r="E281" i="8" s="1"/>
  <c r="C275" i="8"/>
  <c r="E275" i="8" s="1"/>
  <c r="C285" i="8"/>
  <c r="E285" i="8" s="1"/>
  <c r="C223" i="8"/>
  <c r="E223" i="8" s="1"/>
  <c r="C207" i="8"/>
  <c r="E207" i="8" s="1"/>
  <c r="C252" i="8"/>
  <c r="E252" i="8" s="1"/>
  <c r="C262" i="8"/>
  <c r="E262" i="8" s="1"/>
  <c r="C270" i="8"/>
  <c r="E270" i="8" s="1"/>
  <c r="C240" i="8"/>
  <c r="E240" i="8" s="1"/>
  <c r="C279" i="8"/>
  <c r="E279" i="8" s="1"/>
  <c r="C306" i="8"/>
  <c r="E306" i="8" s="1"/>
  <c r="C241" i="8"/>
  <c r="E241" i="8" s="1"/>
  <c r="C249" i="8"/>
  <c r="E249" i="8" s="1"/>
  <c r="C296" i="8"/>
  <c r="E296" i="8" s="1"/>
  <c r="C335" i="8"/>
  <c r="C234" i="8"/>
  <c r="E234" i="8" s="1"/>
  <c r="C290" i="8"/>
  <c r="E290" i="8" s="1"/>
  <c r="C309" i="8"/>
  <c r="C305" i="8"/>
  <c r="E305" i="8" s="1"/>
  <c r="C310" i="8"/>
  <c r="C315" i="8"/>
  <c r="C313" i="8"/>
  <c r="C318" i="8"/>
  <c r="C307" i="8"/>
  <c r="E307" i="8" s="1"/>
  <c r="C328" i="8"/>
  <c r="C264" i="8"/>
  <c r="E264" i="8" s="1"/>
  <c r="C301" i="8"/>
  <c r="E301" i="8" s="1"/>
  <c r="C237" i="8"/>
  <c r="E237" i="8" s="1"/>
  <c r="C303" i="8"/>
  <c r="E303" i="8" s="1"/>
  <c r="C239" i="8"/>
  <c r="E239" i="8" s="1"/>
  <c r="C316" i="8"/>
  <c r="C289" i="8"/>
  <c r="E289" i="8" s="1"/>
  <c r="C299" i="8"/>
  <c r="E299" i="8" s="1"/>
  <c r="C294" i="8"/>
  <c r="E294" i="8" s="1"/>
  <c r="C320" i="8"/>
  <c r="C293" i="8"/>
  <c r="E293" i="8" s="1"/>
  <c r="C295" i="8"/>
  <c r="E295" i="8" s="1"/>
  <c r="C276" i="8"/>
  <c r="E276" i="8" s="1"/>
  <c r="C317" i="8"/>
  <c r="C273" i="8"/>
  <c r="E273" i="8" s="1"/>
  <c r="C283" i="8"/>
  <c r="E283" i="8" s="1"/>
  <c r="C278" i="8"/>
  <c r="E278" i="8" s="1"/>
  <c r="C248" i="8"/>
  <c r="E248" i="8" s="1"/>
  <c r="C287" i="8"/>
  <c r="E287" i="8" s="1"/>
  <c r="C338" i="8"/>
  <c r="C257" i="8"/>
  <c r="E257" i="8" s="1"/>
  <c r="C265" i="8"/>
  <c r="E265" i="8" s="1"/>
  <c r="C304" i="8"/>
  <c r="E304" i="8" s="1"/>
  <c r="C213" i="8"/>
  <c r="E213" i="8" s="1"/>
  <c r="C226" i="8"/>
  <c r="E226" i="8" s="1"/>
  <c r="C244" i="8"/>
  <c r="E244" i="8" s="1"/>
  <c r="C251" i="8"/>
  <c r="E251" i="8" s="1"/>
  <c r="C243" i="8"/>
  <c r="E243" i="8" s="1"/>
  <c r="C269" i="8"/>
  <c r="E269" i="8" s="1"/>
  <c r="C72" i="8"/>
  <c r="C192" i="8"/>
  <c r="E192" i="8" s="1"/>
  <c r="C64" i="8"/>
  <c r="C152" i="8"/>
  <c r="C40" i="8"/>
  <c r="C167" i="8"/>
  <c r="C103" i="8"/>
  <c r="C39" i="8"/>
  <c r="C190" i="8"/>
  <c r="E190" i="8" s="1"/>
  <c r="C118" i="8"/>
  <c r="C54" i="8"/>
  <c r="C205" i="8"/>
  <c r="E205" i="8" s="1"/>
  <c r="C173" i="8"/>
  <c r="C141" i="8"/>
  <c r="C109" i="8"/>
  <c r="C77" i="8"/>
  <c r="C45" i="8"/>
  <c r="C191" i="8"/>
  <c r="E191" i="8" s="1"/>
  <c r="C127" i="8"/>
  <c r="C63" i="8"/>
  <c r="C198" i="8"/>
  <c r="E198" i="8" s="1"/>
  <c r="C78" i="8"/>
  <c r="C14" i="8"/>
  <c r="C148" i="8"/>
  <c r="C84" i="8"/>
  <c r="C179" i="8"/>
  <c r="E179" i="8" s="1"/>
  <c r="C90" i="8"/>
  <c r="C145" i="8"/>
  <c r="C151" i="8"/>
  <c r="C18" i="8"/>
  <c r="C9" i="8"/>
  <c r="C71" i="8"/>
  <c r="C189" i="8"/>
  <c r="E189" i="8" s="1"/>
  <c r="C61" i="8"/>
  <c r="C159" i="8"/>
  <c r="C110" i="8"/>
  <c r="C132" i="8"/>
  <c r="C136" i="8"/>
  <c r="C75" i="8"/>
  <c r="C146" i="8"/>
  <c r="C137" i="8"/>
  <c r="C176" i="8"/>
  <c r="E176" i="8" s="1"/>
  <c r="C10" i="8"/>
  <c r="C119" i="8"/>
  <c r="C70" i="8"/>
  <c r="C117" i="8"/>
  <c r="C144" i="8"/>
  <c r="C15" i="8"/>
  <c r="C188" i="8"/>
  <c r="E188" i="8" s="1"/>
  <c r="C60" i="8"/>
  <c r="C200" i="8"/>
  <c r="E200" i="8" s="1"/>
  <c r="C187" i="8"/>
  <c r="E187" i="8" s="1"/>
  <c r="C155" i="8"/>
  <c r="C123" i="8"/>
  <c r="C91" i="8"/>
  <c r="C59" i="8"/>
  <c r="C27" i="8"/>
  <c r="C194" i="8"/>
  <c r="E194" i="8" s="1"/>
  <c r="C162" i="8"/>
  <c r="C130" i="8"/>
  <c r="C98" i="8"/>
  <c r="C66" i="8"/>
  <c r="C34" i="8"/>
  <c r="C185" i="8"/>
  <c r="E185" i="8" s="1"/>
  <c r="C153" i="8"/>
  <c r="C121" i="8"/>
  <c r="C89" i="8"/>
  <c r="C57" i="8"/>
  <c r="C25" i="8"/>
  <c r="C13" i="8"/>
  <c r="C112" i="8"/>
  <c r="C51" i="8"/>
  <c r="C154" i="8"/>
  <c r="C58" i="8"/>
  <c r="C113" i="8"/>
  <c r="C175" i="8"/>
  <c r="E175" i="8" s="1"/>
  <c r="C12" i="8"/>
  <c r="C88" i="8"/>
  <c r="C22" i="8"/>
  <c r="C93" i="8"/>
  <c r="C48" i="8"/>
  <c r="C166" i="8"/>
  <c r="C164" i="8"/>
  <c r="C36" i="8"/>
  <c r="C171" i="8"/>
  <c r="C82" i="8"/>
  <c r="C201" i="8"/>
  <c r="E201" i="8" s="1"/>
  <c r="C73" i="8"/>
  <c r="C199" i="8"/>
  <c r="E199" i="8" s="1"/>
  <c r="C104" i="8"/>
  <c r="C206" i="8"/>
  <c r="E206" i="8" s="1"/>
  <c r="C181" i="8"/>
  <c r="E181" i="8" s="1"/>
  <c r="C53" i="8"/>
  <c r="C143" i="8"/>
  <c r="C94" i="8"/>
  <c r="C124" i="8"/>
  <c r="C168" i="8"/>
  <c r="C24" i="8"/>
  <c r="C160" i="8"/>
  <c r="C16" i="8"/>
  <c r="C17" i="8"/>
  <c r="C120" i="8"/>
  <c r="C87" i="8"/>
  <c r="C23" i="8"/>
  <c r="C174" i="8"/>
  <c r="E174" i="8" s="1"/>
  <c r="C102" i="8"/>
  <c r="C38" i="8"/>
  <c r="C197" i="8"/>
  <c r="E197" i="8" s="1"/>
  <c r="C165" i="8"/>
  <c r="C133" i="8"/>
  <c r="C101" i="8"/>
  <c r="C69" i="8"/>
  <c r="C37" i="8"/>
  <c r="C5" i="8"/>
  <c r="C80" i="8"/>
  <c r="C47" i="8"/>
  <c r="C182" i="8"/>
  <c r="E182" i="8" s="1"/>
  <c r="C126" i="8"/>
  <c r="C62" i="8"/>
  <c r="C204" i="8"/>
  <c r="E204" i="8" s="1"/>
  <c r="C172" i="8"/>
  <c r="C140" i="8"/>
  <c r="C108" i="8"/>
  <c r="C76" i="8"/>
  <c r="C44" i="8"/>
  <c r="C81" i="8"/>
  <c r="C11" i="8"/>
  <c r="C86" i="8"/>
  <c r="C125" i="8"/>
  <c r="C95" i="8"/>
  <c r="C46" i="8"/>
  <c r="C100" i="8"/>
  <c r="C4" i="8"/>
  <c r="C139" i="8"/>
  <c r="C43" i="8"/>
  <c r="C114" i="8"/>
  <c r="C128" i="8"/>
  <c r="C105" i="8"/>
  <c r="C7" i="8"/>
  <c r="C183" i="8"/>
  <c r="E183" i="8" s="1"/>
  <c r="C134" i="8"/>
  <c r="C149" i="8"/>
  <c r="C21" i="8"/>
  <c r="C79" i="8"/>
  <c r="C30" i="8"/>
  <c r="C92" i="8"/>
  <c r="C195" i="8"/>
  <c r="E195" i="8" s="1"/>
  <c r="C163" i="8"/>
  <c r="C131" i="8"/>
  <c r="C99" i="8"/>
  <c r="C67" i="8"/>
  <c r="C35" i="8"/>
  <c r="C202" i="8"/>
  <c r="E202" i="8" s="1"/>
  <c r="C170" i="8"/>
  <c r="C138" i="8"/>
  <c r="C106" i="8"/>
  <c r="C74" i="8"/>
  <c r="C42" i="8"/>
  <c r="C193" i="8"/>
  <c r="E193" i="8" s="1"/>
  <c r="C161" i="8"/>
  <c r="C129" i="8"/>
  <c r="C97" i="8"/>
  <c r="C65" i="8"/>
  <c r="C33" i="8"/>
  <c r="C6" i="8"/>
  <c r="C142" i="8"/>
  <c r="C180" i="8"/>
  <c r="E180" i="8" s="1"/>
  <c r="C116" i="8"/>
  <c r="C52" i="8"/>
  <c r="C147" i="8"/>
  <c r="C115" i="8"/>
  <c r="C83" i="8"/>
  <c r="C122" i="8"/>
  <c r="C26" i="8"/>
  <c r="C177" i="8"/>
  <c r="E177" i="8" s="1"/>
  <c r="C49" i="8"/>
  <c r="C8" i="8"/>
  <c r="C111" i="8"/>
  <c r="C158" i="8"/>
  <c r="C157" i="8"/>
  <c r="C29" i="8"/>
  <c r="C31" i="8"/>
  <c r="C196" i="8"/>
  <c r="E196" i="8" s="1"/>
  <c r="C68" i="8"/>
  <c r="C203" i="8"/>
  <c r="E203" i="8" s="1"/>
  <c r="C107" i="8"/>
  <c r="C178" i="8"/>
  <c r="E178" i="8" s="1"/>
  <c r="C50" i="8"/>
  <c r="C169" i="8"/>
  <c r="C41" i="8"/>
  <c r="C135" i="8"/>
  <c r="C96" i="8"/>
  <c r="C56" i="8"/>
  <c r="C55" i="8"/>
  <c r="C85" i="8"/>
  <c r="C32" i="8"/>
  <c r="C150" i="8"/>
  <c r="C156" i="8"/>
  <c r="C28" i="8"/>
  <c r="E328" i="8" l="1"/>
  <c r="E323" i="8"/>
  <c r="E319" i="8"/>
  <c r="E316" i="8"/>
  <c r="E334" i="8"/>
  <c r="E342" i="8"/>
  <c r="E313" i="8"/>
  <c r="E322" i="8"/>
  <c r="E329" i="8"/>
  <c r="E337" i="8"/>
  <c r="E341" i="8"/>
  <c r="E324" i="8"/>
  <c r="E336" i="8"/>
  <c r="E348" i="8"/>
  <c r="E344" i="8"/>
  <c r="E318" i="8"/>
  <c r="E333" i="8"/>
  <c r="E338" i="8"/>
  <c r="E315" i="8"/>
  <c r="E311" i="8"/>
  <c r="E331" i="8"/>
  <c r="E314" i="8"/>
  <c r="E345" i="8"/>
  <c r="E339" i="8"/>
  <c r="E309" i="8"/>
  <c r="E312" i="8"/>
  <c r="E330" i="8"/>
  <c r="E317" i="8"/>
  <c r="E335" i="8"/>
  <c r="E327" i="8"/>
  <c r="E310" i="8"/>
  <c r="E326" i="8"/>
  <c r="E347" i="8"/>
  <c r="E349" i="8"/>
  <c r="E343" i="8"/>
  <c r="E325" i="8"/>
  <c r="E320" i="8"/>
  <c r="E321" i="8"/>
  <c r="E332" i="8"/>
  <c r="E346" i="8"/>
  <c r="E340" i="8"/>
  <c r="E167" i="8"/>
  <c r="E169" i="8"/>
  <c r="E171" i="8"/>
  <c r="E173" i="8"/>
  <c r="E170" i="8"/>
  <c r="E166" i="8"/>
  <c r="E172" i="8"/>
  <c r="E168" i="8"/>
  <c r="E146" i="8"/>
  <c r="E135" i="8"/>
  <c r="E144" i="8"/>
  <c r="E142" i="8"/>
  <c r="E139" i="8"/>
  <c r="E126" i="8"/>
  <c r="E143" i="8"/>
  <c r="E150" i="8"/>
  <c r="E131" i="8"/>
  <c r="E134" i="8"/>
  <c r="E165" i="8"/>
  <c r="E155" i="8"/>
  <c r="E132" i="8"/>
  <c r="E151" i="8"/>
  <c r="E156" i="8"/>
  <c r="E149" i="8"/>
  <c r="E133" i="8"/>
  <c r="E136" i="8"/>
  <c r="E141" i="8"/>
  <c r="E157" i="8"/>
  <c r="E163" i="8"/>
  <c r="E130" i="8"/>
  <c r="E145" i="8"/>
  <c r="E152" i="8"/>
  <c r="E158" i="8"/>
  <c r="E138" i="8"/>
  <c r="E127" i="8"/>
  <c r="E147" i="8"/>
  <c r="E140" i="8"/>
  <c r="E161" i="8"/>
  <c r="E148" i="8"/>
  <c r="E160" i="8"/>
  <c r="E164" i="8"/>
  <c r="E162" i="8"/>
  <c r="E159" i="8"/>
  <c r="E129" i="8"/>
  <c r="E128" i="8"/>
  <c r="E125" i="8"/>
  <c r="E154" i="8"/>
  <c r="E153" i="8"/>
  <c r="E137" i="8"/>
  <c r="E79" i="8"/>
  <c r="E86" i="8"/>
  <c r="E69" i="8"/>
  <c r="E93" i="8"/>
  <c r="E51" i="8"/>
  <c r="E59" i="8"/>
  <c r="E15" i="8"/>
  <c r="E71" i="8"/>
  <c r="E43" i="8"/>
  <c r="E11" i="8"/>
  <c r="E101" i="8"/>
  <c r="E22" i="8"/>
  <c r="E34" i="8"/>
  <c r="E91" i="8"/>
  <c r="E75" i="8"/>
  <c r="E9" i="8"/>
  <c r="E14" i="8"/>
  <c r="E31" i="8"/>
  <c r="E81" i="8"/>
  <c r="E120" i="8"/>
  <c r="E88" i="8"/>
  <c r="E13" i="8"/>
  <c r="E117" i="8"/>
  <c r="E78" i="8"/>
  <c r="E29" i="8"/>
  <c r="E4" i="8"/>
  <c r="E53" i="8"/>
  <c r="E12" i="8"/>
  <c r="E25" i="8"/>
  <c r="E98" i="8"/>
  <c r="E70" i="8"/>
  <c r="E40" i="8"/>
  <c r="E32" i="8"/>
  <c r="E50" i="8"/>
  <c r="E83" i="8"/>
  <c r="E33" i="8"/>
  <c r="E106" i="8"/>
  <c r="E100" i="8"/>
  <c r="E76" i="8"/>
  <c r="E47" i="8"/>
  <c r="E16" i="8"/>
  <c r="E36" i="8"/>
  <c r="E57" i="8"/>
  <c r="E119" i="8"/>
  <c r="E110" i="8"/>
  <c r="E63" i="8"/>
  <c r="E96" i="8"/>
  <c r="E116" i="8"/>
  <c r="E23" i="8"/>
  <c r="E77" i="8"/>
  <c r="E39" i="8"/>
  <c r="E28" i="8"/>
  <c r="E67" i="8"/>
  <c r="E21" i="8"/>
  <c r="E62" i="8"/>
  <c r="E87" i="8"/>
  <c r="E94" i="8"/>
  <c r="E112" i="8"/>
  <c r="E109" i="8"/>
  <c r="E103" i="8"/>
  <c r="E99" i="8"/>
  <c r="E123" i="8"/>
  <c r="E122" i="8"/>
  <c r="E6" i="8"/>
  <c r="E74" i="8"/>
  <c r="E44" i="8"/>
  <c r="E17" i="8"/>
  <c r="E85" i="8"/>
  <c r="E65" i="8"/>
  <c r="E7" i="8"/>
  <c r="E46" i="8"/>
  <c r="E80" i="8"/>
  <c r="E90" i="8"/>
  <c r="E54" i="8"/>
  <c r="E55" i="8"/>
  <c r="E107" i="8"/>
  <c r="E111" i="8"/>
  <c r="E97" i="8"/>
  <c r="E92" i="8"/>
  <c r="E105" i="8"/>
  <c r="E95" i="8"/>
  <c r="E5" i="8"/>
  <c r="E102" i="8"/>
  <c r="E24" i="8"/>
  <c r="E104" i="8"/>
  <c r="E58" i="8"/>
  <c r="E121" i="8"/>
  <c r="E60" i="8"/>
  <c r="E61" i="8"/>
  <c r="E118" i="8"/>
  <c r="E19" i="8"/>
  <c r="E3" i="8"/>
  <c r="E68" i="8"/>
  <c r="E49" i="8"/>
  <c r="E35" i="8"/>
  <c r="E114" i="8"/>
  <c r="E124" i="8"/>
  <c r="E73" i="8"/>
  <c r="E41" i="8"/>
  <c r="E26" i="8"/>
  <c r="E42" i="8"/>
  <c r="E82" i="8"/>
  <c r="E66" i="8"/>
  <c r="E18" i="8"/>
  <c r="E115" i="8"/>
  <c r="E108" i="8"/>
  <c r="E38" i="8"/>
  <c r="E113" i="8"/>
  <c r="E89" i="8"/>
  <c r="E10" i="8"/>
  <c r="E64" i="8"/>
  <c r="E56" i="8"/>
  <c r="E8" i="8"/>
  <c r="E52" i="8"/>
  <c r="E30" i="8"/>
  <c r="E37" i="8"/>
  <c r="E48" i="8"/>
  <c r="E27" i="8"/>
  <c r="E84" i="8"/>
  <c r="E45" i="8"/>
  <c r="E72" i="8"/>
  <c r="E20" i="8"/>
  <c r="T18" i="8"/>
  <c r="U1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81AD78-D25F-4E46-A4B9-BD6DEDD3E60C}" keepAlive="1" name="Query - VAV Schedule 5-21" description="Connection to the 'VAV Schedule 5-21' query in the workbook." type="5" refreshedVersion="6" background="1" saveData="1">
    <dbPr connection="Provider=Microsoft.Mashup.OleDb.1;Data Source=$Workbook$;Location=VAV Schedule 5-21;Extended Properties=&quot;&quot;" command="SELECT * FROM [VAV Schedule 5-21]"/>
  </connection>
  <connection id="2" xr16:uid="{A426CFED-5E73-4891-B5A0-0242CA42E609}" keepAlive="1" name="Query - VAV Schedule 6-11" description="Connection to the 'VAV Schedule 6-11' query in the workbook." type="5" refreshedVersion="6" background="1">
    <dbPr connection="Provider=Microsoft.Mashup.OleDb.1;Data Source=$Workbook$;Location=VAV Schedule 6-11;Extended Properties=&quot;&quot;" command="SELECT * FROM [VAV Schedule 6-11]"/>
  </connection>
</connections>
</file>

<file path=xl/sharedStrings.xml><?xml version="1.0" encoding="utf-8"?>
<sst xmlns="http://schemas.openxmlformats.org/spreadsheetml/2006/main" count="5885" uniqueCount="1906">
  <si>
    <t>BLN 1 - PXCM - BACnet MS/TP</t>
  </si>
  <si>
    <t>Panel</t>
  </si>
  <si>
    <t>FLN</t>
  </si>
  <si>
    <t>MAC Address</t>
  </si>
  <si>
    <t>Net</t>
  </si>
  <si>
    <t>Device Instance</t>
  </si>
  <si>
    <t>Application</t>
  </si>
  <si>
    <t>Tag</t>
  </si>
  <si>
    <t>System Name</t>
  </si>
  <si>
    <t>Area Served / Reference</t>
  </si>
  <si>
    <t>Name</t>
  </si>
  <si>
    <t>Location</t>
  </si>
  <si>
    <t>Description</t>
  </si>
  <si>
    <t>Device instance
number</t>
  </si>
  <si>
    <t>Equipment ID</t>
  </si>
  <si>
    <t>Serial number</t>
  </si>
  <si>
    <t>Application template</t>
  </si>
  <si>
    <t>Application number</t>
  </si>
  <si>
    <t>Network</t>
  </si>
  <si>
    <t>Auto addressing</t>
  </si>
  <si>
    <t>MAC address</t>
  </si>
  <si>
    <t>Max master
address</t>
  </si>
  <si>
    <t>Baud rate</t>
  </si>
  <si>
    <t>Ventilation control
Minimum room air volume flow for comfort
[ft3/min]</t>
  </si>
  <si>
    <t>Ventilation control
Min.room air volume flow for pre-comfort
[ft3/min]</t>
  </si>
  <si>
    <t>Ventilation control
Minimum room air volume flow for economy
[ft3/min]</t>
  </si>
  <si>
    <t>Supply air VAV dimension A
Present value
[in]</t>
  </si>
  <si>
    <t>Supply air VAV max.air vol.flow f.cool.
Present value
[ft3/min]</t>
  </si>
  <si>
    <t>Supply air VAV min.air vol.flow f.cool.
Present value
[ft3/min]</t>
  </si>
  <si>
    <t>Supply air VAV max.air vol.flow f.heat.
Present value
[ft3/min]</t>
  </si>
  <si>
    <t>Supply air VAV min.air vol.flow f.heat.
Present value
[ft3/min]</t>
  </si>
  <si>
    <t>Supply air VAV max.air vol.flow f.vent.
Present value
[ft3/min]</t>
  </si>
  <si>
    <t>Supply air VAV min.air vol.flow f.vent.
Present value
[ft3/min]</t>
  </si>
  <si>
    <t>Room
hierarchy</t>
  </si>
  <si>
    <t>Room
name</t>
  </si>
  <si>
    <t>Segment
hierarchy</t>
  </si>
  <si>
    <t>Segment
name</t>
  </si>
  <si>
    <t>Guid</t>
  </si>
  <si>
    <t>~</t>
  </si>
  <si>
    <t>Setpoint room air quality for comfort
Present value
[ppm]</t>
  </si>
  <si>
    <t>Setp.room air quality for pre-comfort
Present value
[ppm]</t>
  </si>
  <si>
    <t>VAV-2W-1</t>
  </si>
  <si>
    <t>VAV-2W-2</t>
  </si>
  <si>
    <t>VAV-2N-3</t>
  </si>
  <si>
    <t>VAV-2N-4</t>
  </si>
  <si>
    <t>VAV-2N-5</t>
  </si>
  <si>
    <t>VAV-2N-6</t>
  </si>
  <si>
    <t>VAV-2N-7</t>
  </si>
  <si>
    <t>VAV-2N-8</t>
  </si>
  <si>
    <t>VAV-2E-9</t>
  </si>
  <si>
    <t>VAV-2E-10</t>
  </si>
  <si>
    <t>VAV-2N-11</t>
  </si>
  <si>
    <t>VAV-2E-12</t>
  </si>
  <si>
    <t>VAV-2E-13</t>
  </si>
  <si>
    <t>VAV-2E-14</t>
  </si>
  <si>
    <t>VAV-2E-15</t>
  </si>
  <si>
    <t>VAV-2E-16</t>
  </si>
  <si>
    <t>VAV-2E-17</t>
  </si>
  <si>
    <t>VAV-2E-18</t>
  </si>
  <si>
    <t>VAV-2E-19</t>
  </si>
  <si>
    <t>VAV-2E-20</t>
  </si>
  <si>
    <t>VAV-2W-21</t>
  </si>
  <si>
    <t>VAV-2W-22</t>
  </si>
  <si>
    <t>VAV-2W-23</t>
  </si>
  <si>
    <t>VAV-2W-24</t>
  </si>
  <si>
    <t>VAV-2W-25</t>
  </si>
  <si>
    <t>VAV-2W-26</t>
  </si>
  <si>
    <t>VAV-2W-27</t>
  </si>
  <si>
    <t>VAV-2W-28</t>
  </si>
  <si>
    <t>VAV-2W-29</t>
  </si>
  <si>
    <t>VAV-3W-1</t>
  </si>
  <si>
    <t>VAV-3W-2</t>
  </si>
  <si>
    <t>VAV-3W-3</t>
  </si>
  <si>
    <t>VAV-3W-4</t>
  </si>
  <si>
    <t>VAV-3N-5</t>
  </si>
  <si>
    <t>VAV-3N-6</t>
  </si>
  <si>
    <t>VAV-3N-7</t>
  </si>
  <si>
    <t>VAV-3N-8</t>
  </si>
  <si>
    <t>VAV-3N-9</t>
  </si>
  <si>
    <t>VAV-3N-10</t>
  </si>
  <si>
    <t>VAV-3N-11</t>
  </si>
  <si>
    <t>VAV-3E-12</t>
  </si>
  <si>
    <t>VAV-3E-13</t>
  </si>
  <si>
    <t>VAV-3E-14</t>
  </si>
  <si>
    <t>VAV-3E-15</t>
  </si>
  <si>
    <t>VAV-3E-16</t>
  </si>
  <si>
    <t>VAV-3E-17</t>
  </si>
  <si>
    <t>VAV-3E-18</t>
  </si>
  <si>
    <t>VAV-3E-19</t>
  </si>
  <si>
    <t>VAV-3E-20</t>
  </si>
  <si>
    <t>VAV-3E-21</t>
  </si>
  <si>
    <t>VAV-3E-22</t>
  </si>
  <si>
    <t>VAV-3E-23</t>
  </si>
  <si>
    <t>VAV-3E-24</t>
  </si>
  <si>
    <t>VAV-3E-25</t>
  </si>
  <si>
    <t>VAV-3E-26</t>
  </si>
  <si>
    <t>VAV-3E-27</t>
  </si>
  <si>
    <t>VAV-3W-28</t>
  </si>
  <si>
    <t>VAV-3W-29</t>
  </si>
  <si>
    <t>VAV-3W-30</t>
  </si>
  <si>
    <t>VAV-3W-31</t>
  </si>
  <si>
    <t>VAV-3W-32</t>
  </si>
  <si>
    <t>VAV-3W-33</t>
  </si>
  <si>
    <t>VAV-3W-34</t>
  </si>
  <si>
    <t>VAV-3W-35</t>
  </si>
  <si>
    <t>VAV-3W-36</t>
  </si>
  <si>
    <t>VAV-3W-37</t>
  </si>
  <si>
    <t>VAV-3W-38</t>
  </si>
  <si>
    <t>VAV-4W-1</t>
  </si>
  <si>
    <t>VAV-4W-2</t>
  </si>
  <si>
    <t>VAV-4W-3</t>
  </si>
  <si>
    <t>VAV-4W-4</t>
  </si>
  <si>
    <t>VAV-4W-5</t>
  </si>
  <si>
    <t>VAV-4W-6</t>
  </si>
  <si>
    <t>VAV-4W-7</t>
  </si>
  <si>
    <t>VAV-4N-8</t>
  </si>
  <si>
    <t>VAV-4N-9</t>
  </si>
  <si>
    <t>VAV-4N-10</t>
  </si>
  <si>
    <t>VAV-4N-11</t>
  </si>
  <si>
    <t>VAV-4N-12</t>
  </si>
  <si>
    <t>VAV-4N-13</t>
  </si>
  <si>
    <t>VAV-4N-14</t>
  </si>
  <si>
    <t>VAV-4N-15</t>
  </si>
  <si>
    <t>VAV-4N-16</t>
  </si>
  <si>
    <t>VAV-4N-17</t>
  </si>
  <si>
    <t>VAV-4N-18</t>
  </si>
  <si>
    <t>VAV-4N-19</t>
  </si>
  <si>
    <t>VAV-4N-20</t>
  </si>
  <si>
    <t>VAV-4N-21</t>
  </si>
  <si>
    <t>VAV-4E-22</t>
  </si>
  <si>
    <t>VAV-4E-23</t>
  </si>
  <si>
    <t>VAV-4E-24</t>
  </si>
  <si>
    <t>VAV-4E-25</t>
  </si>
  <si>
    <t>VAV-4E-26</t>
  </si>
  <si>
    <t>VAV-4E-27</t>
  </si>
  <si>
    <t>VAV-4E-28</t>
  </si>
  <si>
    <t>VAV-4E-29</t>
  </si>
  <si>
    <t>VAV-4E-30</t>
  </si>
  <si>
    <t>VAV-4E-31</t>
  </si>
  <si>
    <t>VAV-4E-32</t>
  </si>
  <si>
    <t>VAV-4E-33</t>
  </si>
  <si>
    <t>VAV-4E-34</t>
  </si>
  <si>
    <t>VAV-4E-35</t>
  </si>
  <si>
    <t>VAV-4E-36</t>
  </si>
  <si>
    <t>VAV-4E-37</t>
  </si>
  <si>
    <t>VAV-4E-38</t>
  </si>
  <si>
    <t>VAV-4E-39</t>
  </si>
  <si>
    <t>VAV-4E-40</t>
  </si>
  <si>
    <t>VAV-4E-41</t>
  </si>
  <si>
    <t>VAV-4E-42</t>
  </si>
  <si>
    <t>VAV-4E-43</t>
  </si>
  <si>
    <t>VAV-4W-44</t>
  </si>
  <si>
    <t>VAV-4W-45</t>
  </si>
  <si>
    <t>VAV-4W-46</t>
  </si>
  <si>
    <t>VAV-4W-47</t>
  </si>
  <si>
    <t>VAV-4W-48</t>
  </si>
  <si>
    <t>VAV-4W-49</t>
  </si>
  <si>
    <t>VAV-4W-50</t>
  </si>
  <si>
    <t>VAV-4W-51</t>
  </si>
  <si>
    <t>VAV-4W-52</t>
  </si>
  <si>
    <t>VAV-4W-53</t>
  </si>
  <si>
    <t>VAV-4W-54</t>
  </si>
  <si>
    <t>VAV-4W-55</t>
  </si>
  <si>
    <t>VAV-4W-56</t>
  </si>
  <si>
    <t>VAV-4W-57</t>
  </si>
  <si>
    <t>VAV-4W-58</t>
  </si>
  <si>
    <t>VAV-5W-1</t>
  </si>
  <si>
    <t>VAV-5W-2</t>
  </si>
  <si>
    <t>VAV-5W-3</t>
  </si>
  <si>
    <t>VAV-5W-4</t>
  </si>
  <si>
    <t>VAV-5N-5</t>
  </si>
  <si>
    <t>VAV-5N-6</t>
  </si>
  <si>
    <t>VAV-5N-7</t>
  </si>
  <si>
    <t>VAV-5N-8</t>
  </si>
  <si>
    <t>VAV-5N-9</t>
  </si>
  <si>
    <t>VAV-5N-10</t>
  </si>
  <si>
    <t>VAV-5E-11</t>
  </si>
  <si>
    <t>VAV-5E-12</t>
  </si>
  <si>
    <t>VAV-5E-13</t>
  </si>
  <si>
    <t>VAV-5E-14</t>
  </si>
  <si>
    <t>VAV-5E-15</t>
  </si>
  <si>
    <t>VAV-5E-16</t>
  </si>
  <si>
    <t>VAV-5E-17</t>
  </si>
  <si>
    <t>VAV-5E-18</t>
  </si>
  <si>
    <t>VAV-5E-19</t>
  </si>
  <si>
    <t>VAV-5E-20</t>
  </si>
  <si>
    <t>VAV-5E-21</t>
  </si>
  <si>
    <t>VAV-5E-22</t>
  </si>
  <si>
    <t>VAV-5E-23</t>
  </si>
  <si>
    <t>VAV-5E-24</t>
  </si>
  <si>
    <t>VAV-5E-25</t>
  </si>
  <si>
    <t>VAV-5E-26</t>
  </si>
  <si>
    <t>VAV-5E-27</t>
  </si>
  <si>
    <t>VAV-5W-28</t>
  </si>
  <si>
    <t>VAV-5W-29</t>
  </si>
  <si>
    <t>VAV-5W-30</t>
  </si>
  <si>
    <t>VAV-5W-31</t>
  </si>
  <si>
    <t>VAV-5W-32</t>
  </si>
  <si>
    <t>VAV-5W-33</t>
  </si>
  <si>
    <t>VAV-5W-34</t>
  </si>
  <si>
    <t>VAV-5W-35</t>
  </si>
  <si>
    <t>VAV-5W-36</t>
  </si>
  <si>
    <t>VAV-5W-37</t>
  </si>
  <si>
    <t>VAV-5W-38</t>
  </si>
  <si>
    <t>VAV-15W-1</t>
  </si>
  <si>
    <t>VAV-15W-2</t>
  </si>
  <si>
    <t>VAV-15W-3</t>
  </si>
  <si>
    <t>VAV-15W-4</t>
  </si>
  <si>
    <t>VAV-15N-5</t>
  </si>
  <si>
    <t>VAV-15N-6</t>
  </si>
  <si>
    <t>VAV-15N-7</t>
  </si>
  <si>
    <t>VAV-15N-8</t>
  </si>
  <si>
    <t>VAV-15N-9</t>
  </si>
  <si>
    <t>VAV-15N-10</t>
  </si>
  <si>
    <t>VAV-15N-11</t>
  </si>
  <si>
    <t>VAV-15N-12</t>
  </si>
  <si>
    <t>VAV-15N-13</t>
  </si>
  <si>
    <t>VAV-15E-14</t>
  </si>
  <si>
    <t>VAV-15E-15</t>
  </si>
  <si>
    <t>VAV-15E-16</t>
  </si>
  <si>
    <t>VAV-15E-17</t>
  </si>
  <si>
    <t>VAV-15E-18</t>
  </si>
  <si>
    <t>VAV-15E-19</t>
  </si>
  <si>
    <t>VAV-15E-20</t>
  </si>
  <si>
    <t>VAV-15E-21</t>
  </si>
  <si>
    <t>VAV-15E-22</t>
  </si>
  <si>
    <t>VAV-15E-23</t>
  </si>
  <si>
    <t>VAV-15E-24</t>
  </si>
  <si>
    <t>VAV-15E-25</t>
  </si>
  <si>
    <t>VAV-15E-26</t>
  </si>
  <si>
    <t>VAV-15E-27</t>
  </si>
  <si>
    <t>VAV-15E-28</t>
  </si>
  <si>
    <t>VAV-15E-29</t>
  </si>
  <si>
    <t>VAV-15E-30</t>
  </si>
  <si>
    <t>VAV-15W-31</t>
  </si>
  <si>
    <t>VAV-15W-32</t>
  </si>
  <si>
    <t>VAV-15W-33</t>
  </si>
  <si>
    <t>VAV-15W-34</t>
  </si>
  <si>
    <t>VAV-15W-35</t>
  </si>
  <si>
    <t>VAV-15W-36</t>
  </si>
  <si>
    <t>VAV-15W-37</t>
  </si>
  <si>
    <t>VAV-15W-38</t>
  </si>
  <si>
    <t>VAV-15W-39</t>
  </si>
  <si>
    <t>VAV-15W-40</t>
  </si>
  <si>
    <t>VAV-15W-41</t>
  </si>
  <si>
    <t>Design Airflow</t>
  </si>
  <si>
    <t>Min Airflow</t>
  </si>
  <si>
    <t>Panel Name</t>
  </si>
  <si>
    <t>WPC.AHU02N.PXC</t>
  </si>
  <si>
    <t>WPC.AHU02E.PXC</t>
  </si>
  <si>
    <t>WPC.AHU02W.PXC</t>
  </si>
  <si>
    <t>WPC.AHU03N.PXC</t>
  </si>
  <si>
    <t>WPC.AHU03E.PXC</t>
  </si>
  <si>
    <t>WPC.AHU03W.PXC</t>
  </si>
  <si>
    <t>WPC.AHU04N.PXC</t>
  </si>
  <si>
    <t>WPC.AHU04E.PXC</t>
  </si>
  <si>
    <t>WPC.AHU04W.PXC</t>
  </si>
  <si>
    <t>WPC.AHU05N.PXC</t>
  </si>
  <si>
    <t>WPC.AHU05E.PXC</t>
  </si>
  <si>
    <t>WPC.AHU05W.PXC</t>
  </si>
  <si>
    <t>WPC.AHU06N.PXC</t>
  </si>
  <si>
    <t>WPC.AHU06E.PXC</t>
  </si>
  <si>
    <t>WPC.AHU06W.PXC</t>
  </si>
  <si>
    <t>WPC.AHU07N.PXC</t>
  </si>
  <si>
    <t>WPC.AHU07E.PXC</t>
  </si>
  <si>
    <t>WPC.AHU07W.PXC</t>
  </si>
  <si>
    <t>WPC.AHU08N.PXC</t>
  </si>
  <si>
    <t>WPC.AHU08E.PXC</t>
  </si>
  <si>
    <t>WPC.AHU08W.PXC</t>
  </si>
  <si>
    <t>WPC.AHU09N.PXC</t>
  </si>
  <si>
    <t>WPC.AHU09E.PXC</t>
  </si>
  <si>
    <t>WPC.AHU09W.PXC</t>
  </si>
  <si>
    <t>WPC.AHU10N.PXC</t>
  </si>
  <si>
    <t>WPC.AHU10E.PXC</t>
  </si>
  <si>
    <t>WPC.AHU10W.PXC</t>
  </si>
  <si>
    <t>WPC.AHU11N.PXC</t>
  </si>
  <si>
    <t>WPC.AHU11E.PXC</t>
  </si>
  <si>
    <t>WPC.AHU11W.PXC</t>
  </si>
  <si>
    <t>WPC.AHU12N.PXC</t>
  </si>
  <si>
    <t>WPC.AHU12E.PXC</t>
  </si>
  <si>
    <t>WPC.AHU12W.PXC</t>
  </si>
  <si>
    <t>WPC.AHU13N.PXC</t>
  </si>
  <si>
    <t>WPC.AHU13E.PXC</t>
  </si>
  <si>
    <t>WPC.AHU13W.PXC</t>
  </si>
  <si>
    <t>WPC.AHU14N.PXC</t>
  </si>
  <si>
    <t>WPC.AHU14E.PXC</t>
  </si>
  <si>
    <t>WPC.AHU14W.PXC</t>
  </si>
  <si>
    <t>WPC.AHU15N.PXC</t>
  </si>
  <si>
    <t>WPC.AHU15E.PXC</t>
  </si>
  <si>
    <t>WPC.AHU15W.PXC</t>
  </si>
  <si>
    <t>Instance</t>
  </si>
  <si>
    <t>PORT A</t>
  </si>
  <si>
    <t>VAV-6W-1</t>
  </si>
  <si>
    <t>VAV-6W-2</t>
  </si>
  <si>
    <t>VAV-6W-3</t>
  </si>
  <si>
    <t>VAV-6W-4</t>
  </si>
  <si>
    <t>VAV-6N-5</t>
  </si>
  <si>
    <t>VAV-6N-6</t>
  </si>
  <si>
    <t>VAV-6N-7</t>
  </si>
  <si>
    <t>VAV-6N-8</t>
  </si>
  <si>
    <t>VAV-6N-9</t>
  </si>
  <si>
    <t>VAV-6N-10</t>
  </si>
  <si>
    <t>VAV-6N-11</t>
  </si>
  <si>
    <t>VAV-6E-12</t>
  </si>
  <si>
    <t>VAV-6E-13</t>
  </si>
  <si>
    <t>VAV-6E-14</t>
  </si>
  <si>
    <t>VAV-6E-15</t>
  </si>
  <si>
    <t>VAV-6E-16</t>
  </si>
  <si>
    <t>VAV-6E-17</t>
  </si>
  <si>
    <t>VAV-6E-18</t>
  </si>
  <si>
    <t>VAV-6E-19</t>
  </si>
  <si>
    <t>VAV-6E-20</t>
  </si>
  <si>
    <t>VAV-6E-21</t>
  </si>
  <si>
    <t>VAV-6E-22</t>
  </si>
  <si>
    <t>VAV-6E-23</t>
  </si>
  <si>
    <t>VAV-6E-24</t>
  </si>
  <si>
    <t>VAV-6E-25</t>
  </si>
  <si>
    <t>VAV-6E-26</t>
  </si>
  <si>
    <t>VAV-6E-27</t>
  </si>
  <si>
    <t>VAV-6E-28</t>
  </si>
  <si>
    <t>VAV-6E-29</t>
  </si>
  <si>
    <t>VAV-6E-30</t>
  </si>
  <si>
    <t>VAV-6W-31</t>
  </si>
  <si>
    <t>VAV-6W-32</t>
  </si>
  <si>
    <t>VAV-6W-33</t>
  </si>
  <si>
    <t>VAV-6W-34</t>
  </si>
  <si>
    <t>VAV-6W-35</t>
  </si>
  <si>
    <t>VAV-6W-36</t>
  </si>
  <si>
    <t>VAV-6W-37</t>
  </si>
  <si>
    <t>VAV-6W-38</t>
  </si>
  <si>
    <t>VAV-6W-39</t>
  </si>
  <si>
    <t>VAV-6W-40</t>
  </si>
  <si>
    <t>VAV-6W-41</t>
  </si>
  <si>
    <t>VAV-6W-42</t>
  </si>
  <si>
    <t>VAV-6W-43</t>
  </si>
  <si>
    <t>VAV-7W-1</t>
  </si>
  <si>
    <t>VAV-7W-2</t>
  </si>
  <si>
    <t>VAV-7W-3</t>
  </si>
  <si>
    <t>VAV-7W-4</t>
  </si>
  <si>
    <t>VAV-7N-5</t>
  </si>
  <si>
    <t>VAV-7N-6</t>
  </si>
  <si>
    <t>VAV-7N-7</t>
  </si>
  <si>
    <t>VAV-7N-8</t>
  </si>
  <si>
    <t>VAV-7N-9</t>
  </si>
  <si>
    <t>VAV-7N-10</t>
  </si>
  <si>
    <t>VAV-7N-11</t>
  </si>
  <si>
    <t>VAV-7N-12</t>
  </si>
  <si>
    <t>VAV-7E-13</t>
  </si>
  <si>
    <t>VAV-7E-14</t>
  </si>
  <si>
    <t>VAV-7E-15</t>
  </si>
  <si>
    <t>VAV-7E-16</t>
  </si>
  <si>
    <t>VAV-7E-17</t>
  </si>
  <si>
    <t>VAV-7E-18</t>
  </si>
  <si>
    <t>VAV-7E-19</t>
  </si>
  <si>
    <t>VAV-7E-20</t>
  </si>
  <si>
    <t>VAV-7E-21</t>
  </si>
  <si>
    <t>VAV-7E-22</t>
  </si>
  <si>
    <t>VAV-7E-23</t>
  </si>
  <si>
    <t>VAV-7E-24</t>
  </si>
  <si>
    <t>VAV-7E-25</t>
  </si>
  <si>
    <t>VAV-7E-26</t>
  </si>
  <si>
    <t>VAV-7E-27</t>
  </si>
  <si>
    <t>VAV-7E-28</t>
  </si>
  <si>
    <t>VAV-7E-29</t>
  </si>
  <si>
    <t>VAV-7E-30</t>
  </si>
  <si>
    <t>VAV-7E-31</t>
  </si>
  <si>
    <t>VAV-7W-32</t>
  </si>
  <si>
    <t>VAV-7W-33</t>
  </si>
  <si>
    <t>VAV-7W-34</t>
  </si>
  <si>
    <t>VAV-7W-35</t>
  </si>
  <si>
    <t>VAV-7W-36</t>
  </si>
  <si>
    <t>VAV-7W-37</t>
  </si>
  <si>
    <t>VAV-7W-38</t>
  </si>
  <si>
    <t>VAV-7W-39</t>
  </si>
  <si>
    <t>VAV-7W-40</t>
  </si>
  <si>
    <t>VAV-7W-41</t>
  </si>
  <si>
    <t>VAV-7W-42</t>
  </si>
  <si>
    <t>VAV-7W-43</t>
  </si>
  <si>
    <t>VAV-7W-44</t>
  </si>
  <si>
    <t>VAV-8W-1</t>
  </si>
  <si>
    <t>VAV-8W-2</t>
  </si>
  <si>
    <t>VAV-8W-3</t>
  </si>
  <si>
    <t>VAV-8W-4</t>
  </si>
  <si>
    <t>VAV-8N-5</t>
  </si>
  <si>
    <t>VAV-8N-6</t>
  </si>
  <si>
    <t>VAV-8N-7</t>
  </si>
  <si>
    <t>VAV-8N-8</t>
  </si>
  <si>
    <t>VAV-8N-9</t>
  </si>
  <si>
    <t>VAV-8N-10</t>
  </si>
  <si>
    <t>VAV-8N-11</t>
  </si>
  <si>
    <t>VAV-8N-12</t>
  </si>
  <si>
    <t>VAV-8N-13</t>
  </si>
  <si>
    <t>VAV-8E-14</t>
  </si>
  <si>
    <t>VAV-8E-15</t>
  </si>
  <si>
    <t>VAV-8E-16</t>
  </si>
  <si>
    <t>VAV-8E-17</t>
  </si>
  <si>
    <t>VAV-8E-18</t>
  </si>
  <si>
    <t>VAV-8E-19</t>
  </si>
  <si>
    <t>VAV-8E-20</t>
  </si>
  <si>
    <t>VAV-8E-21</t>
  </si>
  <si>
    <t>VAV-8E-22</t>
  </si>
  <si>
    <t>VAV-8E-23</t>
  </si>
  <si>
    <t>VAV-8E-24</t>
  </si>
  <si>
    <t>VAV-8E-25</t>
  </si>
  <si>
    <t>VAV-8E-26</t>
  </si>
  <si>
    <t>VAV-8E-27</t>
  </si>
  <si>
    <t>VAV-8E-28</t>
  </si>
  <si>
    <t>VAV-8E-29</t>
  </si>
  <si>
    <t>VAV-8E-30</t>
  </si>
  <si>
    <t>VAV-8E-31</t>
  </si>
  <si>
    <t>VAV-8E-32</t>
  </si>
  <si>
    <t>VAV-8W-33</t>
  </si>
  <si>
    <t>VAV-8W-34</t>
  </si>
  <si>
    <t>VAV-8W-35</t>
  </si>
  <si>
    <t>VAV-8W-36</t>
  </si>
  <si>
    <t>VAV-8W-37</t>
  </si>
  <si>
    <t>VAV-8W-38</t>
  </si>
  <si>
    <t>VAV-8W-39</t>
  </si>
  <si>
    <t>VAV-8W-40</t>
  </si>
  <si>
    <t>VAV-8W-41</t>
  </si>
  <si>
    <t>VAV-8W-42</t>
  </si>
  <si>
    <t>VAV-8W-43</t>
  </si>
  <si>
    <t>VAV-8W-44</t>
  </si>
  <si>
    <t>VAV-8W-45</t>
  </si>
  <si>
    <t>Floor</t>
  </si>
  <si>
    <t>SUM</t>
  </si>
  <si>
    <t>MAY NOT EXIST</t>
  </si>
  <si>
    <t>Size</t>
  </si>
  <si>
    <t>Type</t>
  </si>
  <si>
    <t>Application #</t>
  </si>
  <si>
    <t>Supply air VAV duct area
Present value
[ft2]</t>
  </si>
  <si>
    <t>Supply air VAV flow coefficient
Present value
[---]</t>
  </si>
  <si>
    <t>Setpoint room air quality for economy
Present value
[ppm]</t>
  </si>
  <si>
    <t>WPC.VAV-2E-9</t>
  </si>
  <si>
    <t>WPC.VAV-2E-10</t>
  </si>
  <si>
    <t>WPC.VAV-2E-12</t>
  </si>
  <si>
    <t>WPC.VAV-2E-13</t>
  </si>
  <si>
    <t>WPC.VAV-2E-14</t>
  </si>
  <si>
    <t>WPC.VAV-2E-15</t>
  </si>
  <si>
    <t>WPC.VAV-2E-16</t>
  </si>
  <si>
    <t>WPC.VAV-2E-17</t>
  </si>
  <si>
    <t>WPC.VAV-2E-18</t>
  </si>
  <si>
    <t>WPC.VAV-2E-19</t>
  </si>
  <si>
    <t>WPC.VAV-2E-20</t>
  </si>
  <si>
    <t>WPC.VAV-2N-3</t>
  </si>
  <si>
    <t>WPC.VAV-2N-4</t>
  </si>
  <si>
    <t>WPC.VAV-2N-5</t>
  </si>
  <si>
    <t>WPC.VAV-2N-6</t>
  </si>
  <si>
    <t>WPC.VAV-2N-7</t>
  </si>
  <si>
    <t>WPC.VAV-2N-8</t>
  </si>
  <si>
    <t>WPC.VAV-2N-11</t>
  </si>
  <si>
    <t>WPC.VAV-2W-1</t>
  </si>
  <si>
    <t>WPC.VAV-2W-2</t>
  </si>
  <si>
    <t>WPC.VAV-2W-21</t>
  </si>
  <si>
    <t>WPC.VAV-2W-22</t>
  </si>
  <si>
    <t>WPC.VAV-2W-23</t>
  </si>
  <si>
    <t>WPC.VAV-2W-24</t>
  </si>
  <si>
    <t>WPC.VAV-2W-25</t>
  </si>
  <si>
    <t>WPC.VAV-2W-26</t>
  </si>
  <si>
    <t>WPC.VAV-2W-27</t>
  </si>
  <si>
    <t>WPC.VAV-2W-28</t>
  </si>
  <si>
    <t>WPC.VAV-2W-29</t>
  </si>
  <si>
    <t>WPC.VAV-3E-12</t>
  </si>
  <si>
    <t>WPC.VAV-3E-13</t>
  </si>
  <si>
    <t>WPC.VAV-3E-14</t>
  </si>
  <si>
    <t>WPC.VAV-3E-15</t>
  </si>
  <si>
    <t>WPC.VAV-3E-16</t>
  </si>
  <si>
    <t>WPC.VAV-3E-17</t>
  </si>
  <si>
    <t>WPC.VAV-3E-18</t>
  </si>
  <si>
    <t>WPC.VAV-3E-19</t>
  </si>
  <si>
    <t>WPC.VAV-3E-20</t>
  </si>
  <si>
    <t>WPC.VAV-3E-21</t>
  </si>
  <si>
    <t>WPC.VAV-3E-22</t>
  </si>
  <si>
    <t>WPC.VAV-3E-23</t>
  </si>
  <si>
    <t>WPC.VAV-3E-24</t>
  </si>
  <si>
    <t>WPC.VAV-3E-25</t>
  </si>
  <si>
    <t>WPC.VAV-3E-26</t>
  </si>
  <si>
    <t>WPC.VAV-3E-27</t>
  </si>
  <si>
    <t>WPC.VAV-3N-5</t>
  </si>
  <si>
    <t>WPC.VAV-3N-6</t>
  </si>
  <si>
    <t>WPC.VAV-3N-7</t>
  </si>
  <si>
    <t>WPC.VAV-3N-8</t>
  </si>
  <si>
    <t>WPC.VAV-3N-9</t>
  </si>
  <si>
    <t>WPC.VAV-3N-10</t>
  </si>
  <si>
    <t>WPC.VAV-3N-11</t>
  </si>
  <si>
    <t>WPC.VAV-3W-1</t>
  </si>
  <si>
    <t>WPC.VAV-3W-2</t>
  </si>
  <si>
    <t>WPC.VAV-3W-3</t>
  </si>
  <si>
    <t>WPC.VAV-3W-4</t>
  </si>
  <si>
    <t>WPC.VAV-3W-28</t>
  </si>
  <si>
    <t>WPC.VAV-3W-29</t>
  </si>
  <si>
    <t>WPC.VAV-3W-30</t>
  </si>
  <si>
    <t>WPC.VAV-3W-31</t>
  </si>
  <si>
    <t>WPC.VAV-3W-32</t>
  </si>
  <si>
    <t>WPC.VAV-3W-33</t>
  </si>
  <si>
    <t>WPC.VAV-3W-34</t>
  </si>
  <si>
    <t>WPC.VAV-3W-35</t>
  </si>
  <si>
    <t>WPC.VAV-3W-36</t>
  </si>
  <si>
    <t>WPC.VAV-3W-37</t>
  </si>
  <si>
    <t>WPC.VAV-3W-38</t>
  </si>
  <si>
    <t>WPC.VAV-4E-22</t>
  </si>
  <si>
    <t>WPC.VAV-4E-23</t>
  </si>
  <si>
    <t>WPC.VAV-4E-24</t>
  </si>
  <si>
    <t>WPC.VAV-4E-25</t>
  </si>
  <si>
    <t>WPC.VAV-4E-26</t>
  </si>
  <si>
    <t>WPC.VAV-4E-27</t>
  </si>
  <si>
    <t>WPC.VAV-4E-28</t>
  </si>
  <si>
    <t>WPC.VAV-4E-29</t>
  </si>
  <si>
    <t>WPC.VAV-4E-30</t>
  </si>
  <si>
    <t>WPC.VAV-4E-31</t>
  </si>
  <si>
    <t>WPC.VAV-4E-32</t>
  </si>
  <si>
    <t>WPC.VAV-4E-33</t>
  </si>
  <si>
    <t>WPC.VAV-4E-34</t>
  </si>
  <si>
    <t>WPC.VAV-4E-35</t>
  </si>
  <si>
    <t>WPC.VAV-4E-36</t>
  </si>
  <si>
    <t>WPC.VAV-4E-37</t>
  </si>
  <si>
    <t>WPC.VAV-4E-38</t>
  </si>
  <si>
    <t>WPC.VAV-4E-39</t>
  </si>
  <si>
    <t>WPC.VAV-4E-40</t>
  </si>
  <si>
    <t>WPC.VAV-4E-41</t>
  </si>
  <si>
    <t>WPC.VAV-4E-42</t>
  </si>
  <si>
    <t>WPC.VAV-4E-43</t>
  </si>
  <si>
    <t>WPC.VAV-4N-8</t>
  </si>
  <si>
    <t>WPC.VAV-4N-9</t>
  </si>
  <si>
    <t>WPC.VAV-4N-10</t>
  </si>
  <si>
    <t>WPC.VAV-4N-11</t>
  </si>
  <si>
    <t>WPC.VAV-4N-12</t>
  </si>
  <si>
    <t>WPC.VAV-4N-13</t>
  </si>
  <si>
    <t>WPC.VAV-4N-14</t>
  </si>
  <si>
    <t>WPC.VAV-4N-15</t>
  </si>
  <si>
    <t>WPC.VAV-4N-16</t>
  </si>
  <si>
    <t>WPC.VAV-4N-17</t>
  </si>
  <si>
    <t>WPC.VAV-4N-18</t>
  </si>
  <si>
    <t>WPC.VAV-4N-19</t>
  </si>
  <si>
    <t>WPC.VAV-4N-20</t>
  </si>
  <si>
    <t>WPC.VAV-4N-21</t>
  </si>
  <si>
    <t>WPC.VAV-4W-1</t>
  </si>
  <si>
    <t>WPC.VAV-4W-2</t>
  </si>
  <si>
    <t>WPC.VAV-4W-3</t>
  </si>
  <si>
    <t>WPC.VAV-4W-4</t>
  </si>
  <si>
    <t>WPC.VAV-4W-5</t>
  </si>
  <si>
    <t>WPC.VAV-4W-6</t>
  </si>
  <si>
    <t>WPC.VAV-4W-7</t>
  </si>
  <si>
    <t>WPC.VAV-4W-44</t>
  </si>
  <si>
    <t>WPC.VAV-4W-45</t>
  </si>
  <si>
    <t>WPC.VAV-4W-46</t>
  </si>
  <si>
    <t>WPC.VAV-4W-47</t>
  </si>
  <si>
    <t>WPC.VAV-4W-48</t>
  </si>
  <si>
    <t>WPC.VAV-4W-49</t>
  </si>
  <si>
    <t>WPC.VAV-4W-50</t>
  </si>
  <si>
    <t>WPC.VAV-4W-51</t>
  </si>
  <si>
    <t>WPC.VAV-4W-52</t>
  </si>
  <si>
    <t>WPC.VAV-4W-53</t>
  </si>
  <si>
    <t>WPC.VAV-4W-54</t>
  </si>
  <si>
    <t>WPC.VAV-4W-55</t>
  </si>
  <si>
    <t>WPC.VAV-4W-56</t>
  </si>
  <si>
    <t>WPC.VAV-4W-57</t>
  </si>
  <si>
    <t>WPC.VAV-4W-58</t>
  </si>
  <si>
    <t>WPC.VAV-5E-11</t>
  </si>
  <si>
    <t>WPC.VAV-5E-12</t>
  </si>
  <si>
    <t>WPC.VAV-5E-13</t>
  </si>
  <si>
    <t>WPC.VAV-5E-14</t>
  </si>
  <si>
    <t>WPC.VAV-5E-15</t>
  </si>
  <si>
    <t>WPC.VAV-5E-16</t>
  </si>
  <si>
    <t>WPC.VAV-5E-17</t>
  </si>
  <si>
    <t>WPC.VAV-5E-18</t>
  </si>
  <si>
    <t>WPC.VAV-5E-19</t>
  </si>
  <si>
    <t>WPC.VAV-5E-20</t>
  </si>
  <si>
    <t>WPC.VAV-5E-21</t>
  </si>
  <si>
    <t>WPC.VAV-5E-22</t>
  </si>
  <si>
    <t>WPC.VAV-5E-23</t>
  </si>
  <si>
    <t>WPC.VAV-5E-24</t>
  </si>
  <si>
    <t>WPC.VAV-5E-25</t>
  </si>
  <si>
    <t>WPC.VAV-5E-26</t>
  </si>
  <si>
    <t>WPC.VAV-5E-27</t>
  </si>
  <si>
    <t>WPC.VAV-5N-5</t>
  </si>
  <si>
    <t>WPC.VAV-5N-6</t>
  </si>
  <si>
    <t>WPC.VAV-5N-7</t>
  </si>
  <si>
    <t>WPC.VAV-5N-8</t>
  </si>
  <si>
    <t>WPC.VAV-5N-9</t>
  </si>
  <si>
    <t>WPC.VAV-5N-10</t>
  </si>
  <si>
    <t>WPC.VAV-5W-1</t>
  </si>
  <si>
    <t>WPC.VAV-5W-2</t>
  </si>
  <si>
    <t>WPC.VAV-5W-3</t>
  </si>
  <si>
    <t>WPC.VAV-5W-4</t>
  </si>
  <si>
    <t>WPC.VAV-5W-28</t>
  </si>
  <si>
    <t>WPC.VAV-5W-29</t>
  </si>
  <si>
    <t>WPC.VAV-5W-30</t>
  </si>
  <si>
    <t>WPC.VAV-5W-31</t>
  </si>
  <si>
    <t>WPC.VAV-5W-32</t>
  </si>
  <si>
    <t>WPC.VAV-5W-33</t>
  </si>
  <si>
    <t>WPC.VAV-5W-34</t>
  </si>
  <si>
    <t>WPC.VAV-5W-35</t>
  </si>
  <si>
    <t>WPC.VAV-5W-36</t>
  </si>
  <si>
    <t>WPC.VAV-5W-37</t>
  </si>
  <si>
    <t>WPC.VAV-5W-38</t>
  </si>
  <si>
    <t>ADXR</t>
  </si>
  <si>
    <t>DXR</t>
  </si>
  <si>
    <t>HeatingP30DXR</t>
  </si>
  <si>
    <t>CoolingP30DXR</t>
  </si>
  <si>
    <t>HeatingP30ADXR</t>
  </si>
  <si>
    <t>CoolingP30ADXR</t>
  </si>
  <si>
    <t>CoolingP70ADXR</t>
  </si>
  <si>
    <t>HeatingP70ADXR</t>
  </si>
  <si>
    <t>Heating, P30, ADXR</t>
  </si>
  <si>
    <t>Cooling, P30, ADXR</t>
  </si>
  <si>
    <t>Heating, P70, ADXR</t>
  </si>
  <si>
    <t>Cooling, P70, ADXR</t>
  </si>
  <si>
    <t>Heating, P30, DXR</t>
  </si>
  <si>
    <t>Cooling, P30, DXR</t>
  </si>
  <si>
    <t>ID</t>
  </si>
  <si>
    <t>UNIT TAG</t>
  </si>
  <si>
    <t>MARK</t>
  </si>
  <si>
    <t>DESIGN SUPPLY FLOW (CFM)</t>
  </si>
  <si>
    <t>MINIMUM FLOW (CFM)</t>
  </si>
  <si>
    <t>HEATER KW</t>
  </si>
  <si>
    <t>HEATER VOLTS/PHASE</t>
  </si>
  <si>
    <t>NOTES</t>
  </si>
  <si>
    <t>C</t>
  </si>
  <si>
    <t>6</t>
  </si>
  <si>
    <t>277 / 1ø</t>
  </si>
  <si>
    <t>8</t>
  </si>
  <si>
    <t>480 / 1ø</t>
  </si>
  <si>
    <t>-</t>
  </si>
  <si>
    <t>- / -</t>
  </si>
  <si>
    <t>B</t>
  </si>
  <si>
    <t>VAV-2N-6A</t>
  </si>
  <si>
    <t>E</t>
  </si>
  <si>
    <t>D</t>
  </si>
  <si>
    <t>10</t>
  </si>
  <si>
    <t>2</t>
  </si>
  <si>
    <t>7</t>
  </si>
  <si>
    <t>A</t>
  </si>
  <si>
    <t>5</t>
  </si>
  <si>
    <t>12</t>
  </si>
  <si>
    <t>VAV-3N-7A</t>
  </si>
  <si>
    <t>1</t>
  </si>
  <si>
    <t>1.2</t>
  </si>
  <si>
    <t>3</t>
  </si>
  <si>
    <t>VAV-4N-15A</t>
  </si>
  <si>
    <t>VAV-4W-59</t>
  </si>
  <si>
    <t>VAV-5N-7A</t>
  </si>
  <si>
    <t>VAV-5E-14A</t>
  </si>
  <si>
    <t>VAV-5E-15A</t>
  </si>
  <si>
    <t>VAV-5E-20A</t>
  </si>
  <si>
    <t>VAV-6N-8A</t>
  </si>
  <si>
    <t>VAV-7N-9A</t>
  </si>
  <si>
    <t>VAV-8N-9A</t>
  </si>
  <si>
    <r>
      <rPr>
        <sz val="10"/>
        <rFont val="Arial"/>
        <family val="2"/>
      </rPr>
      <t>VAV-15E-14</t>
    </r>
  </si>
  <si>
    <r>
      <rPr>
        <sz val="10"/>
        <rFont val="Arial"/>
        <family val="2"/>
      </rPr>
      <t>C</t>
    </r>
  </si>
  <si>
    <r>
      <rPr>
        <sz val="10"/>
        <rFont val="Arial"/>
        <family val="2"/>
      </rPr>
      <t>VAV-15E-15</t>
    </r>
  </si>
  <si>
    <r>
      <rPr>
        <sz val="10"/>
        <rFont val="Arial"/>
        <family val="2"/>
      </rPr>
      <t>B</t>
    </r>
  </si>
  <si>
    <r>
      <rPr>
        <sz val="10"/>
        <rFont val="Arial"/>
        <family val="2"/>
      </rPr>
      <t>VAV-15E-16</t>
    </r>
  </si>
  <si>
    <r>
      <rPr>
        <sz val="10"/>
        <rFont val="Arial"/>
        <family val="2"/>
      </rPr>
      <t>VAV-15E-17</t>
    </r>
  </si>
  <si>
    <r>
      <rPr>
        <sz val="10"/>
        <rFont val="Arial"/>
        <family val="2"/>
      </rPr>
      <t>VAV-15E-18</t>
    </r>
  </si>
  <si>
    <r>
      <rPr>
        <sz val="10"/>
        <rFont val="Arial"/>
        <family val="2"/>
      </rPr>
      <t>A</t>
    </r>
  </si>
  <si>
    <r>
      <rPr>
        <sz val="10"/>
        <rFont val="Arial"/>
        <family val="2"/>
      </rPr>
      <t>VAV-15E-19</t>
    </r>
  </si>
  <si>
    <r>
      <rPr>
        <sz val="10"/>
        <rFont val="Arial"/>
        <family val="2"/>
      </rPr>
      <t>VAV-15E-20</t>
    </r>
  </si>
  <si>
    <r>
      <rPr>
        <sz val="10"/>
        <rFont val="Arial"/>
        <family val="2"/>
      </rPr>
      <t>VAV-15E-21</t>
    </r>
  </si>
  <si>
    <r>
      <rPr>
        <sz val="10"/>
        <rFont val="Arial"/>
        <family val="2"/>
      </rPr>
      <t>VAV-15E-22</t>
    </r>
  </si>
  <si>
    <r>
      <rPr>
        <sz val="10"/>
        <rFont val="Arial"/>
        <family val="2"/>
      </rPr>
      <t>VAV-15E-23</t>
    </r>
  </si>
  <si>
    <r>
      <rPr>
        <sz val="10"/>
        <rFont val="Arial"/>
        <family val="2"/>
      </rPr>
      <t>D</t>
    </r>
  </si>
  <si>
    <r>
      <rPr>
        <sz val="10"/>
        <rFont val="Arial"/>
        <family val="2"/>
      </rPr>
      <t>VAV-15E-24</t>
    </r>
  </si>
  <si>
    <r>
      <rPr>
        <sz val="10"/>
        <rFont val="Arial"/>
        <family val="2"/>
      </rPr>
      <t>VAV-15E-25</t>
    </r>
  </si>
  <si>
    <r>
      <rPr>
        <sz val="10"/>
        <rFont val="Arial"/>
        <family val="2"/>
      </rPr>
      <t>VAV-15E-26</t>
    </r>
  </si>
  <si>
    <r>
      <rPr>
        <sz val="10"/>
        <rFont val="Arial"/>
        <family val="2"/>
      </rPr>
      <t>VAV-15E-27</t>
    </r>
  </si>
  <si>
    <r>
      <rPr>
        <sz val="10"/>
        <rFont val="Arial"/>
        <family val="2"/>
      </rPr>
      <t>VAV-15E-28</t>
    </r>
  </si>
  <si>
    <r>
      <rPr>
        <sz val="10"/>
        <rFont val="Arial"/>
        <family val="2"/>
      </rPr>
      <t>VAV-15E-29</t>
    </r>
  </si>
  <si>
    <r>
      <rPr>
        <sz val="10"/>
        <rFont val="Arial"/>
        <family val="2"/>
      </rPr>
      <t>VAV-15E-30</t>
    </r>
  </si>
  <si>
    <r>
      <rPr>
        <sz val="10"/>
        <rFont val="Arial"/>
        <family val="2"/>
      </rPr>
      <t>VAV-15N-10</t>
    </r>
  </si>
  <si>
    <r>
      <rPr>
        <sz val="10"/>
        <rFont val="Arial"/>
        <family val="2"/>
      </rPr>
      <t>VAV-15N-11</t>
    </r>
  </si>
  <si>
    <r>
      <rPr>
        <sz val="10"/>
        <rFont val="Arial"/>
        <family val="2"/>
      </rPr>
      <t>VAV-15N-12</t>
    </r>
  </si>
  <si>
    <r>
      <rPr>
        <sz val="10"/>
        <rFont val="Arial"/>
        <family val="2"/>
      </rPr>
      <t>VAV-15N-13</t>
    </r>
  </si>
  <si>
    <r>
      <rPr>
        <sz val="10"/>
        <rFont val="Arial"/>
        <family val="2"/>
      </rPr>
      <t>VAV-15N-5</t>
    </r>
  </si>
  <si>
    <r>
      <rPr>
        <sz val="10"/>
        <rFont val="Arial"/>
        <family val="2"/>
      </rPr>
      <t>VAV-15N-6</t>
    </r>
  </si>
  <si>
    <r>
      <rPr>
        <sz val="10"/>
        <rFont val="Arial"/>
        <family val="2"/>
      </rPr>
      <t>VAV-15N-7</t>
    </r>
  </si>
  <si>
    <r>
      <rPr>
        <sz val="10"/>
        <rFont val="Arial"/>
        <family val="2"/>
      </rPr>
      <t>VAV-15N-8</t>
    </r>
  </si>
  <si>
    <r>
      <rPr>
        <sz val="10"/>
        <rFont val="Arial"/>
        <family val="2"/>
      </rPr>
      <t>VAV-15N-9</t>
    </r>
  </si>
  <si>
    <r>
      <rPr>
        <sz val="10"/>
        <rFont val="Arial"/>
        <family val="2"/>
      </rPr>
      <t>VAV-15W-1</t>
    </r>
  </si>
  <si>
    <r>
      <rPr>
        <sz val="10"/>
        <rFont val="Arial"/>
        <family val="2"/>
      </rPr>
      <t>VAV-15W-2</t>
    </r>
  </si>
  <si>
    <r>
      <rPr>
        <sz val="10"/>
        <rFont val="Arial"/>
        <family val="2"/>
      </rPr>
      <t>VAV-15W-3</t>
    </r>
  </si>
  <si>
    <r>
      <rPr>
        <sz val="10"/>
        <rFont val="Arial"/>
        <family val="2"/>
      </rPr>
      <t>VAV-15W-31</t>
    </r>
  </si>
  <si>
    <r>
      <rPr>
        <sz val="10"/>
        <rFont val="Arial"/>
        <family val="2"/>
      </rPr>
      <t>VAV-15W-32</t>
    </r>
  </si>
  <si>
    <r>
      <rPr>
        <sz val="10"/>
        <rFont val="Arial"/>
        <family val="2"/>
      </rPr>
      <t>VAV-15W-33</t>
    </r>
  </si>
  <si>
    <r>
      <rPr>
        <sz val="10"/>
        <rFont val="Arial"/>
        <family val="2"/>
      </rPr>
      <t>VAV-15W-34</t>
    </r>
  </si>
  <si>
    <r>
      <rPr>
        <sz val="10"/>
        <rFont val="Arial"/>
        <family val="2"/>
      </rPr>
      <t>VAV-15W-35</t>
    </r>
  </si>
  <si>
    <r>
      <rPr>
        <sz val="10"/>
        <rFont val="Arial"/>
        <family val="2"/>
      </rPr>
      <t>VAV-15W-36</t>
    </r>
  </si>
  <si>
    <r>
      <rPr>
        <sz val="10"/>
        <rFont val="Arial"/>
        <family val="2"/>
      </rPr>
      <t>VAV-15W-37</t>
    </r>
  </si>
  <si>
    <r>
      <rPr>
        <sz val="10"/>
        <rFont val="Arial"/>
        <family val="2"/>
      </rPr>
      <t>VAV-15W-38</t>
    </r>
  </si>
  <si>
    <r>
      <rPr>
        <sz val="10"/>
        <rFont val="Arial"/>
        <family val="2"/>
      </rPr>
      <t>VAV-15W-39</t>
    </r>
  </si>
  <si>
    <r>
      <rPr>
        <sz val="10"/>
        <rFont val="Arial"/>
        <family val="2"/>
      </rPr>
      <t>VAV-15W-4</t>
    </r>
  </si>
  <si>
    <r>
      <rPr>
        <sz val="10"/>
        <rFont val="Arial"/>
        <family val="2"/>
      </rPr>
      <t>VAV-15W-40</t>
    </r>
  </si>
  <si>
    <r>
      <rPr>
        <sz val="10"/>
        <rFont val="Arial"/>
        <family val="2"/>
      </rPr>
      <t>VAV-15W-41</t>
    </r>
  </si>
  <si>
    <t xml:space="preserve">Mark </t>
  </si>
  <si>
    <t>WPC.VAV-2N-6A</t>
  </si>
  <si>
    <t>WPC.VAV-3N-7A</t>
  </si>
  <si>
    <t>WPC.VAV-4N-15A</t>
  </si>
  <si>
    <t>WPC.VAV-4W-59</t>
  </si>
  <si>
    <t>WPC.VAV-5N-7A</t>
  </si>
  <si>
    <t>WPC.VAV-5E-14A</t>
  </si>
  <si>
    <t>WPC.VAV-5E-15A</t>
  </si>
  <si>
    <t>WPC.VAV-5E-20A</t>
  </si>
  <si>
    <t>WPC.VAV-6W-1</t>
  </si>
  <si>
    <t>WPC.VAV-6W-2</t>
  </si>
  <si>
    <t>WPC.VAV-6W-3</t>
  </si>
  <si>
    <t>WPC.VAV-6W-4</t>
  </si>
  <si>
    <t>WPC.VAV-6N-5</t>
  </si>
  <si>
    <t>WPC.VAV-6N-6</t>
  </si>
  <si>
    <t>WPC.VAV-6N-7</t>
  </si>
  <si>
    <t>WPC.VAV-6N-8</t>
  </si>
  <si>
    <t>WPC.VAV-6N-8A</t>
  </si>
  <si>
    <t>WPC.VAV-6N-9</t>
  </si>
  <si>
    <t>WPC.VAV-6N-10</t>
  </si>
  <si>
    <t>WPC.VAV-6N-11</t>
  </si>
  <si>
    <t>WPC.VAV-6E-12</t>
  </si>
  <si>
    <t>WPC.VAV-6E-13</t>
  </si>
  <si>
    <t>WPC.VAV-6E-14</t>
  </si>
  <si>
    <t>WPC.VAV-6E-15</t>
  </si>
  <si>
    <t>WPC.VAV-6E-16</t>
  </si>
  <si>
    <t>WPC.VAV-6E-17</t>
  </si>
  <si>
    <t>WPC.VAV-6E-18</t>
  </si>
  <si>
    <t>WPC.VAV-6E-19</t>
  </si>
  <si>
    <t>WPC.VAV-6E-20</t>
  </si>
  <si>
    <t>WPC.VAV-6E-21</t>
  </si>
  <si>
    <t>WPC.VAV-6E-22</t>
  </si>
  <si>
    <t>WPC.VAV-6E-23</t>
  </si>
  <si>
    <t>WPC.VAV-6E-24</t>
  </si>
  <si>
    <t>WPC.VAV-6E-25</t>
  </si>
  <si>
    <t>WPC.VAV-6E-26</t>
  </si>
  <si>
    <t>WPC.VAV-6E-27</t>
  </si>
  <si>
    <t>WPC.VAV-6E-28</t>
  </si>
  <si>
    <t>WPC.VAV-6E-29</t>
  </si>
  <si>
    <t>WPC.VAV-6E-30</t>
  </si>
  <si>
    <t>WPC.VAV-6W-31</t>
  </si>
  <si>
    <t>WPC.VAV-6W-32</t>
  </si>
  <si>
    <t>WPC.VAV-6W-33</t>
  </si>
  <si>
    <t>WPC.VAV-6W-34</t>
  </si>
  <si>
    <t>WPC.VAV-6W-35</t>
  </si>
  <si>
    <t>WPC.VAV-6W-36</t>
  </si>
  <si>
    <t>WPC.VAV-6W-37</t>
  </si>
  <si>
    <t>WPC.VAV-6W-38</t>
  </si>
  <si>
    <t>WPC.VAV-6W-39</t>
  </si>
  <si>
    <t>WPC.VAV-6W-40</t>
  </si>
  <si>
    <t>WPC.VAV-6W-41</t>
  </si>
  <si>
    <t>WPC.VAV-6W-42</t>
  </si>
  <si>
    <t>WPC.VAV-6W-43</t>
  </si>
  <si>
    <t>WPC.VAV-7W-1</t>
  </si>
  <si>
    <t>WPC.VAV-7W-2</t>
  </si>
  <si>
    <t>WPC.VAV-7W-3</t>
  </si>
  <si>
    <t>WPC.VAV-7W-4</t>
  </si>
  <si>
    <t>WPC.VAV-7N-5</t>
  </si>
  <si>
    <t>WPC.VAV-7N-6</t>
  </si>
  <si>
    <t>WPC.VAV-7N-7</t>
  </si>
  <si>
    <t>WPC.VAV-7N-8</t>
  </si>
  <si>
    <t>WPC.VAV-7N-9</t>
  </si>
  <si>
    <t>WPC.VAV-7N-9A</t>
  </si>
  <si>
    <t>WPC.VAV-7N-10</t>
  </si>
  <si>
    <t>WPC.VAV-7N-11</t>
  </si>
  <si>
    <t>WPC.VAV-7N-12</t>
  </si>
  <si>
    <t>WPC.VAV-7E-13</t>
  </si>
  <si>
    <t>WPC.VAV-7E-14</t>
  </si>
  <si>
    <t>WPC.VAV-7E-15</t>
  </si>
  <si>
    <t>WPC.VAV-7E-16</t>
  </si>
  <si>
    <t>WPC.VAV-7E-17</t>
  </si>
  <si>
    <t>WPC.VAV-7E-18</t>
  </si>
  <si>
    <t>WPC.VAV-7E-19</t>
  </si>
  <si>
    <t>WPC.VAV-7E-20</t>
  </si>
  <si>
    <t>WPC.VAV-7E-21</t>
  </si>
  <si>
    <t>WPC.VAV-7E-22</t>
  </si>
  <si>
    <t>WPC.VAV-7E-23</t>
  </si>
  <si>
    <t>WPC.VAV-7E-24</t>
  </si>
  <si>
    <t>WPC.VAV-7E-25</t>
  </si>
  <si>
    <t>WPC.VAV-7E-26</t>
  </si>
  <si>
    <t>WPC.VAV-7E-27</t>
  </si>
  <si>
    <t>WPC.VAV-7E-28</t>
  </si>
  <si>
    <t>WPC.VAV-7E-29</t>
  </si>
  <si>
    <t>WPC.VAV-7E-30</t>
  </si>
  <si>
    <t>WPC.VAV-7E-31</t>
  </si>
  <si>
    <t>WPC.VAV-7W-32</t>
  </si>
  <si>
    <t>WPC.VAV-7W-33</t>
  </si>
  <si>
    <t>WPC.VAV-7W-34</t>
  </si>
  <si>
    <t>WPC.VAV-7W-35</t>
  </si>
  <si>
    <t>WPC.VAV-7W-36</t>
  </si>
  <si>
    <t>WPC.VAV-7W-37</t>
  </si>
  <si>
    <t>WPC.VAV-7W-38</t>
  </si>
  <si>
    <t>WPC.VAV-7W-39</t>
  </si>
  <si>
    <t>WPC.VAV-7W-40</t>
  </si>
  <si>
    <t>WPC.VAV-7W-41</t>
  </si>
  <si>
    <t>WPC.VAV-7W-42</t>
  </si>
  <si>
    <t>WPC.VAV-7W-43</t>
  </si>
  <si>
    <t>WPC.VAV-7W-44</t>
  </si>
  <si>
    <t>WPC.VAV-8W-1</t>
  </si>
  <si>
    <t>WPC.VAV-8W-2</t>
  </si>
  <si>
    <t>WPC.VAV-8W-3</t>
  </si>
  <si>
    <t>WPC.VAV-8W-4</t>
  </si>
  <si>
    <t>WPC.VAV-8N-5</t>
  </si>
  <si>
    <t>WPC.VAV-8N-6</t>
  </si>
  <si>
    <t>WPC.VAV-8N-7</t>
  </si>
  <si>
    <t>WPC.VAV-8N-8</t>
  </si>
  <si>
    <t>WPC.VAV-8N-9</t>
  </si>
  <si>
    <t>WPC.VAV-8N-9A</t>
  </si>
  <si>
    <t>WPC.VAV-8N-10</t>
  </si>
  <si>
    <t>WPC.VAV-8N-11</t>
  </si>
  <si>
    <t>WPC.VAV-8N-12</t>
  </si>
  <si>
    <t>WPC.VAV-8N-13</t>
  </si>
  <si>
    <t>WPC.VAV-8E-14</t>
  </si>
  <si>
    <t>WPC.VAV-8E-15</t>
  </si>
  <si>
    <t>WPC.VAV-8E-16</t>
  </si>
  <si>
    <t>WPC.VAV-8E-17</t>
  </si>
  <si>
    <t>WPC.VAV-8E-18</t>
  </si>
  <si>
    <t>WPC.VAV-8E-19</t>
  </si>
  <si>
    <t>WPC.VAV-8E-20</t>
  </si>
  <si>
    <t>WPC.VAV-8E-21</t>
  </si>
  <si>
    <t>WPC.VAV-8E-22</t>
  </si>
  <si>
    <t>WPC.VAV-8E-23</t>
  </si>
  <si>
    <t>WPC.VAV-8E-24</t>
  </si>
  <si>
    <t>WPC.VAV-8E-25</t>
  </si>
  <si>
    <t>WPC.VAV-8E-26</t>
  </si>
  <si>
    <t>WPC.VAV-8E-27</t>
  </si>
  <si>
    <t>WPC.VAV-8E-28</t>
  </si>
  <si>
    <t>WPC.VAV-8E-29</t>
  </si>
  <si>
    <t>WPC.VAV-8E-30</t>
  </si>
  <si>
    <t>WPC.VAV-8E-31</t>
  </si>
  <si>
    <t>WPC.VAV-8E-32</t>
  </si>
  <si>
    <t>WPC.VAV-8W-33</t>
  </si>
  <si>
    <t>WPC.VAV-8W-34</t>
  </si>
  <si>
    <t>WPC.VAV-8W-35</t>
  </si>
  <si>
    <t>WPC.VAV-8W-36</t>
  </si>
  <si>
    <t>WPC.VAV-8W-37</t>
  </si>
  <si>
    <t>WPC.VAV-8W-38</t>
  </si>
  <si>
    <t>WPC.VAV-8W-39</t>
  </si>
  <si>
    <t>WPC.VAV-8W-40</t>
  </si>
  <si>
    <t>WPC.VAV-8W-41</t>
  </si>
  <si>
    <t>WPC.VAV-8W-42</t>
  </si>
  <si>
    <t>WPC.VAV-8W-43</t>
  </si>
  <si>
    <t>WPC.VAV-8W-44</t>
  </si>
  <si>
    <t>WPC.VAV-8W-45</t>
  </si>
  <si>
    <t>WPC.VAV-15E-14</t>
  </si>
  <si>
    <t>WPC.VAV-15E-15</t>
  </si>
  <si>
    <t>WPC.VAV-15E-16</t>
  </si>
  <si>
    <t>WPC.VAV-15E-17</t>
  </si>
  <si>
    <t>WPC.VAV-15E-18</t>
  </si>
  <si>
    <t>WPC.VAV-15E-19</t>
  </si>
  <si>
    <t>WPC.VAV-15E-20</t>
  </si>
  <si>
    <t>WPC.VAV-15E-21</t>
  </si>
  <si>
    <t>WPC.VAV-15E-22</t>
  </si>
  <si>
    <t>WPC.VAV-15E-23</t>
  </si>
  <si>
    <t>WPC.VAV-15E-24</t>
  </si>
  <si>
    <t>WPC.VAV-15E-25</t>
  </si>
  <si>
    <t>WPC.VAV-15E-26</t>
  </si>
  <si>
    <t>WPC.VAV-15E-27</t>
  </si>
  <si>
    <t>WPC.VAV-15E-28</t>
  </si>
  <si>
    <t>WPC.VAV-15E-29</t>
  </si>
  <si>
    <t>WPC.VAV-15E-30</t>
  </si>
  <si>
    <t>WPC.VAV-15N-10</t>
  </si>
  <si>
    <t>WPC.VAV-15N-11</t>
  </si>
  <si>
    <t>WPC.VAV-15N-12</t>
  </si>
  <si>
    <t>WPC.VAV-15N-13</t>
  </si>
  <si>
    <t>WPC.VAV-15N-5</t>
  </si>
  <si>
    <t>WPC.VAV-15N-6</t>
  </si>
  <si>
    <t>WPC.VAV-15N-7</t>
  </si>
  <si>
    <t>WPC.VAV-15N-8</t>
  </si>
  <si>
    <t>WPC.VAV-15N-9</t>
  </si>
  <si>
    <t>WPC.VAV-15W-1</t>
  </si>
  <si>
    <t>WPC.VAV-15W-2</t>
  </si>
  <si>
    <t>WPC.VAV-15W-3</t>
  </si>
  <si>
    <t>WPC.VAV-15W-31</t>
  </si>
  <si>
    <t>WPC.VAV-15W-32</t>
  </si>
  <si>
    <t>WPC.VAV-15W-33</t>
  </si>
  <si>
    <t>WPC.VAV-15W-34</t>
  </si>
  <si>
    <t>WPC.VAV-15W-35</t>
  </si>
  <si>
    <t>WPC.VAV-15W-36</t>
  </si>
  <si>
    <t>WPC.VAV-15W-37</t>
  </si>
  <si>
    <t>WPC.VAV-15W-38</t>
  </si>
  <si>
    <t>WPC.VAV-15W-39</t>
  </si>
  <si>
    <t>WPC.VAV-15W-4</t>
  </si>
  <si>
    <t>WPC.VAV-15W-40</t>
  </si>
  <si>
    <t>WPC.VAV-15W-41</t>
  </si>
  <si>
    <t>App #</t>
  </si>
  <si>
    <t>Total</t>
  </si>
  <si>
    <t>Application Name</t>
  </si>
  <si>
    <t>15007_ADXR_VAV_DXR2M10</t>
  </si>
  <si>
    <t>15006_ADXR_VAV_DXR2M10</t>
  </si>
  <si>
    <t>15008_ADXR_VAV_DXRM10_Hum</t>
  </si>
  <si>
    <t>15009_ADXR_VAV_DXRM10_Hum</t>
  </si>
  <si>
    <t>Ventilation control
Min.room air volume flow for protection
[ft3/min]</t>
  </si>
  <si>
    <t>Heating coil
Nominal electric power
[kW]</t>
  </si>
  <si>
    <t>95a0c57a-8fc1-46b8-bab6-f64e7838f84a</t>
  </si>
  <si>
    <t>399845e3-8adb-44aa-91f9-f405b220dc5e</t>
  </si>
  <si>
    <t>292f64ee-d789-41c2-a9fa-318023ac084c</t>
  </si>
  <si>
    <t>7692e1df-5ee7-4686-9382-b4f5413f75c3</t>
  </si>
  <si>
    <t>d45bcb03-f1f1-4214-8443-f1be0fdd1cf3</t>
  </si>
  <si>
    <t>3824a037-046f-48e3-8c52-59789d8af420</t>
  </si>
  <si>
    <t>b758f861-f6ab-436e-ac4c-9ee1d3485201</t>
  </si>
  <si>
    <t>edef5a32-0e36-45c9-8456-e434d96505d1</t>
  </si>
  <si>
    <t>d35be5e6-025f-4a9a-b8b9-44ab2f8f53bd</t>
  </si>
  <si>
    <t>91876e0b-76b6-4007-8357-9c6811b60b51</t>
  </si>
  <si>
    <t>8b3e7757-777b-4954-b280-c21b015caec4</t>
  </si>
  <si>
    <t>d577827c-fe3e-4891-a122-8816e03bdca8</t>
  </si>
  <si>
    <t>b1a3e8e8-abcb-4257-9eaa-50c598950a4c</t>
  </si>
  <si>
    <t>8d122906-edf3-4cf1-95fc-8a2f4d16abe0</t>
  </si>
  <si>
    <t>3b414cc0-7e8d-480b-99bf-7af589cc468c</t>
  </si>
  <si>
    <t>ecbbb2ba-92d3-4641-a2b3-8c02d027fc24</t>
  </si>
  <si>
    <t>0f03a249-67b3-4010-b80b-91617ca215b6</t>
  </si>
  <si>
    <t>8d0af0c6-6c86-49db-a6bc-6babb17675a7</t>
  </si>
  <si>
    <t>92a1da9a-5193-4584-8ae2-f6f8618d51cf</t>
  </si>
  <si>
    <t>cae54d30-844f-4939-8a25-2d6edc79543f</t>
  </si>
  <si>
    <t>8f2b24a3-ed52-4a87-b7ec-75254705cd2f</t>
  </si>
  <si>
    <t>3944cf8d-d7c8-4118-a6f5-a7739636b7d3</t>
  </si>
  <si>
    <t>2b26892c-83d8-4f8b-aacb-b36dc4712298</t>
  </si>
  <si>
    <t>8b99f3e9-720b-45f9-8b08-93e04e4244d2</t>
  </si>
  <si>
    <t>b21f42bf-6dae-4bac-aad0-072d0006b80d</t>
  </si>
  <si>
    <t>8c41f792-5246-4ea0-80cf-9b01cd7afdb6</t>
  </si>
  <si>
    <t>bd22aacc-63a6-44f3-868c-b9e0eed8da32</t>
  </si>
  <si>
    <t>ec95c0b2-ac27-429d-8686-2bd2655ad783</t>
  </si>
  <si>
    <t>03c55db6-b769-4ad7-93fa-d4dfa5d008be</t>
  </si>
  <si>
    <t>25b16f74-a86b-4dcf-97d9-b024daffbb9b</t>
  </si>
  <si>
    <t>5f009898-4dbd-46c2-84e6-3c6d5d86de39</t>
  </si>
  <si>
    <t>9cd828bd-3be5-489d-afa3-4e82cf333cd7</t>
  </si>
  <si>
    <t>36c67755-e236-4f5b-910b-9ea1a7dff74f</t>
  </si>
  <si>
    <t>2d33bf66-ae47-402e-9950-8fb792652abb</t>
  </si>
  <si>
    <t>d144a4a7-8159-465d-a8b9-9a4d4f8da525</t>
  </si>
  <si>
    <t>b5171703-339a-43a6-983e-4cb7786c062c</t>
  </si>
  <si>
    <t>80720629-f897-48c4-bfb1-4778301f07ac</t>
  </si>
  <si>
    <t>5c171cd4-17c8-490f-834b-b4308e2060e4</t>
  </si>
  <si>
    <t>4393c218-252c-48df-9955-2f8b0a4edd65</t>
  </si>
  <si>
    <t>1e11fd98-34ed-4b1a-a49b-49d3141bec49</t>
  </si>
  <si>
    <t>82edb483-4113-4d6f-8b66-70eabc9fba34</t>
  </si>
  <si>
    <t>2ec17ba9-a7e0-4055-a2b6-d980738620c4</t>
  </si>
  <si>
    <t>7f5232b6-1473-43e3-b029-253f26784054</t>
  </si>
  <si>
    <t>dcb92355-cb6a-48ca-84c1-28a0567b5307</t>
  </si>
  <si>
    <t>89d508f3-b37d-4c31-b3d7-94e007221f21</t>
  </si>
  <si>
    <t>47acd583-0f69-4956-921a-ea468f661592</t>
  </si>
  <si>
    <t>1e059d35-52e4-47ce-8528-bce8750dc9ef</t>
  </si>
  <si>
    <t>db9ca3e7-e2de-4ee6-bcbc-b58474ff01d0</t>
  </si>
  <si>
    <t>04d653af-a8d5-4fb3-b179-20cc72423f03</t>
  </si>
  <si>
    <t>7492e7c2-a380-4f77-b02e-b760b01e7cdf</t>
  </si>
  <si>
    <t>45d1ec6d-73ef-4096-ada4-b1aa2791373b</t>
  </si>
  <si>
    <t>c8fb0698-a4c9-4bed-86d2-01096594fcdc</t>
  </si>
  <si>
    <t>94560e87-4b85-4036-84c2-67d3e482b836</t>
  </si>
  <si>
    <t>20681bbc-0c7e-4574-8ebc-c0d043058c98</t>
  </si>
  <si>
    <t>9b249200-9810-4afa-b193-32ecb5e26b4b</t>
  </si>
  <si>
    <t>b8e48ed5-5cd3-4c6f-af89-ccd230c283ab</t>
  </si>
  <si>
    <t>b9304c0d-c87d-4300-a946-fd161b235711</t>
  </si>
  <si>
    <t>53e7db0b-391f-4952-a790-625f57163490</t>
  </si>
  <si>
    <t>398c8d46-ce54-449e-b450-97ddd93d92bb</t>
  </si>
  <si>
    <t>c438b40c-21ca-41ee-b4e2-b4b26c9940a4</t>
  </si>
  <si>
    <t>dda828a7-2290-4c0a-b543-9a218f519ce5</t>
  </si>
  <si>
    <t>a06df7a9-347f-436a-943a-5011d9d7b795</t>
  </si>
  <si>
    <t>595ae92b-e89a-43f2-8bdb-07f525c8c79e</t>
  </si>
  <si>
    <t>6bc009b8-564c-4af8-8d00-c0c440f78827</t>
  </si>
  <si>
    <t>48175ef0-da26-4ca0-890b-92e104b50eda</t>
  </si>
  <si>
    <t>6fed1627-7ca4-435f-8dee-e967ac73611a</t>
  </si>
  <si>
    <t>b5e339d3-d2f7-47b7-b69b-241fb38a6154</t>
  </si>
  <si>
    <t>577d50d8-2896-4f5e-954b-2637184da9df</t>
  </si>
  <si>
    <t>6756fa67-113f-43a1-b27a-21713fea290b</t>
  </si>
  <si>
    <t>74983129-e85c-40de-a037-cea7b71363da</t>
  </si>
  <si>
    <t>9c8fe42f-3aee-48ba-a7e7-3c7e80eb2da5</t>
  </si>
  <si>
    <t>0314e28f-a608-4d74-8e20-c6e75a0e7b7c</t>
  </si>
  <si>
    <t>31fa5fe4-9e44-4230-9419-5db7370aaed1</t>
  </si>
  <si>
    <t>6ff3bae7-ed5d-4307-ac99-e5e3c3bbb6a6</t>
  </si>
  <si>
    <t>143ab3f7-9192-47ed-ae1c-3b04fd286e38</t>
  </si>
  <si>
    <t>4e1a261f-ea77-4915-bded-f9e4fc5ade67</t>
  </si>
  <si>
    <t>f29fe855-7a75-4a3a-a4e6-f9bbb3879580</t>
  </si>
  <si>
    <t>93e081eb-8939-4fde-ba8c-b9d6cc109ec0</t>
  </si>
  <si>
    <t>84d4e857-2ac6-4cfc-92a6-f8fd615cdd7d</t>
  </si>
  <si>
    <t>6c870a13-96f6-46ca-9a06-02dc75e69210</t>
  </si>
  <si>
    <t>b8ffe909-4ded-455b-a50f-5202134e70d9</t>
  </si>
  <si>
    <t>3441ed6c-1f96-4b91-a722-08136060b329</t>
  </si>
  <si>
    <t>de96b673-a68d-4733-b47a-cb2a250710bd</t>
  </si>
  <si>
    <t>09d79923-a2c5-4ac8-a205-4999fb94f247</t>
  </si>
  <si>
    <t>0057ffc4-5cd7-4ade-a7df-c16db7664da9</t>
  </si>
  <si>
    <t>fc7d287b-a5fe-4c87-a5e6-d43e2ef3583f</t>
  </si>
  <si>
    <t>6584d4e7-ed82-4563-b620-be1c30654cd2</t>
  </si>
  <si>
    <t>72175631-02df-45a8-854a-a5e59a86c9fa</t>
  </si>
  <si>
    <t>adebf6df-4317-45e8-80b2-8fed46a434da</t>
  </si>
  <si>
    <t>7f13c1dd-d39f-4999-9eeb-0628df80d743</t>
  </si>
  <si>
    <t>81a6a869-4472-4afd-9874-0315e8bb8c90</t>
  </si>
  <si>
    <t>8723ecde-10e1-4ca2-9c32-3b044299d017</t>
  </si>
  <si>
    <t>b31f9d85-ffab-45f9-a583-5ad4e2186395</t>
  </si>
  <si>
    <t>232e8ff0-8a5a-4ed7-8600-5c2e81bfc300</t>
  </si>
  <si>
    <t>bf5c67de-d26f-4c65-b2ab-465a7fe76dc2</t>
  </si>
  <si>
    <t>3750b054-8f69-4086-bcf3-69b089aae2e4</t>
  </si>
  <si>
    <t>336801ee-f34c-4914-b058-c066bc0e5464</t>
  </si>
  <si>
    <t>c56b3484-c515-4c6d-9b81-adc158585f1f</t>
  </si>
  <si>
    <t>33454337-ae8f-44b4-9156-535ef4553bee</t>
  </si>
  <si>
    <t>VAV-9W-1</t>
  </si>
  <si>
    <t>VAV-9W-2</t>
  </si>
  <si>
    <t>VAV-9W-3</t>
  </si>
  <si>
    <t>VAV-9W-4</t>
  </si>
  <si>
    <t>VAV-9N-5</t>
  </si>
  <si>
    <t>VAV-9N-6</t>
  </si>
  <si>
    <t>VAV-9N-7</t>
  </si>
  <si>
    <t>VAV-9N-8</t>
  </si>
  <si>
    <t>VAV-9N-9</t>
  </si>
  <si>
    <t>VAV-9N-9A</t>
  </si>
  <si>
    <t>VAV-9N-10</t>
  </si>
  <si>
    <t>VAV-9N-11</t>
  </si>
  <si>
    <t>VAV-9N-12</t>
  </si>
  <si>
    <t>VAV-9N-13</t>
  </si>
  <si>
    <t>VAV-9E-14</t>
  </si>
  <si>
    <t>VAV-9E-15</t>
  </si>
  <si>
    <t>VAV-9E-16</t>
  </si>
  <si>
    <t>VAV-9E-17</t>
  </si>
  <si>
    <t>VAV-9E-18</t>
  </si>
  <si>
    <t>VAV-9E-19</t>
  </si>
  <si>
    <t>VAV-9E-20</t>
  </si>
  <si>
    <t>VAV-9E-21</t>
  </si>
  <si>
    <t>VAV-9E-22</t>
  </si>
  <si>
    <t>VAV-9E-23</t>
  </si>
  <si>
    <t>VAV-9E-24</t>
  </si>
  <si>
    <t>VAV-9E-25</t>
  </si>
  <si>
    <t>VAV-9E-26</t>
  </si>
  <si>
    <t>VAV-9E-27</t>
  </si>
  <si>
    <t>VAV-9E-28</t>
  </si>
  <si>
    <t>VAV-9E-29</t>
  </si>
  <si>
    <t>VAV-9E-30</t>
  </si>
  <si>
    <t>VAV-9E-31</t>
  </si>
  <si>
    <t>VAV-9E-32</t>
  </si>
  <si>
    <t>VAV-9W-33</t>
  </si>
  <si>
    <t>VAV-9W-34</t>
  </si>
  <si>
    <t>VAV-9W-35</t>
  </si>
  <si>
    <t>VAV-9W-36</t>
  </si>
  <si>
    <t>VAV-9W-37</t>
  </si>
  <si>
    <t>VAV-9W-38</t>
  </si>
  <si>
    <t>VAV-9W-39</t>
  </si>
  <si>
    <t>VAV-9W-40</t>
  </si>
  <si>
    <t>VAV-9W-41</t>
  </si>
  <si>
    <t>VAV-9W-42</t>
  </si>
  <si>
    <t>VAV-9W-43</t>
  </si>
  <si>
    <t>VAV-9W-44</t>
  </si>
  <si>
    <t>VAV-9W-45</t>
  </si>
  <si>
    <t>VAV-10W-1</t>
  </si>
  <si>
    <t>VAV-10W-2</t>
  </si>
  <si>
    <t>VAV-10W-3</t>
  </si>
  <si>
    <t>VAV-10W-4</t>
  </si>
  <si>
    <t>VAV-10N-5</t>
  </si>
  <si>
    <t>VAV-10N-6</t>
  </si>
  <si>
    <t>VAV-10N-7</t>
  </si>
  <si>
    <t>VAV-10N-8</t>
  </si>
  <si>
    <t>VAV-10N-9</t>
  </si>
  <si>
    <t>VAV-10N-9A</t>
  </si>
  <si>
    <t>VAV-10N-10</t>
  </si>
  <si>
    <t>VAV-10N-11</t>
  </si>
  <si>
    <t>VAV-10N-12</t>
  </si>
  <si>
    <t>VAV-10N-13</t>
  </si>
  <si>
    <t>VAV-10E-14</t>
  </si>
  <si>
    <t>VAV-10E-15</t>
  </si>
  <si>
    <t>VAV-10E-16</t>
  </si>
  <si>
    <t>VAV-10E-17</t>
  </si>
  <si>
    <t>VAV-10E-18</t>
  </si>
  <si>
    <t>VAV-10E-19</t>
  </si>
  <si>
    <t>VAV-10E-20</t>
  </si>
  <si>
    <t>VAV-10E-21</t>
  </si>
  <si>
    <t>VAV-10E-22</t>
  </si>
  <si>
    <t>VAV-10E-23</t>
  </si>
  <si>
    <t>VAV-10E-24</t>
  </si>
  <si>
    <t>VAV-10E-25</t>
  </si>
  <si>
    <t>VAV-10E-26</t>
  </si>
  <si>
    <t>VAV-10E-27</t>
  </si>
  <si>
    <t>VAV-10E-28</t>
  </si>
  <si>
    <t>VAV-10E-29</t>
  </si>
  <si>
    <t>VAV-10E-30</t>
  </si>
  <si>
    <t>VAV-10E-31</t>
  </si>
  <si>
    <t>VAV-10W-32</t>
  </si>
  <si>
    <t>VAV-10W-33</t>
  </si>
  <si>
    <t>VAV-10W-34</t>
  </si>
  <si>
    <t>VAV-10W-35</t>
  </si>
  <si>
    <t>VAV-10W-36</t>
  </si>
  <si>
    <t>VAV-10W-37</t>
  </si>
  <si>
    <t>VAV-10W-38</t>
  </si>
  <si>
    <t>VAV-10W-39</t>
  </si>
  <si>
    <t>VAV-10W-40</t>
  </si>
  <si>
    <t>VAV-10W-41</t>
  </si>
  <si>
    <t>VAV-10W-42</t>
  </si>
  <si>
    <t>VAV-10W-43</t>
  </si>
  <si>
    <t>VAV-10W-44</t>
  </si>
  <si>
    <t>VAV-11W-1</t>
  </si>
  <si>
    <t>VAV-11W-2</t>
  </si>
  <si>
    <t>VAV-11W-3</t>
  </si>
  <si>
    <t>VAV-11W-4</t>
  </si>
  <si>
    <t>VAV-11N-5</t>
  </si>
  <si>
    <t>VAV-11N-6</t>
  </si>
  <si>
    <t>VAV-11N-7</t>
  </si>
  <si>
    <t>VAV-11N-8</t>
  </si>
  <si>
    <t>VAV-11N-9</t>
  </si>
  <si>
    <t>VAV-11N-9A</t>
  </si>
  <si>
    <t>VAV-11N-10</t>
  </si>
  <si>
    <t>VAV-11N-11</t>
  </si>
  <si>
    <t>VAV-11N-12</t>
  </si>
  <si>
    <t>VAV-11N-13</t>
  </si>
  <si>
    <t>VAV-11E-14</t>
  </si>
  <si>
    <t>VAV-11E-15</t>
  </si>
  <si>
    <t>VAV-11E-16</t>
  </si>
  <si>
    <t>VAV-11E-17</t>
  </si>
  <si>
    <t>VAV-11E-18</t>
  </si>
  <si>
    <t>VAV-11E-19</t>
  </si>
  <si>
    <t>VAV-11E-20</t>
  </si>
  <si>
    <t>VAV-11E-21</t>
  </si>
  <si>
    <t>VAV-11E-22</t>
  </si>
  <si>
    <t>VAV-11E-23</t>
  </si>
  <si>
    <t>VAV-11E-24</t>
  </si>
  <si>
    <t>VAV-11E-25</t>
  </si>
  <si>
    <t>VAV-11E-26</t>
  </si>
  <si>
    <t>VAV-11E-27</t>
  </si>
  <si>
    <t>VAV-11E-28</t>
  </si>
  <si>
    <t>VAV-11E-29</t>
  </si>
  <si>
    <t>VAV-11E-30</t>
  </si>
  <si>
    <t>VAV-11E-31</t>
  </si>
  <si>
    <t>VAV-11W-32</t>
  </si>
  <si>
    <t>VAV-11W-33</t>
  </si>
  <si>
    <t>VAV-11W-34</t>
  </si>
  <si>
    <t>VAV-11W-35</t>
  </si>
  <si>
    <t>VAV-11W-36</t>
  </si>
  <si>
    <t>VAV-11W-37</t>
  </si>
  <si>
    <t>VAV-11W-38</t>
  </si>
  <si>
    <t>VAV-11W-39</t>
  </si>
  <si>
    <t>VAV-11W-40</t>
  </si>
  <si>
    <t>VAV-11W-41</t>
  </si>
  <si>
    <t>VAV-11W-42</t>
  </si>
  <si>
    <t>VAV-11W-43</t>
  </si>
  <si>
    <t>VAV-11W-44</t>
  </si>
  <si>
    <t>VAV-12W-1</t>
  </si>
  <si>
    <t>9</t>
  </si>
  <si>
    <t>VAV-12W-2</t>
  </si>
  <si>
    <t>VAV-12W-3</t>
  </si>
  <si>
    <t>VAV-12N-4</t>
  </si>
  <si>
    <t>VAV-12N-5</t>
  </si>
  <si>
    <t>VAV-12N-6</t>
  </si>
  <si>
    <t>VAV-12N-7</t>
  </si>
  <si>
    <t>VAV-12N-8</t>
  </si>
  <si>
    <t>VAV-12N-8A</t>
  </si>
  <si>
    <t>VAV-12N-9</t>
  </si>
  <si>
    <t>VAV-12N-10</t>
  </si>
  <si>
    <t>VAV-12N-11</t>
  </si>
  <si>
    <t>VAV-12N-12</t>
  </si>
  <si>
    <t>VAV-12E-13</t>
  </si>
  <si>
    <t>VAV-12E-14</t>
  </si>
  <si>
    <t>VAV-12E-15</t>
  </si>
  <si>
    <t>VAV-12E-16</t>
  </si>
  <si>
    <t>VAV-12E-17</t>
  </si>
  <si>
    <t>VAV-12E-18</t>
  </si>
  <si>
    <t>VAV-12E-19</t>
  </si>
  <si>
    <t>VAV-12E-20</t>
  </si>
  <si>
    <t>VAV-12E-21</t>
  </si>
  <si>
    <t>VAV-12E-22</t>
  </si>
  <si>
    <t>VAV-12E-23</t>
  </si>
  <si>
    <t>VAV-12E-24</t>
  </si>
  <si>
    <t>VAV-12E-25</t>
  </si>
  <si>
    <t>VAV-12E-26</t>
  </si>
  <si>
    <t>VAV-12E-27</t>
  </si>
  <si>
    <t>VAV-12E-28</t>
  </si>
  <si>
    <t>VAV-12E-29</t>
  </si>
  <si>
    <t>VAV-12E-30</t>
  </si>
  <si>
    <t>VAV-12E-31</t>
  </si>
  <si>
    <t>VAV-12W-32</t>
  </si>
  <si>
    <t>VAV-12W-33</t>
  </si>
  <si>
    <t>VAV-12W-34</t>
  </si>
  <si>
    <t>VAV-12W-35</t>
  </si>
  <si>
    <t>VAV-12W-36</t>
  </si>
  <si>
    <t>VAV-12W-37</t>
  </si>
  <si>
    <t>VAV-12W-38</t>
  </si>
  <si>
    <t>VAV-12W-39</t>
  </si>
  <si>
    <t>VAV-12W-40</t>
  </si>
  <si>
    <t>VAV-12W-41</t>
  </si>
  <si>
    <t>VAV-12W-42</t>
  </si>
  <si>
    <t>VAV-12W-43</t>
  </si>
  <si>
    <t>VAV-14W-1</t>
  </si>
  <si>
    <t>VAV-14W-2</t>
  </si>
  <si>
    <t>VAV-14W-3</t>
  </si>
  <si>
    <t>VAV-14W-4</t>
  </si>
  <si>
    <t>VAV-14N-5</t>
  </si>
  <si>
    <t>VAV-14N-6</t>
  </si>
  <si>
    <t>VAV-14N-7</t>
  </si>
  <si>
    <t>VAV-14N-8</t>
  </si>
  <si>
    <t>VAV-14N-8A</t>
  </si>
  <si>
    <t>VAV-14N-9</t>
  </si>
  <si>
    <t>VAV-14N-10</t>
  </si>
  <si>
    <t>VAV-14N-11</t>
  </si>
  <si>
    <t>VAV-14N-12</t>
  </si>
  <si>
    <t>VAV-14N-13</t>
  </si>
  <si>
    <t>VAV-14N-14</t>
  </si>
  <si>
    <t>VAV-14E-15</t>
  </si>
  <si>
    <t>VAV-14E-16</t>
  </si>
  <si>
    <t>VAV-14E-17</t>
  </si>
  <si>
    <t>VAV-14E-18</t>
  </si>
  <si>
    <t>VAV-14E-19</t>
  </si>
  <si>
    <t>VAV-14E-20</t>
  </si>
  <si>
    <t>VAV-14E-21</t>
  </si>
  <si>
    <t>VAV-14E-22</t>
  </si>
  <si>
    <t>VAV-14E-23</t>
  </si>
  <si>
    <t>VAV-14E-24</t>
  </si>
  <si>
    <t>VAV-14E-25</t>
  </si>
  <si>
    <t>VAV-14E-26</t>
  </si>
  <si>
    <t>VAV-14E-27</t>
  </si>
  <si>
    <t>VAV-14E-28</t>
  </si>
  <si>
    <t>VAV-14E-29</t>
  </si>
  <si>
    <t>VAV-14E-30</t>
  </si>
  <si>
    <t>VAV-14E-31</t>
  </si>
  <si>
    <t>VAV-14W-32</t>
  </si>
  <si>
    <t>VAV-14W-33</t>
  </si>
  <si>
    <t>VAV-14W-34</t>
  </si>
  <si>
    <t>VAV-14W-35</t>
  </si>
  <si>
    <t>VAV-14W-36</t>
  </si>
  <si>
    <t>VAV-14W-37</t>
  </si>
  <si>
    <t>VAV-14W-38</t>
  </si>
  <si>
    <t>VAV-14W-39</t>
  </si>
  <si>
    <t>VAV-14W-40</t>
  </si>
  <si>
    <t>VAV-14W-41</t>
  </si>
  <si>
    <t>VAV-14W-42</t>
  </si>
  <si>
    <t>WPC.VAV-9W-1</t>
  </si>
  <si>
    <t>WPC.VAV-9W-2</t>
  </si>
  <si>
    <t>WPC.VAV-9W-3</t>
  </si>
  <si>
    <t>WPC.VAV-9W-4</t>
  </si>
  <si>
    <t>WPC.VAV-9N-5</t>
  </si>
  <si>
    <t>WPC.VAV-9N-6</t>
  </si>
  <si>
    <t>WPC.VAV-9N-7</t>
  </si>
  <si>
    <t>WPC.VAV-9N-8</t>
  </si>
  <si>
    <t>WPC.VAV-9N-9</t>
  </si>
  <si>
    <t>WPC.VAV-9N-9A</t>
  </si>
  <si>
    <t>WPC.VAV-9N-10</t>
  </si>
  <si>
    <t>WPC.VAV-9N-11</t>
  </si>
  <si>
    <t>WPC.VAV-9N-12</t>
  </si>
  <si>
    <t>WPC.VAV-9N-13</t>
  </si>
  <si>
    <t>WPC.VAV-9E-14</t>
  </si>
  <si>
    <t>WPC.VAV-9E-15</t>
  </si>
  <si>
    <t>WPC.VAV-9E-16</t>
  </si>
  <si>
    <t>WPC.VAV-9E-17</t>
  </si>
  <si>
    <t>WPC.VAV-9E-18</t>
  </si>
  <si>
    <t>WPC.VAV-9E-19</t>
  </si>
  <si>
    <t>WPC.VAV-9E-20</t>
  </si>
  <si>
    <t>WPC.VAV-9E-21</t>
  </si>
  <si>
    <t>WPC.VAV-9E-22</t>
  </si>
  <si>
    <t>WPC.VAV-9E-23</t>
  </si>
  <si>
    <t>WPC.VAV-9E-24</t>
  </si>
  <si>
    <t>WPC.VAV-9E-25</t>
  </si>
  <si>
    <t>WPC.VAV-9E-26</t>
  </si>
  <si>
    <t>WPC.VAV-9E-27</t>
  </si>
  <si>
    <t>WPC.VAV-9E-28</t>
  </si>
  <si>
    <t>WPC.VAV-9E-29</t>
  </si>
  <si>
    <t>WPC.VAV-9E-30</t>
  </si>
  <si>
    <t>WPC.VAV-9E-31</t>
  </si>
  <si>
    <t>WPC.VAV-9E-32</t>
  </si>
  <si>
    <t>WPC.VAV-9W-33</t>
  </si>
  <si>
    <t>WPC.VAV-9W-34</t>
  </si>
  <si>
    <t>WPC.VAV-9W-35</t>
  </si>
  <si>
    <t>WPC.VAV-9W-36</t>
  </si>
  <si>
    <t>WPC.VAV-9W-37</t>
  </si>
  <si>
    <t>WPC.VAV-9W-38</t>
  </si>
  <si>
    <t>WPC.VAV-9W-39</t>
  </si>
  <si>
    <t>WPC.VAV-9W-40</t>
  </si>
  <si>
    <t>WPC.VAV-9W-41</t>
  </si>
  <si>
    <t>WPC.VAV-9W-42</t>
  </si>
  <si>
    <t>WPC.VAV-9W-43</t>
  </si>
  <si>
    <t>WPC.VAV-9W-44</t>
  </si>
  <si>
    <t>WPC.VAV-9W-45</t>
  </si>
  <si>
    <t>WPC.VAV-10W-1</t>
  </si>
  <si>
    <t>WPC.VAV-10W-2</t>
  </si>
  <si>
    <t>WPC.VAV-10W-3</t>
  </si>
  <si>
    <t>WPC.VAV-10W-4</t>
  </si>
  <si>
    <t>WPC.VAV-10N-5</t>
  </si>
  <si>
    <t>WPC.VAV-10N-6</t>
  </si>
  <si>
    <t>WPC.VAV-10N-7</t>
  </si>
  <si>
    <t>WPC.VAV-10N-8</t>
  </si>
  <si>
    <t>WPC.VAV-10N-9</t>
  </si>
  <si>
    <t>WPC.VAV-10N-9A</t>
  </si>
  <si>
    <t>WPC.VAV-10N-10</t>
  </si>
  <si>
    <t>WPC.VAV-10N-11</t>
  </si>
  <si>
    <t>WPC.VAV-10N-12</t>
  </si>
  <si>
    <t>WPC.VAV-10N-13</t>
  </si>
  <si>
    <t>WPC.VAV-10E-14</t>
  </si>
  <si>
    <t>WPC.VAV-10E-15</t>
  </si>
  <si>
    <t>WPC.VAV-10E-16</t>
  </si>
  <si>
    <t>WPC.VAV-10E-17</t>
  </si>
  <si>
    <t>WPC.VAV-10E-18</t>
  </si>
  <si>
    <t>WPC.VAV-10E-19</t>
  </si>
  <si>
    <t>WPC.VAV-10E-20</t>
  </si>
  <si>
    <t>WPC.VAV-10E-21</t>
  </si>
  <si>
    <t>WPC.VAV-10E-22</t>
  </si>
  <si>
    <t>WPC.VAV-10E-23</t>
  </si>
  <si>
    <t>WPC.VAV-10E-24</t>
  </si>
  <si>
    <t>WPC.VAV-10E-25</t>
  </si>
  <si>
    <t>WPC.VAV-10E-26</t>
  </si>
  <si>
    <t>WPC.VAV-10E-27</t>
  </si>
  <si>
    <t>WPC.VAV-10E-28</t>
  </si>
  <si>
    <t>WPC.VAV-10E-29</t>
  </si>
  <si>
    <t>WPC.VAV-10E-30</t>
  </si>
  <si>
    <t>WPC.VAV-10E-31</t>
  </si>
  <si>
    <t>WPC.VAV-10W-32</t>
  </si>
  <si>
    <t>WPC.VAV-10W-33</t>
  </si>
  <si>
    <t>WPC.VAV-10W-34</t>
  </si>
  <si>
    <t>WPC.VAV-10W-35</t>
  </si>
  <si>
    <t>WPC.VAV-10W-36</t>
  </si>
  <si>
    <t>WPC.VAV-10W-37</t>
  </si>
  <si>
    <t>WPC.VAV-10W-38</t>
  </si>
  <si>
    <t>WPC.VAV-10W-39</t>
  </si>
  <si>
    <t>WPC.VAV-10W-40</t>
  </si>
  <si>
    <t>WPC.VAV-10W-41</t>
  </si>
  <si>
    <t>WPC.VAV-10W-42</t>
  </si>
  <si>
    <t>WPC.VAV-10W-43</t>
  </si>
  <si>
    <t>WPC.VAV-10W-44</t>
  </si>
  <si>
    <t>WPC.VAV-11W-1</t>
  </si>
  <si>
    <t>WPC.VAV-11W-2</t>
  </si>
  <si>
    <t>WPC.VAV-11W-3</t>
  </si>
  <si>
    <t>WPC.VAV-11W-4</t>
  </si>
  <si>
    <t>WPC.VAV-11N-5</t>
  </si>
  <si>
    <t>WPC.VAV-11N-6</t>
  </si>
  <si>
    <t>WPC.VAV-11N-7</t>
  </si>
  <si>
    <t>WPC.VAV-11N-8</t>
  </si>
  <si>
    <t>WPC.VAV-11N-9</t>
  </si>
  <si>
    <t>WPC.VAV-11N-9A</t>
  </si>
  <si>
    <t>WPC.VAV-11N-10</t>
  </si>
  <si>
    <t>WPC.VAV-11N-11</t>
  </si>
  <si>
    <t>WPC.VAV-11N-12</t>
  </si>
  <si>
    <t>WPC.VAV-11N-13</t>
  </si>
  <si>
    <t>WPC.VAV-11E-14</t>
  </si>
  <si>
    <t>WPC.VAV-11E-15</t>
  </si>
  <si>
    <t>WPC.VAV-11E-16</t>
  </si>
  <si>
    <t>WPC.VAV-11E-17</t>
  </si>
  <si>
    <t>WPC.VAV-11E-18</t>
  </si>
  <si>
    <t>WPC.VAV-11E-19</t>
  </si>
  <si>
    <t>WPC.VAV-11E-20</t>
  </si>
  <si>
    <t>WPC.VAV-11E-21</t>
  </si>
  <si>
    <t>WPC.VAV-11E-22</t>
  </si>
  <si>
    <t>WPC.VAV-11E-23</t>
  </si>
  <si>
    <t>WPC.VAV-11E-24</t>
  </si>
  <si>
    <t>WPC.VAV-11E-25</t>
  </si>
  <si>
    <t>WPC.VAV-11E-26</t>
  </si>
  <si>
    <t>WPC.VAV-11E-27</t>
  </si>
  <si>
    <t>WPC.VAV-11E-28</t>
  </si>
  <si>
    <t>WPC.VAV-11E-29</t>
  </si>
  <si>
    <t>WPC.VAV-11E-30</t>
  </si>
  <si>
    <t>WPC.VAV-11E-31</t>
  </si>
  <si>
    <t>WPC.VAV-11W-32</t>
  </si>
  <si>
    <t>WPC.VAV-11W-33</t>
  </si>
  <si>
    <t>WPC.VAV-11W-34</t>
  </si>
  <si>
    <t>WPC.VAV-11W-35</t>
  </si>
  <si>
    <t>WPC.VAV-11W-36</t>
  </si>
  <si>
    <t>WPC.VAV-11W-37</t>
  </si>
  <si>
    <t>WPC.VAV-11W-38</t>
  </si>
  <si>
    <t>WPC.VAV-11W-39</t>
  </si>
  <si>
    <t>WPC.VAV-11W-40</t>
  </si>
  <si>
    <t>WPC.VAV-11W-41</t>
  </si>
  <si>
    <t>WPC.VAV-11W-42</t>
  </si>
  <si>
    <t>WPC.VAV-11W-43</t>
  </si>
  <si>
    <t>WPC.VAV-11W-44</t>
  </si>
  <si>
    <t>WPC.VAV-12W-1</t>
  </si>
  <si>
    <t>WPC.VAV-12W-2</t>
  </si>
  <si>
    <t>WPC.VAV-12W-3</t>
  </si>
  <si>
    <t>WPC.VAV-12N-4</t>
  </si>
  <si>
    <t>WPC.VAV-12N-5</t>
  </si>
  <si>
    <t>WPC.VAV-12N-6</t>
  </si>
  <si>
    <t>WPC.VAV-12N-7</t>
  </si>
  <si>
    <t>WPC.VAV-12N-8</t>
  </si>
  <si>
    <t>WPC.VAV-12N-8A</t>
  </si>
  <si>
    <t>WPC.VAV-12N-9</t>
  </si>
  <si>
    <t>WPC.VAV-12N-10</t>
  </si>
  <si>
    <t>WPC.VAV-12N-11</t>
  </si>
  <si>
    <t>WPC.VAV-12N-12</t>
  </si>
  <si>
    <t>WPC.VAV-12E-13</t>
  </si>
  <si>
    <t>WPC.VAV-12E-14</t>
  </si>
  <si>
    <t>WPC.VAV-12E-15</t>
  </si>
  <si>
    <t>WPC.VAV-12E-16</t>
  </si>
  <si>
    <t>WPC.VAV-12E-17</t>
  </si>
  <si>
    <t>WPC.VAV-12E-18</t>
  </si>
  <si>
    <t>WPC.VAV-12E-19</t>
  </si>
  <si>
    <t>WPC.VAV-12E-20</t>
  </si>
  <si>
    <t>WPC.VAV-12E-21</t>
  </si>
  <si>
    <t>WPC.VAV-12E-22</t>
  </si>
  <si>
    <t>WPC.VAV-12E-23</t>
  </si>
  <si>
    <t>WPC.VAV-12E-24</t>
  </si>
  <si>
    <t>WPC.VAV-12E-25</t>
  </si>
  <si>
    <t>WPC.VAV-12E-26</t>
  </si>
  <si>
    <t>WPC.VAV-12E-27</t>
  </si>
  <si>
    <t>WPC.VAV-12E-28</t>
  </si>
  <si>
    <t>WPC.VAV-12E-29</t>
  </si>
  <si>
    <t>WPC.VAV-12E-30</t>
  </si>
  <si>
    <t>WPC.VAV-12E-31</t>
  </si>
  <si>
    <t>WPC.VAV-12W-32</t>
  </si>
  <si>
    <t>WPC.VAV-12W-33</t>
  </si>
  <si>
    <t>WPC.VAV-12W-34</t>
  </si>
  <si>
    <t>WPC.VAV-12W-35</t>
  </si>
  <si>
    <t>WPC.VAV-12W-36</t>
  </si>
  <si>
    <t>WPC.VAV-12W-37</t>
  </si>
  <si>
    <t>WPC.VAV-12W-38</t>
  </si>
  <si>
    <t>WPC.VAV-12W-39</t>
  </si>
  <si>
    <t>WPC.VAV-12W-40</t>
  </si>
  <si>
    <t>WPC.VAV-12W-41</t>
  </si>
  <si>
    <t>WPC.VAV-12W-42</t>
  </si>
  <si>
    <t>WPC.VAV-12W-43</t>
  </si>
  <si>
    <t>WPC.VAV-14W-1</t>
  </si>
  <si>
    <t>WPC.VAV-14W-2</t>
  </si>
  <si>
    <t>WPC.VAV-14W-3</t>
  </si>
  <si>
    <t>WPC.VAV-14W-4</t>
  </si>
  <si>
    <t>WPC.VAV-14N-5</t>
  </si>
  <si>
    <t>WPC.VAV-14N-6</t>
  </si>
  <si>
    <t>WPC.VAV-14N-7</t>
  </si>
  <si>
    <t>WPC.VAV-14N-8</t>
  </si>
  <si>
    <t>WPC.VAV-14N-8A</t>
  </si>
  <si>
    <t>WPC.VAV-14N-9</t>
  </si>
  <si>
    <t>WPC.VAV-14N-10</t>
  </si>
  <si>
    <t>WPC.VAV-14N-11</t>
  </si>
  <si>
    <t>WPC.VAV-14N-12</t>
  </si>
  <si>
    <t>WPC.VAV-14N-13</t>
  </si>
  <si>
    <t>WPC.VAV-14N-14</t>
  </si>
  <si>
    <t>WPC.VAV-14E-15</t>
  </si>
  <si>
    <t>WPC.VAV-14E-16</t>
  </si>
  <si>
    <t>WPC.VAV-14E-17</t>
  </si>
  <si>
    <t>WPC.VAV-14E-18</t>
  </si>
  <si>
    <t>WPC.VAV-14E-19</t>
  </si>
  <si>
    <t>WPC.VAV-14E-20</t>
  </si>
  <si>
    <t>WPC.VAV-14E-21</t>
  </si>
  <si>
    <t>WPC.VAV-14E-22</t>
  </si>
  <si>
    <t>WPC.VAV-14E-23</t>
  </si>
  <si>
    <t>WPC.VAV-14E-24</t>
  </si>
  <si>
    <t>WPC.VAV-14E-25</t>
  </si>
  <si>
    <t>WPC.VAV-14E-26</t>
  </si>
  <si>
    <t>WPC.VAV-14E-27</t>
  </si>
  <si>
    <t>WPC.VAV-14E-28</t>
  </si>
  <si>
    <t>WPC.VAV-14E-29</t>
  </si>
  <si>
    <t>WPC.VAV-14E-30</t>
  </si>
  <si>
    <t>WPC.VAV-14E-31</t>
  </si>
  <si>
    <t>WPC.VAV-14W-32</t>
  </si>
  <si>
    <t>WPC.VAV-14W-33</t>
  </si>
  <si>
    <t>WPC.VAV-14W-34</t>
  </si>
  <si>
    <t>WPC.VAV-14W-35</t>
  </si>
  <si>
    <t>WPC.VAV-14W-36</t>
  </si>
  <si>
    <t>WPC.VAV-14W-37</t>
  </si>
  <si>
    <t>WPC.VAV-14W-38</t>
  </si>
  <si>
    <t>WPC.VAV-14W-39</t>
  </si>
  <si>
    <t>WPC.VAV-14W-40</t>
  </si>
  <si>
    <t>WPC.VAV-14W-41</t>
  </si>
  <si>
    <t>WPC.VAV-14W-42</t>
  </si>
  <si>
    <t>6d59ada8-a830-4694-b70d-7f6a5b3add10</t>
  </si>
  <si>
    <t>aebfeeda-f687-42c3-8a3a-1c464065da3d</t>
  </si>
  <si>
    <t>5626c555-13a6-49b4-9c42-b14f3d24a711</t>
  </si>
  <si>
    <t>4e9ed0c3-b9bf-4f06-a524-e6b931c34133</t>
  </si>
  <si>
    <t>93ab9b3d-97aa-4f81-9ec1-04af84b2e844</t>
  </si>
  <si>
    <t>f585fbfa-a521-474a-9eb8-0c09359b7b06</t>
  </si>
  <si>
    <t>dc48b194-3e75-44f1-93da-025354de27ec</t>
  </si>
  <si>
    <t>283f44bb-2a48-4665-94af-f696dd7b3544</t>
  </si>
  <si>
    <t>4af31c19-0773-4dec-ba32-2b3944442981</t>
  </si>
  <si>
    <t>7cfb8837-0048-4559-bdc9-bf4f9b2d64b1</t>
  </si>
  <si>
    <t>87b5349f-c227-4143-a624-4251cfb897a1</t>
  </si>
  <si>
    <t>e85a0f3f-a9b8-4dee-94c1-5030cdc3602a</t>
  </si>
  <si>
    <t>4969819d-99cd-49e2-9c07-09abbc5c6af8</t>
  </si>
  <si>
    <t>b24f3331-3601-4d1c-9d72-5191384623d6</t>
  </si>
  <si>
    <t>7671675c-6928-46d1-ac61-2d8a743f5678</t>
  </si>
  <si>
    <t>8aef44f7-d5ae-4927-9139-7b3a6c41cb01</t>
  </si>
  <si>
    <t>d4e0fcd6-f39f-4e35-8450-0349c5ee120c</t>
  </si>
  <si>
    <t>be29c016-7a3f-4e94-98b1-d927bdd71df5</t>
  </si>
  <si>
    <t>e212d7be-6cb5-4c52-a37b-ed9dc7dc6161</t>
  </si>
  <si>
    <t>63ca9c7e-d08b-4deb-8d7a-780e291ec2c3</t>
  </si>
  <si>
    <t>f0279ee0-d9e3-40c7-8037-bbc876698dab</t>
  </si>
  <si>
    <t>2d4214d3-4127-4400-aca2-5d3c84c4e8f2</t>
  </si>
  <si>
    <t>d202ac92-569b-4db4-bd76-12c60b363f35</t>
  </si>
  <si>
    <t>965511a2-4e92-447f-94bb-85896a336728</t>
  </si>
  <si>
    <t>b16d3778-ff63-42f4-983c-79d7e715c631</t>
  </si>
  <si>
    <t>141219bf-4756-48e8-b166-80ad654f822b</t>
  </si>
  <si>
    <t>11b50f35-d9f7-4319-a146-2c88b142d664</t>
  </si>
  <si>
    <t>a280e38a-3750-4909-a257-49e74a911a68</t>
  </si>
  <si>
    <t>ae118873-9b15-41da-993f-62f9889460f3</t>
  </si>
  <si>
    <t>926d8ba9-9eba-4a32-aab5-170a6e996e2f</t>
  </si>
  <si>
    <t>9069953c-ded9-422b-8ed3-baef6cc11d7d</t>
  </si>
  <si>
    <t>16987842-e8c3-4bbf-b49b-cd5192383668</t>
  </si>
  <si>
    <t>1a00a56b-da12-45dc-80fa-031e57110706</t>
  </si>
  <si>
    <t>c989ba6c-6733-4e57-ab20-7ca4138c9aaf</t>
  </si>
  <si>
    <t>f869c301-12b0-4144-9c2e-aae234777b8b</t>
  </si>
  <si>
    <t>7e2579ea-b69c-4007-a7b1-ef51d6861515</t>
  </si>
  <si>
    <t>7b6af417-b962-4f60-b0d9-85af6c1d58e5</t>
  </si>
  <si>
    <t>41e8f063-7a37-4398-ac98-00157857af18</t>
  </si>
  <si>
    <t>21a317ea-0548-4fe8-8d4e-da751c0c1913</t>
  </si>
  <si>
    <t>545aa07e-66b7-4570-a726-3a1005f8dfdf</t>
  </si>
  <si>
    <t>ae84b5ca-fc31-46ae-a32d-66b259a789d7</t>
  </si>
  <si>
    <t>2d586d9c-a619-40dd-ab3d-61189577e8b8</t>
  </si>
  <si>
    <t>982867a5-9c04-427c-a44d-5f5e3d612ea9</t>
  </si>
  <si>
    <t>6ea4d323-e084-4ed8-a094-c562da7312e1</t>
  </si>
  <si>
    <t>1c0ea6e3-08c8-4c85-9b6d-70baea517c49</t>
  </si>
  <si>
    <t>3895bfea-949a-4b87-aeaf-9900618185c9</t>
  </si>
  <si>
    <t>850ebc69-5ab0-480d-a1cf-7841fd178e3d</t>
  </si>
  <si>
    <t>1aebb116-3cf7-418f-98ad-f8257a4ed1ab</t>
  </si>
  <si>
    <t>4f7247dd-0b4f-4d61-8260-60c1f303667a</t>
  </si>
  <si>
    <t>89ff6bdf-eafe-452b-8ae2-322527fdc8e1</t>
  </si>
  <si>
    <t>a730e40c-d0fc-45c0-8a47-577e4ee05e5a</t>
  </si>
  <si>
    <t>942d3699-c952-48d1-8bb3-08739bc3be51</t>
  </si>
  <si>
    <t>a604ec0d-859d-47d1-a387-d0e5ad3275ea</t>
  </si>
  <si>
    <t>9fa97cf2-7db5-4b72-86ec-28fe6c313310</t>
  </si>
  <si>
    <t>b6ed30f2-1e0d-4420-aa97-ae64ca7a1e57</t>
  </si>
  <si>
    <t>5074f440-11d1-42ae-8336-31c69996f43f</t>
  </si>
  <si>
    <t>8831937d-da57-4116-b413-7d68c97f45ca</t>
  </si>
  <si>
    <t>7bfed88e-d59b-4050-abf8-89afd970e15c</t>
  </si>
  <si>
    <t>501f36bd-7a91-47ea-bdaf-1116d75daaac</t>
  </si>
  <si>
    <t>1ddaf4da-f169-49a8-93db-d84c6489d381</t>
  </si>
  <si>
    <t>daa9d901-9cf4-4d1a-b25f-c552dd8829c3</t>
  </si>
  <si>
    <t>436c17f7-815a-408a-864a-d4ed937d63a6</t>
  </si>
  <si>
    <t>f2e077a8-09db-4ced-999b-1707a75bc445</t>
  </si>
  <si>
    <t>c96a9ec9-fb3c-4eb2-a678-45cfff87faca</t>
  </si>
  <si>
    <t>9035fccb-4594-4fc0-8daa-11176b3aa4ef</t>
  </si>
  <si>
    <t>a4c23db4-e6bc-40c5-9fdf-d4ce26207e03</t>
  </si>
  <si>
    <t>18197e6a-cff7-4578-a1e9-71df9a23004b</t>
  </si>
  <si>
    <t>9418ca01-6924-47a6-a9df-3cf9cda5e876</t>
  </si>
  <si>
    <t>0803b5a4-6bf5-4ef2-8ffe-0e2a0d6e64d0</t>
  </si>
  <si>
    <t>77250cc5-4a53-4790-95b0-f2cb7d22b99e</t>
  </si>
  <si>
    <t>91003d8b-763f-4fb9-939c-cfb90465ac36</t>
  </si>
  <si>
    <t>84c9b91c-cebc-4b94-9755-16464d2cc7c6</t>
  </si>
  <si>
    <t>06d98664-0ff1-424d-9c0b-eee9ba6c4f09</t>
  </si>
  <si>
    <t>8583b25c-e3d8-4ceb-bf83-e164568cd6e3</t>
  </si>
  <si>
    <t>2ae25c63-1446-4f66-bbdc-750721c4dc3d</t>
  </si>
  <si>
    <t>9ea277bc-73c2-423b-8300-3be2108a5dc8</t>
  </si>
  <si>
    <t>d9c870b2-9582-4c97-b25e-f6c5d5d71ade</t>
  </si>
  <si>
    <t>a739729b-bc53-4f06-a033-578310366eb0</t>
  </si>
  <si>
    <t>16588ed3-9c50-4152-b2a8-a9a22c49fb41</t>
  </si>
  <si>
    <t>c5c80375-e8a7-4e02-b456-a8b73b75fca7</t>
  </si>
  <si>
    <t>1565494f-43eb-4030-a7d6-0e90ee0dc9f8</t>
  </si>
  <si>
    <t>91910cfa-8490-484a-b2ad-f4b7e4c2cd01</t>
  </si>
  <si>
    <t>bdd7a886-bec1-47e9-b2ee-ba43d13a9f9b</t>
  </si>
  <si>
    <t>4d2e0315-2447-4b36-9878-a34766b8d5e3</t>
  </si>
  <si>
    <t>c455216f-9e8d-4c20-9eb6-bce73365b5e9</t>
  </si>
  <si>
    <t>ab6e412a-4e21-4600-867a-a840f5668348</t>
  </si>
  <si>
    <t>d949c30f-8efc-4caf-988d-518e2652d16f</t>
  </si>
  <si>
    <t>0b8b062c-44be-4899-9c90-cd73191db356</t>
  </si>
  <si>
    <t>02d5c80c-c198-4330-bd16-9a6894d8caa7</t>
  </si>
  <si>
    <t>52b06f44-b7b4-454a-85e4-94bc6ae51ef2</t>
  </si>
  <si>
    <t>3beb7433-a98f-4cf8-9584-b48e0bc0576e</t>
  </si>
  <si>
    <t>85587e83-eda2-4033-8a62-6181abe6af7c</t>
  </si>
  <si>
    <t>b694911a-0d4c-4a10-b72a-a5a328d9f4ec</t>
  </si>
  <si>
    <t>5f8e4bb5-f83b-4f59-8e97-17b922d6c39b</t>
  </si>
  <si>
    <t>5ca1aa28-467d-4e6f-a234-994c955c35df</t>
  </si>
  <si>
    <t>fdf15088-1c56-492a-9e84-ba02a62a4fa6</t>
  </si>
  <si>
    <t>b6270eb5-65a2-426d-b303-80aadd710251</t>
  </si>
  <si>
    <t>adbb003e-05c8-48f7-8263-5fc449ce645b</t>
  </si>
  <si>
    <t>b8546497-7c63-472f-8c9a-0428384e3f02</t>
  </si>
  <si>
    <t>72ba2abf-d54b-458a-85d8-786f270e6040</t>
  </si>
  <si>
    <t>dfb92148-4263-4926-b6b8-47aad3830465</t>
  </si>
  <si>
    <t>5693dc46-7350-4ad9-938b-7a5a9adc9efd</t>
  </si>
  <si>
    <t>3533032c-790f-43ac-b596-4804bcdf4c5d</t>
  </si>
  <si>
    <t>592a4f44-5831-4988-9625-214427c0d9eb</t>
  </si>
  <si>
    <t>0a67ae76-cd66-421a-97b9-e90baf83a79e</t>
  </si>
  <si>
    <t>e6ab4059-33cf-4a0b-911f-b0885ecae8fe</t>
  </si>
  <si>
    <t>1e7dc146-fc56-4879-b0d9-084f04d5eeaf</t>
  </si>
  <si>
    <t>319a6723-6c0d-4075-b06b-0032ad8c398a</t>
  </si>
  <si>
    <t>01cc0971-2d97-4663-a67a-52a1ac8068bb</t>
  </si>
  <si>
    <t>f16a61be-86d7-437a-9aba-63ef54c52552</t>
  </si>
  <si>
    <t>2600a2b0-05b8-43f8-a74c-c2683588dc8b</t>
  </si>
  <si>
    <t>9c971972-d610-44af-a7a5-1e97692acd14</t>
  </si>
  <si>
    <t>134bf262-9ab1-4a16-b9e7-5c289d0fea14</t>
  </si>
  <si>
    <t>8ffc656c-30b7-4925-abd1-b697d2973ec1</t>
  </si>
  <si>
    <t>12a593e9-f44e-4ede-9ecb-427d7ed6f3c4</t>
  </si>
  <si>
    <t>b91ead75-3f75-4b0c-ac0b-80af383e6ad6</t>
  </si>
  <si>
    <t>bc3edc6a-1a28-4b32-903d-23477d20900a</t>
  </si>
  <si>
    <t>81ee75b6-6ac0-4741-bbe7-8e84ba9787da</t>
  </si>
  <si>
    <t>146791a0-6b0b-4a65-9367-fff032da7c6c</t>
  </si>
  <si>
    <t>25cd241e-3ba3-4632-9f7f-9ca0455d68d5</t>
  </si>
  <si>
    <t>8639ef05-e201-46ee-805e-2347e0859fea</t>
  </si>
  <si>
    <t>d14d50f3-446a-403f-8d5c-4cadb75175d4</t>
  </si>
  <si>
    <t>59bac726-11af-41ca-a8b9-e17bb6bad30d</t>
  </si>
  <si>
    <t>91db42f0-750d-4a62-94c1-2c7967e112bf</t>
  </si>
  <si>
    <t>171bdf07-5bae-42fa-b480-ee420c5642b4</t>
  </si>
  <si>
    <t>d9c83305-faf0-41f3-9a78-a75e244de9ed</t>
  </si>
  <si>
    <t>6a44176b-ed1f-4aaf-8e3d-9fe46411e912</t>
  </si>
  <si>
    <t>1427a76f-0fb4-4323-99dc-657bc43a69d4</t>
  </si>
  <si>
    <t>49b16b9d-9755-445e-87d0-087735a8c8ad</t>
  </si>
  <si>
    <t>8b1c9f9a-4942-46b6-926a-7bd89c66527f</t>
  </si>
  <si>
    <t>46fa2fff-540e-45d8-b511-91d2f3c75cd6</t>
  </si>
  <si>
    <t>5d7d10eb-fc1c-44cb-b762-4f1bbd05fe31</t>
  </si>
  <si>
    <t>48b29311-28dc-4f07-b306-f68ff497a966</t>
  </si>
  <si>
    <t>c46e7dfe-818f-4571-98b3-8ce7466c0141</t>
  </si>
  <si>
    <t>ac7c158d-5a16-4e4d-afb4-0ea5b05271b6</t>
  </si>
  <si>
    <t>146d3c20-7ece-4310-bc81-7c5cecec2b03</t>
  </si>
  <si>
    <t>92c6bf74-1f27-44b0-b3f0-3ac2869a1fb3</t>
  </si>
  <si>
    <t>426aabc5-4705-4036-8341-7a22a21beb64</t>
  </si>
  <si>
    <t>a34936e5-218b-4c02-a6e4-bfee43f14319</t>
  </si>
  <si>
    <t>b122a12a-adcc-445f-8e83-af6dc9054330</t>
  </si>
  <si>
    <t>0f4996e0-72d0-4c99-8ce8-b804e98f22df</t>
  </si>
  <si>
    <t>0018570f-ce64-499d-a02d-e5eadeba7039</t>
  </si>
  <si>
    <t>14a4b46f-e493-49a3-bad8-d998081bb879</t>
  </si>
  <si>
    <t>863e9418-70f5-4019-a0fa-d656815a671a</t>
  </si>
  <si>
    <t>3f6e5d18-d291-447e-b66f-8414af9ff858</t>
  </si>
  <si>
    <t>4ca9803a-9d68-4056-8f15-3f98bda57dd7</t>
  </si>
  <si>
    <t>2c770664-c926-470d-bd3b-31a1e65356ff</t>
  </si>
  <si>
    <t>9d06f093-5bbb-4617-9a75-b32b051c16e1</t>
  </si>
  <si>
    <t>3895467b-f9f9-4716-bcda-b207b6dd69f1</t>
  </si>
  <si>
    <t>94bbc449-a7fb-44d0-af99-e3281c52d523</t>
  </si>
  <si>
    <t>7390f8b1-aecf-496e-b24f-d398b25ac837</t>
  </si>
  <si>
    <t>9ffb963f-0ed0-43c5-92de-9e4672e52110</t>
  </si>
  <si>
    <t>19b9d2a6-8920-4785-a4a7-5f6ce7968b7d</t>
  </si>
  <si>
    <t>c09ff276-d3f1-44d1-a27e-0459a40fcd3c</t>
  </si>
  <si>
    <t>d32751e2-c098-498a-9417-e5a8f5541e47</t>
  </si>
  <si>
    <t>c746e4d0-8978-4012-9ce8-0dd32eca64d8</t>
  </si>
  <si>
    <t>55e342d4-5cce-492a-b960-c3529aceb90d</t>
  </si>
  <si>
    <t>f46a30b3-491b-4f4d-b351-d9c92a7bb9cc</t>
  </si>
  <si>
    <t>6f25b4b6-fc2a-45c5-8cdb-642a6bdf6668</t>
  </si>
  <si>
    <t>bd88fb9f-6ded-446e-ba16-6428ea7bd4ea</t>
  </si>
  <si>
    <t>6aaf2164-f5cd-4c47-bed3-3c63f4c190da</t>
  </si>
  <si>
    <t>a4081748-d8f7-4982-a4f6-03c36c0c02a9</t>
  </si>
  <si>
    <t>bcee9dc1-ad25-4f38-828d-90711db70c7a</t>
  </si>
  <si>
    <t>ed7ec210-595a-44b8-8d2b-f0423732cc40</t>
  </si>
  <si>
    <t>a90b160e-5932-463b-a525-0adeaedcce25</t>
  </si>
  <si>
    <t>a18472e8-d928-42a1-86d9-3fb90fb399c5</t>
  </si>
  <si>
    <t>0caac4fc-2691-4031-b8cb-5ee6c6272956</t>
  </si>
  <si>
    <t>304f6620-de52-4b1a-9b28-87d907b4e543</t>
  </si>
  <si>
    <t>966ac7c6-e80b-4ad2-a5fa-d4839b3d06e3</t>
  </si>
  <si>
    <t>3aec6cb5-0c82-434b-992f-e969fae36b61</t>
  </si>
  <si>
    <t>2bf76685-060c-4d01-9bc7-e6cdc738f40e</t>
  </si>
  <si>
    <t>015a0ca5-f781-48fb-b114-22cc9cb2e866</t>
  </si>
  <si>
    <t>b6b60910-984e-4a51-b67c-2a8b25f9a680</t>
  </si>
  <si>
    <t>8a32cf5c-d9c2-4d8f-ae8b-6f63dd1528a9</t>
  </si>
  <si>
    <t>4549b815-6f64-4614-845b-5622b4fdf9d6</t>
  </si>
  <si>
    <t>459e8b4d-6d82-495c-b0dc-a4295e020d84</t>
  </si>
  <si>
    <t>c9b21bc8-2dc0-4c5a-b149-272300cb807a</t>
  </si>
  <si>
    <t>87b7c113-833d-4b79-8b42-3ea6d35e19d4</t>
  </si>
  <si>
    <t>7335710b-664d-4dd1-a7c5-d7ef51a30f0d</t>
  </si>
  <si>
    <t>9933df2d-6d9a-425a-acc8-539fce45b0f9</t>
  </si>
  <si>
    <t>7681f268-13f6-488c-a405-f43a7e4f0e5f</t>
  </si>
  <si>
    <t>d57a4e0e-c960-4980-970f-9ecdf8986fe0</t>
  </si>
  <si>
    <t>d98227f1-706b-4623-80fc-79bcdc230d83</t>
  </si>
  <si>
    <t>1e2b3fcf-53e0-43af-b72e-64748c008d6b</t>
  </si>
  <si>
    <t>3a0b6a7a-d027-4ed7-bba9-8f4ff67df183</t>
  </si>
  <si>
    <t>97a0e2a0-8354-44d4-9d0c-d0dc9245b1c5</t>
  </si>
  <si>
    <t>6622d6d8-9f27-4e7f-bb91-c75b4b1517b5</t>
  </si>
  <si>
    <t>3e282332-ca40-4e25-adaa-684ef9bd0102</t>
  </si>
  <si>
    <t>d45a3129-2773-44f6-b84e-732c27b794e0</t>
  </si>
  <si>
    <t>1d069daf-e552-4197-b53c-59fe5129bfc7</t>
  </si>
  <si>
    <t>ce6fd304-c016-4771-adab-c539b25a54f2</t>
  </si>
  <si>
    <t>8a572aa5-44d8-48cc-a53e-43ce5c13bf2a</t>
  </si>
  <si>
    <t>8a7dd9d5-66d1-4440-812e-d7dde593c9c8</t>
  </si>
  <si>
    <t>43659506-975c-4cd8-bc1e-3a485b7dd200</t>
  </si>
  <si>
    <t>09fef177-a669-4cbf-bf2b-900ad03988dd</t>
  </si>
  <si>
    <t>7b19a1eb-2143-4fc1-b820-10ae1fb54a68</t>
  </si>
  <si>
    <t>c2a11614-b0e1-4aec-b506-25f29faf512a</t>
  </si>
  <si>
    <t>232543b7-c2a9-4919-aceb-77442a3daa97</t>
  </si>
  <si>
    <t>37ccd190-f551-4f35-a913-48261e03f3ea</t>
  </si>
  <si>
    <t>f805e190-0823-4ee1-b38e-734113e7c1cc</t>
  </si>
  <si>
    <t>d9833bb7-834e-4206-ae0c-8f149de9d097</t>
  </si>
  <si>
    <t>191b5519-8f6f-443a-8816-6c5422483559</t>
  </si>
  <si>
    <t>661600f7-b81a-4fdb-bd85-2204504209c2</t>
  </si>
  <si>
    <t>c332263a-c9c8-4a82-b381-b39f1e67c5ce</t>
  </si>
  <si>
    <t>04f34212-53ba-4290-906e-a505fb15e666</t>
  </si>
  <si>
    <t>d20b1f4d-5721-4f0f-b25b-654d1c137a51</t>
  </si>
  <si>
    <t>26eaf845-9abe-4a59-ab85-d2e5372bce28</t>
  </si>
  <si>
    <t>965fb6c2-626c-49ee-81b9-b38ed7b79df2</t>
  </si>
  <si>
    <t>ccf6e5c2-0dfb-468f-9dec-a149f3de6897</t>
  </si>
  <si>
    <t>cef4575b-cc2b-4696-92f9-328e431df390</t>
  </si>
  <si>
    <t>fa0d0a88-befe-4976-83eb-6593c2719e70</t>
  </si>
  <si>
    <t>30a57d46-fa8d-4132-a90e-5f5be3005e29</t>
  </si>
  <si>
    <t>807dc52a-167b-4645-a865-578335995cac</t>
  </si>
  <si>
    <t>d89a96b3-c905-4862-a70d-3b4180fb89cd</t>
  </si>
  <si>
    <t>6b1d6445-e6af-492c-97b6-ea81acbf0284</t>
  </si>
  <si>
    <t>c2276c8f-61fa-431a-963d-4ea2dd33a42d</t>
  </si>
  <si>
    <t>9dad35e0-ab07-4168-9f71-3cd77e5adf01</t>
  </si>
  <si>
    <t>2373476e-ebe7-41e3-b155-d046d2f8837a</t>
  </si>
  <si>
    <t>68edcf66-9b7b-4e34-8a93-f45d1463041e</t>
  </si>
  <si>
    <t>2060cb94-0fe9-4381-9f38-fb948b34da6d</t>
  </si>
  <si>
    <t>9a242b06-64ad-4cfd-b658-cb2bf4dfb9fc</t>
  </si>
  <si>
    <t>ccc070c5-3061-445f-9256-738579b5aaee</t>
  </si>
  <si>
    <t>e768b8a8-6832-460d-9a40-a03969fcf72f</t>
  </si>
  <si>
    <t>2cec4c38-c9cd-4591-8194-0b43748bed3f</t>
  </si>
  <si>
    <t>0e3f2aff-8a31-4c75-b3b0-0fa33506795d</t>
  </si>
  <si>
    <t>244e8c76-f1a7-4df6-a31f-2b295dae8452</t>
  </si>
  <si>
    <t>3827d01c-f124-42b9-aac6-586475672258</t>
  </si>
  <si>
    <t>31540e4d-3cff-46e9-bd31-2c7ced720a88</t>
  </si>
  <si>
    <t>a8b9e78f-ce16-45a2-9826-7157f8c3a5dd</t>
  </si>
  <si>
    <t>333f47eb-d812-4e77-9bf2-ae82def67cf2</t>
  </si>
  <si>
    <t>c8689390-dc87-4ec3-9637-951d25224ef7</t>
  </si>
  <si>
    <t>c3aee764-023d-491f-b7da-4aae51c7535a</t>
  </si>
  <si>
    <t>59062692-5f04-4f3f-8deb-ce758b6377d4</t>
  </si>
  <si>
    <t>ac001fac-6cf8-40c4-8013-5b8fbfe515b1</t>
  </si>
  <si>
    <t>87284fac-c63c-4199-8100-32fecab1336e</t>
  </si>
  <si>
    <t>e771aec3-8614-49f9-a05f-7d8228640374</t>
  </si>
  <si>
    <t>4d493c5d-e894-45ef-89d4-d3099b821e2c</t>
  </si>
  <si>
    <t>88a78788-b47e-4b16-9783-4f6a18e2d61e</t>
  </si>
  <si>
    <t>d94b7c09-a3a0-4aed-bc2b-c04867273357</t>
  </si>
  <si>
    <t>ea5d288f-decd-469c-bca1-3749e4ef3957</t>
  </si>
  <si>
    <t>72c9388a-eb08-4686-9d89-98467f452c1a</t>
  </si>
  <si>
    <t>2868aab1-ab91-43e3-bb9b-b353d1c81a5a</t>
  </si>
  <si>
    <t>45a72074-6cea-4405-a372-9a42a8f6ade9</t>
  </si>
  <si>
    <t>7c23643e-913a-4bab-ae52-baa22cab1f27</t>
  </si>
  <si>
    <t>0c09bbe7-8531-4501-b7f6-30bb81b35971</t>
  </si>
  <si>
    <t>c9bb8cba-678d-4140-8b22-6c35f64f4e59</t>
  </si>
  <si>
    <t>247c1820-de36-44b0-8a33-fd1fa668b192</t>
  </si>
  <si>
    <t>3e76947e-44d8-42da-a030-ece3990e605a</t>
  </si>
  <si>
    <t>6cf42d94-0fc1-45c0-9cd7-b6d681700466</t>
  </si>
  <si>
    <t>a53e5c9f-fa7f-41cb-9a9d-62b1e5a99fa4</t>
  </si>
  <si>
    <t>2035bedc-2119-4770-a695-8ac35df44256</t>
  </si>
  <si>
    <t>6aa9a565-6d3d-47a8-b1dc-19a88bc58584</t>
  </si>
  <si>
    <t>ba97f5cf-4442-4a19-b941-ba5460818d62</t>
  </si>
  <si>
    <t>8c4e8925-01a3-44a4-865f-f798f9270911</t>
  </si>
  <si>
    <t>6b6933bf-a2dc-40b8-a7ac-a2a8324eb22c</t>
  </si>
  <si>
    <t>2c32fff3-8518-4e4e-88f2-5b46c7ac477a</t>
  </si>
  <si>
    <t>371b0bf1-f892-4e7a-9187-d2ee0b68c4f6</t>
  </si>
  <si>
    <t>d99e1c45-d8db-4e8e-a47c-e306d0d9a073</t>
  </si>
  <si>
    <t>b1fda120-0f16-4337-a5d9-f99b1dfe83ad</t>
  </si>
  <si>
    <t>2ab1de94-cc27-4635-836b-c1b9ab3f812c</t>
  </si>
  <si>
    <t>073a7c8f-fd33-4f6c-a310-83c07d0ed70e</t>
  </si>
  <si>
    <t>4d95f07f-664d-4c64-9b14-76e161517655</t>
  </si>
  <si>
    <t>c2f74a43-63cb-40e4-a8ca-47a3b2fa9683</t>
  </si>
  <si>
    <t>1e458a03-a27d-4b80-b65e-81eb31851ff3</t>
  </si>
  <si>
    <t>aa94eb0e-b6e2-42f4-885a-3caa8e903e09</t>
  </si>
  <si>
    <t>b747d2e9-7890-4700-83a9-c05ffb3c77cd</t>
  </si>
  <si>
    <t>7328715b-cb81-4e54-ba24-305817c53b04</t>
  </si>
  <si>
    <t>430accdf-9f5e-4877-bf97-2f178c9f7921</t>
  </si>
  <si>
    <t>564ff1fe-f428-471e-b90b-88cb94bef3db</t>
  </si>
  <si>
    <t>813f0b21-246e-402b-83e9-6352941e3131</t>
  </si>
  <si>
    <t>d6c983b1-999f-4853-a9c7-8aebf6f326fc</t>
  </si>
  <si>
    <t>3f586149-5174-4313-bc3d-a5e23a94ad68</t>
  </si>
  <si>
    <t>53700eed-d49b-4bd1-abea-6adaf5dab3fa</t>
  </si>
  <si>
    <t>babb4f9a-2461-4078-b523-93d0d4f23258</t>
  </si>
  <si>
    <t>1ccb7fca-6f9b-4289-906d-431b40e7d5e3</t>
  </si>
  <si>
    <t>81aee4c5-e461-40e9-bd09-7d906006d798</t>
  </si>
  <si>
    <t>3f57c186-7ed9-4009-bd6b-84458d11e610</t>
  </si>
  <si>
    <t>106a114f-6378-4b0b-a663-3a6365af2cd5</t>
  </si>
  <si>
    <t>06e309a3-8e74-47ae-905f-182b186fe9d3</t>
  </si>
  <si>
    <t>7da4de6c-2629-495d-a8e5-f0ed2f9f7b5b</t>
  </si>
  <si>
    <t>0bf20a93-69c4-4394-a677-6c3641d360b7</t>
  </si>
  <si>
    <t>0b0848ed-995f-41dd-94f3-5514d5378c09</t>
  </si>
  <si>
    <t>83853406-9ab9-457c-b479-45e4bca90e01</t>
  </si>
  <si>
    <t>5d5d324f-40b4-4d46-98ec-9b82b22e0cda</t>
  </si>
  <si>
    <t>e5fbfba2-a608-41d5-b646-501e7dcec26c</t>
  </si>
  <si>
    <t>820b45f9-5fac-47bb-b730-727dc2c2b2c7</t>
  </si>
  <si>
    <t>199505f0-ad12-450f-92c9-bc048f75847e</t>
  </si>
  <si>
    <t>697d897d-021f-48cf-bd55-7924a757b086</t>
  </si>
  <si>
    <t>20f82ceb-708e-44ed-9f04-1162ff953281</t>
  </si>
  <si>
    <t>bad2a44b-b167-490f-a2c2-81d0d532ea8a</t>
  </si>
  <si>
    <t>6ebf6532-5884-4cbb-80ec-8d685ac10d8f</t>
  </si>
  <si>
    <t>a114415c-0b33-4cd8-8b0a-942f064715cc</t>
  </si>
  <si>
    <t>3f4ed07e-8c03-4fb0-930e-8257c8293e72</t>
  </si>
  <si>
    <t>ff7e5806-ded4-4b18-a368-d000f6d7398b</t>
  </si>
  <si>
    <t>332651f7-30ef-4dd7-ba03-9ea299e73830</t>
  </si>
  <si>
    <t>dd79de8a-f39b-4ca3-90a1-11627072537e</t>
  </si>
  <si>
    <t>ab58a3cc-c90c-467a-bd10-96fe252827c6</t>
  </si>
  <si>
    <t>2535fab2-6bac-4d44-8f51-bb80c61f59ba</t>
  </si>
  <si>
    <t>a312fd4f-0d4e-4b18-86fd-39b756734234</t>
  </si>
  <si>
    <t>bfbbb623-5a4d-4785-994a-46770c3caf15</t>
  </si>
  <si>
    <t>7cc2d512-adb8-47b2-b151-474a84b17b1a</t>
  </si>
  <si>
    <t>63aa50a6-9922-42cc-b170-78219bb04f9a</t>
  </si>
  <si>
    <t>8e5c4fd1-b511-4028-9969-57a78c3281c4</t>
  </si>
  <si>
    <t>efbb8f6e-6eba-4dad-a60b-61078175d450</t>
  </si>
  <si>
    <t>53166918-d853-4e6e-bf73-c30419772645</t>
  </si>
  <si>
    <t>780255c8-35ed-4010-bd0e-a48b63bab71a</t>
  </si>
  <si>
    <t>586fcb6f-a6e3-4c20-9284-461b3226453b</t>
  </si>
  <si>
    <t>78ac0ad6-00d0-4982-a031-552673d3ab09</t>
  </si>
  <si>
    <t>34a4520d-d3a1-4701-af6b-3dc21ff6881c</t>
  </si>
  <si>
    <t>e9b12191-97f8-4d89-8c48-adbbbacc3527</t>
  </si>
  <si>
    <t>b9c36003-b72f-48de-8ad7-e71de695a22b</t>
  </si>
  <si>
    <t>8a5cb74d-360f-487d-8d1a-e9600fe43e2f</t>
  </si>
  <si>
    <t>ac363737-fe6a-41d0-95c3-929ab495d805</t>
  </si>
  <si>
    <t>c30de9fe-e843-41ef-85e4-14f663276bce</t>
  </si>
  <si>
    <t>ccd4f590-d7c4-494c-9585-e693ce4b2ff5</t>
  </si>
  <si>
    <t>c6fd880d-ceb7-492c-8a95-da9bfb20dcd9</t>
  </si>
  <si>
    <t>cb902ccc-7a27-4a2f-8282-d996384e8c45</t>
  </si>
  <si>
    <t>cac42c98-ba95-418d-a886-f8b11696c605</t>
  </si>
  <si>
    <t>1b6ad33f-8322-4089-9e46-d3217f9957f6</t>
  </si>
  <si>
    <t>965b9c25-ae22-44a4-8618-1b24652d8135</t>
  </si>
  <si>
    <t>2d97f14d-983d-4250-a1c8-f4bd00730c89</t>
  </si>
  <si>
    <t>c66a9b19-f9cb-472e-bbbb-c33ace4aaa1d</t>
  </si>
  <si>
    <t>17ee21c6-e710-43cb-ba37-2acea8281e53</t>
  </si>
  <si>
    <t>a3f7e724-c2da-4aa8-9104-57d2a0e8fb96</t>
  </si>
  <si>
    <t>275275a7-b9f8-4bb1-8539-b06db02b847e</t>
  </si>
  <si>
    <t>2f83394e-e679-4d11-88ca-0fb8bc31e42e</t>
  </si>
  <si>
    <t>7e9d1f48-a4e9-4c31-8e8b-cdb52382b177</t>
  </si>
  <si>
    <t>2ff09400-15bc-485a-a4e6-a8785f815cd6</t>
  </si>
  <si>
    <t>84b04791-f3e0-4499-b6db-bdb57ed6f64c</t>
  </si>
  <si>
    <t>8e249ece-d1e0-4d46-a0ad-b641cb6e911c</t>
  </si>
  <si>
    <t>c4e2c4bd-3447-4d07-b6f5-5a62aca9ddf6</t>
  </si>
  <si>
    <t>e0ba0a10-864b-40b8-bf39-f01bfae970b0</t>
  </si>
  <si>
    <t>7aab8a60-891d-4a01-a3aa-a1be925876e9</t>
  </si>
  <si>
    <t>a3bafedf-8b0b-4aa7-8fbf-3ad466477e35</t>
  </si>
  <si>
    <t>8201469a-7ee6-49cd-ac5e-4d62a2b4573f</t>
  </si>
  <si>
    <t>b69315e7-b6e9-472f-9215-1e488f9cc783</t>
  </si>
  <si>
    <t>c05c5a27-7a6f-419f-b304-253cf36cd776</t>
  </si>
  <si>
    <t>a623301c-3825-4b36-9e89-1e854ca1458b</t>
  </si>
  <si>
    <t>f932117e-ec19-4414-859f-630a25282ee7</t>
  </si>
  <si>
    <t>7f917351-13f7-49fd-ba90-23ecb4d22824</t>
  </si>
  <si>
    <t>322dc1be-c894-4078-be46-576b8489f048</t>
  </si>
  <si>
    <t>2fb00373-5c68-45b9-8a8d-5ab8087d4887</t>
  </si>
  <si>
    <t>c449bc4a-784c-4eae-b35d-8d9dd8349c67</t>
  </si>
  <si>
    <t>ba70d87a-de4e-4b56-a601-171c713a3937</t>
  </si>
  <si>
    <t>86f44275-8f14-4616-9da0-d1a8e4e1946d</t>
  </si>
  <si>
    <t>9baba8c4-49a7-46ad-9bbb-cc164eb39384</t>
  </si>
  <si>
    <t>cc04a1dd-e46f-41dd-918e-e8b4c132128c</t>
  </si>
  <si>
    <t>7bb638a5-7b25-40bc-aa19-5e9f954061f1</t>
  </si>
  <si>
    <t>e11dbd35-8b52-449f-aeda-588d3cd2c869</t>
  </si>
  <si>
    <t>ee475997-1544-436b-af1a-2ccff598fae6</t>
  </si>
  <si>
    <t>4a5e10b7-bba7-41a6-bf8f-a5ad2e3bead3</t>
  </si>
  <si>
    <t>4cc4d6ba-a83f-46cc-b241-4f908062230e</t>
  </si>
  <si>
    <t>b807ece6-416f-4880-8920-126622d6a301</t>
  </si>
  <si>
    <t>2fb6c643-d946-4819-bd76-60cc80328a80</t>
  </si>
  <si>
    <t>d701d0a3-e105-4023-96ba-2beb149548d2</t>
  </si>
  <si>
    <t>7537b164-2be0-4ab3-995b-25d52f992769</t>
  </si>
  <si>
    <t>51d996df-1b8f-448d-a0de-d28a800b0014</t>
  </si>
  <si>
    <t>a9098d39-f537-4625-bf44-0fe5bce26853</t>
  </si>
  <si>
    <t>7f1861e7-b488-4875-8426-9e2e1e00c085</t>
  </si>
  <si>
    <t>99d3fe7c-f193-4428-907b-3e73f4a03a2f</t>
  </si>
  <si>
    <t>8359bfc3-589a-4292-bb0e-b6d9e07f8121</t>
  </si>
  <si>
    <t>f34bb459-d965-4e67-9cad-692cdb354ea4</t>
  </si>
  <si>
    <t>fae2c846-2a31-4638-9400-d6ea61b2a17f</t>
  </si>
  <si>
    <t>ad35bc1d-37de-44fe-a8de-0a2d3522d27b</t>
  </si>
  <si>
    <t>70c75d52-1999-4bf9-b744-66e10b983545</t>
  </si>
  <si>
    <t>8d93fcce-cd70-421a-b03a-c1ac6dc66bc9</t>
  </si>
  <si>
    <t>e8d2ebe4-a38d-434b-80e7-2bb24719dd21</t>
  </si>
  <si>
    <t>0e1d3d6e-f270-4d06-9cd3-0972f31a22f8</t>
  </si>
  <si>
    <t>2ff858c6-93e6-4c7a-84ea-6c1274ed6352</t>
  </si>
  <si>
    <t>e0b14089-d711-49ac-bff8-346f39d2ac69</t>
  </si>
  <si>
    <t>ddaec094-f3f3-4cd7-8f03-5f02975e469a</t>
  </si>
  <si>
    <t>0f70e444-6679-445f-89b8-71087bc90a65</t>
  </si>
  <si>
    <t>dc7e340a-a8e3-4750-9a48-f7b1aa8ee333</t>
  </si>
  <si>
    <t>792fadfd-1176-4bab-9568-11d969eb93c4</t>
  </si>
  <si>
    <t>3011aabc-313f-449f-b786-b5ac3869196b</t>
  </si>
  <si>
    <t>7af361f7-7cc6-4734-bd97-2382c93cc7b9</t>
  </si>
  <si>
    <t>d52c48c6-3aab-4b33-b83c-3e96b8adc752</t>
  </si>
  <si>
    <t>a1d706bb-4593-4e13-9e29-1bacfe3f217e</t>
  </si>
  <si>
    <t>eb0c96ca-7dc1-4d92-b9da-6b0adf3fe35e</t>
  </si>
  <si>
    <t>fce81533-30f2-4ae9-b38f-3d01a82b0db8</t>
  </si>
  <si>
    <t>52b0a9e8-e245-47f2-a797-971d5e6b6748</t>
  </si>
  <si>
    <t>6fb6dd9a-aa81-4c3b-afdb-584408d7bae2</t>
  </si>
  <si>
    <t>26a91d77-e7b5-4a45-ad8c-7bee2f62c09a</t>
  </si>
  <si>
    <t>97b8fabd-7b87-4bc1-85e8-40e58044d99b</t>
  </si>
  <si>
    <t>fec07345-8186-4720-8677-745f8f4a0b29</t>
  </si>
  <si>
    <t>abde73bb-eb59-4de9-b5bb-b859ed1d6ab4</t>
  </si>
  <si>
    <t>7fa8a224-96e0-4fc4-81ac-36884df7a936</t>
  </si>
  <si>
    <t>6626c0de-f9d2-474d-8275-ce71bcb8a7a4</t>
  </si>
  <si>
    <t>a5576052-e3af-451f-a92e-99bebf059134</t>
  </si>
  <si>
    <t>3e7ba797-f6aa-4538-ae02-60e6062335ed</t>
  </si>
  <si>
    <t>5c34182e-bf7f-4376-90dc-6d3fae06eed3</t>
  </si>
  <si>
    <t>0d55f1da-daba-4b04-b473-aa4d28b3b87c</t>
  </si>
  <si>
    <t>4356dc35-4387-4555-90ba-2de71f2769e7</t>
  </si>
  <si>
    <t>0145f881-de00-480c-842c-e14b33ef6328</t>
  </si>
  <si>
    <t>4f124ae4-9900-45ad-a5c4-4696e22725ea</t>
  </si>
  <si>
    <t>bd4e5a64-47d0-4c6e-8433-eeb02e0d75c4</t>
  </si>
  <si>
    <t>0fe7ad1e-a1fe-4a42-9f3e-d955aa901287</t>
  </si>
  <si>
    <t>1bcc9db9-40ca-4b2a-92a5-697d384cdd16</t>
  </si>
  <si>
    <t>7d3f9c88-32b1-4fee-b992-caa7eeb88e36</t>
  </si>
  <si>
    <t>1411f993-4e65-41f2-8434-d174b4cbcd97</t>
  </si>
  <si>
    <t>7bbfa60f-54c2-49fd-958f-598b8f6bceac</t>
  </si>
  <si>
    <t>1e7370af-dea3-4f4a-a822-3e8217d22c35</t>
  </si>
  <si>
    <t>c144b678-b709-4ca3-9a7f-39fe121fea8c</t>
  </si>
  <si>
    <t>bda71352-7148-4162-a0cd-28c92bc9a075</t>
  </si>
  <si>
    <t>415e97d9-8727-489d-9919-48a530667332</t>
  </si>
  <si>
    <t>7845452a-07ca-4edc-bc75-4f52b4afc97e</t>
  </si>
  <si>
    <t>16a82087-bf1c-49b2-b1d5-31841cf2a239</t>
  </si>
  <si>
    <t>3a7ff01f-e141-4856-8462-5a042d5f4b9a</t>
  </si>
  <si>
    <t>2af59bed-053e-4980-9c21-75d149c04714</t>
  </si>
  <si>
    <t>8399d98f-3ddf-46fe-9dde-71d4430c4cff</t>
  </si>
  <si>
    <t>cd39abf6-4996-454b-8fce-85d2868f751a</t>
  </si>
  <si>
    <t>51a87fa8-d65b-4dd7-8ba6-15f57737a29e</t>
  </si>
  <si>
    <t>94556540-dfdb-4851-ac37-9ac9fb2ac4df</t>
  </si>
  <si>
    <t>9dedcc4b-ebee-4479-9440-fbc0bde9e57f</t>
  </si>
  <si>
    <t>645d1a78-4cc0-4948-a1f5-55d2ae8f5bfc</t>
  </si>
  <si>
    <t>4bc4f69a-f205-457a-acf5-d4fb5230d2a8</t>
  </si>
  <si>
    <t>478fb386-63d1-4d12-9c3d-659268e05f96</t>
  </si>
  <si>
    <t>ab27c3c1-3e46-4bca-ae65-3b35418b0210</t>
  </si>
  <si>
    <t>1f946d8b-ceef-418a-a3eb-882150a391f3</t>
  </si>
  <si>
    <t>02aa3f72-a4a5-475c-82e8-62614d9da66d</t>
  </si>
  <si>
    <t>b32249ef-9f58-453e-9dac-c4d20403a64e</t>
  </si>
  <si>
    <t>23956db5-9c8a-40c2-8e3e-51542a99723f</t>
  </si>
  <si>
    <t>9ca31168-f50d-4791-881b-34f0a08ed524</t>
  </si>
  <si>
    <t>c87022af-da0d-44d6-a0e5-d7250fdc4d49</t>
  </si>
  <si>
    <t>17220f16-a9c2-4249-babc-5f77ca8a50c6</t>
  </si>
  <si>
    <t>dde1f851-bf65-4ae5-adea-fe4fba3bd1e4</t>
  </si>
  <si>
    <t>00ff1045-af7e-4113-9e4a-9c75428f01f6</t>
  </si>
  <si>
    <t>6aea4cb7-6dcf-40cc-922e-982770489ec8</t>
  </si>
  <si>
    <t>01a7b148-983a-4220-97d8-f44aecb61787</t>
  </si>
  <si>
    <t>827f187e-23ce-4cbf-a42a-6a1d98f2d35f</t>
  </si>
  <si>
    <t>54de10cf-2b48-4307-9e2d-26b9adb15226</t>
  </si>
  <si>
    <t>f2bbc47f-9619-47c2-a2c1-222cbfb4cae9</t>
  </si>
  <si>
    <t>e30fd8ee-7135-4ac0-9bd5-c19e01a1c7ca</t>
  </si>
  <si>
    <t>5b523afd-9995-4c6d-941f-3ff86b29d9bd</t>
  </si>
  <si>
    <t>4bcabe1b-d11a-42bd-984e-77afb27c9b8f</t>
  </si>
  <si>
    <t>db2cf1dd-ec1e-49b5-b55a-2a39fc3b0b66</t>
  </si>
  <si>
    <t>ab33a0f3-7b2b-4c01-bab5-2b7716761f54</t>
  </si>
  <si>
    <t>61ad558d-38b5-4c62-9cc0-68a557a3974f</t>
  </si>
  <si>
    <t>d19c9569-7660-4aeb-a154-670a3e0892a4</t>
  </si>
  <si>
    <t>c59351aa-0b3a-4b12-a0ff-2a211fa08e85</t>
  </si>
  <si>
    <t>a13ec8a2-5d2f-4d1d-a1cc-7c7580953769</t>
  </si>
  <si>
    <t>d6ed93bb-8d22-4a59-9d62-43b098db1671</t>
  </si>
  <si>
    <t>15dc83a2-5b24-4950-b44e-370431436512</t>
  </si>
  <si>
    <t>ebfcd536-bb4d-4f49-89bd-44f1f08cdad9</t>
  </si>
  <si>
    <t>9de00d0a-c120-4fea-bc32-1c49f014c0c0</t>
  </si>
  <si>
    <t>2e845c4a-90f0-456c-b3c0-f02fdb50d28a</t>
  </si>
  <si>
    <t>1acad5d5-b3c2-42e2-8578-71d206779d18</t>
  </si>
  <si>
    <t>8f71db94-0b3b-461d-ba05-4734685f3ea9</t>
  </si>
  <si>
    <t>47a2787a-55b4-4841-8241-e250dd949807</t>
  </si>
  <si>
    <t>a3efc8f0-cc45-4958-9b8f-dcf7d5f09d18</t>
  </si>
  <si>
    <t>945f94b1-d779-444e-90fa-1c543e8e23d5</t>
  </si>
  <si>
    <t>3a7d85b0-156a-4a58-8fd8-6ae51a7e0c9d</t>
  </si>
  <si>
    <t>a5ae942f-078c-407f-b3e6-2b8ae29eb6a2</t>
  </si>
  <si>
    <t>d0b3ba3c-1832-4bdf-927c-3adb9a6f283f</t>
  </si>
  <si>
    <t>dadebeaa-ad75-4ee2-9090-d5d29d555ea0</t>
  </si>
  <si>
    <t>7df1317d-a6b2-47dd-bf7c-55dff431db16</t>
  </si>
  <si>
    <t>a3964ca6-9af8-4d30-bcac-88d7ee96d513</t>
  </si>
  <si>
    <t>273c3dfe-680c-43aa-bbc9-f32fdeaceb23</t>
  </si>
  <si>
    <t>fbfa744a-a8b1-4de4-93f1-e9be5510baea</t>
  </si>
  <si>
    <t>855907bb-9454-49be-a8ad-a1c8a3e3f4f0</t>
  </si>
  <si>
    <t>e90d415f-c996-4832-bff2-2b57784d7427</t>
  </si>
  <si>
    <t>ca0161cc-e79f-4938-ba8c-75db4de515d1</t>
  </si>
  <si>
    <t>39ae36f0-9854-4eb0-ac21-4cbc31218b65</t>
  </si>
  <si>
    <t>c94423ea-a2d8-4f64-b28d-f6cc5360b985</t>
  </si>
  <si>
    <t>6c16425f-6e34-43fb-9ca9-18facd242994</t>
  </si>
  <si>
    <t>4b641d71-0fa8-4162-b244-f20d691acd83</t>
  </si>
  <si>
    <t>17d9e937-57ae-4dd8-9e8d-084aa7d82ce3</t>
  </si>
  <si>
    <t>15010_DXR_VAV_DXR2M12</t>
  </si>
  <si>
    <t>15011_DXR_VAV_DXR2M12</t>
  </si>
  <si>
    <t>b08efaed-25e7-4cd3-a195-e73cb561842e</t>
  </si>
  <si>
    <t>fd646c27-4b6e-4fd1-bb11-22dd17ef7664</t>
  </si>
  <si>
    <t>59b561b5-a925-48bb-b499-2f883e77efcc</t>
  </si>
  <si>
    <t>498bc4e4-14eb-4bc3-97e6-3f9f64a80c2e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</si>
</sst>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name val="Tahoma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6">
    <xf numFmtId="0" fontId="0" fillId="0" borderId="0"/>
    <xf numFmtId="0" fontId="2" fillId="0" borderId="0"/>
    <xf numFmtId="0" fontId="5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6" fillId="0" borderId="0"/>
    <xf numFmtId="0" fontId="6" fillId="0" borderId="0"/>
    <xf numFmtId="0" fontId="4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1" fillId="0" borderId="0"/>
    <xf numFmtId="0" fontId="3" fillId="0" borderId="0">
      <alignment vertical="top"/>
    </xf>
    <xf numFmtId="0" fontId="3" fillId="0" borderId="0">
      <alignment vertical="top"/>
    </xf>
    <xf numFmtId="0" fontId="6" fillId="0" borderId="0"/>
    <xf numFmtId="0" fontId="1" fillId="0" borderId="0"/>
    <xf numFmtId="0" fontId="3" fillId="0" borderId="0">
      <alignment vertical="top"/>
    </xf>
    <xf numFmtId="0" fontId="2" fillId="0" borderId="0"/>
    <xf numFmtId="0" fontId="4" fillId="0" borderId="0"/>
    <xf numFmtId="0" fontId="1" fillId="0" borderId="0"/>
    <xf numFmtId="0" fontId="4" fillId="0" borderId="0"/>
  </cellStyleXfs>
  <cellXfs count="31">
    <xf numFmtId="0" fontId="0" fillId="0" borderId="0" xfId="0"/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11" fontId="0" fillId="0" borderId="0" xfId="0" applyNumberFormat="1"/>
    <xf numFmtId="0" fontId="0" fillId="3" borderId="0" xfId="0" applyFill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49" fontId="7" fillId="2" borderId="0" xfId="1" applyNumberFormat="1" applyFont="1" applyFill="1" applyAlignment="1">
      <alignment horizontal="center"/>
    </xf>
    <xf numFmtId="49" fontId="7" fillId="2" borderId="12" xfId="1" applyNumberFormat="1" applyFont="1" applyFill="1" applyBorder="1" applyAlignment="1">
      <alignment horizontal="centerContinuous"/>
    </xf>
    <xf numFmtId="49" fontId="7" fillId="2" borderId="0" xfId="1" applyNumberFormat="1" applyFont="1" applyFill="1" applyAlignment="1">
      <alignment horizontal="centerContinuous"/>
    </xf>
    <xf numFmtId="49" fontId="7" fillId="2" borderId="1" xfId="1" applyNumberFormat="1" applyFont="1" applyFill="1" applyBorder="1" applyAlignment="1">
      <alignment horizontal="center" vertical="center" textRotation="90" wrapText="1"/>
    </xf>
    <xf numFmtId="49" fontId="7" fillId="2" borderId="3" xfId="1" applyNumberFormat="1" applyFont="1" applyFill="1" applyBorder="1" applyAlignment="1">
      <alignment horizontal="center" vertical="center" textRotation="90" wrapText="1"/>
    </xf>
    <xf numFmtId="49" fontId="7" fillId="2" borderId="2" xfId="1" applyNumberFormat="1" applyFont="1" applyFill="1" applyBorder="1" applyAlignment="1">
      <alignment horizontal="center" vertical="center" textRotation="90" wrapText="1"/>
    </xf>
    <xf numFmtId="49" fontId="7" fillId="2" borderId="1" xfId="1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5" xfId="0" applyBorder="1" applyAlignment="1">
      <alignment wrapText="1"/>
    </xf>
    <xf numFmtId="49" fontId="0" fillId="0" borderId="0" xfId="0" applyNumberFormat="1"/>
    <xf numFmtId="0" fontId="0" fillId="0" borderId="0" xfId="0" applyNumberFormat="1" applyFont="1"/>
    <xf numFmtId="0" fontId="0" fillId="0" borderId="0" xfId="0" applyFont="1"/>
    <xf numFmtId="49" fontId="0" fillId="0" borderId="0" xfId="0" applyNumberFormat="1" applyFont="1"/>
    <xf numFmtId="0" fontId="0" fillId="3" borderId="0" xfId="0" applyNumberFormat="1" applyFont="1" applyFill="1"/>
    <xf numFmtId="2" fontId="0" fillId="0" borderId="0" xfId="0" applyNumberFormat="1"/>
    <xf numFmtId="2" fontId="0" fillId="0" borderId="0" xfId="0" applyNumberFormat="1" applyFont="1"/>
    <xf numFmtId="1" fontId="0" fillId="0" borderId="0" xfId="0" applyNumberFormat="1"/>
    <xf numFmtId="0" fontId="0" fillId="0" borderId="0" xfId="0" applyNumberFormat="1"/>
  </cellXfs>
  <cellStyles count="26">
    <cellStyle name="Normal" xfId="0" builtinId="0"/>
    <cellStyle name="Normal 10" xfId="2" xr:uid="{00000000-0005-0000-0000-000001000000}"/>
    <cellStyle name="Normal 11" xfId="1" xr:uid="{00000000-0005-0000-0000-000002000000}"/>
    <cellStyle name="Normal 2" xfId="3" xr:uid="{00000000-0005-0000-0000-000003000000}"/>
    <cellStyle name="Normal 2 2" xfId="4" xr:uid="{00000000-0005-0000-0000-000004000000}"/>
    <cellStyle name="Normal 2 2 2" xfId="5" xr:uid="{00000000-0005-0000-0000-000005000000}"/>
    <cellStyle name="Normal 2 3" xfId="6" xr:uid="{00000000-0005-0000-0000-000006000000}"/>
    <cellStyle name="Normal 2 3 2" xfId="7" xr:uid="{00000000-0005-0000-0000-000007000000}"/>
    <cellStyle name="Normal 2 4" xfId="8" xr:uid="{00000000-0005-0000-0000-000008000000}"/>
    <cellStyle name="Normal 2 5" xfId="9" xr:uid="{00000000-0005-0000-0000-000009000000}"/>
    <cellStyle name="Normal 3" xfId="10" xr:uid="{00000000-0005-0000-0000-00000A000000}"/>
    <cellStyle name="Normal 3 2" xfId="11" xr:uid="{00000000-0005-0000-0000-00000B000000}"/>
    <cellStyle name="Normal 3 3" xfId="12" xr:uid="{00000000-0005-0000-0000-00000C000000}"/>
    <cellStyle name="Normal 3 3 2" xfId="13" xr:uid="{00000000-0005-0000-0000-00000D000000}"/>
    <cellStyle name="Normal 3 4" xfId="14" xr:uid="{00000000-0005-0000-0000-00000E000000}"/>
    <cellStyle name="Normal 3 4 2" xfId="15" xr:uid="{00000000-0005-0000-0000-00000F000000}"/>
    <cellStyle name="Normal 3 5" xfId="16" xr:uid="{00000000-0005-0000-0000-000010000000}"/>
    <cellStyle name="Normal 4" xfId="17" xr:uid="{00000000-0005-0000-0000-000011000000}"/>
    <cellStyle name="Normal 4 2" xfId="18" xr:uid="{00000000-0005-0000-0000-000012000000}"/>
    <cellStyle name="Normal 4 3" xfId="19" xr:uid="{00000000-0005-0000-0000-000013000000}"/>
    <cellStyle name="Normal 5" xfId="20" xr:uid="{00000000-0005-0000-0000-000014000000}"/>
    <cellStyle name="Normal 6" xfId="21" xr:uid="{00000000-0005-0000-0000-000015000000}"/>
    <cellStyle name="Normal 7" xfId="22" xr:uid="{00000000-0005-0000-0000-000016000000}"/>
    <cellStyle name="Normal 7 2" xfId="23" xr:uid="{00000000-0005-0000-0000-000017000000}"/>
    <cellStyle name="Normal 8" xfId="24" xr:uid="{00000000-0005-0000-0000-000018000000}"/>
    <cellStyle name="Normal 9" xfId="25" xr:uid="{00000000-0005-0000-0000-000019000000}"/>
  </cellStyles>
  <dxfs count="11"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644BBCB-4518-451A-AD3E-F47B7154A9A5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UNIT TAG" tableColumnId="2"/>
      <queryTableField id="3" name="MARK" tableColumnId="3"/>
      <queryTableField id="9" dataBound="0" tableColumnId="9"/>
      <queryTableField id="4" name="DESIGN SUPPLY FLOW (CFM)" tableColumnId="4"/>
      <queryTableField id="5" name="MINIMUM FLOW (CFM)" tableColumnId="5"/>
      <queryTableField id="6" name="HEATER KW" tableColumnId="6"/>
      <queryTableField id="7" name="HEATER VOLTS/PHASE" tableColumnId="7"/>
      <queryTableField id="10" dataBound="0" tableColumnId="10"/>
      <queryTableField id="8" name="NOTES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24CD05-C044-449A-BAF3-A8783E2D804D}" name="VAV_Schedule_5_21" displayName="VAV_Schedule_5_21" ref="A1:J571" tableType="queryTable" totalsRowShown="0" dataDxfId="10">
  <autoFilter ref="A1:J571" xr:uid="{D64A54D3-B3FC-4332-8BE6-D9707E900262}"/>
  <tableColumns count="10">
    <tableColumn id="1" xr3:uid="{AFBF4D61-0C9D-4214-BD26-FE25C15EC4C8}" uniqueName="1" name="ID" queryTableFieldId="1" dataDxfId="9"/>
    <tableColumn id="2" xr3:uid="{44F86CDC-1F32-48FB-806E-0CBDBC9CF81D}" uniqueName="2" name="UNIT TAG" queryTableFieldId="2" dataDxfId="8"/>
    <tableColumn id="3" xr3:uid="{F0E86234-3E97-4EC9-A3EB-EF57C4A69864}" uniqueName="3" name="MARK" queryTableFieldId="3" dataDxfId="7"/>
    <tableColumn id="9" xr3:uid="{0575B5B1-47C4-4FA6-8CF2-86B6A65B7261}" uniqueName="9" name="Size" queryTableFieldId="9" dataDxfId="6">
      <calculatedColumnFormula>INDEX($P$10:$Q$14, MATCH(VAV_Schedule_5_21[[#This Row],[MARK]], $P$10:$P$14, 0), 2)</calculatedColumnFormula>
    </tableColumn>
    <tableColumn id="4" xr3:uid="{1A0B2881-BA19-464E-A351-A21786F548EF}" uniqueName="4" name="DESIGN SUPPLY FLOW (CFM)" queryTableFieldId="4" dataDxfId="5"/>
    <tableColumn id="5" xr3:uid="{976A39FC-0B9F-4190-8248-6DD945FACF47}" uniqueName="5" name="MINIMUM FLOW (CFM)" queryTableFieldId="5" dataDxfId="4"/>
    <tableColumn id="6" xr3:uid="{FCF077D4-E936-4DCF-8F45-969F4891E0CD}" uniqueName="6" name="HEATER KW" queryTableFieldId="6" dataDxfId="3"/>
    <tableColumn id="7" xr3:uid="{E01EC6B1-C4EA-48EB-853E-9EC45B3F4E5D}" uniqueName="7" name="HEATER VOLTS/PHASE" queryTableFieldId="7" dataDxfId="2"/>
    <tableColumn id="10" xr3:uid="{E7703306-986C-480E-907C-6566124D72A6}" uniqueName="10" name="Floor" queryTableFieldId="10" dataDxfId="1"/>
    <tableColumn id="8" xr3:uid="{F7FDD675-0EBE-4AE3-8D05-B4C61BCAC1E4}" uniqueName="8" name="NOTES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EC3D3-9F0D-4F70-A940-BBFBF6B578C5}">
  <sheetPr codeName="Sheet1"/>
  <dimension ref="A1:Z572"/>
  <sheetViews>
    <sheetView topLeftCell="A527" zoomScaleNormal="100" workbookViewId="0">
      <selection activeCell="I350" sqref="I350:I572"/>
    </sheetView>
  </sheetViews>
  <sheetFormatPr defaultRowHeight="12.75" x14ac:dyDescent="0.2"/>
  <cols>
    <col min="1" max="1" width="7" bestFit="1" customWidth="1"/>
    <col min="2" max="2" width="7.85546875" bestFit="1" customWidth="1"/>
    <col min="3" max="3" width="5.7109375" bestFit="1" customWidth="1"/>
    <col min="4" max="4" width="7.85546875" bestFit="1" customWidth="1"/>
    <col min="5" max="5" width="8" bestFit="1" customWidth="1"/>
    <col min="6" max="6" width="8.140625" bestFit="1" customWidth="1"/>
    <col min="7" max="7" width="19.5703125" bestFit="1" customWidth="1"/>
    <col min="8" max="8" width="19.5703125" hidden="1" customWidth="1"/>
    <col min="9" max="9" width="27.85546875" bestFit="1" customWidth="1"/>
    <col min="10" max="10" width="8.42578125" bestFit="1" customWidth="1"/>
    <col min="11" max="11" width="2.42578125" customWidth="1"/>
    <col min="14" max="14" width="6.140625" customWidth="1"/>
    <col min="15" max="15" width="15.5703125" bestFit="1" customWidth="1"/>
    <col min="16" max="16" width="10.5703125" bestFit="1" customWidth="1"/>
    <col min="17" max="17" width="13.5703125" bestFit="1" customWidth="1"/>
    <col min="19" max="24" width="9" customWidth="1"/>
    <col min="25" max="25" width="3.140625" customWidth="1"/>
  </cols>
  <sheetData>
    <row r="1" spans="1:26" x14ac:dyDescent="0.2">
      <c r="A1" s="13" t="s">
        <v>0</v>
      </c>
      <c r="B1" s="14"/>
      <c r="C1" s="14"/>
      <c r="D1" s="14"/>
      <c r="E1" s="14"/>
      <c r="F1" s="14"/>
      <c r="G1" s="14"/>
      <c r="H1" s="12"/>
      <c r="I1" s="14"/>
      <c r="J1" s="14"/>
      <c r="K1" s="14"/>
      <c r="L1" s="14"/>
      <c r="M1" s="14"/>
    </row>
    <row r="2" spans="1:26" ht="65.099999999999994" customHeight="1" thickBot="1" x14ac:dyDescent="0.25">
      <c r="A2" s="15" t="s">
        <v>1</v>
      </c>
      <c r="B2" s="15" t="s">
        <v>2</v>
      </c>
      <c r="C2" s="15" t="s">
        <v>3</v>
      </c>
      <c r="D2" s="16" t="s">
        <v>4</v>
      </c>
      <c r="E2" s="15" t="s">
        <v>5</v>
      </c>
      <c r="F2" s="17" t="s">
        <v>6</v>
      </c>
      <c r="G2" s="18" t="s">
        <v>7</v>
      </c>
      <c r="H2" t="s">
        <v>424</v>
      </c>
      <c r="I2" s="16" t="s">
        <v>8</v>
      </c>
      <c r="J2" s="15" t="s">
        <v>9</v>
      </c>
      <c r="K2" s="19"/>
      <c r="L2" s="15" t="s">
        <v>245</v>
      </c>
      <c r="M2" s="15" t="s">
        <v>246</v>
      </c>
      <c r="P2" t="s">
        <v>878</v>
      </c>
      <c r="Q2" t="s">
        <v>879</v>
      </c>
      <c r="R2" s="6" t="s">
        <v>424</v>
      </c>
      <c r="S2" s="21" t="s">
        <v>604</v>
      </c>
      <c r="T2" s="21" t="s">
        <v>605</v>
      </c>
      <c r="U2" s="21" t="s">
        <v>606</v>
      </c>
      <c r="V2" s="21" t="s">
        <v>607</v>
      </c>
      <c r="W2" s="21" t="s">
        <v>608</v>
      </c>
      <c r="X2" s="21" t="s">
        <v>609</v>
      </c>
    </row>
    <row r="3" spans="1:26" x14ac:dyDescent="0.2">
      <c r="A3">
        <f>INDEX(PanelInstance!B:D, MATCH(Joined!J3, PanelInstance!D:D, FALSE), 2)</f>
        <v>150300</v>
      </c>
      <c r="B3" t="s">
        <v>291</v>
      </c>
      <c r="C3">
        <f>COUNTIF($D$3:D3, RIGHT(LEFT(A3,4),3))</f>
        <v>1</v>
      </c>
      <c r="D3" t="str">
        <f t="shared" ref="D3:D66" si="0">RIGHT(LEFT(A3, 4),3)</f>
        <v>503</v>
      </c>
      <c r="E3">
        <f t="shared" ref="E3:E66" si="1">A3+C3</f>
        <v>150301</v>
      </c>
      <c r="F3">
        <f>INDEX(Schedule!$A:$N, MATCH(Joined!$G3, Schedule!$B:$B,0),14)</f>
        <v>15007</v>
      </c>
      <c r="G3" t="s">
        <v>41</v>
      </c>
      <c r="H3">
        <f>INDEX(VAV_Schedule_5_21[#All], MATCH(Joined!G3, VAV_Schedule_5_21[[#All],[UNIT TAG]], 0), 9)</f>
        <v>2</v>
      </c>
      <c r="I3" t="str">
        <f t="shared" ref="I3:I66" si="2">"WPC." &amp; G3</f>
        <v>WPC.VAV-2W-1</v>
      </c>
      <c r="J3" t="str">
        <f>LEFT(RIGHT($G3, LEN($G3) - FIND("-", $G3)), FIND("-", RIGHT($G3, LEN($G3) - FIND("-", $G3)))-1)</f>
        <v>2W</v>
      </c>
      <c r="L3">
        <f>INDEX(Schedule!$A:$J, MATCH(Joined!$G3, Schedule!$B:$B, 0), 5)</f>
        <v>800</v>
      </c>
      <c r="M3">
        <f>INDEX(Schedule!$A:$J, MATCH(Joined!$G3, Schedule!$B:$B, 0), 6)</f>
        <v>160</v>
      </c>
      <c r="O3" t="s">
        <v>600</v>
      </c>
      <c r="P3">
        <v>15007</v>
      </c>
      <c r="Q3">
        <f t="shared" ref="Q3:Q8" si="3">COUNTIF(F:F, P3)</f>
        <v>76</v>
      </c>
      <c r="R3" s="5">
        <v>2</v>
      </c>
      <c r="S3">
        <f t="shared" ref="S3:X16" si="4">COUNTIFS($H:$H, $R3, $F:$F, S$19)</f>
        <v>15</v>
      </c>
      <c r="T3">
        <f t="shared" si="4"/>
        <v>15</v>
      </c>
      <c r="U3">
        <f t="shared" si="4"/>
        <v>0</v>
      </c>
      <c r="V3">
        <f t="shared" si="4"/>
        <v>0</v>
      </c>
      <c r="W3">
        <f t="shared" si="4"/>
        <v>0</v>
      </c>
      <c r="X3">
        <f t="shared" si="4"/>
        <v>0</v>
      </c>
      <c r="Z3" s="9">
        <f>SUM(S3:X3)</f>
        <v>30</v>
      </c>
    </row>
    <row r="4" spans="1:26" x14ac:dyDescent="0.2">
      <c r="A4">
        <f>INDEX(PanelInstance!B:D, MATCH(Joined!J4, PanelInstance!D:D, FALSE), 2)</f>
        <v>150300</v>
      </c>
      <c r="B4" t="s">
        <v>291</v>
      </c>
      <c r="C4">
        <f>COUNTIF($D$3:D4, RIGHT(LEFT(A4,4),3))</f>
        <v>2</v>
      </c>
      <c r="D4" t="str">
        <f t="shared" si="0"/>
        <v>503</v>
      </c>
      <c r="E4">
        <f t="shared" si="1"/>
        <v>150302</v>
      </c>
      <c r="F4">
        <f>INDEX(Schedule!$A:$N, MATCH(Joined!$G4, Schedule!$B:$B,0),14)</f>
        <v>15007</v>
      </c>
      <c r="G4" t="s">
        <v>42</v>
      </c>
      <c r="H4">
        <f>INDEX(VAV_Schedule_5_21[#All], MATCH(Joined!G4, VAV_Schedule_5_21[[#All],[UNIT TAG]], 0), 9)</f>
        <v>2</v>
      </c>
      <c r="I4" t="str">
        <f t="shared" si="2"/>
        <v>WPC.VAV-2W-2</v>
      </c>
      <c r="J4" t="str">
        <f t="shared" ref="J4:J67" si="5">LEFT(RIGHT($G4, LEN($G4) - FIND("-", $G4)), FIND("-", RIGHT($G4, LEN($G4) - FIND("-", $G4)))-1)</f>
        <v>2W</v>
      </c>
      <c r="L4">
        <f>INDEX(Schedule!$A:$J, MATCH(Joined!$G4, Schedule!$B:$B, 0), 5)</f>
        <v>1050</v>
      </c>
      <c r="M4">
        <f>INDEX(Schedule!$A:$J, MATCH(Joined!$G4, Schedule!$B:$B, 0), 6)</f>
        <v>210</v>
      </c>
      <c r="O4" t="s">
        <v>601</v>
      </c>
      <c r="P4">
        <v>15006</v>
      </c>
      <c r="Q4">
        <f t="shared" si="3"/>
        <v>69</v>
      </c>
      <c r="R4" s="5">
        <v>3</v>
      </c>
      <c r="S4">
        <f t="shared" si="4"/>
        <v>20</v>
      </c>
      <c r="T4">
        <f t="shared" si="4"/>
        <v>18</v>
      </c>
      <c r="U4">
        <f t="shared" si="4"/>
        <v>0</v>
      </c>
      <c r="V4">
        <f t="shared" si="4"/>
        <v>1</v>
      </c>
      <c r="W4">
        <f t="shared" si="4"/>
        <v>0</v>
      </c>
      <c r="X4">
        <f t="shared" si="4"/>
        <v>0</v>
      </c>
      <c r="Z4" s="10">
        <f t="shared" ref="Z4:Z16" si="6">SUM(S4:X4)</f>
        <v>39</v>
      </c>
    </row>
    <row r="5" spans="1:26" x14ac:dyDescent="0.2">
      <c r="A5">
        <f>INDEX(PanelInstance!B:D, MATCH(Joined!J5, PanelInstance!D:D, FALSE), 2)</f>
        <v>150100</v>
      </c>
      <c r="B5" t="s">
        <v>291</v>
      </c>
      <c r="C5">
        <f>COUNTIF($D$3:D5, RIGHT(LEFT(A5,4),3))</f>
        <v>1</v>
      </c>
      <c r="D5" t="str">
        <f t="shared" si="0"/>
        <v>501</v>
      </c>
      <c r="E5">
        <f t="shared" si="1"/>
        <v>150101</v>
      </c>
      <c r="F5">
        <f>INDEX(Schedule!$A:$N, MATCH(Joined!$G5, Schedule!$B:$B,0),14)</f>
        <v>15006</v>
      </c>
      <c r="G5" t="s">
        <v>43</v>
      </c>
      <c r="H5">
        <f>INDEX(VAV_Schedule_5_21[#All], MATCH(Joined!G5, VAV_Schedule_5_21[[#All],[UNIT TAG]], 0), 9)</f>
        <v>2</v>
      </c>
      <c r="I5" t="str">
        <f t="shared" si="2"/>
        <v>WPC.VAV-2N-3</v>
      </c>
      <c r="J5" t="str">
        <f t="shared" si="5"/>
        <v>2N</v>
      </c>
      <c r="L5">
        <f>INDEX(Schedule!$A:$J, MATCH(Joined!$G5, Schedule!$B:$B, 0), 5)</f>
        <v>930</v>
      </c>
      <c r="M5">
        <f>INDEX(Schedule!$A:$J, MATCH(Joined!$G5, Schedule!$B:$B, 0), 6)</f>
        <v>190</v>
      </c>
      <c r="O5" t="s">
        <v>602</v>
      </c>
      <c r="P5">
        <v>15008</v>
      </c>
      <c r="Q5">
        <f t="shared" si="3"/>
        <v>10</v>
      </c>
      <c r="R5" s="5">
        <v>4</v>
      </c>
      <c r="S5">
        <f t="shared" si="4"/>
        <v>16</v>
      </c>
      <c r="T5">
        <f t="shared" si="4"/>
        <v>19</v>
      </c>
      <c r="U5">
        <f t="shared" si="4"/>
        <v>16</v>
      </c>
      <c r="V5">
        <f t="shared" si="4"/>
        <v>9</v>
      </c>
      <c r="W5">
        <f t="shared" si="4"/>
        <v>0</v>
      </c>
      <c r="X5">
        <f t="shared" si="4"/>
        <v>0</v>
      </c>
      <c r="Z5" s="10">
        <f t="shared" si="6"/>
        <v>60</v>
      </c>
    </row>
    <row r="6" spans="1:26" x14ac:dyDescent="0.2">
      <c r="A6">
        <f>INDEX(PanelInstance!B:D, MATCH(Joined!J6, PanelInstance!D:D, FALSE), 2)</f>
        <v>150100</v>
      </c>
      <c r="B6" t="s">
        <v>291</v>
      </c>
      <c r="C6">
        <f>COUNTIF($D$3:D6, RIGHT(LEFT(A6,4),3))</f>
        <v>2</v>
      </c>
      <c r="D6" t="str">
        <f t="shared" si="0"/>
        <v>501</v>
      </c>
      <c r="E6">
        <f t="shared" si="1"/>
        <v>150102</v>
      </c>
      <c r="F6">
        <f>INDEX(Schedule!$A:$N, MATCH(Joined!$G6, Schedule!$B:$B,0),14)</f>
        <v>15006</v>
      </c>
      <c r="G6" t="s">
        <v>44</v>
      </c>
      <c r="H6">
        <f>INDEX(VAV_Schedule_5_21[#All], MATCH(Joined!G6, VAV_Schedule_5_21[[#All],[UNIT TAG]], 0), 9)</f>
        <v>2</v>
      </c>
      <c r="I6" t="str">
        <f t="shared" si="2"/>
        <v>WPC.VAV-2N-4</v>
      </c>
      <c r="J6" t="str">
        <f t="shared" si="5"/>
        <v>2N</v>
      </c>
      <c r="L6">
        <f>INDEX(Schedule!$A:$J, MATCH(Joined!$G6, Schedule!$B:$B, 0), 5)</f>
        <v>450</v>
      </c>
      <c r="M6">
        <f>INDEX(Schedule!$A:$J, MATCH(Joined!$G6, Schedule!$B:$B, 0), 6)</f>
        <v>90</v>
      </c>
      <c r="O6" t="s">
        <v>603</v>
      </c>
      <c r="P6">
        <v>15009</v>
      </c>
      <c r="Q6">
        <f t="shared" si="3"/>
        <v>16</v>
      </c>
      <c r="R6" s="5">
        <v>5</v>
      </c>
      <c r="S6">
        <f t="shared" si="4"/>
        <v>25</v>
      </c>
      <c r="T6">
        <f t="shared" si="4"/>
        <v>17</v>
      </c>
      <c r="U6">
        <f t="shared" si="4"/>
        <v>0</v>
      </c>
      <c r="V6">
        <f t="shared" si="4"/>
        <v>0</v>
      </c>
      <c r="W6">
        <f t="shared" si="4"/>
        <v>0</v>
      </c>
      <c r="X6">
        <f t="shared" si="4"/>
        <v>0</v>
      </c>
      <c r="Z6" s="10">
        <f t="shared" si="6"/>
        <v>42</v>
      </c>
    </row>
    <row r="7" spans="1:26" x14ac:dyDescent="0.2">
      <c r="A7">
        <f>INDEX(PanelInstance!B:D, MATCH(Joined!J7, PanelInstance!D:D, FALSE), 2)</f>
        <v>150100</v>
      </c>
      <c r="B7" t="s">
        <v>291</v>
      </c>
      <c r="C7">
        <f>COUNTIF($D$3:D7, RIGHT(LEFT(A7,4),3))</f>
        <v>3</v>
      </c>
      <c r="D7" t="str">
        <f t="shared" si="0"/>
        <v>501</v>
      </c>
      <c r="E7">
        <f t="shared" si="1"/>
        <v>150103</v>
      </c>
      <c r="F7">
        <f>INDEX(Schedule!$A:$N, MATCH(Joined!$G7, Schedule!$B:$B,0),14)</f>
        <v>15006</v>
      </c>
      <c r="G7" t="s">
        <v>45</v>
      </c>
      <c r="H7">
        <f>INDEX(VAV_Schedule_5_21[#All], MATCH(Joined!G7, VAV_Schedule_5_21[[#All],[UNIT TAG]], 0), 9)</f>
        <v>2</v>
      </c>
      <c r="I7" t="str">
        <f t="shared" si="2"/>
        <v>WPC.VAV-2N-5</v>
      </c>
      <c r="J7" t="str">
        <f t="shared" si="5"/>
        <v>2N</v>
      </c>
      <c r="L7">
        <f>INDEX(Schedule!$A:$J, MATCH(Joined!$G7, Schedule!$B:$B, 0), 5)</f>
        <v>850</v>
      </c>
      <c r="M7">
        <f>INDEX(Schedule!$A:$J, MATCH(Joined!$G7, Schedule!$B:$B, 0), 6)</f>
        <v>170</v>
      </c>
      <c r="O7" t="s">
        <v>598</v>
      </c>
      <c r="P7">
        <v>15011</v>
      </c>
      <c r="Q7">
        <f t="shared" si="3"/>
        <v>217</v>
      </c>
      <c r="R7" s="5">
        <v>6</v>
      </c>
      <c r="S7">
        <f t="shared" si="4"/>
        <v>0</v>
      </c>
      <c r="T7">
        <f t="shared" si="4"/>
        <v>0</v>
      </c>
      <c r="U7">
        <f t="shared" si="4"/>
        <v>0</v>
      </c>
      <c r="V7">
        <f t="shared" si="4"/>
        <v>0</v>
      </c>
      <c r="W7">
        <f t="shared" si="4"/>
        <v>23</v>
      </c>
      <c r="X7">
        <f t="shared" si="4"/>
        <v>21</v>
      </c>
      <c r="Z7" s="10">
        <f t="shared" si="6"/>
        <v>44</v>
      </c>
    </row>
    <row r="8" spans="1:26" x14ac:dyDescent="0.2">
      <c r="A8">
        <f>INDEX(PanelInstance!B:D, MATCH(Joined!J8, PanelInstance!D:D, FALSE), 2)</f>
        <v>150100</v>
      </c>
      <c r="B8" t="s">
        <v>291</v>
      </c>
      <c r="C8">
        <f>COUNTIF($D$3:D8, RIGHT(LEFT(A8,4),3))</f>
        <v>4</v>
      </c>
      <c r="D8" t="str">
        <f t="shared" si="0"/>
        <v>501</v>
      </c>
      <c r="E8">
        <f t="shared" si="1"/>
        <v>150104</v>
      </c>
      <c r="F8">
        <f>INDEX(Schedule!$A:$N, MATCH(Joined!$G8, Schedule!$B:$B,0),14)</f>
        <v>15006</v>
      </c>
      <c r="G8" t="s">
        <v>46</v>
      </c>
      <c r="H8">
        <f>INDEX(VAV_Schedule_5_21[#All], MATCH(Joined!G8, VAV_Schedule_5_21[[#All],[UNIT TAG]], 0), 9)</f>
        <v>2</v>
      </c>
      <c r="I8" t="str">
        <f t="shared" si="2"/>
        <v>WPC.VAV-2N-6</v>
      </c>
      <c r="J8" t="str">
        <f t="shared" si="5"/>
        <v>2N</v>
      </c>
      <c r="L8">
        <f>INDEX(Schedule!$A:$J, MATCH(Joined!$G8, Schedule!$B:$B, 0), 5)</f>
        <v>840</v>
      </c>
      <c r="M8">
        <f>INDEX(Schedule!$A:$J, MATCH(Joined!$G8, Schedule!$B:$B, 0), 6)</f>
        <v>170</v>
      </c>
      <c r="O8" t="s">
        <v>599</v>
      </c>
      <c r="P8">
        <v>15010</v>
      </c>
      <c r="Q8">
        <f t="shared" si="3"/>
        <v>182</v>
      </c>
      <c r="R8" s="5">
        <v>7</v>
      </c>
      <c r="S8">
        <f t="shared" si="4"/>
        <v>0</v>
      </c>
      <c r="T8">
        <f t="shared" si="4"/>
        <v>0</v>
      </c>
      <c r="U8">
        <f t="shared" si="4"/>
        <v>0</v>
      </c>
      <c r="V8">
        <f t="shared" si="4"/>
        <v>0</v>
      </c>
      <c r="W8">
        <f t="shared" si="4"/>
        <v>23</v>
      </c>
      <c r="X8">
        <f t="shared" si="4"/>
        <v>22</v>
      </c>
      <c r="Z8" s="10">
        <f t="shared" si="6"/>
        <v>45</v>
      </c>
    </row>
    <row r="9" spans="1:26" x14ac:dyDescent="0.2">
      <c r="A9">
        <f>INDEX(PanelInstance!B:D, MATCH(Joined!J9, PanelInstance!D:D, FALSE), 2)</f>
        <v>150100</v>
      </c>
      <c r="B9" t="s">
        <v>291</v>
      </c>
      <c r="C9">
        <f>COUNTIF($D$3:D9, RIGHT(LEFT(A9,4),3))</f>
        <v>5</v>
      </c>
      <c r="D9" t="str">
        <f t="shared" si="0"/>
        <v>501</v>
      </c>
      <c r="E9">
        <f t="shared" si="1"/>
        <v>150105</v>
      </c>
      <c r="F9">
        <f>INDEX(Schedule!$A:$N, MATCH(Joined!$G9, Schedule!$B:$B,0),14)</f>
        <v>15006</v>
      </c>
      <c r="G9" t="s">
        <v>626</v>
      </c>
      <c r="H9">
        <f>INDEX(VAV_Schedule_5_21[#All], MATCH(Joined!G9, VAV_Schedule_5_21[[#All],[UNIT TAG]], 0), 9)</f>
        <v>2</v>
      </c>
      <c r="I9" t="str">
        <f t="shared" si="2"/>
        <v>WPC.VAV-2N-6A</v>
      </c>
      <c r="J9" t="str">
        <f t="shared" si="5"/>
        <v>2N</v>
      </c>
      <c r="L9">
        <f>INDEX(Schedule!$A:$J, MATCH(Joined!$G9, Schedule!$B:$B, 0), 5)</f>
        <v>550</v>
      </c>
      <c r="M9">
        <f>INDEX(Schedule!$A:$J, MATCH(Joined!$G9, Schedule!$B:$B, 0), 6)</f>
        <v>110</v>
      </c>
      <c r="R9" s="5">
        <v>8</v>
      </c>
      <c r="S9">
        <f t="shared" si="4"/>
        <v>0</v>
      </c>
      <c r="T9">
        <f t="shared" si="4"/>
        <v>0</v>
      </c>
      <c r="U9">
        <f t="shared" si="4"/>
        <v>0</v>
      </c>
      <c r="V9">
        <f t="shared" si="4"/>
        <v>0</v>
      </c>
      <c r="W9">
        <f t="shared" si="4"/>
        <v>23</v>
      </c>
      <c r="X9">
        <f t="shared" si="4"/>
        <v>23</v>
      </c>
      <c r="Z9" s="10">
        <f t="shared" si="6"/>
        <v>46</v>
      </c>
    </row>
    <row r="10" spans="1:26" x14ac:dyDescent="0.2">
      <c r="A10">
        <f>INDEX(PanelInstance!B:D, MATCH(Joined!J10, PanelInstance!D:D, FALSE), 2)</f>
        <v>150100</v>
      </c>
      <c r="B10" t="s">
        <v>291</v>
      </c>
      <c r="C10">
        <f>COUNTIF($D$3:D10, RIGHT(LEFT(A10,4),3))</f>
        <v>6</v>
      </c>
      <c r="D10" t="str">
        <f t="shared" si="0"/>
        <v>501</v>
      </c>
      <c r="E10">
        <f t="shared" si="1"/>
        <v>150106</v>
      </c>
      <c r="F10">
        <f>INDEX(Schedule!$A:$N, MATCH(Joined!$G10, Schedule!$B:$B,0),14)</f>
        <v>15006</v>
      </c>
      <c r="G10" t="s">
        <v>47</v>
      </c>
      <c r="H10">
        <f>INDEX(VAV_Schedule_5_21[#All], MATCH(Joined!G10, VAV_Schedule_5_21[[#All],[UNIT TAG]], 0), 9)</f>
        <v>2</v>
      </c>
      <c r="I10" t="str">
        <f t="shared" si="2"/>
        <v>WPC.VAV-2N-7</v>
      </c>
      <c r="J10" t="str">
        <f t="shared" si="5"/>
        <v>2N</v>
      </c>
      <c r="L10">
        <f>INDEX(Schedule!$A:$J, MATCH(Joined!$G10, Schedule!$B:$B, 0), 5)</f>
        <v>1100</v>
      </c>
      <c r="M10">
        <f>INDEX(Schedule!$A:$J, MATCH(Joined!$G10, Schedule!$B:$B, 0), 6)</f>
        <v>220</v>
      </c>
      <c r="R10" s="5">
        <v>9</v>
      </c>
      <c r="S10">
        <f t="shared" si="4"/>
        <v>0</v>
      </c>
      <c r="T10">
        <f t="shared" si="4"/>
        <v>0</v>
      </c>
      <c r="U10">
        <f t="shared" si="4"/>
        <v>0</v>
      </c>
      <c r="V10">
        <f t="shared" si="4"/>
        <v>0</v>
      </c>
      <c r="W10">
        <f t="shared" si="4"/>
        <v>23</v>
      </c>
      <c r="X10">
        <f t="shared" si="4"/>
        <v>23</v>
      </c>
      <c r="Z10" s="10">
        <f t="shared" si="6"/>
        <v>46</v>
      </c>
    </row>
    <row r="11" spans="1:26" x14ac:dyDescent="0.2">
      <c r="A11">
        <f>INDEX(PanelInstance!B:D, MATCH(Joined!J11, PanelInstance!D:D, FALSE), 2)</f>
        <v>150100</v>
      </c>
      <c r="B11" t="s">
        <v>291</v>
      </c>
      <c r="C11">
        <f>COUNTIF($D$3:D11, RIGHT(LEFT(A11,4),3))</f>
        <v>7</v>
      </c>
      <c r="D11" t="str">
        <f t="shared" si="0"/>
        <v>501</v>
      </c>
      <c r="E11">
        <f t="shared" si="1"/>
        <v>150107</v>
      </c>
      <c r="F11">
        <f>INDEX(Schedule!$A:$N, MATCH(Joined!$G11, Schedule!$B:$B,0),14)</f>
        <v>15006</v>
      </c>
      <c r="G11" t="s">
        <v>48</v>
      </c>
      <c r="H11">
        <f>INDEX(VAV_Schedule_5_21[#All], MATCH(Joined!G11, VAV_Schedule_5_21[[#All],[UNIT TAG]], 0), 9)</f>
        <v>2</v>
      </c>
      <c r="I11" t="str">
        <f t="shared" si="2"/>
        <v>WPC.VAV-2N-8</v>
      </c>
      <c r="J11" t="str">
        <f t="shared" si="5"/>
        <v>2N</v>
      </c>
      <c r="L11">
        <f>INDEX(Schedule!$A:$J, MATCH(Joined!$G11, Schedule!$B:$B, 0), 5)</f>
        <v>1680</v>
      </c>
      <c r="M11">
        <f>INDEX(Schedule!$A:$J, MATCH(Joined!$G11, Schedule!$B:$B, 0), 6)</f>
        <v>0</v>
      </c>
      <c r="R11" s="5">
        <v>10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23</v>
      </c>
      <c r="X11">
        <f t="shared" si="4"/>
        <v>22</v>
      </c>
      <c r="Z11" s="10">
        <f t="shared" si="6"/>
        <v>45</v>
      </c>
    </row>
    <row r="12" spans="1:26" x14ac:dyDescent="0.2">
      <c r="A12">
        <f>INDEX(PanelInstance!B:D, MATCH(Joined!J12, PanelInstance!D:D, FALSE), 2)</f>
        <v>150200</v>
      </c>
      <c r="B12" t="s">
        <v>291</v>
      </c>
      <c r="C12">
        <f>COUNTIF($D$3:D12, RIGHT(LEFT(A12,4),3))</f>
        <v>1</v>
      </c>
      <c r="D12" t="str">
        <f t="shared" si="0"/>
        <v>502</v>
      </c>
      <c r="E12">
        <f t="shared" si="1"/>
        <v>150201</v>
      </c>
      <c r="F12">
        <f>INDEX(Schedule!$A:$N, MATCH(Joined!$G12, Schedule!$B:$B,0),14)</f>
        <v>15007</v>
      </c>
      <c r="G12" t="s">
        <v>49</v>
      </c>
      <c r="H12">
        <f>INDEX(VAV_Schedule_5_21[#All], MATCH(Joined!G12, VAV_Schedule_5_21[[#All],[UNIT TAG]], 0), 9)</f>
        <v>2</v>
      </c>
      <c r="I12" t="str">
        <f t="shared" si="2"/>
        <v>WPC.VAV-2E-9</v>
      </c>
      <c r="J12" t="str">
        <f t="shared" si="5"/>
        <v>2E</v>
      </c>
      <c r="L12">
        <f>INDEX(Schedule!$A:$J, MATCH(Joined!$G12, Schedule!$B:$B, 0), 5)</f>
        <v>1400</v>
      </c>
      <c r="M12">
        <f>INDEX(Schedule!$A:$J, MATCH(Joined!$G12, Schedule!$B:$B, 0), 6)</f>
        <v>280</v>
      </c>
      <c r="R12" s="5">
        <v>11</v>
      </c>
      <c r="S12">
        <f t="shared" si="4"/>
        <v>0</v>
      </c>
      <c r="T12">
        <f t="shared" si="4"/>
        <v>0</v>
      </c>
      <c r="U12">
        <f t="shared" si="4"/>
        <v>0</v>
      </c>
      <c r="V12">
        <f t="shared" si="4"/>
        <v>0</v>
      </c>
      <c r="W12">
        <f t="shared" si="4"/>
        <v>23</v>
      </c>
      <c r="X12">
        <f t="shared" si="4"/>
        <v>22</v>
      </c>
      <c r="Z12" s="10">
        <f t="shared" si="6"/>
        <v>45</v>
      </c>
    </row>
    <row r="13" spans="1:26" x14ac:dyDescent="0.2">
      <c r="A13">
        <f>INDEX(PanelInstance!B:D, MATCH(Joined!J13, PanelInstance!D:D, FALSE), 2)</f>
        <v>150200</v>
      </c>
      <c r="B13" t="s">
        <v>291</v>
      </c>
      <c r="C13">
        <f>COUNTIF($D$3:D13, RIGHT(LEFT(A13,4),3))</f>
        <v>2</v>
      </c>
      <c r="D13" t="str">
        <f t="shared" si="0"/>
        <v>502</v>
      </c>
      <c r="E13">
        <f t="shared" si="1"/>
        <v>150202</v>
      </c>
      <c r="F13">
        <f>INDEX(Schedule!$A:$N, MATCH(Joined!$G13, Schedule!$B:$B,0),14)</f>
        <v>15007</v>
      </c>
      <c r="G13" t="s">
        <v>50</v>
      </c>
      <c r="H13">
        <f>INDEX(VAV_Schedule_5_21[#All], MATCH(Joined!G13, VAV_Schedule_5_21[[#All],[UNIT TAG]], 0), 9)</f>
        <v>2</v>
      </c>
      <c r="I13" t="str">
        <f t="shared" si="2"/>
        <v>WPC.VAV-2E-10</v>
      </c>
      <c r="J13" t="str">
        <f t="shared" si="5"/>
        <v>2E</v>
      </c>
      <c r="L13">
        <f>INDEX(Schedule!$A:$J, MATCH(Joined!$G13, Schedule!$B:$B, 0), 5)</f>
        <v>1050</v>
      </c>
      <c r="M13">
        <f>INDEX(Schedule!$A:$J, MATCH(Joined!$G13, Schedule!$B:$B, 0), 6)</f>
        <v>210</v>
      </c>
      <c r="R13" s="5">
        <v>12</v>
      </c>
      <c r="S13">
        <f t="shared" si="4"/>
        <v>0</v>
      </c>
      <c r="T13">
        <f t="shared" si="4"/>
        <v>0</v>
      </c>
      <c r="U13">
        <f t="shared" si="4"/>
        <v>0</v>
      </c>
      <c r="V13">
        <f t="shared" si="4"/>
        <v>0</v>
      </c>
      <c r="W13">
        <f t="shared" si="4"/>
        <v>23</v>
      </c>
      <c r="X13">
        <f t="shared" si="4"/>
        <v>21</v>
      </c>
      <c r="Z13" s="10">
        <f t="shared" si="6"/>
        <v>44</v>
      </c>
    </row>
    <row r="14" spans="1:26" x14ac:dyDescent="0.2">
      <c r="A14">
        <f>INDEX(PanelInstance!B:D, MATCH(Joined!J14, PanelInstance!D:D, FALSE), 2)</f>
        <v>150100</v>
      </c>
      <c r="B14" t="s">
        <v>291</v>
      </c>
      <c r="C14">
        <f>COUNTIF($D$3:D14, RIGHT(LEFT(A14,4),3))</f>
        <v>8</v>
      </c>
      <c r="D14" t="str">
        <f t="shared" si="0"/>
        <v>501</v>
      </c>
      <c r="E14">
        <f t="shared" si="1"/>
        <v>150108</v>
      </c>
      <c r="F14">
        <f>INDEX(Schedule!$A:$N, MATCH(Joined!$G14, Schedule!$B:$B,0),14)</f>
        <v>15006</v>
      </c>
      <c r="G14" t="s">
        <v>51</v>
      </c>
      <c r="H14">
        <f>INDEX(VAV_Schedule_5_21[#All], MATCH(Joined!G14, VAV_Schedule_5_21[[#All],[UNIT TAG]], 0), 9)</f>
        <v>2</v>
      </c>
      <c r="I14" t="str">
        <f t="shared" si="2"/>
        <v>WPC.VAV-2N-11</v>
      </c>
      <c r="J14" t="str">
        <f t="shared" si="5"/>
        <v>2N</v>
      </c>
      <c r="L14">
        <f>INDEX(Schedule!$A:$J, MATCH(Joined!$G14, Schedule!$B:$B, 0), 5)</f>
        <v>870</v>
      </c>
      <c r="M14">
        <f>INDEX(Schedule!$A:$J, MATCH(Joined!$G14, Schedule!$B:$B, 0), 6)</f>
        <v>175</v>
      </c>
      <c r="R14" s="5">
        <v>13</v>
      </c>
      <c r="S14">
        <f t="shared" si="4"/>
        <v>0</v>
      </c>
      <c r="T14">
        <f t="shared" si="4"/>
        <v>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Z14" s="10">
        <f t="shared" si="6"/>
        <v>0</v>
      </c>
    </row>
    <row r="15" spans="1:26" x14ac:dyDescent="0.2">
      <c r="A15">
        <f>INDEX(PanelInstance!B:D, MATCH(Joined!J15, PanelInstance!D:D, FALSE), 2)</f>
        <v>150200</v>
      </c>
      <c r="B15" t="s">
        <v>291</v>
      </c>
      <c r="C15">
        <f>COUNTIF($D$3:D15, RIGHT(LEFT(A15,4),3))</f>
        <v>3</v>
      </c>
      <c r="D15" t="str">
        <f t="shared" si="0"/>
        <v>502</v>
      </c>
      <c r="E15">
        <f t="shared" si="1"/>
        <v>150203</v>
      </c>
      <c r="F15">
        <f>INDEX(Schedule!$A:$N, MATCH(Joined!$G15, Schedule!$B:$B,0),14)</f>
        <v>15007</v>
      </c>
      <c r="G15" t="s">
        <v>52</v>
      </c>
      <c r="H15">
        <f>INDEX(VAV_Schedule_5_21[#All], MATCH(Joined!G15, VAV_Schedule_5_21[[#All],[UNIT TAG]], 0), 9)</f>
        <v>2</v>
      </c>
      <c r="I15" t="str">
        <f t="shared" si="2"/>
        <v>WPC.VAV-2E-12</v>
      </c>
      <c r="J15" t="str">
        <f t="shared" si="5"/>
        <v>2E</v>
      </c>
      <c r="L15">
        <f>INDEX(Schedule!$A:$J, MATCH(Joined!$G15, Schedule!$B:$B, 0), 5)</f>
        <v>700</v>
      </c>
      <c r="M15">
        <f>INDEX(Schedule!$A:$J, MATCH(Joined!$G15, Schedule!$B:$B, 0), 6)</f>
        <v>140</v>
      </c>
      <c r="R15" s="5">
        <v>14</v>
      </c>
      <c r="S15">
        <f t="shared" si="4"/>
        <v>0</v>
      </c>
      <c r="T15">
        <f t="shared" si="4"/>
        <v>0</v>
      </c>
      <c r="U15">
        <f t="shared" si="4"/>
        <v>0</v>
      </c>
      <c r="V15">
        <f t="shared" si="4"/>
        <v>0</v>
      </c>
      <c r="W15">
        <f t="shared" si="4"/>
        <v>22</v>
      </c>
      <c r="X15">
        <f t="shared" si="4"/>
        <v>21</v>
      </c>
      <c r="Z15" s="10">
        <f t="shared" si="6"/>
        <v>43</v>
      </c>
    </row>
    <row r="16" spans="1:26" ht="13.5" thickBot="1" x14ac:dyDescent="0.25">
      <c r="A16">
        <f>INDEX(PanelInstance!B:D, MATCH(Joined!J16, PanelInstance!D:D, FALSE), 2)</f>
        <v>150200</v>
      </c>
      <c r="B16" t="s">
        <v>291</v>
      </c>
      <c r="C16">
        <f>COUNTIF($D$3:D16, RIGHT(LEFT(A16,4),3))</f>
        <v>4</v>
      </c>
      <c r="D16" t="str">
        <f t="shared" si="0"/>
        <v>502</v>
      </c>
      <c r="E16">
        <f t="shared" si="1"/>
        <v>150204</v>
      </c>
      <c r="F16">
        <f>INDEX(Schedule!$A:$N, MATCH(Joined!$G16, Schedule!$B:$B,0),14)</f>
        <v>15007</v>
      </c>
      <c r="G16" t="s">
        <v>53</v>
      </c>
      <c r="H16">
        <f>INDEX(VAV_Schedule_5_21[#All], MATCH(Joined!G16, VAV_Schedule_5_21[[#All],[UNIT TAG]], 0), 9)</f>
        <v>2</v>
      </c>
      <c r="I16" t="str">
        <f t="shared" si="2"/>
        <v>WPC.VAV-2E-13</v>
      </c>
      <c r="J16" t="str">
        <f t="shared" si="5"/>
        <v>2E</v>
      </c>
      <c r="L16">
        <f>INDEX(Schedule!$A:$J, MATCH(Joined!$G16, Schedule!$B:$B, 0), 5)</f>
        <v>1090</v>
      </c>
      <c r="M16">
        <f>INDEX(Schedule!$A:$J, MATCH(Joined!$G16, Schedule!$B:$B, 0), 6)</f>
        <v>220</v>
      </c>
      <c r="R16" s="5">
        <v>15</v>
      </c>
      <c r="S16">
        <f t="shared" si="4"/>
        <v>0</v>
      </c>
      <c r="T16">
        <f t="shared" si="4"/>
        <v>0</v>
      </c>
      <c r="U16">
        <f t="shared" si="4"/>
        <v>0</v>
      </c>
      <c r="V16">
        <f t="shared" si="4"/>
        <v>0</v>
      </c>
      <c r="W16">
        <f t="shared" si="4"/>
        <v>34</v>
      </c>
      <c r="X16">
        <f t="shared" si="4"/>
        <v>7</v>
      </c>
      <c r="Z16" s="11">
        <f t="shared" si="6"/>
        <v>41</v>
      </c>
    </row>
    <row r="17" spans="1:24" ht="13.5" thickBot="1" x14ac:dyDescent="0.25">
      <c r="A17">
        <f>INDEX(PanelInstance!B:D, MATCH(Joined!J17, PanelInstance!D:D, FALSE), 2)</f>
        <v>150200</v>
      </c>
      <c r="B17" t="s">
        <v>291</v>
      </c>
      <c r="C17">
        <f>COUNTIF($D$3:D17, RIGHT(LEFT(A17,4),3))</f>
        <v>5</v>
      </c>
      <c r="D17" t="str">
        <f t="shared" si="0"/>
        <v>502</v>
      </c>
      <c r="E17">
        <f t="shared" si="1"/>
        <v>150205</v>
      </c>
      <c r="F17">
        <f>INDEX(Schedule!$A:$N, MATCH(Joined!$G17, Schedule!$B:$B,0),14)</f>
        <v>15006</v>
      </c>
      <c r="G17" t="s">
        <v>54</v>
      </c>
      <c r="H17">
        <f>INDEX(VAV_Schedule_5_21[#All], MATCH(Joined!G17, VAV_Schedule_5_21[[#All],[UNIT TAG]], 0), 9)</f>
        <v>2</v>
      </c>
      <c r="I17" t="str">
        <f t="shared" si="2"/>
        <v>WPC.VAV-2E-14</v>
      </c>
      <c r="J17" t="str">
        <f t="shared" si="5"/>
        <v>2E</v>
      </c>
      <c r="L17">
        <f>INDEX(Schedule!$A:$J, MATCH(Joined!$G17, Schedule!$B:$B, 0), 5)</f>
        <v>1170</v>
      </c>
      <c r="M17">
        <f>INDEX(Schedule!$A:$J, MATCH(Joined!$G17, Schedule!$B:$B, 0), 6)</f>
        <v>235</v>
      </c>
    </row>
    <row r="18" spans="1:24" ht="13.5" thickBot="1" x14ac:dyDescent="0.25">
      <c r="A18">
        <f>INDEX(PanelInstance!B:D, MATCH(Joined!J18, PanelInstance!D:D, FALSE), 2)</f>
        <v>150200</v>
      </c>
      <c r="B18" t="s">
        <v>291</v>
      </c>
      <c r="C18">
        <f>COUNTIF($D$3:D18, RIGHT(LEFT(A18,4),3))</f>
        <v>6</v>
      </c>
      <c r="D18" t="str">
        <f t="shared" si="0"/>
        <v>502</v>
      </c>
      <c r="E18">
        <f t="shared" si="1"/>
        <v>150206</v>
      </c>
      <c r="F18">
        <f>INDEX(Schedule!$A:$N, MATCH(Joined!$G18, Schedule!$B:$B,0),14)</f>
        <v>15007</v>
      </c>
      <c r="G18" t="s">
        <v>55</v>
      </c>
      <c r="H18">
        <f>INDEX(VAV_Schedule_5_21[#All], MATCH(Joined!G18, VAV_Schedule_5_21[[#All],[UNIT TAG]], 0), 9)</f>
        <v>2</v>
      </c>
      <c r="I18" t="str">
        <f t="shared" si="2"/>
        <v>WPC.VAV-2E-15</v>
      </c>
      <c r="J18" t="str">
        <f t="shared" si="5"/>
        <v>2E</v>
      </c>
      <c r="L18">
        <f>INDEX(Schedule!$A:$J, MATCH(Joined!$G18, Schedule!$B:$B, 0), 5)</f>
        <v>1010</v>
      </c>
      <c r="M18">
        <f>INDEX(Schedule!$A:$J, MATCH(Joined!$G18, Schedule!$B:$B, 0), 6)</f>
        <v>205</v>
      </c>
      <c r="R18" t="s">
        <v>425</v>
      </c>
      <c r="S18" s="7">
        <f>SUM(S3:S16)</f>
        <v>76</v>
      </c>
      <c r="T18" s="8">
        <f t="shared" ref="T18:X18" si="7">SUM(T3:T16)</f>
        <v>69</v>
      </c>
      <c r="U18" s="8">
        <f t="shared" si="7"/>
        <v>16</v>
      </c>
      <c r="V18" s="8">
        <f t="shared" si="7"/>
        <v>10</v>
      </c>
      <c r="W18" s="8">
        <f t="shared" si="7"/>
        <v>217</v>
      </c>
      <c r="X18" s="8">
        <f t="shared" si="7"/>
        <v>182</v>
      </c>
    </row>
    <row r="19" spans="1:24" x14ac:dyDescent="0.2">
      <c r="A19">
        <f>INDEX(PanelInstance!B:D, MATCH(Joined!J19, PanelInstance!D:D, FALSE), 2)</f>
        <v>150200</v>
      </c>
      <c r="B19" t="s">
        <v>291</v>
      </c>
      <c r="C19">
        <f>COUNTIF($D$3:D19, RIGHT(LEFT(A19,4),3))</f>
        <v>7</v>
      </c>
      <c r="D19" t="str">
        <f t="shared" si="0"/>
        <v>502</v>
      </c>
      <c r="E19">
        <f t="shared" si="1"/>
        <v>150207</v>
      </c>
      <c r="F19">
        <f>INDEX(Schedule!$A:$N, MATCH(Joined!$G19, Schedule!$B:$B,0),14)</f>
        <v>15006</v>
      </c>
      <c r="G19" t="s">
        <v>56</v>
      </c>
      <c r="H19">
        <f>INDEX(VAV_Schedule_5_21[#All], MATCH(Joined!G19, VAV_Schedule_5_21[[#All],[UNIT TAG]], 0), 9)</f>
        <v>2</v>
      </c>
      <c r="I19" t="str">
        <f t="shared" si="2"/>
        <v>WPC.VAV-2E-16</v>
      </c>
      <c r="J19" t="str">
        <f t="shared" si="5"/>
        <v>2E</v>
      </c>
      <c r="L19">
        <f>INDEX(Schedule!$A:$J, MATCH(Joined!$G19, Schedule!$B:$B, 0), 5)</f>
        <v>400</v>
      </c>
      <c r="M19">
        <f>INDEX(Schedule!$A:$J, MATCH(Joined!$G19, Schedule!$B:$B, 0), 6)</f>
        <v>80</v>
      </c>
      <c r="S19">
        <v>15007</v>
      </c>
      <c r="T19">
        <v>15006</v>
      </c>
      <c r="U19">
        <v>15009</v>
      </c>
      <c r="V19">
        <v>15008</v>
      </c>
      <c r="W19">
        <v>15011</v>
      </c>
      <c r="X19">
        <v>15010</v>
      </c>
    </row>
    <row r="20" spans="1:24" x14ac:dyDescent="0.2">
      <c r="A20">
        <f>INDEX(PanelInstance!B:D, MATCH(Joined!J20, PanelInstance!D:D, FALSE), 2)</f>
        <v>150200</v>
      </c>
      <c r="B20" t="s">
        <v>291</v>
      </c>
      <c r="C20">
        <f>COUNTIF($D$3:D20, RIGHT(LEFT(A20,4),3))</f>
        <v>8</v>
      </c>
      <c r="D20" t="str">
        <f t="shared" si="0"/>
        <v>502</v>
      </c>
      <c r="E20">
        <f t="shared" si="1"/>
        <v>150208</v>
      </c>
      <c r="F20">
        <f>INDEX(Schedule!$A:$N, MATCH(Joined!$G20, Schedule!$B:$B,0),14)</f>
        <v>15006</v>
      </c>
      <c r="G20" t="s">
        <v>57</v>
      </c>
      <c r="H20">
        <f>INDEX(VAV_Schedule_5_21[#All], MATCH(Joined!G20, VAV_Schedule_5_21[[#All],[UNIT TAG]], 0), 9)</f>
        <v>2</v>
      </c>
      <c r="I20" t="str">
        <f t="shared" si="2"/>
        <v>WPC.VAV-2E-17</v>
      </c>
      <c r="J20" t="str">
        <f t="shared" si="5"/>
        <v>2E</v>
      </c>
      <c r="L20">
        <f>INDEX(Schedule!$A:$J, MATCH(Joined!$G20, Schedule!$B:$B, 0), 5)</f>
        <v>1275</v>
      </c>
      <c r="M20">
        <f>INDEX(Schedule!$A:$J, MATCH(Joined!$G20, Schedule!$B:$B, 0), 6)</f>
        <v>255</v>
      </c>
      <c r="S20">
        <f>76+16</f>
        <v>92</v>
      </c>
    </row>
    <row r="21" spans="1:24" x14ac:dyDescent="0.2">
      <c r="A21">
        <f>INDEX(PanelInstance!B:D, MATCH(Joined!J21, PanelInstance!D:D, FALSE), 2)</f>
        <v>150200</v>
      </c>
      <c r="B21" t="s">
        <v>291</v>
      </c>
      <c r="C21">
        <f>COUNTIF($D$3:D21, RIGHT(LEFT(A21,4),3))</f>
        <v>9</v>
      </c>
      <c r="D21" t="str">
        <f t="shared" si="0"/>
        <v>502</v>
      </c>
      <c r="E21">
        <f t="shared" si="1"/>
        <v>150209</v>
      </c>
      <c r="F21">
        <f>INDEX(Schedule!$A:$N, MATCH(Joined!$G21, Schedule!$B:$B,0),14)</f>
        <v>15007</v>
      </c>
      <c r="G21" t="s">
        <v>58</v>
      </c>
      <c r="H21">
        <f>INDEX(VAV_Schedule_5_21[#All], MATCH(Joined!G21, VAV_Schedule_5_21[[#All],[UNIT TAG]], 0), 9)</f>
        <v>2</v>
      </c>
      <c r="I21" t="str">
        <f t="shared" si="2"/>
        <v>WPC.VAV-2E-18</v>
      </c>
      <c r="J21" t="str">
        <f t="shared" si="5"/>
        <v>2E</v>
      </c>
      <c r="L21">
        <f>INDEX(Schedule!$A:$J, MATCH(Joined!$G21, Schedule!$B:$B, 0), 5)</f>
        <v>640</v>
      </c>
      <c r="M21">
        <f>INDEX(Schedule!$A:$J, MATCH(Joined!$G21, Schedule!$B:$B, 0), 6)</f>
        <v>130</v>
      </c>
    </row>
    <row r="22" spans="1:24" x14ac:dyDescent="0.2">
      <c r="A22">
        <f>INDEX(PanelInstance!B:D, MATCH(Joined!J22, PanelInstance!D:D, FALSE), 2)</f>
        <v>150200</v>
      </c>
      <c r="B22" t="s">
        <v>291</v>
      </c>
      <c r="C22">
        <f>COUNTIF($D$3:D22, RIGHT(LEFT(A22,4),3))</f>
        <v>10</v>
      </c>
      <c r="D22" t="str">
        <f t="shared" si="0"/>
        <v>502</v>
      </c>
      <c r="E22">
        <f t="shared" si="1"/>
        <v>150210</v>
      </c>
      <c r="F22">
        <f>INDEX(Schedule!$A:$N, MATCH(Joined!$G22, Schedule!$B:$B,0),14)</f>
        <v>15007</v>
      </c>
      <c r="G22" t="s">
        <v>59</v>
      </c>
      <c r="H22">
        <f>INDEX(VAV_Schedule_5_21[#All], MATCH(Joined!G22, VAV_Schedule_5_21[[#All],[UNIT TAG]], 0), 9)</f>
        <v>2</v>
      </c>
      <c r="I22" t="str">
        <f t="shared" si="2"/>
        <v>WPC.VAV-2E-19</v>
      </c>
      <c r="J22" t="str">
        <f t="shared" si="5"/>
        <v>2E</v>
      </c>
      <c r="L22">
        <f>INDEX(Schedule!$A:$J, MATCH(Joined!$G22, Schedule!$B:$B, 0), 5)</f>
        <v>960</v>
      </c>
      <c r="M22">
        <f>INDEX(Schedule!$A:$J, MATCH(Joined!$G22, Schedule!$B:$B, 0), 6)</f>
        <v>195</v>
      </c>
    </row>
    <row r="23" spans="1:24" x14ac:dyDescent="0.2">
      <c r="A23">
        <f>INDEX(PanelInstance!B:D, MATCH(Joined!J23, PanelInstance!D:D, FALSE), 2)</f>
        <v>150200</v>
      </c>
      <c r="B23" t="s">
        <v>291</v>
      </c>
      <c r="C23">
        <f>COUNTIF($D$3:D23, RIGHT(LEFT(A23,4),3))</f>
        <v>11</v>
      </c>
      <c r="D23" t="str">
        <f t="shared" si="0"/>
        <v>502</v>
      </c>
      <c r="E23">
        <f t="shared" si="1"/>
        <v>150211</v>
      </c>
      <c r="F23">
        <f>INDEX(Schedule!$A:$N, MATCH(Joined!$G23, Schedule!$B:$B,0),14)</f>
        <v>15007</v>
      </c>
      <c r="G23" t="s">
        <v>60</v>
      </c>
      <c r="H23">
        <f>INDEX(VAV_Schedule_5_21[#All], MATCH(Joined!G23, VAV_Schedule_5_21[[#All],[UNIT TAG]], 0), 9)</f>
        <v>2</v>
      </c>
      <c r="I23" t="str">
        <f t="shared" si="2"/>
        <v>WPC.VAV-2E-20</v>
      </c>
      <c r="J23" t="str">
        <f t="shared" si="5"/>
        <v>2E</v>
      </c>
      <c r="L23">
        <f>INDEX(Schedule!$A:$J, MATCH(Joined!$G23, Schedule!$B:$B, 0), 5)</f>
        <v>875</v>
      </c>
      <c r="M23">
        <f>INDEX(Schedule!$A:$J, MATCH(Joined!$G23, Schedule!$B:$B, 0), 6)</f>
        <v>175</v>
      </c>
    </row>
    <row r="24" spans="1:24" x14ac:dyDescent="0.2">
      <c r="A24">
        <f>INDEX(PanelInstance!B:D, MATCH(Joined!J24, PanelInstance!D:D, FALSE), 2)</f>
        <v>150300</v>
      </c>
      <c r="B24" t="s">
        <v>291</v>
      </c>
      <c r="C24">
        <f>COUNTIF($D$3:D24, RIGHT(LEFT(A24,4),3))</f>
        <v>3</v>
      </c>
      <c r="D24" t="str">
        <f t="shared" si="0"/>
        <v>503</v>
      </c>
      <c r="E24">
        <f t="shared" si="1"/>
        <v>150303</v>
      </c>
      <c r="F24">
        <f>INDEX(Schedule!$A:$N, MATCH(Joined!$G24, Schedule!$B:$B,0),14)</f>
        <v>15006</v>
      </c>
      <c r="G24" t="s">
        <v>61</v>
      </c>
      <c r="H24">
        <f>INDEX(VAV_Schedule_5_21[#All], MATCH(Joined!G24, VAV_Schedule_5_21[[#All],[UNIT TAG]], 0), 9)</f>
        <v>2</v>
      </c>
      <c r="I24" t="str">
        <f t="shared" si="2"/>
        <v>WPC.VAV-2W-21</v>
      </c>
      <c r="J24" t="str">
        <f t="shared" si="5"/>
        <v>2W</v>
      </c>
      <c r="L24">
        <f>INDEX(Schedule!$A:$J, MATCH(Joined!$G24, Schedule!$B:$B, 0), 5)</f>
        <v>840</v>
      </c>
      <c r="M24">
        <f>INDEX(Schedule!$A:$J, MATCH(Joined!$G24, Schedule!$B:$B, 0), 6)</f>
        <v>170</v>
      </c>
    </row>
    <row r="25" spans="1:24" x14ac:dyDescent="0.2">
      <c r="A25">
        <f>INDEX(PanelInstance!B:D, MATCH(Joined!J25, PanelInstance!D:D, FALSE), 2)</f>
        <v>150300</v>
      </c>
      <c r="B25" t="s">
        <v>291</v>
      </c>
      <c r="C25">
        <f>COUNTIF($D$3:D25, RIGHT(LEFT(A25,4),3))</f>
        <v>4</v>
      </c>
      <c r="D25" t="str">
        <f t="shared" si="0"/>
        <v>503</v>
      </c>
      <c r="E25">
        <f t="shared" si="1"/>
        <v>150304</v>
      </c>
      <c r="F25">
        <f>INDEX(Schedule!$A:$N, MATCH(Joined!$G25, Schedule!$B:$B,0),14)</f>
        <v>15007</v>
      </c>
      <c r="G25" t="s">
        <v>62</v>
      </c>
      <c r="H25">
        <f>INDEX(VAV_Schedule_5_21[#All], MATCH(Joined!G25, VAV_Schedule_5_21[[#All],[UNIT TAG]], 0), 9)</f>
        <v>2</v>
      </c>
      <c r="I25" t="str">
        <f t="shared" si="2"/>
        <v>WPC.VAV-2W-22</v>
      </c>
      <c r="J25" t="str">
        <f t="shared" si="5"/>
        <v>2W</v>
      </c>
      <c r="L25">
        <f>INDEX(Schedule!$A:$J, MATCH(Joined!$G25, Schedule!$B:$B, 0), 5)</f>
        <v>875</v>
      </c>
      <c r="M25">
        <f>INDEX(Schedule!$A:$J, MATCH(Joined!$G25, Schedule!$B:$B, 0), 6)</f>
        <v>175</v>
      </c>
    </row>
    <row r="26" spans="1:24" x14ac:dyDescent="0.2">
      <c r="A26">
        <f>INDEX(PanelInstance!B:D, MATCH(Joined!J26, PanelInstance!D:D, FALSE), 2)</f>
        <v>150300</v>
      </c>
      <c r="B26" t="s">
        <v>291</v>
      </c>
      <c r="C26">
        <f>COUNTIF($D$3:D26, RIGHT(LEFT(A26,4),3))</f>
        <v>5</v>
      </c>
      <c r="D26" t="str">
        <f t="shared" si="0"/>
        <v>503</v>
      </c>
      <c r="E26">
        <f t="shared" si="1"/>
        <v>150305</v>
      </c>
      <c r="F26">
        <f>INDEX(Schedule!$A:$N, MATCH(Joined!$G26, Schedule!$B:$B,0),14)</f>
        <v>15007</v>
      </c>
      <c r="G26" t="s">
        <v>63</v>
      </c>
      <c r="H26">
        <f>INDEX(VAV_Schedule_5_21[#All], MATCH(Joined!G26, VAV_Schedule_5_21[[#All],[UNIT TAG]], 0), 9)</f>
        <v>2</v>
      </c>
      <c r="I26" t="str">
        <f t="shared" si="2"/>
        <v>WPC.VAV-2W-23</v>
      </c>
      <c r="J26" t="str">
        <f t="shared" si="5"/>
        <v>2W</v>
      </c>
      <c r="L26">
        <f>INDEX(Schedule!$A:$J, MATCH(Joined!$G26, Schedule!$B:$B, 0), 5)</f>
        <v>960</v>
      </c>
      <c r="M26">
        <f>INDEX(Schedule!$A:$J, MATCH(Joined!$G26, Schedule!$B:$B, 0), 6)</f>
        <v>195</v>
      </c>
    </row>
    <row r="27" spans="1:24" x14ac:dyDescent="0.2">
      <c r="A27">
        <f>INDEX(PanelInstance!B:D, MATCH(Joined!J27, PanelInstance!D:D, FALSE), 2)</f>
        <v>150300</v>
      </c>
      <c r="B27" t="s">
        <v>291</v>
      </c>
      <c r="C27">
        <f>COUNTIF($D$3:D27, RIGHT(LEFT(A27,4),3))</f>
        <v>6</v>
      </c>
      <c r="D27" t="str">
        <f t="shared" si="0"/>
        <v>503</v>
      </c>
      <c r="E27">
        <f t="shared" si="1"/>
        <v>150306</v>
      </c>
      <c r="F27">
        <f>INDEX(Schedule!$A:$N, MATCH(Joined!$G27, Schedule!$B:$B,0),14)</f>
        <v>15007</v>
      </c>
      <c r="G27" t="s">
        <v>64</v>
      </c>
      <c r="H27">
        <f>INDEX(VAV_Schedule_5_21[#All], MATCH(Joined!G27, VAV_Schedule_5_21[[#All],[UNIT TAG]], 0), 9)</f>
        <v>2</v>
      </c>
      <c r="I27" t="str">
        <f t="shared" si="2"/>
        <v>WPC.VAV-2W-24</v>
      </c>
      <c r="J27" t="str">
        <f t="shared" si="5"/>
        <v>2W</v>
      </c>
      <c r="L27">
        <f>INDEX(Schedule!$A:$J, MATCH(Joined!$G27, Schedule!$B:$B, 0), 5)</f>
        <v>700</v>
      </c>
      <c r="M27">
        <f>INDEX(Schedule!$A:$J, MATCH(Joined!$G27, Schedule!$B:$B, 0), 6)</f>
        <v>140</v>
      </c>
    </row>
    <row r="28" spans="1:24" x14ac:dyDescent="0.2">
      <c r="A28">
        <f>INDEX(PanelInstance!B:D, MATCH(Joined!J28, PanelInstance!D:D, FALSE), 2)</f>
        <v>150300</v>
      </c>
      <c r="B28" t="s">
        <v>291</v>
      </c>
      <c r="C28">
        <f>COUNTIF($D$3:D28, RIGHT(LEFT(A28,4),3))</f>
        <v>7</v>
      </c>
      <c r="D28" t="str">
        <f t="shared" si="0"/>
        <v>503</v>
      </c>
      <c r="E28">
        <f t="shared" si="1"/>
        <v>150307</v>
      </c>
      <c r="F28">
        <f>INDEX(Schedule!$A:$N, MATCH(Joined!$G28, Schedule!$B:$B,0),14)</f>
        <v>15006</v>
      </c>
      <c r="G28" t="s">
        <v>65</v>
      </c>
      <c r="H28">
        <f>INDEX(VAV_Schedule_5_21[#All], MATCH(Joined!G28, VAV_Schedule_5_21[[#All],[UNIT TAG]], 0), 9)</f>
        <v>2</v>
      </c>
      <c r="I28" t="str">
        <f t="shared" si="2"/>
        <v>WPC.VAV-2W-25</v>
      </c>
      <c r="J28" t="str">
        <f t="shared" si="5"/>
        <v>2W</v>
      </c>
      <c r="L28">
        <f>INDEX(Schedule!$A:$J, MATCH(Joined!$G28, Schedule!$B:$B, 0), 5)</f>
        <v>650</v>
      </c>
      <c r="M28">
        <f>INDEX(Schedule!$A:$J, MATCH(Joined!$G28, Schedule!$B:$B, 0), 6)</f>
        <v>130</v>
      </c>
    </row>
    <row r="29" spans="1:24" x14ac:dyDescent="0.2">
      <c r="A29">
        <f>INDEX(PanelInstance!B:D, MATCH(Joined!J29, PanelInstance!D:D, FALSE), 2)</f>
        <v>150300</v>
      </c>
      <c r="B29" t="s">
        <v>291</v>
      </c>
      <c r="C29">
        <f>COUNTIF($D$3:D29, RIGHT(LEFT(A29,4),3))</f>
        <v>8</v>
      </c>
      <c r="D29" t="str">
        <f t="shared" si="0"/>
        <v>503</v>
      </c>
      <c r="E29">
        <f t="shared" si="1"/>
        <v>150308</v>
      </c>
      <c r="F29">
        <f>INDEX(Schedule!$A:$N, MATCH(Joined!$G29, Schedule!$B:$B,0),14)</f>
        <v>15006</v>
      </c>
      <c r="G29" t="s">
        <v>66</v>
      </c>
      <c r="H29">
        <f>INDEX(VAV_Schedule_5_21[#All], MATCH(Joined!G29, VAV_Schedule_5_21[[#All],[UNIT TAG]], 0), 9)</f>
        <v>2</v>
      </c>
      <c r="I29" t="str">
        <f t="shared" si="2"/>
        <v>WPC.VAV-2W-26</v>
      </c>
      <c r="J29" t="str">
        <f t="shared" si="5"/>
        <v>2W</v>
      </c>
      <c r="L29">
        <f>INDEX(Schedule!$A:$J, MATCH(Joined!$G29, Schedule!$B:$B, 0), 5)</f>
        <v>300</v>
      </c>
      <c r="M29">
        <f>INDEX(Schedule!$A:$J, MATCH(Joined!$G29, Schedule!$B:$B, 0), 6)</f>
        <v>60</v>
      </c>
    </row>
    <row r="30" spans="1:24" x14ac:dyDescent="0.2">
      <c r="A30">
        <f>INDEX(PanelInstance!B:D, MATCH(Joined!J30, PanelInstance!D:D, FALSE), 2)</f>
        <v>150300</v>
      </c>
      <c r="B30" t="s">
        <v>291</v>
      </c>
      <c r="C30">
        <f>COUNTIF($D$3:D30, RIGHT(LEFT(A30,4),3))</f>
        <v>9</v>
      </c>
      <c r="D30" t="str">
        <f t="shared" si="0"/>
        <v>503</v>
      </c>
      <c r="E30">
        <f t="shared" si="1"/>
        <v>150309</v>
      </c>
      <c r="F30">
        <f>INDEX(Schedule!$A:$N, MATCH(Joined!$G30, Schedule!$B:$B,0),14)</f>
        <v>15006</v>
      </c>
      <c r="G30" t="s">
        <v>67</v>
      </c>
      <c r="H30">
        <f>INDEX(VAV_Schedule_5_21[#All], MATCH(Joined!G30, VAV_Schedule_5_21[[#All],[UNIT TAG]], 0), 9)</f>
        <v>2</v>
      </c>
      <c r="I30" t="str">
        <f t="shared" si="2"/>
        <v>WPC.VAV-2W-27</v>
      </c>
      <c r="J30" t="str">
        <f t="shared" si="5"/>
        <v>2W</v>
      </c>
      <c r="L30">
        <f>INDEX(Schedule!$A:$J, MATCH(Joined!$G30, Schedule!$B:$B, 0), 5)</f>
        <v>1040</v>
      </c>
      <c r="M30">
        <f>INDEX(Schedule!$A:$J, MATCH(Joined!$G30, Schedule!$B:$B, 0), 6)</f>
        <v>210</v>
      </c>
    </row>
    <row r="31" spans="1:24" x14ac:dyDescent="0.2">
      <c r="A31">
        <f>INDEX(PanelInstance!B:D, MATCH(Joined!J31, PanelInstance!D:D, FALSE), 2)</f>
        <v>150300</v>
      </c>
      <c r="B31" t="s">
        <v>291</v>
      </c>
      <c r="C31">
        <f>COUNTIF($D$3:D31, RIGHT(LEFT(A31,4),3))</f>
        <v>10</v>
      </c>
      <c r="D31" t="str">
        <f t="shared" si="0"/>
        <v>503</v>
      </c>
      <c r="E31">
        <f t="shared" si="1"/>
        <v>150310</v>
      </c>
      <c r="F31">
        <f>INDEX(Schedule!$A:$N, MATCH(Joined!$G31, Schedule!$B:$B,0),14)</f>
        <v>15007</v>
      </c>
      <c r="G31" t="s">
        <v>68</v>
      </c>
      <c r="H31">
        <f>INDEX(VAV_Schedule_5_21[#All], MATCH(Joined!G31, VAV_Schedule_5_21[[#All],[UNIT TAG]], 0), 9)</f>
        <v>2</v>
      </c>
      <c r="I31" t="str">
        <f t="shared" si="2"/>
        <v>WPC.VAV-2W-28</v>
      </c>
      <c r="J31" t="str">
        <f t="shared" si="5"/>
        <v>2W</v>
      </c>
      <c r="L31">
        <f>INDEX(Schedule!$A:$J, MATCH(Joined!$G31, Schedule!$B:$B, 0), 5)</f>
        <v>1300</v>
      </c>
      <c r="M31">
        <f>INDEX(Schedule!$A:$J, MATCH(Joined!$G31, Schedule!$B:$B, 0), 6)</f>
        <v>260</v>
      </c>
    </row>
    <row r="32" spans="1:24" x14ac:dyDescent="0.2">
      <c r="A32">
        <f>INDEX(PanelInstance!B:D, MATCH(Joined!J32, PanelInstance!D:D, FALSE), 2)</f>
        <v>150300</v>
      </c>
      <c r="B32" t="s">
        <v>291</v>
      </c>
      <c r="C32">
        <f>COUNTIF($D$3:D32, RIGHT(LEFT(A32,4),3))</f>
        <v>11</v>
      </c>
      <c r="D32" t="str">
        <f t="shared" si="0"/>
        <v>503</v>
      </c>
      <c r="E32">
        <f t="shared" si="1"/>
        <v>150311</v>
      </c>
      <c r="F32">
        <f>INDEX(Schedule!$A:$N, MATCH(Joined!$G32, Schedule!$B:$B,0),14)</f>
        <v>15007</v>
      </c>
      <c r="G32" t="s">
        <v>69</v>
      </c>
      <c r="H32">
        <f>INDEX(VAV_Schedule_5_21[#All], MATCH(Joined!G32, VAV_Schedule_5_21[[#All],[UNIT TAG]], 0), 9)</f>
        <v>2</v>
      </c>
      <c r="I32" t="str">
        <f t="shared" si="2"/>
        <v>WPC.VAV-2W-29</v>
      </c>
      <c r="J32" t="str">
        <f t="shared" si="5"/>
        <v>2W</v>
      </c>
      <c r="L32">
        <f>INDEX(Schedule!$A:$J, MATCH(Joined!$G32, Schedule!$B:$B, 0), 5)</f>
        <v>1300</v>
      </c>
      <c r="M32">
        <f>INDEX(Schedule!$A:$J, MATCH(Joined!$G32, Schedule!$B:$B, 0), 6)</f>
        <v>260</v>
      </c>
    </row>
    <row r="33" spans="1:13" x14ac:dyDescent="0.2">
      <c r="A33">
        <f>INDEX(PanelInstance!B:D, MATCH(Joined!J33, PanelInstance!D:D, FALSE), 2)</f>
        <v>150600</v>
      </c>
      <c r="B33" t="s">
        <v>291</v>
      </c>
      <c r="C33">
        <f>COUNTIF($D$3:D33, RIGHT(LEFT(A33,4),3))</f>
        <v>1</v>
      </c>
      <c r="D33" t="str">
        <f t="shared" si="0"/>
        <v>506</v>
      </c>
      <c r="E33">
        <f t="shared" si="1"/>
        <v>150601</v>
      </c>
      <c r="F33">
        <f>INDEX(Schedule!$A:$N, MATCH(Joined!$G33, Schedule!$B:$B,0),14)</f>
        <v>15007</v>
      </c>
      <c r="G33" t="s">
        <v>70</v>
      </c>
      <c r="H33">
        <f>INDEX(VAV_Schedule_5_21[#All], MATCH(Joined!G33, VAV_Schedule_5_21[[#All],[UNIT TAG]], 0), 9)</f>
        <v>3</v>
      </c>
      <c r="I33" t="str">
        <f t="shared" si="2"/>
        <v>WPC.VAV-3W-1</v>
      </c>
      <c r="J33" t="str">
        <f t="shared" si="5"/>
        <v>3W</v>
      </c>
      <c r="L33">
        <f>INDEX(Schedule!$A:$J, MATCH(Joined!$G33, Schedule!$B:$B, 0), 5)</f>
        <v>580</v>
      </c>
      <c r="M33">
        <f>INDEX(Schedule!$A:$J, MATCH(Joined!$G33, Schedule!$B:$B, 0), 6)</f>
        <v>120</v>
      </c>
    </row>
    <row r="34" spans="1:13" x14ac:dyDescent="0.2">
      <c r="A34">
        <f>INDEX(PanelInstance!B:D, MATCH(Joined!J34, PanelInstance!D:D, FALSE), 2)</f>
        <v>150600</v>
      </c>
      <c r="B34" t="s">
        <v>291</v>
      </c>
      <c r="C34">
        <f>COUNTIF($D$3:D34, RIGHT(LEFT(A34,4),3))</f>
        <v>2</v>
      </c>
      <c r="D34" t="str">
        <f t="shared" si="0"/>
        <v>506</v>
      </c>
      <c r="E34">
        <f t="shared" si="1"/>
        <v>150602</v>
      </c>
      <c r="F34">
        <f>INDEX(Schedule!$A:$N, MATCH(Joined!$G34, Schedule!$B:$B,0),14)</f>
        <v>15007</v>
      </c>
      <c r="G34" t="s">
        <v>71</v>
      </c>
      <c r="H34">
        <f>INDEX(VAV_Schedule_5_21[#All], MATCH(Joined!G34, VAV_Schedule_5_21[[#All],[UNIT TAG]], 0), 9)</f>
        <v>3</v>
      </c>
      <c r="I34" t="str">
        <f t="shared" si="2"/>
        <v>WPC.VAV-3W-2</v>
      </c>
      <c r="J34" t="str">
        <f t="shared" si="5"/>
        <v>3W</v>
      </c>
      <c r="L34">
        <f>INDEX(Schedule!$A:$J, MATCH(Joined!$G34, Schedule!$B:$B, 0), 5)</f>
        <v>540</v>
      </c>
      <c r="M34">
        <f>INDEX(Schedule!$A:$J, MATCH(Joined!$G34, Schedule!$B:$B, 0), 6)</f>
        <v>110</v>
      </c>
    </row>
    <row r="35" spans="1:13" x14ac:dyDescent="0.2">
      <c r="A35">
        <f>INDEX(PanelInstance!B:D, MATCH(Joined!J35, PanelInstance!D:D, FALSE), 2)</f>
        <v>150600</v>
      </c>
      <c r="B35" t="s">
        <v>291</v>
      </c>
      <c r="C35">
        <f>COUNTIF($D$3:D35, RIGHT(LEFT(A35,4),3))</f>
        <v>3</v>
      </c>
      <c r="D35" t="str">
        <f t="shared" si="0"/>
        <v>506</v>
      </c>
      <c r="E35">
        <f t="shared" si="1"/>
        <v>150603</v>
      </c>
      <c r="F35">
        <f>INDEX(Schedule!$A:$N, MATCH(Joined!$G35, Schedule!$B:$B,0),14)</f>
        <v>15007</v>
      </c>
      <c r="G35" t="s">
        <v>72</v>
      </c>
      <c r="H35">
        <f>INDEX(VAV_Schedule_5_21[#All], MATCH(Joined!G35, VAV_Schedule_5_21[[#All],[UNIT TAG]], 0), 9)</f>
        <v>3</v>
      </c>
      <c r="I35" t="str">
        <f t="shared" si="2"/>
        <v>WPC.VAV-3W-3</v>
      </c>
      <c r="J35" t="str">
        <f t="shared" si="5"/>
        <v>3W</v>
      </c>
      <c r="L35">
        <f>INDEX(Schedule!$A:$J, MATCH(Joined!$G35, Schedule!$B:$B, 0), 5)</f>
        <v>500</v>
      </c>
      <c r="M35">
        <f>INDEX(Schedule!$A:$J, MATCH(Joined!$G35, Schedule!$B:$B, 0), 6)</f>
        <v>100</v>
      </c>
    </row>
    <row r="36" spans="1:13" x14ac:dyDescent="0.2">
      <c r="A36">
        <f>INDEX(PanelInstance!B:D, MATCH(Joined!J36, PanelInstance!D:D, FALSE), 2)</f>
        <v>150600</v>
      </c>
      <c r="B36" t="s">
        <v>291</v>
      </c>
      <c r="C36">
        <f>COUNTIF($D$3:D36, RIGHT(LEFT(A36,4),3))</f>
        <v>4</v>
      </c>
      <c r="D36" t="str">
        <f t="shared" si="0"/>
        <v>506</v>
      </c>
      <c r="E36">
        <f t="shared" si="1"/>
        <v>150604</v>
      </c>
      <c r="F36">
        <f>INDEX(Schedule!$A:$N, MATCH(Joined!$G36, Schedule!$B:$B,0),14)</f>
        <v>15007</v>
      </c>
      <c r="G36" t="s">
        <v>73</v>
      </c>
      <c r="H36">
        <f>INDEX(VAV_Schedule_5_21[#All], MATCH(Joined!G36, VAV_Schedule_5_21[[#All],[UNIT TAG]], 0), 9)</f>
        <v>3</v>
      </c>
      <c r="I36" t="str">
        <f t="shared" si="2"/>
        <v>WPC.VAV-3W-4</v>
      </c>
      <c r="J36" t="str">
        <f t="shared" si="5"/>
        <v>3W</v>
      </c>
      <c r="L36">
        <f>INDEX(Schedule!$A:$J, MATCH(Joined!$G36, Schedule!$B:$B, 0), 5)</f>
        <v>1200</v>
      </c>
      <c r="M36">
        <f>INDEX(Schedule!$A:$J, MATCH(Joined!$G36, Schedule!$B:$B, 0), 6)</f>
        <v>240</v>
      </c>
    </row>
    <row r="37" spans="1:13" x14ac:dyDescent="0.2">
      <c r="A37">
        <f>INDEX(PanelInstance!B:D, MATCH(Joined!J37, PanelInstance!D:D, FALSE), 2)</f>
        <v>150400</v>
      </c>
      <c r="B37" t="s">
        <v>291</v>
      </c>
      <c r="C37">
        <f>COUNTIF($D$3:D37, RIGHT(LEFT(A37,4),3))</f>
        <v>1</v>
      </c>
      <c r="D37" t="str">
        <f t="shared" si="0"/>
        <v>504</v>
      </c>
      <c r="E37">
        <f t="shared" si="1"/>
        <v>150401</v>
      </c>
      <c r="F37">
        <f>INDEX(Schedule!$A:$N, MATCH(Joined!$G37, Schedule!$B:$B,0),14)</f>
        <v>15006</v>
      </c>
      <c r="G37" t="s">
        <v>74</v>
      </c>
      <c r="H37">
        <f>INDEX(VAV_Schedule_5_21[#All], MATCH(Joined!G37, VAV_Schedule_5_21[[#All],[UNIT TAG]], 0), 9)</f>
        <v>3</v>
      </c>
      <c r="I37" t="str">
        <f t="shared" si="2"/>
        <v>WPC.VAV-3N-5</v>
      </c>
      <c r="J37" t="str">
        <f t="shared" si="5"/>
        <v>3N</v>
      </c>
      <c r="L37">
        <f>INDEX(Schedule!$A:$J, MATCH(Joined!$G37, Schedule!$B:$B, 0), 5)</f>
        <v>1200</v>
      </c>
      <c r="M37">
        <f>INDEX(Schedule!$A:$J, MATCH(Joined!$G37, Schedule!$B:$B, 0), 6)</f>
        <v>240</v>
      </c>
    </row>
    <row r="38" spans="1:13" x14ac:dyDescent="0.2">
      <c r="A38">
        <f>INDEX(PanelInstance!B:D, MATCH(Joined!J38, PanelInstance!D:D, FALSE), 2)</f>
        <v>150400</v>
      </c>
      <c r="B38" t="s">
        <v>291</v>
      </c>
      <c r="C38">
        <f>COUNTIF($D$3:D38, RIGHT(LEFT(A38,4),3))</f>
        <v>2</v>
      </c>
      <c r="D38" t="str">
        <f t="shared" si="0"/>
        <v>504</v>
      </c>
      <c r="E38">
        <f t="shared" si="1"/>
        <v>150402</v>
      </c>
      <c r="F38">
        <f>INDEX(Schedule!$A:$N, MATCH(Joined!$G38, Schedule!$B:$B,0),14)</f>
        <v>15006</v>
      </c>
      <c r="G38" t="s">
        <v>75</v>
      </c>
      <c r="H38">
        <f>INDEX(VAV_Schedule_5_21[#All], MATCH(Joined!G38, VAV_Schedule_5_21[[#All],[UNIT TAG]], 0), 9)</f>
        <v>3</v>
      </c>
      <c r="I38" t="str">
        <f t="shared" si="2"/>
        <v>WPC.VAV-3N-6</v>
      </c>
      <c r="J38" t="str">
        <f t="shared" si="5"/>
        <v>3N</v>
      </c>
      <c r="L38">
        <f>INDEX(Schedule!$A:$J, MATCH(Joined!$G38, Schedule!$B:$B, 0), 5)</f>
        <v>950</v>
      </c>
      <c r="M38">
        <f>INDEX(Schedule!$A:$J, MATCH(Joined!$G38, Schedule!$B:$B, 0), 6)</f>
        <v>190</v>
      </c>
    </row>
    <row r="39" spans="1:13" x14ac:dyDescent="0.2">
      <c r="A39">
        <f>INDEX(PanelInstance!B:D, MATCH(Joined!J39, PanelInstance!D:D, FALSE), 2)</f>
        <v>150400</v>
      </c>
      <c r="B39" t="s">
        <v>291</v>
      </c>
      <c r="C39">
        <f>COUNTIF($D$3:D39, RIGHT(LEFT(A39,4),3))</f>
        <v>3</v>
      </c>
      <c r="D39" t="str">
        <f t="shared" si="0"/>
        <v>504</v>
      </c>
      <c r="E39">
        <f t="shared" si="1"/>
        <v>150403</v>
      </c>
      <c r="F39">
        <f>INDEX(Schedule!$A:$N, MATCH(Joined!$G39, Schedule!$B:$B,0),14)</f>
        <v>15006</v>
      </c>
      <c r="G39" t="s">
        <v>76</v>
      </c>
      <c r="H39">
        <f>INDEX(VAV_Schedule_5_21[#All], MATCH(Joined!G39, VAV_Schedule_5_21[[#All],[UNIT TAG]], 0), 9)</f>
        <v>3</v>
      </c>
      <c r="I39" t="str">
        <f t="shared" si="2"/>
        <v>WPC.VAV-3N-7</v>
      </c>
      <c r="J39" t="str">
        <f t="shared" si="5"/>
        <v>3N</v>
      </c>
      <c r="L39">
        <f>INDEX(Schedule!$A:$J, MATCH(Joined!$G39, Schedule!$B:$B, 0), 5)</f>
        <v>1090</v>
      </c>
      <c r="M39">
        <f>INDEX(Schedule!$A:$J, MATCH(Joined!$G39, Schedule!$B:$B, 0), 6)</f>
        <v>220</v>
      </c>
    </row>
    <row r="40" spans="1:13" x14ac:dyDescent="0.2">
      <c r="A40">
        <f>INDEX(PanelInstance!B:D, MATCH(Joined!J40, PanelInstance!D:D, FALSE), 2)</f>
        <v>150400</v>
      </c>
      <c r="B40" t="s">
        <v>291</v>
      </c>
      <c r="C40">
        <f>COUNTIF($D$3:D40, RIGHT(LEFT(A40,4),3))</f>
        <v>4</v>
      </c>
      <c r="D40" t="str">
        <f t="shared" si="0"/>
        <v>504</v>
      </c>
      <c r="E40">
        <f t="shared" si="1"/>
        <v>150404</v>
      </c>
      <c r="F40">
        <f>INDEX(Schedule!$A:$N, MATCH(Joined!$G40, Schedule!$B:$B,0),14)</f>
        <v>15006</v>
      </c>
      <c r="G40" s="20" t="s">
        <v>635</v>
      </c>
      <c r="H40">
        <f>INDEX(VAV_Schedule_5_21[#All], MATCH(Joined!G40, VAV_Schedule_5_21[[#All],[UNIT TAG]], 0), 9)</f>
        <v>3</v>
      </c>
      <c r="I40" t="str">
        <f t="shared" si="2"/>
        <v>WPC.VAV-3N-7A</v>
      </c>
      <c r="J40" t="str">
        <f t="shared" si="5"/>
        <v>3N</v>
      </c>
      <c r="L40">
        <f>INDEX(Schedule!$A:$J, MATCH(Joined!$G40, Schedule!$B:$B, 0), 5)</f>
        <v>550</v>
      </c>
      <c r="M40">
        <f>INDEX(Schedule!$A:$J, MATCH(Joined!$G40, Schedule!$B:$B, 0), 6)</f>
        <v>110</v>
      </c>
    </row>
    <row r="41" spans="1:13" x14ac:dyDescent="0.2">
      <c r="A41">
        <f>INDEX(PanelInstance!B:D, MATCH(Joined!J41, PanelInstance!D:D, FALSE), 2)</f>
        <v>150400</v>
      </c>
      <c r="B41" t="s">
        <v>291</v>
      </c>
      <c r="C41">
        <f>COUNTIF($D$3:D41, RIGHT(LEFT(A41,4),3))</f>
        <v>5</v>
      </c>
      <c r="D41" t="str">
        <f t="shared" si="0"/>
        <v>504</v>
      </c>
      <c r="E41">
        <f t="shared" si="1"/>
        <v>150405</v>
      </c>
      <c r="F41">
        <f>INDEX(Schedule!$A:$N, MATCH(Joined!$G41, Schedule!$B:$B,0),14)</f>
        <v>15008</v>
      </c>
      <c r="G41" t="s">
        <v>77</v>
      </c>
      <c r="H41">
        <f>INDEX(VAV_Schedule_5_21[#All], MATCH(Joined!G41, VAV_Schedule_5_21[[#All],[UNIT TAG]], 0), 9)</f>
        <v>3</v>
      </c>
      <c r="I41" t="str">
        <f t="shared" si="2"/>
        <v>WPC.VAV-3N-8</v>
      </c>
      <c r="J41" t="str">
        <f t="shared" si="5"/>
        <v>3N</v>
      </c>
      <c r="L41">
        <f>INDEX(Schedule!$A:$J, MATCH(Joined!$G41, Schedule!$B:$B, 0), 5)</f>
        <v>1060</v>
      </c>
      <c r="M41">
        <f>INDEX(Schedule!$A:$J, MATCH(Joined!$G41, Schedule!$B:$B, 0), 6)</f>
        <v>0</v>
      </c>
    </row>
    <row r="42" spans="1:13" x14ac:dyDescent="0.2">
      <c r="A42">
        <f>INDEX(PanelInstance!B:D, MATCH(Joined!J42, PanelInstance!D:D, FALSE), 2)</f>
        <v>150400</v>
      </c>
      <c r="B42" t="s">
        <v>291</v>
      </c>
      <c r="C42">
        <f>COUNTIF($D$3:D42, RIGHT(LEFT(A42,4),3))</f>
        <v>6</v>
      </c>
      <c r="D42" t="str">
        <f t="shared" si="0"/>
        <v>504</v>
      </c>
      <c r="E42">
        <f t="shared" si="1"/>
        <v>150406</v>
      </c>
      <c r="F42">
        <f>INDEX(Schedule!$A:$N, MATCH(Joined!$G42, Schedule!$B:$B,0),14)</f>
        <v>15006</v>
      </c>
      <c r="G42" t="s">
        <v>78</v>
      </c>
      <c r="H42">
        <f>INDEX(VAV_Schedule_5_21[#All], MATCH(Joined!G42, VAV_Schedule_5_21[[#All],[UNIT TAG]], 0), 9)</f>
        <v>3</v>
      </c>
      <c r="I42" t="str">
        <f t="shared" si="2"/>
        <v>WPC.VAV-3N-9</v>
      </c>
      <c r="J42" t="str">
        <f t="shared" si="5"/>
        <v>3N</v>
      </c>
      <c r="L42">
        <f>INDEX(Schedule!$A:$J, MATCH(Joined!$G42, Schedule!$B:$B, 0), 5)</f>
        <v>600</v>
      </c>
      <c r="M42">
        <f>INDEX(Schedule!$A:$J, MATCH(Joined!$G42, Schedule!$B:$B, 0), 6)</f>
        <v>120</v>
      </c>
    </row>
    <row r="43" spans="1:13" x14ac:dyDescent="0.2">
      <c r="A43">
        <f>INDEX(PanelInstance!B:D, MATCH(Joined!J43, PanelInstance!D:D, FALSE), 2)</f>
        <v>150400</v>
      </c>
      <c r="B43" t="s">
        <v>291</v>
      </c>
      <c r="C43">
        <f>COUNTIF($D$3:D43, RIGHT(LEFT(A43,4),3))</f>
        <v>7</v>
      </c>
      <c r="D43" t="str">
        <f t="shared" si="0"/>
        <v>504</v>
      </c>
      <c r="E43">
        <f t="shared" si="1"/>
        <v>150407</v>
      </c>
      <c r="F43">
        <f>INDEX(Schedule!$A:$N, MATCH(Joined!$G43, Schedule!$B:$B,0),14)</f>
        <v>15006</v>
      </c>
      <c r="G43" t="s">
        <v>79</v>
      </c>
      <c r="H43">
        <f>INDEX(VAV_Schedule_5_21[#All], MATCH(Joined!G43, VAV_Schedule_5_21[[#All],[UNIT TAG]], 0), 9)</f>
        <v>3</v>
      </c>
      <c r="I43" t="str">
        <f t="shared" si="2"/>
        <v>WPC.VAV-3N-10</v>
      </c>
      <c r="J43" t="str">
        <f t="shared" si="5"/>
        <v>3N</v>
      </c>
      <c r="L43">
        <f>INDEX(Schedule!$A:$J, MATCH(Joined!$G43, Schedule!$B:$B, 0), 5)</f>
        <v>1100</v>
      </c>
      <c r="M43">
        <f>INDEX(Schedule!$A:$J, MATCH(Joined!$G43, Schedule!$B:$B, 0), 6)</f>
        <v>220</v>
      </c>
    </row>
    <row r="44" spans="1:13" x14ac:dyDescent="0.2">
      <c r="A44">
        <f>INDEX(PanelInstance!B:D, MATCH(Joined!J44, PanelInstance!D:D, FALSE), 2)</f>
        <v>150400</v>
      </c>
      <c r="B44" t="s">
        <v>291</v>
      </c>
      <c r="C44">
        <f>COUNTIF($D$3:D44, RIGHT(LEFT(A44,4),3))</f>
        <v>8</v>
      </c>
      <c r="D44" t="str">
        <f t="shared" si="0"/>
        <v>504</v>
      </c>
      <c r="E44">
        <f t="shared" si="1"/>
        <v>150408</v>
      </c>
      <c r="F44">
        <f>INDEX(Schedule!$A:$N, MATCH(Joined!$G44, Schedule!$B:$B,0),14)</f>
        <v>15006</v>
      </c>
      <c r="G44" t="s">
        <v>80</v>
      </c>
      <c r="H44">
        <f>INDEX(VAV_Schedule_5_21[#All], MATCH(Joined!G44, VAV_Schedule_5_21[[#All],[UNIT TAG]], 0), 9)</f>
        <v>3</v>
      </c>
      <c r="I44" t="str">
        <f t="shared" si="2"/>
        <v>WPC.VAV-3N-11</v>
      </c>
      <c r="J44" t="str">
        <f t="shared" si="5"/>
        <v>3N</v>
      </c>
      <c r="L44">
        <f>INDEX(Schedule!$A:$J, MATCH(Joined!$G44, Schedule!$B:$B, 0), 5)</f>
        <v>970</v>
      </c>
      <c r="M44">
        <f>INDEX(Schedule!$A:$J, MATCH(Joined!$G44, Schedule!$B:$B, 0), 6)</f>
        <v>195</v>
      </c>
    </row>
    <row r="45" spans="1:13" x14ac:dyDescent="0.2">
      <c r="A45">
        <f>INDEX(PanelInstance!B:D, MATCH(Joined!J45, PanelInstance!D:D, FALSE), 2)</f>
        <v>150500</v>
      </c>
      <c r="B45" t="s">
        <v>291</v>
      </c>
      <c r="C45">
        <f>COUNTIF($D$3:D45, RIGHT(LEFT(A45,4),3))</f>
        <v>1</v>
      </c>
      <c r="D45" t="str">
        <f t="shared" si="0"/>
        <v>505</v>
      </c>
      <c r="E45">
        <f t="shared" si="1"/>
        <v>150501</v>
      </c>
      <c r="F45">
        <f>INDEX(Schedule!$A:$N, MATCH(Joined!$G45, Schedule!$B:$B,0),14)</f>
        <v>15007</v>
      </c>
      <c r="G45" t="s">
        <v>81</v>
      </c>
      <c r="H45">
        <f>INDEX(VAV_Schedule_5_21[#All], MATCH(Joined!G45, VAV_Schedule_5_21[[#All],[UNIT TAG]], 0), 9)</f>
        <v>3</v>
      </c>
      <c r="I45" t="str">
        <f t="shared" si="2"/>
        <v>WPC.VAV-3E-12</v>
      </c>
      <c r="J45" t="str">
        <f t="shared" si="5"/>
        <v>3E</v>
      </c>
      <c r="L45">
        <f>INDEX(Schedule!$A:$J, MATCH(Joined!$G45, Schedule!$B:$B, 0), 5)</f>
        <v>1200</v>
      </c>
      <c r="M45">
        <f>INDEX(Schedule!$A:$J, MATCH(Joined!$G45, Schedule!$B:$B, 0), 6)</f>
        <v>240</v>
      </c>
    </row>
    <row r="46" spans="1:13" x14ac:dyDescent="0.2">
      <c r="A46">
        <f>INDEX(PanelInstance!B:D, MATCH(Joined!J46, PanelInstance!D:D, FALSE), 2)</f>
        <v>150500</v>
      </c>
      <c r="B46" t="s">
        <v>291</v>
      </c>
      <c r="C46">
        <f>COUNTIF($D$3:D46, RIGHT(LEFT(A46,4),3))</f>
        <v>2</v>
      </c>
      <c r="D46" t="str">
        <f t="shared" si="0"/>
        <v>505</v>
      </c>
      <c r="E46">
        <f t="shared" si="1"/>
        <v>150502</v>
      </c>
      <c r="F46">
        <f>INDEX(Schedule!$A:$N, MATCH(Joined!$G46, Schedule!$B:$B,0),14)</f>
        <v>15007</v>
      </c>
      <c r="G46" t="s">
        <v>82</v>
      </c>
      <c r="H46">
        <f>INDEX(VAV_Schedule_5_21[#All], MATCH(Joined!G46, VAV_Schedule_5_21[[#All],[UNIT TAG]], 0), 9)</f>
        <v>3</v>
      </c>
      <c r="I46" t="str">
        <f t="shared" si="2"/>
        <v>WPC.VAV-3E-13</v>
      </c>
      <c r="J46" t="str">
        <f t="shared" si="5"/>
        <v>3E</v>
      </c>
      <c r="L46">
        <f>INDEX(Schedule!$A:$J, MATCH(Joined!$G46, Schedule!$B:$B, 0), 5)</f>
        <v>570</v>
      </c>
      <c r="M46">
        <f>INDEX(Schedule!$A:$J, MATCH(Joined!$G46, Schedule!$B:$B, 0), 6)</f>
        <v>115</v>
      </c>
    </row>
    <row r="47" spans="1:13" x14ac:dyDescent="0.2">
      <c r="A47">
        <f>INDEX(PanelInstance!B:D, MATCH(Joined!J47, PanelInstance!D:D, FALSE), 2)</f>
        <v>150500</v>
      </c>
      <c r="B47" t="s">
        <v>291</v>
      </c>
      <c r="C47">
        <f>COUNTIF($D$3:D47, RIGHT(LEFT(A47,4),3))</f>
        <v>3</v>
      </c>
      <c r="D47" t="str">
        <f t="shared" si="0"/>
        <v>505</v>
      </c>
      <c r="E47">
        <f t="shared" si="1"/>
        <v>150503</v>
      </c>
      <c r="F47">
        <f>INDEX(Schedule!$A:$N, MATCH(Joined!$G47, Schedule!$B:$B,0),14)</f>
        <v>15007</v>
      </c>
      <c r="G47" t="s">
        <v>83</v>
      </c>
      <c r="H47">
        <f>INDEX(VAV_Schedule_5_21[#All], MATCH(Joined!G47, VAV_Schedule_5_21[[#All],[UNIT TAG]], 0), 9)</f>
        <v>3</v>
      </c>
      <c r="I47" t="str">
        <f t="shared" si="2"/>
        <v>WPC.VAV-3E-14</v>
      </c>
      <c r="J47" t="str">
        <f t="shared" si="5"/>
        <v>3E</v>
      </c>
      <c r="L47">
        <f>INDEX(Schedule!$A:$J, MATCH(Joined!$G47, Schedule!$B:$B, 0), 5)</f>
        <v>540</v>
      </c>
      <c r="M47">
        <f>INDEX(Schedule!$A:$J, MATCH(Joined!$G47, Schedule!$B:$B, 0), 6)</f>
        <v>110</v>
      </c>
    </row>
    <row r="48" spans="1:13" x14ac:dyDescent="0.2">
      <c r="A48">
        <f>INDEX(PanelInstance!B:D, MATCH(Joined!J48, PanelInstance!D:D, FALSE), 2)</f>
        <v>150500</v>
      </c>
      <c r="B48" t="s">
        <v>291</v>
      </c>
      <c r="C48">
        <f>COUNTIF($D$3:D48, RIGHT(LEFT(A48,4),3))</f>
        <v>4</v>
      </c>
      <c r="D48" t="str">
        <f t="shared" si="0"/>
        <v>505</v>
      </c>
      <c r="E48">
        <f t="shared" si="1"/>
        <v>150504</v>
      </c>
      <c r="F48">
        <f>INDEX(Schedule!$A:$N, MATCH(Joined!$G48, Schedule!$B:$B,0),14)</f>
        <v>15007</v>
      </c>
      <c r="G48" t="s">
        <v>84</v>
      </c>
      <c r="H48">
        <f>INDEX(VAV_Schedule_5_21[#All], MATCH(Joined!G48, VAV_Schedule_5_21[[#All],[UNIT TAG]], 0), 9)</f>
        <v>3</v>
      </c>
      <c r="I48" t="str">
        <f t="shared" si="2"/>
        <v>WPC.VAV-3E-15</v>
      </c>
      <c r="J48" t="str">
        <f t="shared" si="5"/>
        <v>3E</v>
      </c>
      <c r="L48">
        <f>INDEX(Schedule!$A:$J, MATCH(Joined!$G48, Schedule!$B:$B, 0), 5)</f>
        <v>500</v>
      </c>
      <c r="M48">
        <f>INDEX(Schedule!$A:$J, MATCH(Joined!$G48, Schedule!$B:$B, 0), 6)</f>
        <v>100</v>
      </c>
    </row>
    <row r="49" spans="1:13" x14ac:dyDescent="0.2">
      <c r="A49">
        <f>INDEX(PanelInstance!B:D, MATCH(Joined!J49, PanelInstance!D:D, FALSE), 2)</f>
        <v>150500</v>
      </c>
      <c r="B49" t="s">
        <v>291</v>
      </c>
      <c r="C49">
        <f>COUNTIF($D$3:D49, RIGHT(LEFT(A49,4),3))</f>
        <v>5</v>
      </c>
      <c r="D49" t="str">
        <f t="shared" si="0"/>
        <v>505</v>
      </c>
      <c r="E49">
        <f t="shared" si="1"/>
        <v>150505</v>
      </c>
      <c r="F49">
        <f>INDEX(Schedule!$A:$N, MATCH(Joined!$G49, Schedule!$B:$B,0),14)</f>
        <v>15007</v>
      </c>
      <c r="G49" t="s">
        <v>85</v>
      </c>
      <c r="H49">
        <f>INDEX(VAV_Schedule_5_21[#All], MATCH(Joined!G49, VAV_Schedule_5_21[[#All],[UNIT TAG]], 0), 9)</f>
        <v>3</v>
      </c>
      <c r="I49" t="str">
        <f t="shared" si="2"/>
        <v>WPC.VAV-3E-16</v>
      </c>
      <c r="J49" t="str">
        <f t="shared" si="5"/>
        <v>3E</v>
      </c>
      <c r="L49">
        <f>INDEX(Schedule!$A:$J, MATCH(Joined!$G49, Schedule!$B:$B, 0), 5)</f>
        <v>1050</v>
      </c>
      <c r="M49">
        <f>INDEX(Schedule!$A:$J, MATCH(Joined!$G49, Schedule!$B:$B, 0), 6)</f>
        <v>210</v>
      </c>
    </row>
    <row r="50" spans="1:13" x14ac:dyDescent="0.2">
      <c r="A50">
        <f>INDEX(PanelInstance!B:D, MATCH(Joined!J50, PanelInstance!D:D, FALSE), 2)</f>
        <v>150500</v>
      </c>
      <c r="B50" t="s">
        <v>291</v>
      </c>
      <c r="C50">
        <f>COUNTIF($D$3:D50, RIGHT(LEFT(A50,4),3))</f>
        <v>6</v>
      </c>
      <c r="D50" t="str">
        <f t="shared" si="0"/>
        <v>505</v>
      </c>
      <c r="E50">
        <f t="shared" si="1"/>
        <v>150506</v>
      </c>
      <c r="F50">
        <f>INDEX(Schedule!$A:$N, MATCH(Joined!$G50, Schedule!$B:$B,0),14)</f>
        <v>15006</v>
      </c>
      <c r="G50" t="s">
        <v>86</v>
      </c>
      <c r="H50">
        <f>INDEX(VAV_Schedule_5_21[#All], MATCH(Joined!G50, VAV_Schedule_5_21[[#All],[UNIT TAG]], 0), 9)</f>
        <v>3</v>
      </c>
      <c r="I50" t="str">
        <f t="shared" si="2"/>
        <v>WPC.VAV-3E-17</v>
      </c>
      <c r="J50" t="str">
        <f t="shared" si="5"/>
        <v>3E</v>
      </c>
      <c r="L50">
        <f>INDEX(Schedule!$A:$J, MATCH(Joined!$G50, Schedule!$B:$B, 0), 5)</f>
        <v>400</v>
      </c>
      <c r="M50">
        <f>INDEX(Schedule!$A:$J, MATCH(Joined!$G50, Schedule!$B:$B, 0), 6)</f>
        <v>80</v>
      </c>
    </row>
    <row r="51" spans="1:13" x14ac:dyDescent="0.2">
      <c r="A51">
        <f>INDEX(PanelInstance!B:D, MATCH(Joined!J51, PanelInstance!D:D, FALSE), 2)</f>
        <v>150500</v>
      </c>
      <c r="B51" t="s">
        <v>291</v>
      </c>
      <c r="C51">
        <f>COUNTIF($D$3:D51, RIGHT(LEFT(A51,4),3))</f>
        <v>7</v>
      </c>
      <c r="D51" t="str">
        <f t="shared" si="0"/>
        <v>505</v>
      </c>
      <c r="E51">
        <f t="shared" si="1"/>
        <v>150507</v>
      </c>
      <c r="F51">
        <f>INDEX(Schedule!$A:$N, MATCH(Joined!$G51, Schedule!$B:$B,0),14)</f>
        <v>15007</v>
      </c>
      <c r="G51" t="s">
        <v>87</v>
      </c>
      <c r="H51">
        <f>INDEX(VAV_Schedule_5_21[#All], MATCH(Joined!G51, VAV_Schedule_5_21[[#All],[UNIT TAG]], 0), 9)</f>
        <v>3</v>
      </c>
      <c r="I51" t="str">
        <f t="shared" si="2"/>
        <v>WPC.VAV-3E-18</v>
      </c>
      <c r="J51" t="str">
        <f t="shared" si="5"/>
        <v>3E</v>
      </c>
      <c r="L51">
        <f>INDEX(Schedule!$A:$J, MATCH(Joined!$G51, Schedule!$B:$B, 0), 5)</f>
        <v>840</v>
      </c>
      <c r="M51">
        <f>INDEX(Schedule!$A:$J, MATCH(Joined!$G51, Schedule!$B:$B, 0), 6)</f>
        <v>170</v>
      </c>
    </row>
    <row r="52" spans="1:13" x14ac:dyDescent="0.2">
      <c r="A52">
        <f>INDEX(PanelInstance!B:D, MATCH(Joined!J52, PanelInstance!D:D, FALSE), 2)</f>
        <v>150500</v>
      </c>
      <c r="B52" t="s">
        <v>291</v>
      </c>
      <c r="C52">
        <f>COUNTIF($D$3:D52, RIGHT(LEFT(A52,4),3))</f>
        <v>8</v>
      </c>
      <c r="D52" t="str">
        <f t="shared" si="0"/>
        <v>505</v>
      </c>
      <c r="E52">
        <f t="shared" si="1"/>
        <v>150508</v>
      </c>
      <c r="F52">
        <f>INDEX(Schedule!$A:$N, MATCH(Joined!$G52, Schedule!$B:$B,0),14)</f>
        <v>15007</v>
      </c>
      <c r="G52" t="s">
        <v>88</v>
      </c>
      <c r="H52">
        <f>INDEX(VAV_Schedule_5_21[#All], MATCH(Joined!G52, VAV_Schedule_5_21[[#All],[UNIT TAG]], 0), 9)</f>
        <v>3</v>
      </c>
      <c r="I52" t="str">
        <f t="shared" si="2"/>
        <v>WPC.VAV-3E-19</v>
      </c>
      <c r="J52" t="str">
        <f t="shared" si="5"/>
        <v>3E</v>
      </c>
      <c r="L52">
        <f>INDEX(Schedule!$A:$J, MATCH(Joined!$G52, Schedule!$B:$B, 0), 5)</f>
        <v>1050</v>
      </c>
      <c r="M52">
        <f>INDEX(Schedule!$A:$J, MATCH(Joined!$G52, Schedule!$B:$B, 0), 6)</f>
        <v>210</v>
      </c>
    </row>
    <row r="53" spans="1:13" x14ac:dyDescent="0.2">
      <c r="A53">
        <f>INDEX(PanelInstance!B:D, MATCH(Joined!J53, PanelInstance!D:D, FALSE), 2)</f>
        <v>150500</v>
      </c>
      <c r="B53" t="s">
        <v>291</v>
      </c>
      <c r="C53">
        <f>COUNTIF($D$3:D53, RIGHT(LEFT(A53,4),3))</f>
        <v>9</v>
      </c>
      <c r="D53" t="str">
        <f t="shared" si="0"/>
        <v>505</v>
      </c>
      <c r="E53">
        <f t="shared" si="1"/>
        <v>150509</v>
      </c>
      <c r="F53">
        <f>INDEX(Schedule!$A:$N, MATCH(Joined!$G53, Schedule!$B:$B,0),14)</f>
        <v>15007</v>
      </c>
      <c r="G53" t="s">
        <v>89</v>
      </c>
      <c r="H53">
        <f>INDEX(VAV_Schedule_5_21[#All], MATCH(Joined!G53, VAV_Schedule_5_21[[#All],[UNIT TAG]], 0), 9)</f>
        <v>3</v>
      </c>
      <c r="I53" t="str">
        <f t="shared" si="2"/>
        <v>WPC.VAV-3E-20</v>
      </c>
      <c r="J53" t="str">
        <f t="shared" si="5"/>
        <v>3E</v>
      </c>
      <c r="L53">
        <f>INDEX(Schedule!$A:$J, MATCH(Joined!$G53, Schedule!$B:$B, 0), 5)</f>
        <v>640</v>
      </c>
      <c r="M53">
        <f>INDEX(Schedule!$A:$J, MATCH(Joined!$G53, Schedule!$B:$B, 0), 6)</f>
        <v>130</v>
      </c>
    </row>
    <row r="54" spans="1:13" x14ac:dyDescent="0.2">
      <c r="A54">
        <f>INDEX(PanelInstance!B:D, MATCH(Joined!J54, PanelInstance!D:D, FALSE), 2)</f>
        <v>150500</v>
      </c>
      <c r="B54" t="s">
        <v>291</v>
      </c>
      <c r="C54">
        <f>COUNTIF($D$3:D54, RIGHT(LEFT(A54,4),3))</f>
        <v>10</v>
      </c>
      <c r="D54" t="str">
        <f t="shared" si="0"/>
        <v>505</v>
      </c>
      <c r="E54">
        <f t="shared" si="1"/>
        <v>150510</v>
      </c>
      <c r="F54">
        <f>INDEX(Schedule!$A:$N, MATCH(Joined!$G54, Schedule!$B:$B,0),14)</f>
        <v>15007</v>
      </c>
      <c r="G54" t="s">
        <v>90</v>
      </c>
      <c r="H54">
        <f>INDEX(VAV_Schedule_5_21[#All], MATCH(Joined!G54, VAV_Schedule_5_21[[#All],[UNIT TAG]], 0), 9)</f>
        <v>3</v>
      </c>
      <c r="I54" t="str">
        <f t="shared" si="2"/>
        <v>WPC.VAV-3E-21</v>
      </c>
      <c r="J54" t="str">
        <f t="shared" si="5"/>
        <v>3E</v>
      </c>
      <c r="L54">
        <f>INDEX(Schedule!$A:$J, MATCH(Joined!$G54, Schedule!$B:$B, 0), 5)</f>
        <v>860</v>
      </c>
      <c r="M54">
        <f>INDEX(Schedule!$A:$J, MATCH(Joined!$G54, Schedule!$B:$B, 0), 6)</f>
        <v>175</v>
      </c>
    </row>
    <row r="55" spans="1:13" x14ac:dyDescent="0.2">
      <c r="A55">
        <f>INDEX(PanelInstance!B:D, MATCH(Joined!J55, PanelInstance!D:D, FALSE), 2)</f>
        <v>150500</v>
      </c>
      <c r="B55" t="s">
        <v>291</v>
      </c>
      <c r="C55">
        <f>COUNTIF($D$3:D55, RIGHT(LEFT(A55,4),3))</f>
        <v>11</v>
      </c>
      <c r="D55" t="str">
        <f t="shared" si="0"/>
        <v>505</v>
      </c>
      <c r="E55">
        <f t="shared" si="1"/>
        <v>150511</v>
      </c>
      <c r="F55">
        <f>INDEX(Schedule!$A:$N, MATCH(Joined!$G55, Schedule!$B:$B,0),14)</f>
        <v>15007</v>
      </c>
      <c r="G55" t="s">
        <v>91</v>
      </c>
      <c r="H55">
        <f>INDEX(VAV_Schedule_5_21[#All], MATCH(Joined!G55, VAV_Schedule_5_21[[#All],[UNIT TAG]], 0), 9)</f>
        <v>3</v>
      </c>
      <c r="I55" t="str">
        <f t="shared" si="2"/>
        <v>WPC.VAV-3E-22</v>
      </c>
      <c r="J55" t="str">
        <f t="shared" si="5"/>
        <v>3E</v>
      </c>
      <c r="L55">
        <f>INDEX(Schedule!$A:$J, MATCH(Joined!$G55, Schedule!$B:$B, 0), 5)</f>
        <v>700</v>
      </c>
      <c r="M55">
        <f>INDEX(Schedule!$A:$J, MATCH(Joined!$G55, Schedule!$B:$B, 0), 6)</f>
        <v>140</v>
      </c>
    </row>
    <row r="56" spans="1:13" x14ac:dyDescent="0.2">
      <c r="A56">
        <f>INDEX(PanelInstance!B:D, MATCH(Joined!J56, PanelInstance!D:D, FALSE), 2)</f>
        <v>150500</v>
      </c>
      <c r="B56" t="s">
        <v>291</v>
      </c>
      <c r="C56">
        <f>COUNTIF($D$3:D56, RIGHT(LEFT(A56,4),3))</f>
        <v>12</v>
      </c>
      <c r="D56" t="str">
        <f t="shared" si="0"/>
        <v>505</v>
      </c>
      <c r="E56">
        <f t="shared" si="1"/>
        <v>150512</v>
      </c>
      <c r="F56">
        <f>INDEX(Schedule!$A:$N, MATCH(Joined!$G56, Schedule!$B:$B,0),14)</f>
        <v>15006</v>
      </c>
      <c r="G56" t="s">
        <v>92</v>
      </c>
      <c r="H56">
        <f>INDEX(VAV_Schedule_5_21[#All], MATCH(Joined!G56, VAV_Schedule_5_21[[#All],[UNIT TAG]], 0), 9)</f>
        <v>3</v>
      </c>
      <c r="I56" t="str">
        <f t="shared" si="2"/>
        <v>WPC.VAV-3E-23</v>
      </c>
      <c r="J56" t="str">
        <f t="shared" si="5"/>
        <v>3E</v>
      </c>
      <c r="L56">
        <f>INDEX(Schedule!$A:$J, MATCH(Joined!$G56, Schedule!$B:$B, 0), 5)</f>
        <v>1280</v>
      </c>
      <c r="M56">
        <f>INDEX(Schedule!$A:$J, MATCH(Joined!$G56, Schedule!$B:$B, 0), 6)</f>
        <v>260</v>
      </c>
    </row>
    <row r="57" spans="1:13" x14ac:dyDescent="0.2">
      <c r="A57">
        <f>INDEX(PanelInstance!B:D, MATCH(Joined!J57, PanelInstance!D:D, FALSE), 2)</f>
        <v>150500</v>
      </c>
      <c r="B57" t="s">
        <v>291</v>
      </c>
      <c r="C57">
        <f>COUNTIF($D$3:D57, RIGHT(LEFT(A57,4),3))</f>
        <v>13</v>
      </c>
      <c r="D57" t="str">
        <f t="shared" si="0"/>
        <v>505</v>
      </c>
      <c r="E57">
        <f t="shared" si="1"/>
        <v>150513</v>
      </c>
      <c r="F57">
        <f>INDEX(Schedule!$A:$N, MATCH(Joined!$G57, Schedule!$B:$B,0),14)</f>
        <v>15006</v>
      </c>
      <c r="G57" t="s">
        <v>93</v>
      </c>
      <c r="H57">
        <f>INDEX(VAV_Schedule_5_21[#All], MATCH(Joined!G57, VAV_Schedule_5_21[[#All],[UNIT TAG]], 0), 9)</f>
        <v>3</v>
      </c>
      <c r="I57" t="str">
        <f t="shared" si="2"/>
        <v>WPC.VAV-3E-24</v>
      </c>
      <c r="J57" t="str">
        <f t="shared" si="5"/>
        <v>3E</v>
      </c>
      <c r="L57">
        <f>INDEX(Schedule!$A:$J, MATCH(Joined!$G57, Schedule!$B:$B, 0), 5)</f>
        <v>600</v>
      </c>
      <c r="M57">
        <f>INDEX(Schedule!$A:$J, MATCH(Joined!$G57, Schedule!$B:$B, 0), 6)</f>
        <v>120</v>
      </c>
    </row>
    <row r="58" spans="1:13" x14ac:dyDescent="0.2">
      <c r="A58">
        <f>INDEX(PanelInstance!B:D, MATCH(Joined!J58, PanelInstance!D:D, FALSE), 2)</f>
        <v>150500</v>
      </c>
      <c r="B58" t="s">
        <v>291</v>
      </c>
      <c r="C58">
        <f>COUNTIF($D$3:D58, RIGHT(LEFT(A58,4),3))</f>
        <v>14</v>
      </c>
      <c r="D58" t="str">
        <f t="shared" si="0"/>
        <v>505</v>
      </c>
      <c r="E58">
        <f t="shared" si="1"/>
        <v>150514</v>
      </c>
      <c r="F58">
        <f>INDEX(Schedule!$A:$N, MATCH(Joined!$G58, Schedule!$B:$B,0),14)</f>
        <v>15006</v>
      </c>
      <c r="G58" t="s">
        <v>94</v>
      </c>
      <c r="H58">
        <f>INDEX(VAV_Schedule_5_21[#All], MATCH(Joined!G58, VAV_Schedule_5_21[[#All],[UNIT TAG]], 0), 9)</f>
        <v>3</v>
      </c>
      <c r="I58" t="str">
        <f t="shared" si="2"/>
        <v>WPC.VAV-3E-25</v>
      </c>
      <c r="J58" t="str">
        <f t="shared" si="5"/>
        <v>3E</v>
      </c>
      <c r="L58">
        <f>INDEX(Schedule!$A:$J, MATCH(Joined!$G58, Schedule!$B:$B, 0), 5)</f>
        <v>1300</v>
      </c>
      <c r="M58">
        <f>INDEX(Schedule!$A:$J, MATCH(Joined!$G58, Schedule!$B:$B, 0), 6)</f>
        <v>260</v>
      </c>
    </row>
    <row r="59" spans="1:13" x14ac:dyDescent="0.2">
      <c r="A59">
        <f>INDEX(PanelInstance!B:D, MATCH(Joined!J59, PanelInstance!D:D, FALSE), 2)</f>
        <v>150500</v>
      </c>
      <c r="B59" t="s">
        <v>291</v>
      </c>
      <c r="C59">
        <f>COUNTIF($D$3:D59, RIGHT(LEFT(A59,4),3))</f>
        <v>15</v>
      </c>
      <c r="D59" t="str">
        <f t="shared" si="0"/>
        <v>505</v>
      </c>
      <c r="E59">
        <f t="shared" si="1"/>
        <v>150515</v>
      </c>
      <c r="F59">
        <f>INDEX(Schedule!$A:$N, MATCH(Joined!$G59, Schedule!$B:$B,0),14)</f>
        <v>15006</v>
      </c>
      <c r="G59" t="s">
        <v>95</v>
      </c>
      <c r="H59">
        <f>INDEX(VAV_Schedule_5_21[#All], MATCH(Joined!G59, VAV_Schedule_5_21[[#All],[UNIT TAG]], 0), 9)</f>
        <v>3</v>
      </c>
      <c r="I59" t="str">
        <f t="shared" si="2"/>
        <v>WPC.VAV-3E-26</v>
      </c>
      <c r="J59" t="str">
        <f t="shared" si="5"/>
        <v>3E</v>
      </c>
      <c r="L59">
        <f>INDEX(Schedule!$A:$J, MATCH(Joined!$G59, Schedule!$B:$B, 0), 5)</f>
        <v>450</v>
      </c>
      <c r="M59">
        <f>INDEX(Schedule!$A:$J, MATCH(Joined!$G59, Schedule!$B:$B, 0), 6)</f>
        <v>90</v>
      </c>
    </row>
    <row r="60" spans="1:13" x14ac:dyDescent="0.2">
      <c r="A60">
        <f>INDEX(PanelInstance!B:D, MATCH(Joined!J60, PanelInstance!D:D, FALSE), 2)</f>
        <v>150500</v>
      </c>
      <c r="B60" t="s">
        <v>291</v>
      </c>
      <c r="C60">
        <f>COUNTIF($D$3:D60, RIGHT(LEFT(A60,4),3))</f>
        <v>16</v>
      </c>
      <c r="D60" t="str">
        <f t="shared" si="0"/>
        <v>505</v>
      </c>
      <c r="E60">
        <f t="shared" si="1"/>
        <v>150516</v>
      </c>
      <c r="F60">
        <f>INDEX(Schedule!$A:$N, MATCH(Joined!$G60, Schedule!$B:$B,0),14)</f>
        <v>15006</v>
      </c>
      <c r="G60" t="s">
        <v>96</v>
      </c>
      <c r="H60">
        <f>INDEX(VAV_Schedule_5_21[#All], MATCH(Joined!G60, VAV_Schedule_5_21[[#All],[UNIT TAG]], 0), 9)</f>
        <v>3</v>
      </c>
      <c r="I60" t="str">
        <f t="shared" si="2"/>
        <v>WPC.VAV-3E-27</v>
      </c>
      <c r="J60" t="str">
        <f t="shared" si="5"/>
        <v>3E</v>
      </c>
      <c r="L60">
        <f>INDEX(Schedule!$A:$J, MATCH(Joined!$G60, Schedule!$B:$B, 0), 5)</f>
        <v>925</v>
      </c>
      <c r="M60">
        <f>INDEX(Schedule!$A:$J, MATCH(Joined!$G60, Schedule!$B:$B, 0), 6)</f>
        <v>0</v>
      </c>
    </row>
    <row r="61" spans="1:13" x14ac:dyDescent="0.2">
      <c r="A61">
        <f>INDEX(PanelInstance!B:D, MATCH(Joined!J61, PanelInstance!D:D, FALSE), 2)</f>
        <v>150600</v>
      </c>
      <c r="B61" t="s">
        <v>291</v>
      </c>
      <c r="C61">
        <f>COUNTIF($D$3:D61, RIGHT(LEFT(A61,4),3))</f>
        <v>5</v>
      </c>
      <c r="D61" t="str">
        <f t="shared" si="0"/>
        <v>506</v>
      </c>
      <c r="E61">
        <f t="shared" si="1"/>
        <v>150605</v>
      </c>
      <c r="F61">
        <f>INDEX(Schedule!$A:$N, MATCH(Joined!$G61, Schedule!$B:$B,0),14)</f>
        <v>15006</v>
      </c>
      <c r="G61" t="s">
        <v>97</v>
      </c>
      <c r="H61">
        <f>INDEX(VAV_Schedule_5_21[#All], MATCH(Joined!G61, VAV_Schedule_5_21[[#All],[UNIT TAG]], 0), 9)</f>
        <v>3</v>
      </c>
      <c r="I61" t="str">
        <f t="shared" si="2"/>
        <v>WPC.VAV-3W-28</v>
      </c>
      <c r="J61" t="str">
        <f t="shared" si="5"/>
        <v>3W</v>
      </c>
      <c r="L61">
        <f>INDEX(Schedule!$A:$J, MATCH(Joined!$G61, Schedule!$B:$B, 0), 5)</f>
        <v>560</v>
      </c>
      <c r="M61">
        <f>INDEX(Schedule!$A:$J, MATCH(Joined!$G61, Schedule!$B:$B, 0), 6)</f>
        <v>115</v>
      </c>
    </row>
    <row r="62" spans="1:13" x14ac:dyDescent="0.2">
      <c r="A62">
        <f>INDEX(PanelInstance!B:D, MATCH(Joined!J62, PanelInstance!D:D, FALSE), 2)</f>
        <v>150600</v>
      </c>
      <c r="B62" t="s">
        <v>291</v>
      </c>
      <c r="C62">
        <f>COUNTIF($D$3:D62, RIGHT(LEFT(A62,4),3))</f>
        <v>6</v>
      </c>
      <c r="D62" t="str">
        <f t="shared" si="0"/>
        <v>506</v>
      </c>
      <c r="E62">
        <f t="shared" si="1"/>
        <v>150606</v>
      </c>
      <c r="F62">
        <f>INDEX(Schedule!$A:$N, MATCH(Joined!$G62, Schedule!$B:$B,0),14)</f>
        <v>15006</v>
      </c>
      <c r="G62" t="s">
        <v>98</v>
      </c>
      <c r="H62">
        <f>INDEX(VAV_Schedule_5_21[#All], MATCH(Joined!G62, VAV_Schedule_5_21[[#All],[UNIT TAG]], 0), 9)</f>
        <v>3</v>
      </c>
      <c r="I62" t="str">
        <f t="shared" si="2"/>
        <v>WPC.VAV-3W-29</v>
      </c>
      <c r="J62" t="str">
        <f t="shared" si="5"/>
        <v>3W</v>
      </c>
      <c r="L62">
        <f>INDEX(Schedule!$A:$J, MATCH(Joined!$G62, Schedule!$B:$B, 0), 5)</f>
        <v>1180</v>
      </c>
      <c r="M62">
        <f>INDEX(Schedule!$A:$J, MATCH(Joined!$G62, Schedule!$B:$B, 0), 6)</f>
        <v>240</v>
      </c>
    </row>
    <row r="63" spans="1:13" x14ac:dyDescent="0.2">
      <c r="A63">
        <f>INDEX(PanelInstance!B:D, MATCH(Joined!J63, PanelInstance!D:D, FALSE), 2)</f>
        <v>150600</v>
      </c>
      <c r="B63" t="s">
        <v>291</v>
      </c>
      <c r="C63">
        <f>COUNTIF($D$3:D63, RIGHT(LEFT(A63,4),3))</f>
        <v>7</v>
      </c>
      <c r="D63" t="str">
        <f t="shared" si="0"/>
        <v>506</v>
      </c>
      <c r="E63">
        <f t="shared" si="1"/>
        <v>150607</v>
      </c>
      <c r="F63">
        <f>INDEX(Schedule!$A:$N, MATCH(Joined!$G63, Schedule!$B:$B,0),14)</f>
        <v>15007</v>
      </c>
      <c r="G63" t="s">
        <v>99</v>
      </c>
      <c r="H63">
        <f>INDEX(VAV_Schedule_5_21[#All], MATCH(Joined!G63, VAV_Schedule_5_21[[#All],[UNIT TAG]], 0), 9)</f>
        <v>3</v>
      </c>
      <c r="I63" t="str">
        <f t="shared" si="2"/>
        <v>WPC.VAV-3W-30</v>
      </c>
      <c r="J63" t="str">
        <f t="shared" si="5"/>
        <v>3W</v>
      </c>
      <c r="L63">
        <f>INDEX(Schedule!$A:$J, MATCH(Joined!$G63, Schedule!$B:$B, 0), 5)</f>
        <v>640</v>
      </c>
      <c r="M63">
        <f>INDEX(Schedule!$A:$J, MATCH(Joined!$G63, Schedule!$B:$B, 0), 6)</f>
        <v>130</v>
      </c>
    </row>
    <row r="64" spans="1:13" x14ac:dyDescent="0.2">
      <c r="A64">
        <f>INDEX(PanelInstance!B:D, MATCH(Joined!J64, PanelInstance!D:D, FALSE), 2)</f>
        <v>150600</v>
      </c>
      <c r="B64" t="s">
        <v>291</v>
      </c>
      <c r="C64">
        <f>COUNTIF($D$3:D64, RIGHT(LEFT(A64,4),3))</f>
        <v>8</v>
      </c>
      <c r="D64" t="str">
        <f t="shared" si="0"/>
        <v>506</v>
      </c>
      <c r="E64">
        <f t="shared" si="1"/>
        <v>150608</v>
      </c>
      <c r="F64">
        <f>INDEX(Schedule!$A:$N, MATCH(Joined!$G64, Schedule!$B:$B,0),14)</f>
        <v>15007</v>
      </c>
      <c r="G64" t="s">
        <v>100</v>
      </c>
      <c r="H64">
        <f>INDEX(VAV_Schedule_5_21[#All], MATCH(Joined!G64, VAV_Schedule_5_21[[#All],[UNIT TAG]], 0), 9)</f>
        <v>3</v>
      </c>
      <c r="I64" t="str">
        <f t="shared" si="2"/>
        <v>WPC.VAV-3W-31</v>
      </c>
      <c r="J64" t="str">
        <f t="shared" si="5"/>
        <v>3W</v>
      </c>
      <c r="L64">
        <f>INDEX(Schedule!$A:$J, MATCH(Joined!$G64, Schedule!$B:$B, 0), 5)</f>
        <v>860</v>
      </c>
      <c r="M64">
        <f>INDEX(Schedule!$A:$J, MATCH(Joined!$G64, Schedule!$B:$B, 0), 6)</f>
        <v>175</v>
      </c>
    </row>
    <row r="65" spans="1:13" x14ac:dyDescent="0.2">
      <c r="A65">
        <f>INDEX(PanelInstance!B:D, MATCH(Joined!J65, PanelInstance!D:D, FALSE), 2)</f>
        <v>150600</v>
      </c>
      <c r="B65" t="s">
        <v>291</v>
      </c>
      <c r="C65">
        <f>COUNTIF($D$3:D65, RIGHT(LEFT(A65,4),3))</f>
        <v>9</v>
      </c>
      <c r="D65" t="str">
        <f t="shared" si="0"/>
        <v>506</v>
      </c>
      <c r="E65">
        <f t="shared" si="1"/>
        <v>150609</v>
      </c>
      <c r="F65">
        <f>INDEX(Schedule!$A:$N, MATCH(Joined!$G65, Schedule!$B:$B,0),14)</f>
        <v>15007</v>
      </c>
      <c r="G65" t="s">
        <v>101</v>
      </c>
      <c r="H65">
        <f>INDEX(VAV_Schedule_5_21[#All], MATCH(Joined!G65, VAV_Schedule_5_21[[#All],[UNIT TAG]], 0), 9)</f>
        <v>3</v>
      </c>
      <c r="I65" t="str">
        <f t="shared" si="2"/>
        <v>WPC.VAV-3W-32</v>
      </c>
      <c r="J65" t="str">
        <f t="shared" si="5"/>
        <v>3W</v>
      </c>
      <c r="L65">
        <f>INDEX(Schedule!$A:$J, MATCH(Joined!$G65, Schedule!$B:$B, 0), 5)</f>
        <v>700</v>
      </c>
      <c r="M65">
        <f>INDEX(Schedule!$A:$J, MATCH(Joined!$G65, Schedule!$B:$B, 0), 6)</f>
        <v>140</v>
      </c>
    </row>
    <row r="66" spans="1:13" x14ac:dyDescent="0.2">
      <c r="A66">
        <f>INDEX(PanelInstance!B:D, MATCH(Joined!J66, PanelInstance!D:D, FALSE), 2)</f>
        <v>150600</v>
      </c>
      <c r="B66" t="s">
        <v>291</v>
      </c>
      <c r="C66">
        <f>COUNTIF($D$3:D66, RIGHT(LEFT(A66,4),3))</f>
        <v>10</v>
      </c>
      <c r="D66" t="str">
        <f t="shared" si="0"/>
        <v>506</v>
      </c>
      <c r="E66">
        <f t="shared" si="1"/>
        <v>150610</v>
      </c>
      <c r="F66">
        <f>INDEX(Schedule!$A:$N, MATCH(Joined!$G66, Schedule!$B:$B,0),14)</f>
        <v>15006</v>
      </c>
      <c r="G66" t="s">
        <v>102</v>
      </c>
      <c r="H66">
        <f>INDEX(VAV_Schedule_5_21[#All], MATCH(Joined!G66, VAV_Schedule_5_21[[#All],[UNIT TAG]], 0), 9)</f>
        <v>3</v>
      </c>
      <c r="I66" t="str">
        <f t="shared" si="2"/>
        <v>WPC.VAV-3W-33</v>
      </c>
      <c r="J66" t="str">
        <f t="shared" si="5"/>
        <v>3W</v>
      </c>
      <c r="L66">
        <f>INDEX(Schedule!$A:$J, MATCH(Joined!$G66, Schedule!$B:$B, 0), 5)</f>
        <v>1260</v>
      </c>
      <c r="M66">
        <f>INDEX(Schedule!$A:$J, MATCH(Joined!$G66, Schedule!$B:$B, 0), 6)</f>
        <v>255</v>
      </c>
    </row>
    <row r="67" spans="1:13" x14ac:dyDescent="0.2">
      <c r="A67">
        <f>INDEX(PanelInstance!B:D, MATCH(Joined!J67, PanelInstance!D:D, FALSE), 2)</f>
        <v>150600</v>
      </c>
      <c r="B67" t="s">
        <v>291</v>
      </c>
      <c r="C67">
        <f>COUNTIF($D$3:D67, RIGHT(LEFT(A67,4),3))</f>
        <v>11</v>
      </c>
      <c r="D67" t="str">
        <f t="shared" ref="D67:D130" si="8">RIGHT(LEFT(A67, 4),3)</f>
        <v>506</v>
      </c>
      <c r="E67">
        <f t="shared" ref="E67:E130" si="9">A67+C67</f>
        <v>150611</v>
      </c>
      <c r="F67">
        <f>INDEX(Schedule!$A:$N, MATCH(Joined!$G67, Schedule!$B:$B,0),14)</f>
        <v>15006</v>
      </c>
      <c r="G67" t="s">
        <v>103</v>
      </c>
      <c r="H67">
        <f>INDEX(VAV_Schedule_5_21[#All], MATCH(Joined!G67, VAV_Schedule_5_21[[#All],[UNIT TAG]], 0), 9)</f>
        <v>3</v>
      </c>
      <c r="I67" t="str">
        <f t="shared" ref="I67:I130" si="10">"WPC." &amp; G67</f>
        <v>WPC.VAV-3W-34</v>
      </c>
      <c r="J67" t="str">
        <f t="shared" si="5"/>
        <v>3W</v>
      </c>
      <c r="L67">
        <f>INDEX(Schedule!$A:$J, MATCH(Joined!$G67, Schedule!$B:$B, 0), 5)</f>
        <v>600</v>
      </c>
      <c r="M67">
        <f>INDEX(Schedule!$A:$J, MATCH(Joined!$G67, Schedule!$B:$B, 0), 6)</f>
        <v>120</v>
      </c>
    </row>
    <row r="68" spans="1:13" x14ac:dyDescent="0.2">
      <c r="A68">
        <f>INDEX(PanelInstance!B:D, MATCH(Joined!J68, PanelInstance!D:D, FALSE), 2)</f>
        <v>150600</v>
      </c>
      <c r="B68" t="s">
        <v>291</v>
      </c>
      <c r="C68">
        <f>COUNTIF($D$3:D68, RIGHT(LEFT(A68,4),3))</f>
        <v>12</v>
      </c>
      <c r="D68" t="str">
        <f t="shared" si="8"/>
        <v>506</v>
      </c>
      <c r="E68">
        <f t="shared" si="9"/>
        <v>150612</v>
      </c>
      <c r="F68">
        <f>INDEX(Schedule!$A:$N, MATCH(Joined!$G68, Schedule!$B:$B,0),14)</f>
        <v>15007</v>
      </c>
      <c r="G68" t="s">
        <v>104</v>
      </c>
      <c r="H68">
        <f>INDEX(VAV_Schedule_5_21[#All], MATCH(Joined!G68, VAV_Schedule_5_21[[#All],[UNIT TAG]], 0), 9)</f>
        <v>3</v>
      </c>
      <c r="I68" t="str">
        <f t="shared" si="10"/>
        <v>WPC.VAV-3W-35</v>
      </c>
      <c r="J68" t="str">
        <f t="shared" ref="J68:J131" si="11">LEFT(RIGHT($G68, LEN($G68) - FIND("-", $G68)), FIND("-", RIGHT($G68, LEN($G68) - FIND("-", $G68)))-1)</f>
        <v>3W</v>
      </c>
      <c r="L68">
        <f>INDEX(Schedule!$A:$J, MATCH(Joined!$G68, Schedule!$B:$B, 0), 5)</f>
        <v>1200</v>
      </c>
      <c r="M68">
        <f>INDEX(Schedule!$A:$J, MATCH(Joined!$G68, Schedule!$B:$B, 0), 6)</f>
        <v>240</v>
      </c>
    </row>
    <row r="69" spans="1:13" x14ac:dyDescent="0.2">
      <c r="A69">
        <f>INDEX(PanelInstance!B:D, MATCH(Joined!J69, PanelInstance!D:D, FALSE), 2)</f>
        <v>150600</v>
      </c>
      <c r="B69" t="s">
        <v>291</v>
      </c>
      <c r="C69">
        <f>COUNTIF($D$3:D69, RIGHT(LEFT(A69,4),3))</f>
        <v>13</v>
      </c>
      <c r="D69" t="str">
        <f t="shared" si="8"/>
        <v>506</v>
      </c>
      <c r="E69">
        <f t="shared" si="9"/>
        <v>150613</v>
      </c>
      <c r="F69">
        <f>INDEX(Schedule!$A:$N, MATCH(Joined!$G69, Schedule!$B:$B,0),14)</f>
        <v>15007</v>
      </c>
      <c r="G69" t="s">
        <v>105</v>
      </c>
      <c r="H69">
        <f>INDEX(VAV_Schedule_5_21[#All], MATCH(Joined!G69, VAV_Schedule_5_21[[#All],[UNIT TAG]], 0), 9)</f>
        <v>3</v>
      </c>
      <c r="I69" t="str">
        <f t="shared" si="10"/>
        <v>WPC.VAV-3W-36</v>
      </c>
      <c r="J69" t="str">
        <f t="shared" si="11"/>
        <v>3W</v>
      </c>
      <c r="L69">
        <f>INDEX(Schedule!$A:$J, MATCH(Joined!$G69, Schedule!$B:$B, 0), 5)</f>
        <v>960</v>
      </c>
      <c r="M69">
        <f>INDEX(Schedule!$A:$J, MATCH(Joined!$G69, Schedule!$B:$B, 0), 6)</f>
        <v>195</v>
      </c>
    </row>
    <row r="70" spans="1:13" x14ac:dyDescent="0.2">
      <c r="A70">
        <f>INDEX(PanelInstance!B:D, MATCH(Joined!J70, PanelInstance!D:D, FALSE), 2)</f>
        <v>150600</v>
      </c>
      <c r="B70" t="s">
        <v>291</v>
      </c>
      <c r="C70">
        <f>COUNTIF($D$3:D70, RIGHT(LEFT(A70,4),3))</f>
        <v>14</v>
      </c>
      <c r="D70" t="str">
        <f t="shared" si="8"/>
        <v>506</v>
      </c>
      <c r="E70">
        <f t="shared" si="9"/>
        <v>150614</v>
      </c>
      <c r="F70">
        <f>INDEX(Schedule!$A:$N, MATCH(Joined!$G70, Schedule!$B:$B,0),14)</f>
        <v>15006</v>
      </c>
      <c r="G70" t="s">
        <v>106</v>
      </c>
      <c r="H70">
        <f>INDEX(VAV_Schedule_5_21[#All], MATCH(Joined!G70, VAV_Schedule_5_21[[#All],[UNIT TAG]], 0), 9)</f>
        <v>3</v>
      </c>
      <c r="I70" t="str">
        <f t="shared" si="10"/>
        <v>WPC.VAV-3W-37</v>
      </c>
      <c r="J70" t="str">
        <f t="shared" si="11"/>
        <v>3W</v>
      </c>
      <c r="L70">
        <f>INDEX(Schedule!$A:$J, MATCH(Joined!$G70, Schedule!$B:$B, 0), 5)</f>
        <v>400</v>
      </c>
      <c r="M70">
        <f>INDEX(Schedule!$A:$J, MATCH(Joined!$G70, Schedule!$B:$B, 0), 6)</f>
        <v>80</v>
      </c>
    </row>
    <row r="71" spans="1:13" x14ac:dyDescent="0.2">
      <c r="A71">
        <f>INDEX(PanelInstance!B:D, MATCH(Joined!J71, PanelInstance!D:D, FALSE), 2)</f>
        <v>150600</v>
      </c>
      <c r="B71" t="s">
        <v>291</v>
      </c>
      <c r="C71">
        <f>COUNTIF($D$3:D71, RIGHT(LEFT(A71,4),3))</f>
        <v>15</v>
      </c>
      <c r="D71" t="str">
        <f t="shared" si="8"/>
        <v>506</v>
      </c>
      <c r="E71">
        <f t="shared" si="9"/>
        <v>150615</v>
      </c>
      <c r="F71">
        <f>INDEX(Schedule!$A:$N, MATCH(Joined!$G71, Schedule!$B:$B,0),14)</f>
        <v>15007</v>
      </c>
      <c r="G71" t="s">
        <v>107</v>
      </c>
      <c r="H71">
        <f>INDEX(VAV_Schedule_5_21[#All], MATCH(Joined!G71, VAV_Schedule_5_21[[#All],[UNIT TAG]], 0), 9)</f>
        <v>3</v>
      </c>
      <c r="I71" t="str">
        <f t="shared" si="10"/>
        <v>WPC.VAV-3W-38</v>
      </c>
      <c r="J71" t="str">
        <f t="shared" si="11"/>
        <v>3W</v>
      </c>
      <c r="L71">
        <f>INDEX(Schedule!$A:$J, MATCH(Joined!$G71, Schedule!$B:$B, 0), 5)</f>
        <v>1200</v>
      </c>
      <c r="M71">
        <f>INDEX(Schedule!$A:$J, MATCH(Joined!$G71, Schedule!$B:$B, 0), 6)</f>
        <v>240</v>
      </c>
    </row>
    <row r="72" spans="1:13" x14ac:dyDescent="0.2">
      <c r="A72">
        <f>INDEX(PanelInstance!B:D, MATCH(Joined!J72, PanelInstance!D:D, FALSE), 2)</f>
        <v>150900</v>
      </c>
      <c r="B72" t="s">
        <v>291</v>
      </c>
      <c r="C72">
        <f>COUNTIF($D$3:D72, RIGHT(LEFT(A72,4),3))</f>
        <v>1</v>
      </c>
      <c r="D72" t="str">
        <f t="shared" si="8"/>
        <v>509</v>
      </c>
      <c r="E72">
        <f t="shared" si="9"/>
        <v>150901</v>
      </c>
      <c r="F72">
        <f>INDEX(Schedule!$A:$N, MATCH(Joined!$G72, Schedule!$B:$B,0),14)</f>
        <v>15009</v>
      </c>
      <c r="G72" t="s">
        <v>108</v>
      </c>
      <c r="H72">
        <f>INDEX(VAV_Schedule_5_21[#All], MATCH(Joined!G72, VAV_Schedule_5_21[[#All],[UNIT TAG]], 0), 9)</f>
        <v>4</v>
      </c>
      <c r="I72" t="str">
        <f t="shared" si="10"/>
        <v>WPC.VAV-4W-1</v>
      </c>
      <c r="J72" t="str">
        <f t="shared" si="11"/>
        <v>4W</v>
      </c>
      <c r="L72">
        <f>INDEX(Schedule!$A:$J, MATCH(Joined!$G72, Schedule!$B:$B, 0), 5)</f>
        <v>580</v>
      </c>
      <c r="M72">
        <f>INDEX(Schedule!$A:$J, MATCH(Joined!$G72, Schedule!$B:$B, 0), 6)</f>
        <v>0</v>
      </c>
    </row>
    <row r="73" spans="1:13" x14ac:dyDescent="0.2">
      <c r="A73">
        <f>INDEX(PanelInstance!B:D, MATCH(Joined!J73, PanelInstance!D:D, FALSE), 2)</f>
        <v>150900</v>
      </c>
      <c r="B73" t="s">
        <v>291</v>
      </c>
      <c r="C73">
        <f>COUNTIF($D$3:D73, RIGHT(LEFT(A73,4),3))</f>
        <v>2</v>
      </c>
      <c r="D73" t="str">
        <f t="shared" si="8"/>
        <v>509</v>
      </c>
      <c r="E73">
        <f t="shared" si="9"/>
        <v>150902</v>
      </c>
      <c r="F73">
        <f>INDEX(Schedule!$A:$N, MATCH(Joined!$G73, Schedule!$B:$B,0),14)</f>
        <v>15009</v>
      </c>
      <c r="G73" t="s">
        <v>109</v>
      </c>
      <c r="H73">
        <f>INDEX(VAV_Schedule_5_21[#All], MATCH(Joined!G73, VAV_Schedule_5_21[[#All],[UNIT TAG]], 0), 9)</f>
        <v>4</v>
      </c>
      <c r="I73" t="str">
        <f t="shared" si="10"/>
        <v>WPC.VAV-4W-2</v>
      </c>
      <c r="J73" t="str">
        <f t="shared" si="11"/>
        <v>4W</v>
      </c>
      <c r="L73">
        <f>INDEX(Schedule!$A:$J, MATCH(Joined!$G73, Schedule!$B:$B, 0), 5)</f>
        <v>600</v>
      </c>
      <c r="M73">
        <f>INDEX(Schedule!$A:$J, MATCH(Joined!$G73, Schedule!$B:$B, 0), 6)</f>
        <v>0</v>
      </c>
    </row>
    <row r="74" spans="1:13" x14ac:dyDescent="0.2">
      <c r="A74">
        <f>INDEX(PanelInstance!B:D, MATCH(Joined!J74, PanelInstance!D:D, FALSE), 2)</f>
        <v>150900</v>
      </c>
      <c r="B74" t="s">
        <v>291</v>
      </c>
      <c r="C74">
        <f>COUNTIF($D$3:D74, RIGHT(LEFT(A74,4),3))</f>
        <v>3</v>
      </c>
      <c r="D74" t="str">
        <f t="shared" si="8"/>
        <v>509</v>
      </c>
      <c r="E74">
        <f t="shared" si="9"/>
        <v>150903</v>
      </c>
      <c r="F74">
        <f>INDEX(Schedule!$A:$N, MATCH(Joined!$G74, Schedule!$B:$B,0),14)</f>
        <v>15009</v>
      </c>
      <c r="G74" t="s">
        <v>110</v>
      </c>
      <c r="H74">
        <f>INDEX(VAV_Schedule_5_21[#All], MATCH(Joined!G74, VAV_Schedule_5_21[[#All],[UNIT TAG]], 0), 9)</f>
        <v>4</v>
      </c>
      <c r="I74" t="str">
        <f t="shared" si="10"/>
        <v>WPC.VAV-4W-3</v>
      </c>
      <c r="J74" t="str">
        <f t="shared" si="11"/>
        <v>4W</v>
      </c>
      <c r="L74">
        <f>INDEX(Schedule!$A:$J, MATCH(Joined!$G74, Schedule!$B:$B, 0), 5)</f>
        <v>540</v>
      </c>
      <c r="M74">
        <f>INDEX(Schedule!$A:$J, MATCH(Joined!$G74, Schedule!$B:$B, 0), 6)</f>
        <v>0</v>
      </c>
    </row>
    <row r="75" spans="1:13" x14ac:dyDescent="0.2">
      <c r="A75">
        <f>INDEX(PanelInstance!B:D, MATCH(Joined!J75, PanelInstance!D:D, FALSE), 2)</f>
        <v>150900</v>
      </c>
      <c r="B75" t="s">
        <v>291</v>
      </c>
      <c r="C75">
        <f>COUNTIF($D$3:D75, RIGHT(LEFT(A75,4),3))</f>
        <v>4</v>
      </c>
      <c r="D75" t="str">
        <f t="shared" si="8"/>
        <v>509</v>
      </c>
      <c r="E75">
        <f t="shared" si="9"/>
        <v>150904</v>
      </c>
      <c r="F75">
        <f>INDEX(Schedule!$A:$N, MATCH(Joined!$G75, Schedule!$B:$B,0),14)</f>
        <v>15009</v>
      </c>
      <c r="G75" t="s">
        <v>111</v>
      </c>
      <c r="H75">
        <f>INDEX(VAV_Schedule_5_21[#All], MATCH(Joined!G75, VAV_Schedule_5_21[[#All],[UNIT TAG]], 0), 9)</f>
        <v>4</v>
      </c>
      <c r="I75" t="str">
        <f t="shared" si="10"/>
        <v>WPC.VAV-4W-4</v>
      </c>
      <c r="J75" t="str">
        <f t="shared" si="11"/>
        <v>4W</v>
      </c>
      <c r="L75">
        <f>INDEX(Schedule!$A:$J, MATCH(Joined!$G75, Schedule!$B:$B, 0), 5)</f>
        <v>450</v>
      </c>
      <c r="M75">
        <f>INDEX(Schedule!$A:$J, MATCH(Joined!$G75, Schedule!$B:$B, 0), 6)</f>
        <v>0</v>
      </c>
    </row>
    <row r="76" spans="1:13" x14ac:dyDescent="0.2">
      <c r="A76">
        <f>INDEX(PanelInstance!B:D, MATCH(Joined!J76, PanelInstance!D:D, FALSE), 2)</f>
        <v>150900</v>
      </c>
      <c r="B76" t="s">
        <v>291</v>
      </c>
      <c r="C76">
        <f>COUNTIF($D$3:D76, RIGHT(LEFT(A76,4),3))</f>
        <v>5</v>
      </c>
      <c r="D76" t="str">
        <f t="shared" si="8"/>
        <v>509</v>
      </c>
      <c r="E76">
        <f t="shared" si="9"/>
        <v>150905</v>
      </c>
      <c r="F76">
        <f>INDEX(Schedule!$A:$N, MATCH(Joined!$G76, Schedule!$B:$B,0),14)</f>
        <v>15009</v>
      </c>
      <c r="G76" t="s">
        <v>112</v>
      </c>
      <c r="H76">
        <f>INDEX(VAV_Schedule_5_21[#All], MATCH(Joined!G76, VAV_Schedule_5_21[[#All],[UNIT TAG]], 0), 9)</f>
        <v>4</v>
      </c>
      <c r="I76" t="str">
        <f t="shared" si="10"/>
        <v>WPC.VAV-4W-5</v>
      </c>
      <c r="J76" t="str">
        <f t="shared" si="11"/>
        <v>4W</v>
      </c>
      <c r="L76">
        <f>INDEX(Schedule!$A:$J, MATCH(Joined!$G76, Schedule!$B:$B, 0), 5)</f>
        <v>450</v>
      </c>
      <c r="M76">
        <f>INDEX(Schedule!$A:$J, MATCH(Joined!$G76, Schedule!$B:$B, 0), 6)</f>
        <v>0</v>
      </c>
    </row>
    <row r="77" spans="1:13" x14ac:dyDescent="0.2">
      <c r="A77">
        <f>INDEX(PanelInstance!B:D, MATCH(Joined!J77, PanelInstance!D:D, FALSE), 2)</f>
        <v>150900</v>
      </c>
      <c r="B77" t="s">
        <v>291</v>
      </c>
      <c r="C77">
        <f>COUNTIF($D$3:D77, RIGHT(LEFT(A77,4),3))</f>
        <v>6</v>
      </c>
      <c r="D77" t="str">
        <f t="shared" si="8"/>
        <v>509</v>
      </c>
      <c r="E77">
        <f t="shared" si="9"/>
        <v>150906</v>
      </c>
      <c r="F77">
        <f>INDEX(Schedule!$A:$N, MATCH(Joined!$G77, Schedule!$B:$B,0),14)</f>
        <v>15009</v>
      </c>
      <c r="G77" t="s">
        <v>113</v>
      </c>
      <c r="H77">
        <f>INDEX(VAV_Schedule_5_21[#All], MATCH(Joined!G77, VAV_Schedule_5_21[[#All],[UNIT TAG]], 0), 9)</f>
        <v>4</v>
      </c>
      <c r="I77" t="str">
        <f t="shared" si="10"/>
        <v>WPC.VAV-4W-6</v>
      </c>
      <c r="J77" t="str">
        <f t="shared" si="11"/>
        <v>4W</v>
      </c>
      <c r="L77">
        <f>INDEX(Schedule!$A:$J, MATCH(Joined!$G77, Schedule!$B:$B, 0), 5)</f>
        <v>510</v>
      </c>
      <c r="M77">
        <f>INDEX(Schedule!$A:$J, MATCH(Joined!$G77, Schedule!$B:$B, 0), 6)</f>
        <v>0</v>
      </c>
    </row>
    <row r="78" spans="1:13" x14ac:dyDescent="0.2">
      <c r="A78">
        <f>INDEX(PanelInstance!B:D, MATCH(Joined!J78, PanelInstance!D:D, FALSE), 2)</f>
        <v>150900</v>
      </c>
      <c r="B78" t="s">
        <v>291</v>
      </c>
      <c r="C78">
        <f>COUNTIF($D$3:D78, RIGHT(LEFT(A78,4),3))</f>
        <v>7</v>
      </c>
      <c r="D78" t="str">
        <f t="shared" si="8"/>
        <v>509</v>
      </c>
      <c r="E78">
        <f t="shared" si="9"/>
        <v>150907</v>
      </c>
      <c r="F78">
        <f>INDEX(Schedule!$A:$N, MATCH(Joined!$G78, Schedule!$B:$B,0),14)</f>
        <v>15009</v>
      </c>
      <c r="G78" t="s">
        <v>114</v>
      </c>
      <c r="H78">
        <f>INDEX(VAV_Schedule_5_21[#All], MATCH(Joined!G78, VAV_Schedule_5_21[[#All],[UNIT TAG]], 0), 9)</f>
        <v>4</v>
      </c>
      <c r="I78" t="str">
        <f t="shared" si="10"/>
        <v>WPC.VAV-4W-7</v>
      </c>
      <c r="J78" t="str">
        <f t="shared" si="11"/>
        <v>4W</v>
      </c>
      <c r="L78">
        <f>INDEX(Schedule!$A:$J, MATCH(Joined!$G78, Schedule!$B:$B, 0), 5)</f>
        <v>1.26</v>
      </c>
      <c r="M78">
        <f>INDEX(Schedule!$A:$J, MATCH(Joined!$G78, Schedule!$B:$B, 0), 6)</f>
        <v>0</v>
      </c>
    </row>
    <row r="79" spans="1:13" x14ac:dyDescent="0.2">
      <c r="A79">
        <f>INDEX(PanelInstance!B:D, MATCH(Joined!J79, PanelInstance!D:D, FALSE), 2)</f>
        <v>150700</v>
      </c>
      <c r="B79" t="s">
        <v>291</v>
      </c>
      <c r="C79">
        <f>COUNTIF($D$3:D79, RIGHT(LEFT(A79,4),3))</f>
        <v>1</v>
      </c>
      <c r="D79" t="str">
        <f t="shared" si="8"/>
        <v>507</v>
      </c>
      <c r="E79">
        <f t="shared" si="9"/>
        <v>150701</v>
      </c>
      <c r="F79">
        <f>INDEX(Schedule!$A:$N, MATCH(Joined!$G79, Schedule!$B:$B,0),14)</f>
        <v>15006</v>
      </c>
      <c r="G79" t="s">
        <v>115</v>
      </c>
      <c r="H79">
        <f>INDEX(VAV_Schedule_5_21[#All], MATCH(Joined!G79, VAV_Schedule_5_21[[#All],[UNIT TAG]], 0), 9)</f>
        <v>4</v>
      </c>
      <c r="I79" t="str">
        <f t="shared" si="10"/>
        <v>WPC.VAV-4N-8</v>
      </c>
      <c r="J79" t="str">
        <f t="shared" si="11"/>
        <v>4N</v>
      </c>
      <c r="L79">
        <f>INDEX(Schedule!$A:$J, MATCH(Joined!$G79, Schedule!$B:$B, 0), 5)</f>
        <v>1.1499999999999999</v>
      </c>
      <c r="M79">
        <f>INDEX(Schedule!$A:$J, MATCH(Joined!$G79, Schedule!$B:$B, 0), 6)</f>
        <v>230</v>
      </c>
    </row>
    <row r="80" spans="1:13" x14ac:dyDescent="0.2">
      <c r="A80">
        <f>INDEX(PanelInstance!B:D, MATCH(Joined!J80, PanelInstance!D:D, FALSE), 2)</f>
        <v>150700</v>
      </c>
      <c r="B80" t="s">
        <v>291</v>
      </c>
      <c r="C80">
        <f>COUNTIF($D$3:D80, RIGHT(LEFT(A80,4),3))</f>
        <v>2</v>
      </c>
      <c r="D80" t="str">
        <f t="shared" si="8"/>
        <v>507</v>
      </c>
      <c r="E80">
        <f t="shared" si="9"/>
        <v>150702</v>
      </c>
      <c r="F80">
        <f>INDEX(Schedule!$A:$N, MATCH(Joined!$G80, Schedule!$B:$B,0),14)</f>
        <v>15008</v>
      </c>
      <c r="G80" t="s">
        <v>116</v>
      </c>
      <c r="H80">
        <f>INDEX(VAV_Schedule_5_21[#All], MATCH(Joined!G80, VAV_Schedule_5_21[[#All],[UNIT TAG]], 0), 9)</f>
        <v>4</v>
      </c>
      <c r="I80" t="str">
        <f t="shared" si="10"/>
        <v>WPC.VAV-4N-9</v>
      </c>
      <c r="J80" t="str">
        <f t="shared" si="11"/>
        <v>4N</v>
      </c>
      <c r="L80">
        <f>INDEX(Schedule!$A:$J, MATCH(Joined!$G80, Schedule!$B:$B, 0), 5)</f>
        <v>1.07</v>
      </c>
      <c r="M80">
        <f>INDEX(Schedule!$A:$J, MATCH(Joined!$G80, Schedule!$B:$B, 0), 6)</f>
        <v>0</v>
      </c>
    </row>
    <row r="81" spans="1:16" x14ac:dyDescent="0.2">
      <c r="A81">
        <f>INDEX(PanelInstance!B:D, MATCH(Joined!J81, PanelInstance!D:D, FALSE), 2)</f>
        <v>150700</v>
      </c>
      <c r="B81" t="s">
        <v>291</v>
      </c>
      <c r="C81">
        <f>COUNTIF($D$3:D81, RIGHT(LEFT(A81,4),3))</f>
        <v>3</v>
      </c>
      <c r="D81" t="str">
        <f t="shared" si="8"/>
        <v>507</v>
      </c>
      <c r="E81">
        <f t="shared" si="9"/>
        <v>150703</v>
      </c>
      <c r="F81">
        <f>INDEX(Schedule!$A:$N, MATCH(Joined!$G81, Schedule!$B:$B,0),14)</f>
        <v>15008</v>
      </c>
      <c r="G81" t="s">
        <v>117</v>
      </c>
      <c r="H81">
        <f>INDEX(VAV_Schedule_5_21[#All], MATCH(Joined!G81, VAV_Schedule_5_21[[#All],[UNIT TAG]], 0), 9)</f>
        <v>4</v>
      </c>
      <c r="I81" t="str">
        <f t="shared" si="10"/>
        <v>WPC.VAV-4N-10</v>
      </c>
      <c r="J81" t="str">
        <f t="shared" si="11"/>
        <v>4N</v>
      </c>
      <c r="L81">
        <f>INDEX(Schedule!$A:$J, MATCH(Joined!$G81, Schedule!$B:$B, 0), 5)</f>
        <v>315</v>
      </c>
      <c r="M81">
        <f>INDEX(Schedule!$A:$J, MATCH(Joined!$G81, Schedule!$B:$B, 0), 6)</f>
        <v>0</v>
      </c>
    </row>
    <row r="82" spans="1:16" x14ac:dyDescent="0.2">
      <c r="A82">
        <f>INDEX(PanelInstance!B:D, MATCH(Joined!J82, PanelInstance!D:D, FALSE), 2)</f>
        <v>150700</v>
      </c>
      <c r="B82" t="s">
        <v>291</v>
      </c>
      <c r="C82">
        <f>COUNTIF($D$3:D82, RIGHT(LEFT(A82,4),3))</f>
        <v>4</v>
      </c>
      <c r="D82" t="str">
        <f t="shared" si="8"/>
        <v>507</v>
      </c>
      <c r="E82">
        <f t="shared" si="9"/>
        <v>150704</v>
      </c>
      <c r="F82">
        <f>INDEX(Schedule!$A:$N, MATCH(Joined!$G82, Schedule!$B:$B,0),14)</f>
        <v>15009</v>
      </c>
      <c r="G82" t="s">
        <v>118</v>
      </c>
      <c r="H82">
        <f>INDEX(VAV_Schedule_5_21[#All], MATCH(Joined!G82, VAV_Schedule_5_21[[#All],[UNIT TAG]], 0), 9)</f>
        <v>4</v>
      </c>
      <c r="I82" t="str">
        <f t="shared" si="10"/>
        <v>WPC.VAV-4N-11</v>
      </c>
      <c r="J82" t="str">
        <f t="shared" si="11"/>
        <v>4N</v>
      </c>
      <c r="L82">
        <f>INDEX(Schedule!$A:$J, MATCH(Joined!$G82, Schedule!$B:$B, 0), 5)</f>
        <v>680</v>
      </c>
      <c r="M82">
        <f>INDEX(Schedule!$A:$J, MATCH(Joined!$G82, Schedule!$B:$B, 0), 6)</f>
        <v>0</v>
      </c>
    </row>
    <row r="83" spans="1:16" x14ac:dyDescent="0.2">
      <c r="A83">
        <f>INDEX(PanelInstance!B:D, MATCH(Joined!J83, PanelInstance!D:D, FALSE), 2)</f>
        <v>150700</v>
      </c>
      <c r="B83" t="s">
        <v>291</v>
      </c>
      <c r="C83">
        <f>COUNTIF($D$3:D83, RIGHT(LEFT(A83,4),3))</f>
        <v>5</v>
      </c>
      <c r="D83" t="str">
        <f t="shared" si="8"/>
        <v>507</v>
      </c>
      <c r="E83">
        <f t="shared" si="9"/>
        <v>150705</v>
      </c>
      <c r="F83">
        <f>INDEX(Schedule!$A:$N, MATCH(Joined!$G83, Schedule!$B:$B,0),14)</f>
        <v>15009</v>
      </c>
      <c r="G83" t="s">
        <v>119</v>
      </c>
      <c r="H83">
        <f>INDEX(VAV_Schedule_5_21[#All], MATCH(Joined!G83, VAV_Schedule_5_21[[#All],[UNIT TAG]], 0), 9)</f>
        <v>4</v>
      </c>
      <c r="I83" t="str">
        <f t="shared" si="10"/>
        <v>WPC.VAV-4N-12</v>
      </c>
      <c r="J83" t="str">
        <f t="shared" si="11"/>
        <v>4N</v>
      </c>
      <c r="L83">
        <f>INDEX(Schedule!$A:$J, MATCH(Joined!$G83, Schedule!$B:$B, 0), 5)</f>
        <v>180</v>
      </c>
      <c r="M83">
        <f>INDEX(Schedule!$A:$J, MATCH(Joined!$G83, Schedule!$B:$B, 0), 6)</f>
        <v>0</v>
      </c>
    </row>
    <row r="84" spans="1:16" x14ac:dyDescent="0.2">
      <c r="A84">
        <f>INDEX(PanelInstance!B:D, MATCH(Joined!J84, PanelInstance!D:D, FALSE), 2)</f>
        <v>150700</v>
      </c>
      <c r="B84" t="s">
        <v>291</v>
      </c>
      <c r="C84">
        <f>COUNTIF($D$3:D84, RIGHT(LEFT(A84,4),3))</f>
        <v>6</v>
      </c>
      <c r="D84" t="str">
        <f t="shared" si="8"/>
        <v>507</v>
      </c>
      <c r="E84">
        <f t="shared" si="9"/>
        <v>150706</v>
      </c>
      <c r="F84">
        <f>INDEX(Schedule!$A:$N, MATCH(Joined!$G84, Schedule!$B:$B,0),14)</f>
        <v>15008</v>
      </c>
      <c r="G84" t="s">
        <v>120</v>
      </c>
      <c r="H84">
        <f>INDEX(VAV_Schedule_5_21[#All], MATCH(Joined!G84, VAV_Schedule_5_21[[#All],[UNIT TAG]], 0), 9)</f>
        <v>4</v>
      </c>
      <c r="I84" t="str">
        <f t="shared" si="10"/>
        <v>WPC.VAV-4N-13</v>
      </c>
      <c r="J84" t="str">
        <f t="shared" si="11"/>
        <v>4N</v>
      </c>
      <c r="L84">
        <f>INDEX(Schedule!$A:$J, MATCH(Joined!$G84, Schedule!$B:$B, 0), 5)</f>
        <v>1.1299999999999999</v>
      </c>
      <c r="M84">
        <f>INDEX(Schedule!$A:$J, MATCH(Joined!$G84, Schedule!$B:$B, 0), 6)</f>
        <v>0</v>
      </c>
    </row>
    <row r="85" spans="1:16" x14ac:dyDescent="0.2">
      <c r="A85">
        <f>INDEX(PanelInstance!B:D, MATCH(Joined!J85, PanelInstance!D:D, FALSE), 2)</f>
        <v>150700</v>
      </c>
      <c r="B85" t="s">
        <v>291</v>
      </c>
      <c r="C85">
        <f>COUNTIF($D$3:D85, RIGHT(LEFT(A85,4),3))</f>
        <v>7</v>
      </c>
      <c r="D85" t="str">
        <f t="shared" si="8"/>
        <v>507</v>
      </c>
      <c r="E85">
        <f t="shared" si="9"/>
        <v>150707</v>
      </c>
      <c r="F85">
        <f>INDEX(Schedule!$A:$N, MATCH(Joined!$G85, Schedule!$B:$B,0),14)</f>
        <v>15009</v>
      </c>
      <c r="G85" t="s">
        <v>121</v>
      </c>
      <c r="H85">
        <f>INDEX(VAV_Schedule_5_21[#All], MATCH(Joined!G85, VAV_Schedule_5_21[[#All],[UNIT TAG]], 0), 9)</f>
        <v>4</v>
      </c>
      <c r="I85" t="str">
        <f t="shared" si="10"/>
        <v>WPC.VAV-4N-14</v>
      </c>
      <c r="J85" t="str">
        <f t="shared" si="11"/>
        <v>4N</v>
      </c>
      <c r="L85">
        <f>INDEX(Schedule!$A:$J, MATCH(Joined!$G85, Schedule!$B:$B, 0), 5)</f>
        <v>1.1000000000000001</v>
      </c>
      <c r="M85">
        <f>INDEX(Schedule!$A:$J, MATCH(Joined!$G85, Schedule!$B:$B, 0), 6)</f>
        <v>0</v>
      </c>
    </row>
    <row r="86" spans="1:16" x14ac:dyDescent="0.2">
      <c r="A86">
        <f>INDEX(PanelInstance!B:D, MATCH(Joined!J86, PanelInstance!D:D, FALSE), 2)</f>
        <v>150700</v>
      </c>
      <c r="B86" t="s">
        <v>291</v>
      </c>
      <c r="C86">
        <f>COUNTIF($D$3:D86, RIGHT(LEFT(A86,4),3))</f>
        <v>8</v>
      </c>
      <c r="D86" t="str">
        <f t="shared" si="8"/>
        <v>507</v>
      </c>
      <c r="E86">
        <f t="shared" si="9"/>
        <v>150708</v>
      </c>
      <c r="F86">
        <f>INDEX(Schedule!$A:$N, MATCH(Joined!$G86, Schedule!$B:$B,0),14)</f>
        <v>15009</v>
      </c>
      <c r="G86" t="s">
        <v>122</v>
      </c>
      <c r="H86">
        <f>INDEX(VAV_Schedule_5_21[#All], MATCH(Joined!G86, VAV_Schedule_5_21[[#All],[UNIT TAG]], 0), 9)</f>
        <v>4</v>
      </c>
      <c r="I86" t="str">
        <f t="shared" si="10"/>
        <v>WPC.VAV-4N-15</v>
      </c>
      <c r="J86" t="str">
        <f t="shared" si="11"/>
        <v>4N</v>
      </c>
      <c r="L86">
        <f>INDEX(Schedule!$A:$J, MATCH(Joined!$G86, Schedule!$B:$B, 0), 5)</f>
        <v>180</v>
      </c>
      <c r="M86">
        <f>INDEX(Schedule!$A:$J, MATCH(Joined!$G86, Schedule!$B:$B, 0), 6)</f>
        <v>0</v>
      </c>
    </row>
    <row r="87" spans="1:16" x14ac:dyDescent="0.2">
      <c r="A87">
        <f>INDEX(PanelInstance!B:D, MATCH(Joined!J87, PanelInstance!D:D, FALSE), 2)</f>
        <v>150700</v>
      </c>
      <c r="B87" t="s">
        <v>291</v>
      </c>
      <c r="C87">
        <f>COUNTIF($D$3:D87, RIGHT(LEFT(A87,4),3))</f>
        <v>9</v>
      </c>
      <c r="D87" t="str">
        <f t="shared" si="8"/>
        <v>507</v>
      </c>
      <c r="E87">
        <f t="shared" si="9"/>
        <v>150709</v>
      </c>
      <c r="F87">
        <f>INDEX(Schedule!$A:$N, MATCH(Joined!$G87, Schedule!$B:$B,0),14)</f>
        <v>15006</v>
      </c>
      <c r="G87" t="s">
        <v>639</v>
      </c>
      <c r="H87">
        <f>INDEX(VAV_Schedule_5_21[#All], MATCH(Joined!G87, VAV_Schedule_5_21[[#All],[UNIT TAG]], 0), 9)</f>
        <v>4</v>
      </c>
      <c r="I87" t="str">
        <f t="shared" si="10"/>
        <v>WPC.VAV-4N-15A</v>
      </c>
      <c r="J87" t="str">
        <f t="shared" si="11"/>
        <v>4N</v>
      </c>
      <c r="L87">
        <f>INDEX(Schedule!$A:$J, MATCH(Joined!$G87, Schedule!$B:$B, 0), 5)</f>
        <v>550</v>
      </c>
      <c r="M87">
        <f>INDEX(Schedule!$A:$J, MATCH(Joined!$G87, Schedule!$B:$B, 0), 6)</f>
        <v>110</v>
      </c>
    </row>
    <row r="88" spans="1:16" x14ac:dyDescent="0.2">
      <c r="A88">
        <f>INDEX(PanelInstance!B:D, MATCH(Joined!J88, PanelInstance!D:D, FALSE), 2)</f>
        <v>150700</v>
      </c>
      <c r="B88" t="s">
        <v>291</v>
      </c>
      <c r="C88">
        <f>COUNTIF($D$3:D88, RIGHT(LEFT(A88,4),3))</f>
        <v>10</v>
      </c>
      <c r="D88" t="str">
        <f t="shared" si="8"/>
        <v>507</v>
      </c>
      <c r="E88">
        <f t="shared" si="9"/>
        <v>150710</v>
      </c>
      <c r="F88">
        <f>INDEX(Schedule!$A:$N, MATCH(Joined!$G88, Schedule!$B:$B,0),14)</f>
        <v>15009</v>
      </c>
      <c r="G88" t="s">
        <v>123</v>
      </c>
      <c r="H88">
        <f>INDEX(VAV_Schedule_5_21[#All], MATCH(Joined!G88, VAV_Schedule_5_21[[#All],[UNIT TAG]], 0), 9)</f>
        <v>4</v>
      </c>
      <c r="I88" t="str">
        <f t="shared" si="10"/>
        <v>WPC.VAV-4N-16</v>
      </c>
      <c r="J88" t="str">
        <f t="shared" si="11"/>
        <v>4N</v>
      </c>
      <c r="L88">
        <f>INDEX(Schedule!$A:$J, MATCH(Joined!$G88, Schedule!$B:$B, 0), 5)</f>
        <v>180</v>
      </c>
      <c r="M88">
        <f>INDEX(Schedule!$A:$J, MATCH(Joined!$G88, Schedule!$B:$B, 0), 6)</f>
        <v>0</v>
      </c>
    </row>
    <row r="89" spans="1:16" x14ac:dyDescent="0.2">
      <c r="A89">
        <f>INDEX(PanelInstance!B:D, MATCH(Joined!J89, PanelInstance!D:D, FALSE), 2)</f>
        <v>150700</v>
      </c>
      <c r="B89" t="s">
        <v>291</v>
      </c>
      <c r="C89">
        <f>COUNTIF($D$3:D89, RIGHT(LEFT(A89,4),3))</f>
        <v>11</v>
      </c>
      <c r="D89" t="str">
        <f t="shared" si="8"/>
        <v>507</v>
      </c>
      <c r="E89">
        <f t="shared" si="9"/>
        <v>150711</v>
      </c>
      <c r="F89">
        <f>INDEX(Schedule!$A:$N, MATCH(Joined!$G89, Schedule!$B:$B,0),14)</f>
        <v>15008</v>
      </c>
      <c r="G89" t="s">
        <v>124</v>
      </c>
      <c r="H89">
        <f>INDEX(VAV_Schedule_5_21[#All], MATCH(Joined!G89, VAV_Schedule_5_21[[#All],[UNIT TAG]], 0), 9)</f>
        <v>4</v>
      </c>
      <c r="I89" t="str">
        <f t="shared" si="10"/>
        <v>WPC.VAV-4N-17</v>
      </c>
      <c r="J89" t="str">
        <f t="shared" si="11"/>
        <v>4N</v>
      </c>
      <c r="L89">
        <f>INDEX(Schedule!$A:$J, MATCH(Joined!$G89, Schedule!$B:$B, 0), 5)</f>
        <v>280</v>
      </c>
      <c r="M89">
        <f>INDEX(Schedule!$A:$J, MATCH(Joined!$G89, Schedule!$B:$B, 0), 6)</f>
        <v>0</v>
      </c>
    </row>
    <row r="90" spans="1:16" x14ac:dyDescent="0.2">
      <c r="A90">
        <f>INDEX(PanelInstance!B:D, MATCH(Joined!J90, PanelInstance!D:D, FALSE), 2)</f>
        <v>150700</v>
      </c>
      <c r="B90" t="s">
        <v>291</v>
      </c>
      <c r="C90">
        <f>COUNTIF($D$3:D90, RIGHT(LEFT(A90,4),3))</f>
        <v>12</v>
      </c>
      <c r="D90" t="str">
        <f t="shared" si="8"/>
        <v>507</v>
      </c>
      <c r="E90">
        <f t="shared" si="9"/>
        <v>150712</v>
      </c>
      <c r="F90">
        <f>INDEX(Schedule!$A:$N, MATCH(Joined!$G90, Schedule!$B:$B,0),14)</f>
        <v>15006</v>
      </c>
      <c r="G90" t="s">
        <v>125</v>
      </c>
      <c r="H90">
        <f>INDEX(VAV_Schedule_5_21[#All], MATCH(Joined!G90, VAV_Schedule_5_21[[#All],[UNIT TAG]], 0), 9)</f>
        <v>4</v>
      </c>
      <c r="I90" t="str">
        <f t="shared" si="10"/>
        <v>WPC.VAV-4N-18</v>
      </c>
      <c r="J90" t="str">
        <f t="shared" si="11"/>
        <v>4N</v>
      </c>
      <c r="L90">
        <f>INDEX(Schedule!$A:$J, MATCH(Joined!$G90, Schedule!$B:$B, 0), 5)</f>
        <v>1.2</v>
      </c>
      <c r="M90">
        <f>INDEX(Schedule!$A:$J, MATCH(Joined!$G90, Schedule!$B:$B, 0), 6)</f>
        <v>240</v>
      </c>
    </row>
    <row r="91" spans="1:16" x14ac:dyDescent="0.2">
      <c r="A91">
        <f>INDEX(PanelInstance!B:D, MATCH(Joined!J91, PanelInstance!D:D, FALSE), 2)</f>
        <v>150700</v>
      </c>
      <c r="B91" t="s">
        <v>291</v>
      </c>
      <c r="C91">
        <f>COUNTIF($D$3:D91, RIGHT(LEFT(A91,4),3))</f>
        <v>13</v>
      </c>
      <c r="D91" t="str">
        <f t="shared" si="8"/>
        <v>507</v>
      </c>
      <c r="E91">
        <f t="shared" si="9"/>
        <v>150713</v>
      </c>
      <c r="F91">
        <f>INDEX(Schedule!$A:$N, MATCH(Joined!$G91, Schedule!$B:$B,0),14)</f>
        <v>15009</v>
      </c>
      <c r="G91" t="s">
        <v>126</v>
      </c>
      <c r="H91">
        <f>INDEX(VAV_Schedule_5_21[#All], MATCH(Joined!G91, VAV_Schedule_5_21[[#All],[UNIT TAG]], 0), 9)</f>
        <v>4</v>
      </c>
      <c r="I91" t="str">
        <f t="shared" si="10"/>
        <v>WPC.VAV-4N-19</v>
      </c>
      <c r="J91" t="str">
        <f t="shared" si="11"/>
        <v>4N</v>
      </c>
      <c r="L91">
        <f>INDEX(Schedule!$A:$J, MATCH(Joined!$G91, Schedule!$B:$B, 0), 5)</f>
        <v>800</v>
      </c>
      <c r="M91">
        <f>INDEX(Schedule!$A:$J, MATCH(Joined!$G91, Schedule!$B:$B, 0), 6)</f>
        <v>0</v>
      </c>
    </row>
    <row r="92" spans="1:16" x14ac:dyDescent="0.2">
      <c r="A92">
        <f>INDEX(PanelInstance!B:D, MATCH(Joined!J92, PanelInstance!D:D, FALSE), 2)</f>
        <v>150700</v>
      </c>
      <c r="B92" t="s">
        <v>291</v>
      </c>
      <c r="C92">
        <f>COUNTIF($D$3:D92, RIGHT(LEFT(A92,4),3))</f>
        <v>14</v>
      </c>
      <c r="D92" t="str">
        <f t="shared" si="8"/>
        <v>507</v>
      </c>
      <c r="E92">
        <f t="shared" si="9"/>
        <v>150714</v>
      </c>
      <c r="F92">
        <f>INDEX(Schedule!$A:$N, MATCH(Joined!$G92, Schedule!$B:$B,0),14)</f>
        <v>15006</v>
      </c>
      <c r="G92" t="s">
        <v>127</v>
      </c>
      <c r="H92">
        <f>INDEX(VAV_Schedule_5_21[#All], MATCH(Joined!G92, VAV_Schedule_5_21[[#All],[UNIT TAG]], 0), 9)</f>
        <v>4</v>
      </c>
      <c r="I92" t="str">
        <f t="shared" si="10"/>
        <v>WPC.VAV-4N-20</v>
      </c>
      <c r="J92" t="str">
        <f t="shared" si="11"/>
        <v>4N</v>
      </c>
      <c r="L92">
        <f>INDEX(Schedule!$A:$J, MATCH(Joined!$G92, Schedule!$B:$B, 0), 5)</f>
        <v>1.1000000000000001</v>
      </c>
      <c r="M92">
        <f>INDEX(Schedule!$A:$J, MATCH(Joined!$G92, Schedule!$B:$B, 0), 6)</f>
        <v>220</v>
      </c>
    </row>
    <row r="93" spans="1:16" x14ac:dyDescent="0.2">
      <c r="A93">
        <f>INDEX(PanelInstance!B:D, MATCH(Joined!J93, PanelInstance!D:D, FALSE), 2)</f>
        <v>150700</v>
      </c>
      <c r="B93" t="s">
        <v>291</v>
      </c>
      <c r="C93">
        <f>COUNTIF($D$3:D93, RIGHT(LEFT(A93,4),3))</f>
        <v>15</v>
      </c>
      <c r="D93" t="str">
        <f t="shared" si="8"/>
        <v>507</v>
      </c>
      <c r="E93">
        <f t="shared" si="9"/>
        <v>150715</v>
      </c>
      <c r="F93">
        <f>INDEX(Schedule!$A:$N, MATCH(Joined!$G93, Schedule!$B:$B,0),14)</f>
        <v>15006</v>
      </c>
      <c r="G93" t="s">
        <v>128</v>
      </c>
      <c r="H93">
        <f>INDEX(VAV_Schedule_5_21[#All], MATCH(Joined!G93, VAV_Schedule_5_21[[#All],[UNIT TAG]], 0), 9)</f>
        <v>4</v>
      </c>
      <c r="I93" t="str">
        <f t="shared" si="10"/>
        <v>WPC.VAV-4N-21</v>
      </c>
      <c r="J93" t="str">
        <f t="shared" si="11"/>
        <v>4N</v>
      </c>
      <c r="L93">
        <f>INDEX(Schedule!$A:$J, MATCH(Joined!$G93, Schedule!$B:$B, 0), 5)</f>
        <v>945</v>
      </c>
      <c r="M93">
        <f>INDEX(Schedule!$A:$J, MATCH(Joined!$G93, Schedule!$B:$B, 0), 6)</f>
        <v>190</v>
      </c>
    </row>
    <row r="94" spans="1:16" x14ac:dyDescent="0.2">
      <c r="A94">
        <f>INDEX(PanelInstance!B:D, MATCH(Joined!J94, PanelInstance!D:D, FALSE), 2)</f>
        <v>150800</v>
      </c>
      <c r="B94" t="s">
        <v>291</v>
      </c>
      <c r="C94">
        <f>COUNTIF($D$3:D94, RIGHT(LEFT(A94,4),3))</f>
        <v>1</v>
      </c>
      <c r="D94" t="str">
        <f t="shared" si="8"/>
        <v>508</v>
      </c>
      <c r="E94">
        <f t="shared" si="9"/>
        <v>150801</v>
      </c>
      <c r="F94">
        <f>INDEX(Schedule!$A:$N, MATCH(Joined!$G94, Schedule!$B:$B,0),14)</f>
        <v>15007</v>
      </c>
      <c r="G94" s="20" t="s">
        <v>129</v>
      </c>
      <c r="H94">
        <f>INDEX(VAV_Schedule_5_21[#All], MATCH(Joined!G94, VAV_Schedule_5_21[[#All],[UNIT TAG]], 0), 9)</f>
        <v>4</v>
      </c>
      <c r="I94" t="str">
        <f t="shared" si="10"/>
        <v>WPC.VAV-4E-22</v>
      </c>
      <c r="J94" t="str">
        <f t="shared" si="11"/>
        <v>4E</v>
      </c>
      <c r="L94">
        <f>INDEX(Schedule!$A:$J, MATCH(Joined!$G94, Schedule!$B:$B, 0), 5)</f>
        <v>1.2</v>
      </c>
      <c r="M94">
        <f>INDEX(Schedule!$A:$J, MATCH(Joined!$G94, Schedule!$B:$B, 0), 6)</f>
        <v>240</v>
      </c>
      <c r="P94" t="s">
        <v>426</v>
      </c>
    </row>
    <row r="95" spans="1:16" x14ac:dyDescent="0.2">
      <c r="A95">
        <f>INDEX(PanelInstance!B:D, MATCH(Joined!J95, PanelInstance!D:D, FALSE), 2)</f>
        <v>150800</v>
      </c>
      <c r="B95" t="s">
        <v>291</v>
      </c>
      <c r="C95">
        <f>COUNTIF($D$3:D95, RIGHT(LEFT(A95,4),3))</f>
        <v>2</v>
      </c>
      <c r="D95" t="str">
        <f t="shared" si="8"/>
        <v>508</v>
      </c>
      <c r="E95">
        <f t="shared" si="9"/>
        <v>150802</v>
      </c>
      <c r="F95">
        <f>INDEX(Schedule!$A:$N, MATCH(Joined!$G95, Schedule!$B:$B,0),14)</f>
        <v>15007</v>
      </c>
      <c r="G95" t="s">
        <v>130</v>
      </c>
      <c r="H95">
        <f>INDEX(VAV_Schedule_5_21[#All], MATCH(Joined!G95, VAV_Schedule_5_21[[#All],[UNIT TAG]], 0), 9)</f>
        <v>4</v>
      </c>
      <c r="I95" t="str">
        <f t="shared" si="10"/>
        <v>WPC.VAV-4E-23</v>
      </c>
      <c r="J95" t="str">
        <f t="shared" si="11"/>
        <v>4E</v>
      </c>
      <c r="L95">
        <f>INDEX(Schedule!$A:$J, MATCH(Joined!$G95, Schedule!$B:$B, 0), 5)</f>
        <v>580</v>
      </c>
      <c r="M95">
        <f>INDEX(Schedule!$A:$J, MATCH(Joined!$G95, Schedule!$B:$B, 0), 6)</f>
        <v>120</v>
      </c>
    </row>
    <row r="96" spans="1:16" x14ac:dyDescent="0.2">
      <c r="A96">
        <f>INDEX(PanelInstance!B:D, MATCH(Joined!J96, PanelInstance!D:D, FALSE), 2)</f>
        <v>150800</v>
      </c>
      <c r="B96" t="s">
        <v>291</v>
      </c>
      <c r="C96">
        <f>COUNTIF($D$3:D96, RIGHT(LEFT(A96,4),3))</f>
        <v>3</v>
      </c>
      <c r="D96" t="str">
        <f t="shared" si="8"/>
        <v>508</v>
      </c>
      <c r="E96">
        <f t="shared" si="9"/>
        <v>150803</v>
      </c>
      <c r="F96">
        <f>INDEX(Schedule!$A:$N, MATCH(Joined!$G96, Schedule!$B:$B,0),14)</f>
        <v>15007</v>
      </c>
      <c r="G96" t="s">
        <v>131</v>
      </c>
      <c r="H96">
        <f>INDEX(VAV_Schedule_5_21[#All], MATCH(Joined!G96, VAV_Schedule_5_21[[#All],[UNIT TAG]], 0), 9)</f>
        <v>4</v>
      </c>
      <c r="I96" t="str">
        <f t="shared" si="10"/>
        <v>WPC.VAV-4E-24</v>
      </c>
      <c r="J96" t="str">
        <f t="shared" si="11"/>
        <v>4E</v>
      </c>
      <c r="L96">
        <f>INDEX(Schedule!$A:$J, MATCH(Joined!$G96, Schedule!$B:$B, 0), 5)</f>
        <v>540</v>
      </c>
      <c r="M96">
        <f>INDEX(Schedule!$A:$J, MATCH(Joined!$G96, Schedule!$B:$B, 0), 6)</f>
        <v>110</v>
      </c>
    </row>
    <row r="97" spans="1:16" x14ac:dyDescent="0.2">
      <c r="A97">
        <f>INDEX(PanelInstance!B:D, MATCH(Joined!J97, PanelInstance!D:D, FALSE), 2)</f>
        <v>150800</v>
      </c>
      <c r="B97" t="s">
        <v>291</v>
      </c>
      <c r="C97">
        <f>COUNTIF($D$3:D97, RIGHT(LEFT(A97,4),3))</f>
        <v>4</v>
      </c>
      <c r="D97" t="str">
        <f t="shared" si="8"/>
        <v>508</v>
      </c>
      <c r="E97">
        <f t="shared" si="9"/>
        <v>150804</v>
      </c>
      <c r="F97">
        <f>INDEX(Schedule!$A:$N, MATCH(Joined!$G97, Schedule!$B:$B,0),14)</f>
        <v>15007</v>
      </c>
      <c r="G97" t="s">
        <v>132</v>
      </c>
      <c r="H97">
        <f>INDEX(VAV_Schedule_5_21[#All], MATCH(Joined!G97, VAV_Schedule_5_21[[#All],[UNIT TAG]], 0), 9)</f>
        <v>4</v>
      </c>
      <c r="I97" t="str">
        <f t="shared" si="10"/>
        <v>WPC.VAV-4E-25</v>
      </c>
      <c r="J97" t="str">
        <f t="shared" si="11"/>
        <v>4E</v>
      </c>
      <c r="L97">
        <f>INDEX(Schedule!$A:$J, MATCH(Joined!$G97, Schedule!$B:$B, 0), 5)</f>
        <v>500</v>
      </c>
      <c r="M97">
        <f>INDEX(Schedule!$A:$J, MATCH(Joined!$G97, Schedule!$B:$B, 0), 6)</f>
        <v>100</v>
      </c>
    </row>
    <row r="98" spans="1:16" x14ac:dyDescent="0.2">
      <c r="A98">
        <f>INDEX(PanelInstance!B:D, MATCH(Joined!J98, PanelInstance!D:D, FALSE), 2)</f>
        <v>150800</v>
      </c>
      <c r="B98" t="s">
        <v>291</v>
      </c>
      <c r="C98">
        <f>COUNTIF($D$3:D98, RIGHT(LEFT(A98,4),3))</f>
        <v>5</v>
      </c>
      <c r="D98" t="str">
        <f t="shared" si="8"/>
        <v>508</v>
      </c>
      <c r="E98">
        <f t="shared" si="9"/>
        <v>150805</v>
      </c>
      <c r="F98">
        <f>INDEX(Schedule!$A:$N, MATCH(Joined!$G98, Schedule!$B:$B,0),14)</f>
        <v>15006</v>
      </c>
      <c r="G98" t="s">
        <v>133</v>
      </c>
      <c r="H98">
        <f>INDEX(VAV_Schedule_5_21[#All], MATCH(Joined!G98, VAV_Schedule_5_21[[#All],[UNIT TAG]], 0), 9)</f>
        <v>4</v>
      </c>
      <c r="I98" t="str">
        <f t="shared" si="10"/>
        <v>WPC.VAV-4E-26</v>
      </c>
      <c r="J98" t="str">
        <f t="shared" si="11"/>
        <v>4E</v>
      </c>
      <c r="L98">
        <f>INDEX(Schedule!$A:$J, MATCH(Joined!$G98, Schedule!$B:$B, 0), 5)</f>
        <v>550</v>
      </c>
      <c r="M98">
        <f>INDEX(Schedule!$A:$J, MATCH(Joined!$G98, Schedule!$B:$B, 0), 6)</f>
        <v>110</v>
      </c>
    </row>
    <row r="99" spans="1:16" x14ac:dyDescent="0.2">
      <c r="A99">
        <f>INDEX(PanelInstance!B:D, MATCH(Joined!J99, PanelInstance!D:D, FALSE), 2)</f>
        <v>150800</v>
      </c>
      <c r="B99" t="s">
        <v>291</v>
      </c>
      <c r="C99">
        <f>COUNTIF($D$3:D99, RIGHT(LEFT(A99,4),3))</f>
        <v>6</v>
      </c>
      <c r="D99" t="str">
        <f t="shared" si="8"/>
        <v>508</v>
      </c>
      <c r="E99">
        <f t="shared" si="9"/>
        <v>150806</v>
      </c>
      <c r="F99">
        <f>INDEX(Schedule!$A:$N, MATCH(Joined!$G99, Schedule!$B:$B,0),14)</f>
        <v>15006</v>
      </c>
      <c r="G99" t="s">
        <v>134</v>
      </c>
      <c r="H99">
        <f>INDEX(VAV_Schedule_5_21[#All], MATCH(Joined!G99, VAV_Schedule_5_21[[#All],[UNIT TAG]], 0), 9)</f>
        <v>4</v>
      </c>
      <c r="I99" t="str">
        <f t="shared" si="10"/>
        <v>WPC.VAV-4E-27</v>
      </c>
      <c r="J99" t="str">
        <f t="shared" si="11"/>
        <v>4E</v>
      </c>
      <c r="L99">
        <f>INDEX(Schedule!$A:$J, MATCH(Joined!$G99, Schedule!$B:$B, 0), 5)</f>
        <v>300</v>
      </c>
      <c r="M99">
        <f>INDEX(Schedule!$A:$J, MATCH(Joined!$G99, Schedule!$B:$B, 0), 6)</f>
        <v>60</v>
      </c>
    </row>
    <row r="100" spans="1:16" x14ac:dyDescent="0.2">
      <c r="A100">
        <f>INDEX(PanelInstance!B:D, MATCH(Joined!J100, PanelInstance!D:D, FALSE), 2)</f>
        <v>150800</v>
      </c>
      <c r="B100" t="s">
        <v>291</v>
      </c>
      <c r="C100">
        <f>COUNTIF($D$3:D100, RIGHT(LEFT(A100,4),3))</f>
        <v>7</v>
      </c>
      <c r="D100" t="str">
        <f t="shared" si="8"/>
        <v>508</v>
      </c>
      <c r="E100">
        <f t="shared" si="9"/>
        <v>150807</v>
      </c>
      <c r="F100">
        <f>INDEX(Schedule!$A:$N, MATCH(Joined!$G100, Schedule!$B:$B,0),14)</f>
        <v>15006</v>
      </c>
      <c r="G100" t="s">
        <v>135</v>
      </c>
      <c r="H100">
        <f>INDEX(VAV_Schedule_5_21[#All], MATCH(Joined!G100, VAV_Schedule_5_21[[#All],[UNIT TAG]], 0), 9)</f>
        <v>4</v>
      </c>
      <c r="I100" t="str">
        <f t="shared" si="10"/>
        <v>WPC.VAV-4E-28</v>
      </c>
      <c r="J100" t="str">
        <f t="shared" si="11"/>
        <v>4E</v>
      </c>
      <c r="L100">
        <f>INDEX(Schedule!$A:$J, MATCH(Joined!$G100, Schedule!$B:$B, 0), 5)</f>
        <v>840</v>
      </c>
      <c r="M100">
        <f>INDEX(Schedule!$A:$J, MATCH(Joined!$G100, Schedule!$B:$B, 0), 6)</f>
        <v>170</v>
      </c>
    </row>
    <row r="101" spans="1:16" x14ac:dyDescent="0.2">
      <c r="A101">
        <f>INDEX(PanelInstance!B:D, MATCH(Joined!J101, PanelInstance!D:D, FALSE), 2)</f>
        <v>150800</v>
      </c>
      <c r="B101" t="s">
        <v>291</v>
      </c>
      <c r="C101">
        <f>COUNTIF($D$3:D101, RIGHT(LEFT(A101,4),3))</f>
        <v>8</v>
      </c>
      <c r="D101" t="str">
        <f t="shared" si="8"/>
        <v>508</v>
      </c>
      <c r="E101">
        <f t="shared" si="9"/>
        <v>150808</v>
      </c>
      <c r="F101">
        <f>INDEX(Schedule!$A:$N, MATCH(Joined!$G101, Schedule!$B:$B,0),14)</f>
        <v>15006</v>
      </c>
      <c r="G101" s="20" t="s">
        <v>136</v>
      </c>
      <c r="H101">
        <f>INDEX(VAV_Schedule_5_21[#All], MATCH(Joined!G101, VAV_Schedule_5_21[[#All],[UNIT TAG]], 0), 9)</f>
        <v>4</v>
      </c>
      <c r="I101" t="str">
        <f t="shared" si="10"/>
        <v>WPC.VAV-4E-29</v>
      </c>
      <c r="J101" t="str">
        <f t="shared" si="11"/>
        <v>4E</v>
      </c>
      <c r="L101">
        <f>INDEX(Schedule!$A:$J, MATCH(Joined!$G101, Schedule!$B:$B, 0), 5)</f>
        <v>420</v>
      </c>
      <c r="M101">
        <f>INDEX(Schedule!$A:$J, MATCH(Joined!$G101, Schedule!$B:$B, 0), 6)</f>
        <v>85</v>
      </c>
      <c r="P101" t="s">
        <v>426</v>
      </c>
    </row>
    <row r="102" spans="1:16" x14ac:dyDescent="0.2">
      <c r="A102">
        <f>INDEX(PanelInstance!B:D, MATCH(Joined!J102, PanelInstance!D:D, FALSE), 2)</f>
        <v>150800</v>
      </c>
      <c r="B102" t="s">
        <v>291</v>
      </c>
      <c r="C102">
        <f>COUNTIF($D$3:D102, RIGHT(LEFT(A102,4),3))</f>
        <v>9</v>
      </c>
      <c r="D102" t="str">
        <f t="shared" si="8"/>
        <v>508</v>
      </c>
      <c r="E102">
        <f t="shared" si="9"/>
        <v>150809</v>
      </c>
      <c r="F102">
        <f>INDEX(Schedule!$A:$N, MATCH(Joined!$G102, Schedule!$B:$B,0),14)</f>
        <v>15007</v>
      </c>
      <c r="G102" t="s">
        <v>137</v>
      </c>
      <c r="H102">
        <f>INDEX(VAV_Schedule_5_21[#All], MATCH(Joined!G102, VAV_Schedule_5_21[[#All],[UNIT TAG]], 0), 9)</f>
        <v>4</v>
      </c>
      <c r="I102" t="str">
        <f t="shared" si="10"/>
        <v>WPC.VAV-4E-30</v>
      </c>
      <c r="J102" t="str">
        <f t="shared" si="11"/>
        <v>4E</v>
      </c>
      <c r="L102">
        <f>INDEX(Schedule!$A:$J, MATCH(Joined!$G102, Schedule!$B:$B, 0), 5)</f>
        <v>1.05</v>
      </c>
      <c r="M102">
        <f>INDEX(Schedule!$A:$J, MATCH(Joined!$G102, Schedule!$B:$B, 0), 6)</f>
        <v>210</v>
      </c>
    </row>
    <row r="103" spans="1:16" x14ac:dyDescent="0.2">
      <c r="A103">
        <f>INDEX(PanelInstance!B:D, MATCH(Joined!J103, PanelInstance!D:D, FALSE), 2)</f>
        <v>150800</v>
      </c>
      <c r="B103" t="s">
        <v>291</v>
      </c>
      <c r="C103">
        <f>COUNTIF($D$3:D103, RIGHT(LEFT(A103,4),3))</f>
        <v>10</v>
      </c>
      <c r="D103" t="str">
        <f t="shared" si="8"/>
        <v>508</v>
      </c>
      <c r="E103">
        <f t="shared" si="9"/>
        <v>150810</v>
      </c>
      <c r="F103">
        <f>INDEX(Schedule!$A:$N, MATCH(Joined!$G103, Schedule!$B:$B,0),14)</f>
        <v>15006</v>
      </c>
      <c r="G103" t="s">
        <v>138</v>
      </c>
      <c r="H103">
        <f>INDEX(VAV_Schedule_5_21[#All], MATCH(Joined!G103, VAV_Schedule_5_21[[#All],[UNIT TAG]], 0), 9)</f>
        <v>4</v>
      </c>
      <c r="I103" t="str">
        <f t="shared" si="10"/>
        <v>WPC.VAV-4E-31</v>
      </c>
      <c r="J103" t="str">
        <f t="shared" si="11"/>
        <v>4E</v>
      </c>
      <c r="L103">
        <f>INDEX(Schedule!$A:$J, MATCH(Joined!$G103, Schedule!$B:$B, 0), 5)</f>
        <v>360</v>
      </c>
      <c r="M103">
        <f>INDEX(Schedule!$A:$J, MATCH(Joined!$G103, Schedule!$B:$B, 0), 6)</f>
        <v>75</v>
      </c>
    </row>
    <row r="104" spans="1:16" x14ac:dyDescent="0.2">
      <c r="A104">
        <f>INDEX(PanelInstance!B:D, MATCH(Joined!J104, PanelInstance!D:D, FALSE), 2)</f>
        <v>150800</v>
      </c>
      <c r="B104" t="s">
        <v>291</v>
      </c>
      <c r="C104">
        <f>COUNTIF($D$3:D104, RIGHT(LEFT(A104,4),3))</f>
        <v>11</v>
      </c>
      <c r="D104" t="str">
        <f t="shared" si="8"/>
        <v>508</v>
      </c>
      <c r="E104">
        <f t="shared" si="9"/>
        <v>150811</v>
      </c>
      <c r="F104">
        <f>INDEX(Schedule!$A:$N, MATCH(Joined!$G104, Schedule!$B:$B,0),14)</f>
        <v>15007</v>
      </c>
      <c r="G104" t="s">
        <v>139</v>
      </c>
      <c r="H104">
        <f>INDEX(VAV_Schedule_5_21[#All], MATCH(Joined!G104, VAV_Schedule_5_21[[#All],[UNIT TAG]], 0), 9)</f>
        <v>4</v>
      </c>
      <c r="I104" t="str">
        <f t="shared" si="10"/>
        <v>WPC.VAV-4E-32</v>
      </c>
      <c r="J104" t="str">
        <f t="shared" si="11"/>
        <v>4E</v>
      </c>
      <c r="L104">
        <f>INDEX(Schedule!$A:$J, MATCH(Joined!$G104, Schedule!$B:$B, 0), 5)</f>
        <v>910</v>
      </c>
      <c r="M104">
        <f>INDEX(Schedule!$A:$J, MATCH(Joined!$G104, Schedule!$B:$B, 0), 6)</f>
        <v>185</v>
      </c>
    </row>
    <row r="105" spans="1:16" x14ac:dyDescent="0.2">
      <c r="A105">
        <f>INDEX(PanelInstance!B:D, MATCH(Joined!J105, PanelInstance!D:D, FALSE), 2)</f>
        <v>150800</v>
      </c>
      <c r="B105" t="s">
        <v>291</v>
      </c>
      <c r="C105">
        <f>COUNTIF($D$3:D105, RIGHT(LEFT(A105,4),3))</f>
        <v>12</v>
      </c>
      <c r="D105" t="str">
        <f t="shared" si="8"/>
        <v>508</v>
      </c>
      <c r="E105">
        <f t="shared" si="9"/>
        <v>150812</v>
      </c>
      <c r="F105">
        <f>INDEX(Schedule!$A:$N, MATCH(Joined!$G105, Schedule!$B:$B,0),14)</f>
        <v>15007</v>
      </c>
      <c r="G105" t="s">
        <v>140</v>
      </c>
      <c r="H105">
        <f>INDEX(VAV_Schedule_5_21[#All], MATCH(Joined!G105, VAV_Schedule_5_21[[#All],[UNIT TAG]], 0), 9)</f>
        <v>4</v>
      </c>
      <c r="I105" t="str">
        <f t="shared" si="10"/>
        <v>WPC.VAV-4E-33</v>
      </c>
      <c r="J105" t="str">
        <f t="shared" si="11"/>
        <v>4E</v>
      </c>
      <c r="L105">
        <f>INDEX(Schedule!$A:$J, MATCH(Joined!$G105, Schedule!$B:$B, 0), 5)</f>
        <v>980</v>
      </c>
      <c r="M105">
        <f>INDEX(Schedule!$A:$J, MATCH(Joined!$G105, Schedule!$B:$B, 0), 6)</f>
        <v>200</v>
      </c>
    </row>
    <row r="106" spans="1:16" x14ac:dyDescent="0.2">
      <c r="A106">
        <f>INDEX(PanelInstance!B:D, MATCH(Joined!J106, PanelInstance!D:D, FALSE), 2)</f>
        <v>150800</v>
      </c>
      <c r="B106" t="s">
        <v>291</v>
      </c>
      <c r="C106">
        <f>COUNTIF($D$3:D106, RIGHT(LEFT(A106,4),3))</f>
        <v>13</v>
      </c>
      <c r="D106" t="str">
        <f t="shared" si="8"/>
        <v>508</v>
      </c>
      <c r="E106">
        <f t="shared" si="9"/>
        <v>150813</v>
      </c>
      <c r="F106">
        <f>INDEX(Schedule!$A:$N, MATCH(Joined!$G106, Schedule!$B:$B,0),14)</f>
        <v>15007</v>
      </c>
      <c r="G106" t="s">
        <v>141</v>
      </c>
      <c r="H106">
        <f>INDEX(VAV_Schedule_5_21[#All], MATCH(Joined!G106, VAV_Schedule_5_21[[#All],[UNIT TAG]], 0), 9)</f>
        <v>4</v>
      </c>
      <c r="I106" t="str">
        <f t="shared" si="10"/>
        <v>WPC.VAV-4E-34</v>
      </c>
      <c r="J106" t="str">
        <f t="shared" si="11"/>
        <v>4E</v>
      </c>
      <c r="L106">
        <f>INDEX(Schedule!$A:$J, MATCH(Joined!$G106, Schedule!$B:$B, 0), 5)</f>
        <v>640</v>
      </c>
      <c r="M106">
        <f>INDEX(Schedule!$A:$J, MATCH(Joined!$G106, Schedule!$B:$B, 0), 6)</f>
        <v>130</v>
      </c>
    </row>
    <row r="107" spans="1:16" x14ac:dyDescent="0.2">
      <c r="A107">
        <f>INDEX(PanelInstance!B:D, MATCH(Joined!J107, PanelInstance!D:D, FALSE), 2)</f>
        <v>150800</v>
      </c>
      <c r="B107" t="s">
        <v>291</v>
      </c>
      <c r="C107">
        <f>COUNTIF($D$3:D107, RIGHT(LEFT(A107,4),3))</f>
        <v>14</v>
      </c>
      <c r="D107" t="str">
        <f t="shared" si="8"/>
        <v>508</v>
      </c>
      <c r="E107">
        <f t="shared" si="9"/>
        <v>150814</v>
      </c>
      <c r="F107">
        <f>INDEX(Schedule!$A:$N, MATCH(Joined!$G107, Schedule!$B:$B,0),14)</f>
        <v>15007</v>
      </c>
      <c r="G107" t="s">
        <v>142</v>
      </c>
      <c r="H107">
        <f>INDEX(VAV_Schedule_5_21[#All], MATCH(Joined!G107, VAV_Schedule_5_21[[#All],[UNIT TAG]], 0), 9)</f>
        <v>4</v>
      </c>
      <c r="I107" t="str">
        <f t="shared" si="10"/>
        <v>WPC.VAV-4E-35</v>
      </c>
      <c r="J107" t="str">
        <f t="shared" si="11"/>
        <v>4E</v>
      </c>
      <c r="L107">
        <f>INDEX(Schedule!$A:$J, MATCH(Joined!$G107, Schedule!$B:$B, 0), 5)</f>
        <v>860</v>
      </c>
      <c r="M107">
        <f>INDEX(Schedule!$A:$J, MATCH(Joined!$G107, Schedule!$B:$B, 0), 6)</f>
        <v>175</v>
      </c>
    </row>
    <row r="108" spans="1:16" x14ac:dyDescent="0.2">
      <c r="A108">
        <f>INDEX(PanelInstance!B:D, MATCH(Joined!J108, PanelInstance!D:D, FALSE), 2)</f>
        <v>150800</v>
      </c>
      <c r="B108" t="s">
        <v>291</v>
      </c>
      <c r="C108">
        <f>COUNTIF($D$3:D108, RIGHT(LEFT(A108,4),3))</f>
        <v>15</v>
      </c>
      <c r="D108" t="str">
        <f t="shared" si="8"/>
        <v>508</v>
      </c>
      <c r="E108">
        <f t="shared" si="9"/>
        <v>150815</v>
      </c>
      <c r="F108">
        <f>INDEX(Schedule!$A:$N, MATCH(Joined!$G108, Schedule!$B:$B,0),14)</f>
        <v>15007</v>
      </c>
      <c r="G108" t="s">
        <v>143</v>
      </c>
      <c r="H108">
        <f>INDEX(VAV_Schedule_5_21[#All], MATCH(Joined!G108, VAV_Schedule_5_21[[#All],[UNIT TAG]], 0), 9)</f>
        <v>4</v>
      </c>
      <c r="I108" t="str">
        <f t="shared" si="10"/>
        <v>WPC.VAV-4E-36</v>
      </c>
      <c r="J108" t="str">
        <f t="shared" si="11"/>
        <v>4E</v>
      </c>
      <c r="L108">
        <f>INDEX(Schedule!$A:$J, MATCH(Joined!$G108, Schedule!$B:$B, 0), 5)</f>
        <v>700</v>
      </c>
      <c r="M108">
        <f>INDEX(Schedule!$A:$J, MATCH(Joined!$G108, Schedule!$B:$B, 0), 6)</f>
        <v>140</v>
      </c>
    </row>
    <row r="109" spans="1:16" x14ac:dyDescent="0.2">
      <c r="A109">
        <f>INDEX(PanelInstance!B:D, MATCH(Joined!J109, PanelInstance!D:D, FALSE), 2)</f>
        <v>150800</v>
      </c>
      <c r="B109" t="s">
        <v>291</v>
      </c>
      <c r="C109">
        <f>COUNTIF($D$3:D109, RIGHT(LEFT(A109,4),3))</f>
        <v>16</v>
      </c>
      <c r="D109" t="str">
        <f t="shared" si="8"/>
        <v>508</v>
      </c>
      <c r="E109">
        <f t="shared" si="9"/>
        <v>150816</v>
      </c>
      <c r="F109">
        <f>INDEX(Schedule!$A:$N, MATCH(Joined!$G109, Schedule!$B:$B,0),14)</f>
        <v>15006</v>
      </c>
      <c r="G109" t="s">
        <v>144</v>
      </c>
      <c r="H109">
        <f>INDEX(VAV_Schedule_5_21[#All], MATCH(Joined!G109, VAV_Schedule_5_21[[#All],[UNIT TAG]], 0), 9)</f>
        <v>4</v>
      </c>
      <c r="I109" t="str">
        <f t="shared" si="10"/>
        <v>WPC.VAV-4E-37</v>
      </c>
      <c r="J109" t="str">
        <f t="shared" si="11"/>
        <v>4E</v>
      </c>
      <c r="L109">
        <f>INDEX(Schedule!$A:$J, MATCH(Joined!$G109, Schedule!$B:$B, 0), 5)</f>
        <v>1.1000000000000001</v>
      </c>
      <c r="M109">
        <f>INDEX(Schedule!$A:$J, MATCH(Joined!$G109, Schedule!$B:$B, 0), 6)</f>
        <v>220</v>
      </c>
    </row>
    <row r="110" spans="1:16" x14ac:dyDescent="0.2">
      <c r="A110">
        <f>INDEX(PanelInstance!B:D, MATCH(Joined!J110, PanelInstance!D:D, FALSE), 2)</f>
        <v>150800</v>
      </c>
      <c r="B110" t="s">
        <v>291</v>
      </c>
      <c r="C110">
        <f>COUNTIF($D$3:D110, RIGHT(LEFT(A110,4),3))</f>
        <v>17</v>
      </c>
      <c r="D110" t="str">
        <f t="shared" si="8"/>
        <v>508</v>
      </c>
      <c r="E110">
        <f t="shared" si="9"/>
        <v>150817</v>
      </c>
      <c r="F110">
        <f>INDEX(Schedule!$A:$N, MATCH(Joined!$G110, Schedule!$B:$B,0),14)</f>
        <v>15006</v>
      </c>
      <c r="G110" t="s">
        <v>145</v>
      </c>
      <c r="H110">
        <f>INDEX(VAV_Schedule_5_21[#All], MATCH(Joined!G110, VAV_Schedule_5_21[[#All],[UNIT TAG]], 0), 9)</f>
        <v>4</v>
      </c>
      <c r="I110" t="str">
        <f t="shared" si="10"/>
        <v>WPC.VAV-4E-38</v>
      </c>
      <c r="J110" t="str">
        <f t="shared" si="11"/>
        <v>4E</v>
      </c>
      <c r="L110">
        <f>INDEX(Schedule!$A:$J, MATCH(Joined!$G110, Schedule!$B:$B, 0), 5)</f>
        <v>925</v>
      </c>
      <c r="M110">
        <f>INDEX(Schedule!$A:$J, MATCH(Joined!$G110, Schedule!$B:$B, 0), 6)</f>
        <v>0</v>
      </c>
    </row>
    <row r="111" spans="1:16" x14ac:dyDescent="0.2">
      <c r="A111">
        <f>INDEX(PanelInstance!B:D, MATCH(Joined!J111, PanelInstance!D:D, FALSE), 2)</f>
        <v>150800</v>
      </c>
      <c r="B111" t="s">
        <v>291</v>
      </c>
      <c r="C111">
        <f>COUNTIF($D$3:D111, RIGHT(LEFT(A111,4),3))</f>
        <v>18</v>
      </c>
      <c r="D111" t="str">
        <f t="shared" si="8"/>
        <v>508</v>
      </c>
      <c r="E111">
        <f t="shared" si="9"/>
        <v>150818</v>
      </c>
      <c r="F111">
        <f>INDEX(Schedule!$A:$N, MATCH(Joined!$G111, Schedule!$B:$B,0),14)</f>
        <v>15006</v>
      </c>
      <c r="G111" t="s">
        <v>146</v>
      </c>
      <c r="H111">
        <f>INDEX(VAV_Schedule_5_21[#All], MATCH(Joined!G111, VAV_Schedule_5_21[[#All],[UNIT TAG]], 0), 9)</f>
        <v>4</v>
      </c>
      <c r="I111" t="str">
        <f t="shared" si="10"/>
        <v>WPC.VAV-4E-39</v>
      </c>
      <c r="J111" t="str">
        <f t="shared" si="11"/>
        <v>4E</v>
      </c>
      <c r="L111">
        <f>INDEX(Schedule!$A:$J, MATCH(Joined!$G111, Schedule!$B:$B, 0), 5)</f>
        <v>1.2150000000000001</v>
      </c>
      <c r="M111">
        <f>INDEX(Schedule!$A:$J, MATCH(Joined!$G111, Schedule!$B:$B, 0), 6)</f>
        <v>245</v>
      </c>
    </row>
    <row r="112" spans="1:16" x14ac:dyDescent="0.2">
      <c r="A112">
        <f>INDEX(PanelInstance!B:D, MATCH(Joined!J112, PanelInstance!D:D, FALSE), 2)</f>
        <v>150800</v>
      </c>
      <c r="B112" t="s">
        <v>291</v>
      </c>
      <c r="C112">
        <f>COUNTIF($D$3:D112, RIGHT(LEFT(A112,4),3))</f>
        <v>19</v>
      </c>
      <c r="D112" t="str">
        <f t="shared" si="8"/>
        <v>508</v>
      </c>
      <c r="E112">
        <f t="shared" si="9"/>
        <v>150819</v>
      </c>
      <c r="F112">
        <f>INDEX(Schedule!$A:$N, MATCH(Joined!$G112, Schedule!$B:$B,0),14)</f>
        <v>15007</v>
      </c>
      <c r="G112" t="s">
        <v>147</v>
      </c>
      <c r="H112">
        <f>INDEX(VAV_Schedule_5_21[#All], MATCH(Joined!G112, VAV_Schedule_5_21[[#All],[UNIT TAG]], 0), 9)</f>
        <v>4</v>
      </c>
      <c r="I112" t="str">
        <f t="shared" si="10"/>
        <v>WPC.VAV-4E-40</v>
      </c>
      <c r="J112" t="str">
        <f t="shared" si="11"/>
        <v>4E</v>
      </c>
      <c r="L112">
        <f>INDEX(Schedule!$A:$J, MATCH(Joined!$G112, Schedule!$B:$B, 0), 5)</f>
        <v>800</v>
      </c>
      <c r="M112">
        <f>INDEX(Schedule!$A:$J, MATCH(Joined!$G112, Schedule!$B:$B, 0), 6)</f>
        <v>160</v>
      </c>
    </row>
    <row r="113" spans="1:13" x14ac:dyDescent="0.2">
      <c r="A113">
        <f>INDEX(PanelInstance!B:D, MATCH(Joined!J113, PanelInstance!D:D, FALSE), 2)</f>
        <v>150800</v>
      </c>
      <c r="B113" t="s">
        <v>291</v>
      </c>
      <c r="C113">
        <f>COUNTIF($D$3:D113, RIGHT(LEFT(A113,4),3))</f>
        <v>20</v>
      </c>
      <c r="D113" t="str">
        <f t="shared" si="8"/>
        <v>508</v>
      </c>
      <c r="E113">
        <f t="shared" si="9"/>
        <v>150820</v>
      </c>
      <c r="F113">
        <f>INDEX(Schedule!$A:$N, MATCH(Joined!$G113, Schedule!$B:$B,0),14)</f>
        <v>15006</v>
      </c>
      <c r="G113" t="s">
        <v>148</v>
      </c>
      <c r="H113">
        <f>INDEX(VAV_Schedule_5_21[#All], MATCH(Joined!G113, VAV_Schedule_5_21[[#All],[UNIT TAG]], 0), 9)</f>
        <v>4</v>
      </c>
      <c r="I113" t="str">
        <f t="shared" si="10"/>
        <v>WPC.VAV-4E-41</v>
      </c>
      <c r="J113" t="str">
        <f t="shared" si="11"/>
        <v>4E</v>
      </c>
      <c r="L113">
        <f>INDEX(Schedule!$A:$J, MATCH(Joined!$G113, Schedule!$B:$B, 0), 5)</f>
        <v>1.0349999999999999</v>
      </c>
      <c r="M113">
        <f>INDEX(Schedule!$A:$J, MATCH(Joined!$G113, Schedule!$B:$B, 0), 6)</f>
        <v>210</v>
      </c>
    </row>
    <row r="114" spans="1:13" x14ac:dyDescent="0.2">
      <c r="A114">
        <f>INDEX(PanelInstance!B:D, MATCH(Joined!J114, PanelInstance!D:D, FALSE), 2)</f>
        <v>150800</v>
      </c>
      <c r="B114" t="s">
        <v>291</v>
      </c>
      <c r="C114">
        <f>COUNTIF($D$3:D114, RIGHT(LEFT(A114,4),3))</f>
        <v>21</v>
      </c>
      <c r="D114" t="str">
        <f t="shared" si="8"/>
        <v>508</v>
      </c>
      <c r="E114">
        <f t="shared" si="9"/>
        <v>150821</v>
      </c>
      <c r="F114">
        <f>INDEX(Schedule!$A:$N, MATCH(Joined!$G114, Schedule!$B:$B,0),14)</f>
        <v>15006</v>
      </c>
      <c r="G114" t="s">
        <v>149</v>
      </c>
      <c r="H114">
        <f>INDEX(VAV_Schedule_5_21[#All], MATCH(Joined!G114, VAV_Schedule_5_21[[#All],[UNIT TAG]], 0), 9)</f>
        <v>4</v>
      </c>
      <c r="I114" t="str">
        <f t="shared" si="10"/>
        <v>WPC.VAV-4E-42</v>
      </c>
      <c r="J114" t="str">
        <f t="shared" si="11"/>
        <v>4E</v>
      </c>
      <c r="L114">
        <f>INDEX(Schedule!$A:$J, MATCH(Joined!$G114, Schedule!$B:$B, 0), 5)</f>
        <v>300</v>
      </c>
      <c r="M114">
        <f>INDEX(Schedule!$A:$J, MATCH(Joined!$G114, Schedule!$B:$B, 0), 6)</f>
        <v>60</v>
      </c>
    </row>
    <row r="115" spans="1:13" x14ac:dyDescent="0.2">
      <c r="A115">
        <f>INDEX(PanelInstance!B:D, MATCH(Joined!J115, PanelInstance!D:D, FALSE), 2)</f>
        <v>150800</v>
      </c>
      <c r="B115" t="s">
        <v>291</v>
      </c>
      <c r="C115">
        <f>COUNTIF($D$3:D115, RIGHT(LEFT(A115,4),3))</f>
        <v>22</v>
      </c>
      <c r="D115" t="str">
        <f t="shared" si="8"/>
        <v>508</v>
      </c>
      <c r="E115">
        <f t="shared" si="9"/>
        <v>150822</v>
      </c>
      <c r="F115">
        <f>INDEX(Schedule!$A:$N, MATCH(Joined!$G115, Schedule!$B:$B,0),14)</f>
        <v>15007</v>
      </c>
      <c r="G115" t="s">
        <v>150</v>
      </c>
      <c r="H115">
        <f>INDEX(VAV_Schedule_5_21[#All], MATCH(Joined!G115, VAV_Schedule_5_21[[#All],[UNIT TAG]], 0), 9)</f>
        <v>4</v>
      </c>
      <c r="I115" t="str">
        <f t="shared" si="10"/>
        <v>WPC.VAV-4E-43</v>
      </c>
      <c r="J115" t="str">
        <f t="shared" si="11"/>
        <v>4E</v>
      </c>
      <c r="L115">
        <f>INDEX(Schedule!$A:$J, MATCH(Joined!$G115, Schedule!$B:$B, 0), 5)</f>
        <v>1.4</v>
      </c>
      <c r="M115">
        <f>INDEX(Schedule!$A:$J, MATCH(Joined!$G115, Schedule!$B:$B, 0), 6)</f>
        <v>280</v>
      </c>
    </row>
    <row r="116" spans="1:13" x14ac:dyDescent="0.2">
      <c r="A116">
        <f>INDEX(PanelInstance!B:D, MATCH(Joined!J116, PanelInstance!D:D, FALSE), 2)</f>
        <v>150900</v>
      </c>
      <c r="B116" t="s">
        <v>291</v>
      </c>
      <c r="C116">
        <f>COUNTIF($D$3:D116, RIGHT(LEFT(A116,4),3))</f>
        <v>8</v>
      </c>
      <c r="D116" t="str">
        <f t="shared" si="8"/>
        <v>509</v>
      </c>
      <c r="E116">
        <f t="shared" si="9"/>
        <v>150908</v>
      </c>
      <c r="F116">
        <f>INDEX(Schedule!$A:$N, MATCH(Joined!$G116, Schedule!$B:$B,0),14)</f>
        <v>15006</v>
      </c>
      <c r="G116" t="s">
        <v>151</v>
      </c>
      <c r="H116">
        <f>INDEX(VAV_Schedule_5_21[#All], MATCH(Joined!G116, VAV_Schedule_5_21[[#All],[UNIT TAG]], 0), 9)</f>
        <v>4</v>
      </c>
      <c r="I116" t="str">
        <f t="shared" si="10"/>
        <v>WPC.VAV-4W-44</v>
      </c>
      <c r="J116" t="str">
        <f t="shared" si="11"/>
        <v>4W</v>
      </c>
      <c r="L116">
        <f>INDEX(Schedule!$A:$J, MATCH(Joined!$G116, Schedule!$B:$B, 0), 5)</f>
        <v>560</v>
      </c>
      <c r="M116">
        <f>INDEX(Schedule!$A:$J, MATCH(Joined!$G116, Schedule!$B:$B, 0), 6)</f>
        <v>115</v>
      </c>
    </row>
    <row r="117" spans="1:13" x14ac:dyDescent="0.2">
      <c r="A117">
        <f>INDEX(PanelInstance!B:D, MATCH(Joined!J117, PanelInstance!D:D, FALSE), 2)</f>
        <v>150900</v>
      </c>
      <c r="B117" t="s">
        <v>291</v>
      </c>
      <c r="C117">
        <f>COUNTIF($D$3:D117, RIGHT(LEFT(A117,4),3))</f>
        <v>9</v>
      </c>
      <c r="D117" t="str">
        <f t="shared" si="8"/>
        <v>509</v>
      </c>
      <c r="E117">
        <f t="shared" si="9"/>
        <v>150909</v>
      </c>
      <c r="F117">
        <f>INDEX(Schedule!$A:$N, MATCH(Joined!$G117, Schedule!$B:$B,0),14)</f>
        <v>15006</v>
      </c>
      <c r="G117" t="s">
        <v>152</v>
      </c>
      <c r="H117">
        <f>INDEX(VAV_Schedule_5_21[#All], MATCH(Joined!G117, VAV_Schedule_5_21[[#All],[UNIT TAG]], 0), 9)</f>
        <v>4</v>
      </c>
      <c r="I117" t="str">
        <f t="shared" si="10"/>
        <v>WPC.VAV-4W-45</v>
      </c>
      <c r="J117" t="str">
        <f t="shared" si="11"/>
        <v>4W</v>
      </c>
      <c r="L117">
        <f>INDEX(Schedule!$A:$J, MATCH(Joined!$G117, Schedule!$B:$B, 0), 5)</f>
        <v>1.6</v>
      </c>
      <c r="M117">
        <f>INDEX(Schedule!$A:$J, MATCH(Joined!$G117, Schedule!$B:$B, 0), 6)</f>
        <v>320</v>
      </c>
    </row>
    <row r="118" spans="1:13" x14ac:dyDescent="0.2">
      <c r="A118">
        <f>INDEX(PanelInstance!B:D, MATCH(Joined!J118, PanelInstance!D:D, FALSE), 2)</f>
        <v>150900</v>
      </c>
      <c r="B118" t="s">
        <v>291</v>
      </c>
      <c r="C118">
        <f>COUNTIF($D$3:D118, RIGHT(LEFT(A118,4),3))</f>
        <v>10</v>
      </c>
      <c r="D118" t="str">
        <f t="shared" si="8"/>
        <v>509</v>
      </c>
      <c r="E118">
        <f t="shared" si="9"/>
        <v>150910</v>
      </c>
      <c r="F118">
        <f>INDEX(Schedule!$A:$N, MATCH(Joined!$G118, Schedule!$B:$B,0),14)</f>
        <v>15007</v>
      </c>
      <c r="G118" t="s">
        <v>153</v>
      </c>
      <c r="H118">
        <f>INDEX(VAV_Schedule_5_21[#All], MATCH(Joined!G118, VAV_Schedule_5_21[[#All],[UNIT TAG]], 0), 9)</f>
        <v>4</v>
      </c>
      <c r="I118" t="str">
        <f t="shared" si="10"/>
        <v>WPC.VAV-4W-46</v>
      </c>
      <c r="J118" t="str">
        <f t="shared" si="11"/>
        <v>4W</v>
      </c>
      <c r="L118">
        <f>INDEX(Schedule!$A:$J, MATCH(Joined!$G118, Schedule!$B:$B, 0), 5)</f>
        <v>800</v>
      </c>
      <c r="M118">
        <f>INDEX(Schedule!$A:$J, MATCH(Joined!$G118, Schedule!$B:$B, 0), 6)</f>
        <v>160</v>
      </c>
    </row>
    <row r="119" spans="1:13" x14ac:dyDescent="0.2">
      <c r="A119">
        <f>INDEX(PanelInstance!B:D, MATCH(Joined!J119, PanelInstance!D:D, FALSE), 2)</f>
        <v>150900</v>
      </c>
      <c r="B119" t="s">
        <v>291</v>
      </c>
      <c r="C119">
        <f>COUNTIF($D$3:D119, RIGHT(LEFT(A119,4),3))</f>
        <v>11</v>
      </c>
      <c r="D119" t="str">
        <f t="shared" si="8"/>
        <v>509</v>
      </c>
      <c r="E119">
        <f t="shared" si="9"/>
        <v>150911</v>
      </c>
      <c r="F119">
        <f>INDEX(Schedule!$A:$N, MATCH(Joined!$G119, Schedule!$B:$B,0),14)</f>
        <v>15007</v>
      </c>
      <c r="G119" t="s">
        <v>154</v>
      </c>
      <c r="H119">
        <f>INDEX(VAV_Schedule_5_21[#All], MATCH(Joined!G119, VAV_Schedule_5_21[[#All],[UNIT TAG]], 0), 9)</f>
        <v>4</v>
      </c>
      <c r="I119" t="str">
        <f t="shared" si="10"/>
        <v>WPC.VAV-4W-47</v>
      </c>
      <c r="J119" t="str">
        <f t="shared" si="11"/>
        <v>4W</v>
      </c>
      <c r="L119">
        <f>INDEX(Schedule!$A:$J, MATCH(Joined!$G119, Schedule!$B:$B, 0), 5)</f>
        <v>640</v>
      </c>
      <c r="M119">
        <f>INDEX(Schedule!$A:$J, MATCH(Joined!$G119, Schedule!$B:$B, 0), 6)</f>
        <v>130</v>
      </c>
    </row>
    <row r="120" spans="1:13" x14ac:dyDescent="0.2">
      <c r="A120">
        <f>INDEX(PanelInstance!B:D, MATCH(Joined!J120, PanelInstance!D:D, FALSE), 2)</f>
        <v>150900</v>
      </c>
      <c r="B120" t="s">
        <v>291</v>
      </c>
      <c r="C120">
        <f>COUNTIF($D$3:D120, RIGHT(LEFT(A120,4),3))</f>
        <v>12</v>
      </c>
      <c r="D120" t="str">
        <f t="shared" si="8"/>
        <v>509</v>
      </c>
      <c r="E120">
        <f t="shared" si="9"/>
        <v>150912</v>
      </c>
      <c r="F120">
        <f>INDEX(Schedule!$A:$N, MATCH(Joined!$G120, Schedule!$B:$B,0),14)</f>
        <v>15009</v>
      </c>
      <c r="G120" t="s">
        <v>155</v>
      </c>
      <c r="H120">
        <f>INDEX(VAV_Schedule_5_21[#All], MATCH(Joined!G120, VAV_Schedule_5_21[[#All],[UNIT TAG]], 0), 9)</f>
        <v>4</v>
      </c>
      <c r="I120" t="str">
        <f t="shared" si="10"/>
        <v>WPC.VAV-4W-48</v>
      </c>
      <c r="J120" t="str">
        <f t="shared" si="11"/>
        <v>4W</v>
      </c>
      <c r="L120">
        <f>INDEX(Schedule!$A:$J, MATCH(Joined!$G120, Schedule!$B:$B, 0), 5)</f>
        <v>950</v>
      </c>
      <c r="M120">
        <f>INDEX(Schedule!$A:$J, MATCH(Joined!$G120, Schedule!$B:$B, 0), 6)</f>
        <v>0</v>
      </c>
    </row>
    <row r="121" spans="1:13" x14ac:dyDescent="0.2">
      <c r="A121">
        <f>INDEX(PanelInstance!B:D, MATCH(Joined!J121, PanelInstance!D:D, FALSE), 2)</f>
        <v>150900</v>
      </c>
      <c r="B121" t="s">
        <v>291</v>
      </c>
      <c r="C121">
        <f>COUNTIF($D$3:D121, RIGHT(LEFT(A121,4),3))</f>
        <v>13</v>
      </c>
      <c r="D121" t="str">
        <f t="shared" si="8"/>
        <v>509</v>
      </c>
      <c r="E121">
        <f t="shared" si="9"/>
        <v>150913</v>
      </c>
      <c r="F121">
        <f>INDEX(Schedule!$A:$N, MATCH(Joined!$G121, Schedule!$B:$B,0),14)</f>
        <v>15008</v>
      </c>
      <c r="G121" t="s">
        <v>156</v>
      </c>
      <c r="H121">
        <f>INDEX(VAV_Schedule_5_21[#All], MATCH(Joined!G121, VAV_Schedule_5_21[[#All],[UNIT TAG]], 0), 9)</f>
        <v>4</v>
      </c>
      <c r="I121" t="str">
        <f t="shared" si="10"/>
        <v>WPC.VAV-4W-49</v>
      </c>
      <c r="J121" t="str">
        <f t="shared" si="11"/>
        <v>4W</v>
      </c>
      <c r="L121">
        <f>INDEX(Schedule!$A:$J, MATCH(Joined!$G121, Schedule!$B:$B, 0), 5)</f>
        <v>1.4</v>
      </c>
      <c r="M121">
        <f>INDEX(Schedule!$A:$J, MATCH(Joined!$G121, Schedule!$B:$B, 0), 6)</f>
        <v>0</v>
      </c>
    </row>
    <row r="122" spans="1:13" x14ac:dyDescent="0.2">
      <c r="A122">
        <f>INDEX(PanelInstance!B:D, MATCH(Joined!J122, PanelInstance!D:D, FALSE), 2)</f>
        <v>150900</v>
      </c>
      <c r="B122" t="s">
        <v>291</v>
      </c>
      <c r="C122">
        <f>COUNTIF($D$3:D122, RIGHT(LEFT(A122,4),3))</f>
        <v>14</v>
      </c>
      <c r="D122" t="str">
        <f t="shared" si="8"/>
        <v>509</v>
      </c>
      <c r="E122">
        <f t="shared" si="9"/>
        <v>150914</v>
      </c>
      <c r="F122">
        <f>INDEX(Schedule!$A:$N, MATCH(Joined!$G122, Schedule!$B:$B,0),14)</f>
        <v>15009</v>
      </c>
      <c r="G122" t="s">
        <v>157</v>
      </c>
      <c r="H122">
        <f>INDEX(VAV_Schedule_5_21[#All], MATCH(Joined!G122, VAV_Schedule_5_21[[#All],[UNIT TAG]], 0), 9)</f>
        <v>4</v>
      </c>
      <c r="I122" t="str">
        <f t="shared" si="10"/>
        <v>WPC.VAV-4W-50</v>
      </c>
      <c r="J122" t="str">
        <f t="shared" si="11"/>
        <v>4W</v>
      </c>
      <c r="L122">
        <f>INDEX(Schedule!$A:$J, MATCH(Joined!$G122, Schedule!$B:$B, 0), 5)</f>
        <v>900</v>
      </c>
      <c r="M122">
        <f>INDEX(Schedule!$A:$J, MATCH(Joined!$G122, Schedule!$B:$B, 0), 6)</f>
        <v>0</v>
      </c>
    </row>
    <row r="123" spans="1:13" x14ac:dyDescent="0.2">
      <c r="A123">
        <f>INDEX(PanelInstance!B:D, MATCH(Joined!J123, PanelInstance!D:D, FALSE), 2)</f>
        <v>150900</v>
      </c>
      <c r="B123" t="s">
        <v>291</v>
      </c>
      <c r="C123">
        <f>COUNTIF($D$3:D123, RIGHT(LEFT(A123,4),3))</f>
        <v>15</v>
      </c>
      <c r="D123" t="str">
        <f t="shared" si="8"/>
        <v>509</v>
      </c>
      <c r="E123">
        <f t="shared" si="9"/>
        <v>150915</v>
      </c>
      <c r="F123">
        <f>INDEX(Schedule!$A:$N, MATCH(Joined!$G123, Schedule!$B:$B,0),14)</f>
        <v>15008</v>
      </c>
      <c r="G123" t="s">
        <v>158</v>
      </c>
      <c r="H123">
        <f>INDEX(VAV_Schedule_5_21[#All], MATCH(Joined!G123, VAV_Schedule_5_21[[#All],[UNIT TAG]], 0), 9)</f>
        <v>4</v>
      </c>
      <c r="I123" t="str">
        <f t="shared" si="10"/>
        <v>WPC.VAV-4W-51</v>
      </c>
      <c r="J123" t="str">
        <f t="shared" si="11"/>
        <v>4W</v>
      </c>
      <c r="L123">
        <f>INDEX(Schedule!$A:$J, MATCH(Joined!$G123, Schedule!$B:$B, 0), 5)</f>
        <v>1.2050000000000001</v>
      </c>
      <c r="M123">
        <f>INDEX(Schedule!$A:$J, MATCH(Joined!$G123, Schedule!$B:$B, 0), 6)</f>
        <v>0</v>
      </c>
    </row>
    <row r="124" spans="1:13" x14ac:dyDescent="0.2">
      <c r="A124">
        <f>INDEX(PanelInstance!B:D, MATCH(Joined!J124, PanelInstance!D:D, FALSE), 2)</f>
        <v>150900</v>
      </c>
      <c r="B124" t="s">
        <v>291</v>
      </c>
      <c r="C124">
        <f>COUNTIF($D$3:D124, RIGHT(LEFT(A124,4),3))</f>
        <v>16</v>
      </c>
      <c r="D124" t="str">
        <f t="shared" si="8"/>
        <v>509</v>
      </c>
      <c r="E124">
        <f t="shared" si="9"/>
        <v>150916</v>
      </c>
      <c r="F124">
        <f>INDEX(Schedule!$A:$N, MATCH(Joined!$G124, Schedule!$B:$B,0),14)</f>
        <v>15008</v>
      </c>
      <c r="G124" t="s">
        <v>159</v>
      </c>
      <c r="H124">
        <f>INDEX(VAV_Schedule_5_21[#All], MATCH(Joined!G124, VAV_Schedule_5_21[[#All],[UNIT TAG]], 0), 9)</f>
        <v>4</v>
      </c>
      <c r="I124" t="str">
        <f t="shared" si="10"/>
        <v>WPC.VAV-4W-52</v>
      </c>
      <c r="J124" t="str">
        <f t="shared" si="11"/>
        <v>4W</v>
      </c>
      <c r="L124">
        <f>INDEX(Schedule!$A:$J, MATCH(Joined!$G124, Schedule!$B:$B, 0), 5)</f>
        <v>320</v>
      </c>
      <c r="M124">
        <f>INDEX(Schedule!$A:$J, MATCH(Joined!$G124, Schedule!$B:$B, 0), 6)</f>
        <v>0</v>
      </c>
    </row>
    <row r="125" spans="1:13" x14ac:dyDescent="0.2">
      <c r="A125">
        <f>INDEX(PanelInstance!B:D, MATCH(Joined!J125, PanelInstance!D:D, FALSE), 2)</f>
        <v>150900</v>
      </c>
      <c r="B125" t="s">
        <v>291</v>
      </c>
      <c r="C125">
        <f>COUNTIF($D$3:D125, RIGHT(LEFT(A125,4),3))</f>
        <v>17</v>
      </c>
      <c r="D125" t="str">
        <f t="shared" si="8"/>
        <v>509</v>
      </c>
      <c r="E125">
        <f t="shared" si="9"/>
        <v>150917</v>
      </c>
      <c r="F125">
        <f>INDEX(Schedule!$A:$N, MATCH(Joined!$G125, Schedule!$B:$B,0),14)</f>
        <v>15008</v>
      </c>
      <c r="G125" t="s">
        <v>160</v>
      </c>
      <c r="H125">
        <f>INDEX(VAV_Schedule_5_21[#All], MATCH(Joined!G125, VAV_Schedule_5_21[[#All],[UNIT TAG]], 0), 9)</f>
        <v>4</v>
      </c>
      <c r="I125" t="str">
        <f t="shared" si="10"/>
        <v>WPC.VAV-4W-53</v>
      </c>
      <c r="J125" t="str">
        <f t="shared" si="11"/>
        <v>4W</v>
      </c>
      <c r="L125">
        <f>INDEX(Schedule!$A:$J, MATCH(Joined!$G125, Schedule!$B:$B, 0), 5)</f>
        <v>600</v>
      </c>
      <c r="M125">
        <f>INDEX(Schedule!$A:$J, MATCH(Joined!$G125, Schedule!$B:$B, 0), 6)</f>
        <v>0</v>
      </c>
    </row>
    <row r="126" spans="1:13" x14ac:dyDescent="0.2">
      <c r="A126">
        <f>INDEX(PanelInstance!B:D, MATCH(Joined!J126, PanelInstance!D:D, FALSE), 2)</f>
        <v>150900</v>
      </c>
      <c r="B126" t="s">
        <v>291</v>
      </c>
      <c r="C126">
        <f>COUNTIF($D$3:D126, RIGHT(LEFT(A126,4),3))</f>
        <v>18</v>
      </c>
      <c r="D126" t="str">
        <f t="shared" si="8"/>
        <v>509</v>
      </c>
      <c r="E126">
        <f t="shared" si="9"/>
        <v>150918</v>
      </c>
      <c r="F126">
        <f>INDEX(Schedule!$A:$N, MATCH(Joined!$G126, Schedule!$B:$B,0),14)</f>
        <v>15009</v>
      </c>
      <c r="G126" t="s">
        <v>161</v>
      </c>
      <c r="H126">
        <f>INDEX(VAV_Schedule_5_21[#All], MATCH(Joined!G126, VAV_Schedule_5_21[[#All],[UNIT TAG]], 0), 9)</f>
        <v>4</v>
      </c>
      <c r="I126" t="str">
        <f t="shared" si="10"/>
        <v>WPC.VAV-4W-54</v>
      </c>
      <c r="J126" t="str">
        <f t="shared" si="11"/>
        <v>4W</v>
      </c>
      <c r="L126">
        <f>INDEX(Schedule!$A:$J, MATCH(Joined!$G126, Schedule!$B:$B, 0), 5)</f>
        <v>1.2</v>
      </c>
      <c r="M126">
        <f>INDEX(Schedule!$A:$J, MATCH(Joined!$G126, Schedule!$B:$B, 0), 6)</f>
        <v>0</v>
      </c>
    </row>
    <row r="127" spans="1:13" x14ac:dyDescent="0.2">
      <c r="A127">
        <f>INDEX(PanelInstance!B:D, MATCH(Joined!J127, PanelInstance!D:D, FALSE), 2)</f>
        <v>150900</v>
      </c>
      <c r="B127" t="s">
        <v>291</v>
      </c>
      <c r="C127">
        <f>COUNTIF($D$3:D127, RIGHT(LEFT(A127,4),3))</f>
        <v>19</v>
      </c>
      <c r="D127" t="str">
        <f t="shared" si="8"/>
        <v>509</v>
      </c>
      <c r="E127">
        <f t="shared" si="9"/>
        <v>150919</v>
      </c>
      <c r="F127">
        <f>INDEX(Schedule!$A:$N, MATCH(Joined!$G127, Schedule!$B:$B,0),14)</f>
        <v>15006</v>
      </c>
      <c r="G127" t="s">
        <v>162</v>
      </c>
      <c r="H127">
        <f>INDEX(VAV_Schedule_5_21[#All], MATCH(Joined!G127, VAV_Schedule_5_21[[#All],[UNIT TAG]], 0), 9)</f>
        <v>4</v>
      </c>
      <c r="I127" t="str">
        <f t="shared" si="10"/>
        <v>WPC.VAV-4W-55</v>
      </c>
      <c r="J127" t="str">
        <f t="shared" si="11"/>
        <v>4W</v>
      </c>
      <c r="L127">
        <f>INDEX(Schedule!$A:$J, MATCH(Joined!$G127, Schedule!$B:$B, 0), 5)</f>
        <v>580</v>
      </c>
      <c r="M127">
        <f>INDEX(Schedule!$A:$J, MATCH(Joined!$G127, Schedule!$B:$B, 0), 6)</f>
        <v>120</v>
      </c>
    </row>
    <row r="128" spans="1:13" x14ac:dyDescent="0.2">
      <c r="A128">
        <f>INDEX(PanelInstance!B:D, MATCH(Joined!J128, PanelInstance!D:D, FALSE), 2)</f>
        <v>150900</v>
      </c>
      <c r="B128" t="s">
        <v>291</v>
      </c>
      <c r="C128">
        <f>COUNTIF($D$3:D128, RIGHT(LEFT(A128,4),3))</f>
        <v>20</v>
      </c>
      <c r="D128" t="str">
        <f t="shared" si="8"/>
        <v>509</v>
      </c>
      <c r="E128">
        <f t="shared" si="9"/>
        <v>150920</v>
      </c>
      <c r="F128">
        <f>INDEX(Schedule!$A:$N, MATCH(Joined!$G128, Schedule!$B:$B,0),14)</f>
        <v>15007</v>
      </c>
      <c r="G128" t="s">
        <v>163</v>
      </c>
      <c r="H128">
        <f>INDEX(VAV_Schedule_5_21[#All], MATCH(Joined!G128, VAV_Schedule_5_21[[#All],[UNIT TAG]], 0), 9)</f>
        <v>4</v>
      </c>
      <c r="I128" t="str">
        <f t="shared" si="10"/>
        <v>WPC.VAV-4W-56</v>
      </c>
      <c r="J128" t="str">
        <f t="shared" si="11"/>
        <v>4W</v>
      </c>
      <c r="L128">
        <f>INDEX(Schedule!$A:$J, MATCH(Joined!$G128, Schedule!$B:$B, 0), 5)</f>
        <v>1.1599999999999999</v>
      </c>
      <c r="M128">
        <f>INDEX(Schedule!$A:$J, MATCH(Joined!$G128, Schedule!$B:$B, 0), 6)</f>
        <v>235</v>
      </c>
    </row>
    <row r="129" spans="1:13" x14ac:dyDescent="0.2">
      <c r="A129">
        <f>INDEX(PanelInstance!B:D, MATCH(Joined!J129, PanelInstance!D:D, FALSE), 2)</f>
        <v>150900</v>
      </c>
      <c r="B129" t="s">
        <v>291</v>
      </c>
      <c r="C129">
        <f>COUNTIF($D$3:D129, RIGHT(LEFT(A129,4),3))</f>
        <v>21</v>
      </c>
      <c r="D129" t="str">
        <f t="shared" si="8"/>
        <v>509</v>
      </c>
      <c r="E129">
        <f t="shared" si="9"/>
        <v>150921</v>
      </c>
      <c r="F129">
        <f>INDEX(Schedule!$A:$N, MATCH(Joined!$G129, Schedule!$B:$B,0),14)</f>
        <v>15006</v>
      </c>
      <c r="G129" t="s">
        <v>164</v>
      </c>
      <c r="H129">
        <f>INDEX(VAV_Schedule_5_21[#All], MATCH(Joined!G129, VAV_Schedule_5_21[[#All],[UNIT TAG]], 0), 9)</f>
        <v>4</v>
      </c>
      <c r="I129" t="str">
        <f t="shared" si="10"/>
        <v>WPC.VAV-4W-57</v>
      </c>
      <c r="J129" t="str">
        <f t="shared" si="11"/>
        <v>4W</v>
      </c>
      <c r="L129">
        <f>INDEX(Schedule!$A:$J, MATCH(Joined!$G129, Schedule!$B:$B, 0), 5)</f>
        <v>600</v>
      </c>
      <c r="M129">
        <f>INDEX(Schedule!$A:$J, MATCH(Joined!$G129, Schedule!$B:$B, 0), 6)</f>
        <v>120</v>
      </c>
    </row>
    <row r="130" spans="1:13" x14ac:dyDescent="0.2">
      <c r="A130">
        <f>INDEX(PanelInstance!B:D, MATCH(Joined!J130, PanelInstance!D:D, FALSE), 2)</f>
        <v>150900</v>
      </c>
      <c r="B130" t="s">
        <v>291</v>
      </c>
      <c r="C130">
        <f>COUNTIF($D$3:D130, RIGHT(LEFT(A130,4),3))</f>
        <v>22</v>
      </c>
      <c r="D130" t="str">
        <f t="shared" si="8"/>
        <v>509</v>
      </c>
      <c r="E130">
        <f t="shared" si="9"/>
        <v>150922</v>
      </c>
      <c r="F130">
        <f>INDEX(Schedule!$A:$N, MATCH(Joined!$G130, Schedule!$B:$B,0),14)</f>
        <v>15007</v>
      </c>
      <c r="G130" t="s">
        <v>165</v>
      </c>
      <c r="H130">
        <f>INDEX(VAV_Schedule_5_21[#All], MATCH(Joined!G130, VAV_Schedule_5_21[[#All],[UNIT TAG]], 0), 9)</f>
        <v>4</v>
      </c>
      <c r="I130" t="str">
        <f t="shared" si="10"/>
        <v>WPC.VAV-4W-58</v>
      </c>
      <c r="J130" t="str">
        <f t="shared" si="11"/>
        <v>4W</v>
      </c>
      <c r="L130">
        <f>INDEX(Schedule!$A:$J, MATCH(Joined!$G130, Schedule!$B:$B, 0), 5)</f>
        <v>1.1000000000000001</v>
      </c>
      <c r="M130">
        <f>INDEX(Schedule!$A:$J, MATCH(Joined!$G130, Schedule!$B:$B, 0), 6)</f>
        <v>220</v>
      </c>
    </row>
    <row r="131" spans="1:13" x14ac:dyDescent="0.2">
      <c r="A131">
        <f>INDEX(PanelInstance!B:D, MATCH(Joined!J131, PanelInstance!D:D, FALSE), 2)</f>
        <v>150900</v>
      </c>
      <c r="B131" t="s">
        <v>291</v>
      </c>
      <c r="C131">
        <f>COUNTIF($D$3:D131, RIGHT(LEFT(A131,4),3))</f>
        <v>23</v>
      </c>
      <c r="D131" t="str">
        <f t="shared" ref="D131:D194" si="12">RIGHT(LEFT(A131, 4),3)</f>
        <v>509</v>
      </c>
      <c r="E131">
        <f t="shared" ref="E131:E194" si="13">A131+C131</f>
        <v>150923</v>
      </c>
      <c r="F131">
        <f>INDEX(Schedule!$A:$N, MATCH(Joined!$G131, Schedule!$B:$B,0),14)</f>
        <v>15008</v>
      </c>
      <c r="G131" t="s">
        <v>640</v>
      </c>
      <c r="H131">
        <f>INDEX(VAV_Schedule_5_21[#All], MATCH(Joined!G131, VAV_Schedule_5_21[[#All],[UNIT TAG]], 0), 9)</f>
        <v>4</v>
      </c>
      <c r="I131" t="str">
        <f t="shared" ref="I131:I194" si="14">"WPC." &amp; G131</f>
        <v>WPC.VAV-4W-59</v>
      </c>
      <c r="J131" t="str">
        <f t="shared" si="11"/>
        <v>4W</v>
      </c>
      <c r="L131">
        <f>INDEX(Schedule!$A:$J, MATCH(Joined!$G131, Schedule!$B:$B, 0), 5)</f>
        <v>315</v>
      </c>
      <c r="M131">
        <f>INDEX(Schedule!$A:$J, MATCH(Joined!$G131, Schedule!$B:$B, 0), 6)</f>
        <v>0</v>
      </c>
    </row>
    <row r="132" spans="1:13" x14ac:dyDescent="0.2">
      <c r="A132">
        <f>INDEX(PanelInstance!B:D, MATCH(Joined!J132, PanelInstance!D:D, FALSE), 2)</f>
        <v>151200</v>
      </c>
      <c r="B132" t="s">
        <v>291</v>
      </c>
      <c r="C132">
        <f>COUNTIF($D$3:D132, RIGHT(LEFT(A132,4),3))</f>
        <v>1</v>
      </c>
      <c r="D132" t="str">
        <f t="shared" si="12"/>
        <v>512</v>
      </c>
      <c r="E132">
        <f t="shared" si="13"/>
        <v>151201</v>
      </c>
      <c r="F132">
        <f>INDEX(Schedule!$A:$N, MATCH(Joined!$G132, Schedule!$B:$B,0),14)</f>
        <v>15007</v>
      </c>
      <c r="G132" t="s">
        <v>166</v>
      </c>
      <c r="H132">
        <f>INDEX(VAV_Schedule_5_21[#All], MATCH(Joined!G132, VAV_Schedule_5_21[[#All],[UNIT TAG]], 0), 9)</f>
        <v>5</v>
      </c>
      <c r="I132" t="str">
        <f t="shared" si="14"/>
        <v>WPC.VAV-5W-1</v>
      </c>
      <c r="J132" t="str">
        <f t="shared" ref="J132:J195" si="15">LEFT(RIGHT($G132, LEN($G132) - FIND("-", $G132)), FIND("-", RIGHT($G132, LEN($G132) - FIND("-", $G132)))-1)</f>
        <v>5W</v>
      </c>
      <c r="L132">
        <f>INDEX(Schedule!$A:$J, MATCH(Joined!$G132, Schedule!$B:$B, 0), 5)</f>
        <v>570</v>
      </c>
      <c r="M132">
        <f>INDEX(Schedule!$A:$J, MATCH(Joined!$G132, Schedule!$B:$B, 0), 6)</f>
        <v>115</v>
      </c>
    </row>
    <row r="133" spans="1:13" x14ac:dyDescent="0.2">
      <c r="A133">
        <f>INDEX(PanelInstance!B:D, MATCH(Joined!J133, PanelInstance!D:D, FALSE), 2)</f>
        <v>151200</v>
      </c>
      <c r="B133" t="s">
        <v>291</v>
      </c>
      <c r="C133">
        <f>COUNTIF($D$3:D133, RIGHT(LEFT(A133,4),3))</f>
        <v>2</v>
      </c>
      <c r="D133" t="str">
        <f t="shared" si="12"/>
        <v>512</v>
      </c>
      <c r="E133">
        <f t="shared" si="13"/>
        <v>151202</v>
      </c>
      <c r="F133">
        <f>INDEX(Schedule!$A:$N, MATCH(Joined!$G133, Schedule!$B:$B,0),14)</f>
        <v>15007</v>
      </c>
      <c r="G133" t="s">
        <v>167</v>
      </c>
      <c r="H133">
        <f>INDEX(VAV_Schedule_5_21[#All], MATCH(Joined!G133, VAV_Schedule_5_21[[#All],[UNIT TAG]], 0), 9)</f>
        <v>5</v>
      </c>
      <c r="I133" t="str">
        <f t="shared" si="14"/>
        <v>WPC.VAV-5W-2</v>
      </c>
      <c r="J133" t="str">
        <f t="shared" si="15"/>
        <v>5W</v>
      </c>
      <c r="L133">
        <f>INDEX(Schedule!$A:$J, MATCH(Joined!$G133, Schedule!$B:$B, 0), 5)</f>
        <v>570</v>
      </c>
      <c r="M133">
        <f>INDEX(Schedule!$A:$J, MATCH(Joined!$G133, Schedule!$B:$B, 0), 6)</f>
        <v>115</v>
      </c>
    </row>
    <row r="134" spans="1:13" x14ac:dyDescent="0.2">
      <c r="A134">
        <f>INDEX(PanelInstance!B:D, MATCH(Joined!J134, PanelInstance!D:D, FALSE), 2)</f>
        <v>151200</v>
      </c>
      <c r="B134" t="s">
        <v>291</v>
      </c>
      <c r="C134">
        <f>COUNTIF($D$3:D134, RIGHT(LEFT(A134,4),3))</f>
        <v>3</v>
      </c>
      <c r="D134" t="str">
        <f t="shared" si="12"/>
        <v>512</v>
      </c>
      <c r="E134">
        <f t="shared" si="13"/>
        <v>151203</v>
      </c>
      <c r="F134">
        <f>INDEX(Schedule!$A:$N, MATCH(Joined!$G134, Schedule!$B:$B,0),14)</f>
        <v>15007</v>
      </c>
      <c r="G134" t="s">
        <v>168</v>
      </c>
      <c r="H134">
        <f>INDEX(VAV_Schedule_5_21[#All], MATCH(Joined!G134, VAV_Schedule_5_21[[#All],[UNIT TAG]], 0), 9)</f>
        <v>5</v>
      </c>
      <c r="I134" t="str">
        <f t="shared" si="14"/>
        <v>WPC.VAV-5W-3</v>
      </c>
      <c r="J134" t="str">
        <f t="shared" si="15"/>
        <v>5W</v>
      </c>
      <c r="L134">
        <f>INDEX(Schedule!$A:$J, MATCH(Joined!$G134, Schedule!$B:$B, 0), 5)</f>
        <v>510</v>
      </c>
      <c r="M134">
        <f>INDEX(Schedule!$A:$J, MATCH(Joined!$G134, Schedule!$B:$B, 0), 6)</f>
        <v>105</v>
      </c>
    </row>
    <row r="135" spans="1:13" x14ac:dyDescent="0.2">
      <c r="A135">
        <f>INDEX(PanelInstance!B:D, MATCH(Joined!J135, PanelInstance!D:D, FALSE), 2)</f>
        <v>151200</v>
      </c>
      <c r="B135" t="s">
        <v>291</v>
      </c>
      <c r="C135">
        <f>COUNTIF($D$3:D135, RIGHT(LEFT(A135,4),3))</f>
        <v>4</v>
      </c>
      <c r="D135" t="str">
        <f t="shared" si="12"/>
        <v>512</v>
      </c>
      <c r="E135">
        <f t="shared" si="13"/>
        <v>151204</v>
      </c>
      <c r="F135">
        <f>INDEX(Schedule!$A:$N, MATCH(Joined!$G135, Schedule!$B:$B,0),14)</f>
        <v>15007</v>
      </c>
      <c r="G135" t="s">
        <v>169</v>
      </c>
      <c r="H135">
        <f>INDEX(VAV_Schedule_5_21[#All], MATCH(Joined!G135, VAV_Schedule_5_21[[#All],[UNIT TAG]], 0), 9)</f>
        <v>5</v>
      </c>
      <c r="I135" t="str">
        <f t="shared" si="14"/>
        <v>WPC.VAV-5W-4</v>
      </c>
      <c r="J135" t="str">
        <f t="shared" si="15"/>
        <v>5W</v>
      </c>
      <c r="L135">
        <f>INDEX(Schedule!$A:$J, MATCH(Joined!$G135, Schedule!$B:$B, 0), 5)</f>
        <v>980</v>
      </c>
      <c r="M135">
        <f>INDEX(Schedule!$A:$J, MATCH(Joined!$G135, Schedule!$B:$B, 0), 6)</f>
        <v>200</v>
      </c>
    </row>
    <row r="136" spans="1:13" x14ac:dyDescent="0.2">
      <c r="A136">
        <f>INDEX(PanelInstance!B:D, MATCH(Joined!J136, PanelInstance!D:D, FALSE), 2)</f>
        <v>151000</v>
      </c>
      <c r="B136" t="s">
        <v>291</v>
      </c>
      <c r="C136">
        <f>COUNTIF($D$3:D136, RIGHT(LEFT(A136,4),3))</f>
        <v>1</v>
      </c>
      <c r="D136" t="str">
        <f t="shared" si="12"/>
        <v>510</v>
      </c>
      <c r="E136">
        <f t="shared" si="13"/>
        <v>151001</v>
      </c>
      <c r="F136">
        <f>INDEX(Schedule!$A:$N, MATCH(Joined!$G136, Schedule!$B:$B,0),14)</f>
        <v>15006</v>
      </c>
      <c r="G136" t="s">
        <v>170</v>
      </c>
      <c r="H136">
        <f>INDEX(VAV_Schedule_5_21[#All], MATCH(Joined!G136, VAV_Schedule_5_21[[#All],[UNIT TAG]], 0), 9)</f>
        <v>5</v>
      </c>
      <c r="I136" t="str">
        <f t="shared" si="14"/>
        <v>WPC.VAV-5N-5</v>
      </c>
      <c r="J136" t="str">
        <f t="shared" si="15"/>
        <v>5N</v>
      </c>
      <c r="L136">
        <f>INDEX(Schedule!$A:$J, MATCH(Joined!$G136, Schedule!$B:$B, 0), 5)</f>
        <v>1100</v>
      </c>
      <c r="M136">
        <f>INDEX(Schedule!$A:$J, MATCH(Joined!$G136, Schedule!$B:$B, 0), 6)</f>
        <v>220</v>
      </c>
    </row>
    <row r="137" spans="1:13" x14ac:dyDescent="0.2">
      <c r="A137">
        <f>INDEX(PanelInstance!B:D, MATCH(Joined!J137, PanelInstance!D:D, FALSE), 2)</f>
        <v>151000</v>
      </c>
      <c r="B137" t="s">
        <v>291</v>
      </c>
      <c r="C137">
        <f>COUNTIF($D$3:D137, RIGHT(LEFT(A137,4),3))</f>
        <v>2</v>
      </c>
      <c r="D137" t="str">
        <f t="shared" si="12"/>
        <v>510</v>
      </c>
      <c r="E137">
        <f t="shared" si="13"/>
        <v>151002</v>
      </c>
      <c r="F137">
        <f>INDEX(Schedule!$A:$N, MATCH(Joined!$G137, Schedule!$B:$B,0),14)</f>
        <v>15006</v>
      </c>
      <c r="G137" t="s">
        <v>171</v>
      </c>
      <c r="H137">
        <f>INDEX(VAV_Schedule_5_21[#All], MATCH(Joined!G137, VAV_Schedule_5_21[[#All],[UNIT TAG]], 0), 9)</f>
        <v>5</v>
      </c>
      <c r="I137" t="str">
        <f t="shared" si="14"/>
        <v>WPC.VAV-5N-6</v>
      </c>
      <c r="J137" t="str">
        <f t="shared" si="15"/>
        <v>5N</v>
      </c>
      <c r="L137">
        <f>INDEX(Schedule!$A:$J, MATCH(Joined!$G137, Schedule!$B:$B, 0), 5)</f>
        <v>1095</v>
      </c>
      <c r="M137">
        <f>INDEX(Schedule!$A:$J, MATCH(Joined!$G137, Schedule!$B:$B, 0), 6)</f>
        <v>220</v>
      </c>
    </row>
    <row r="138" spans="1:13" x14ac:dyDescent="0.2">
      <c r="A138">
        <f>INDEX(PanelInstance!B:D, MATCH(Joined!J138, PanelInstance!D:D, FALSE), 2)</f>
        <v>151000</v>
      </c>
      <c r="B138" t="s">
        <v>291</v>
      </c>
      <c r="C138">
        <f>COUNTIF($D$3:D138, RIGHT(LEFT(A138,4),3))</f>
        <v>3</v>
      </c>
      <c r="D138" t="str">
        <f t="shared" si="12"/>
        <v>510</v>
      </c>
      <c r="E138">
        <f t="shared" si="13"/>
        <v>151003</v>
      </c>
      <c r="F138">
        <f>INDEX(Schedule!$A:$N, MATCH(Joined!$G138, Schedule!$B:$B,0),14)</f>
        <v>15006</v>
      </c>
      <c r="G138" t="s">
        <v>172</v>
      </c>
      <c r="H138">
        <f>INDEX(VAV_Schedule_5_21[#All], MATCH(Joined!G138, VAV_Schedule_5_21[[#All],[UNIT TAG]], 0), 9)</f>
        <v>5</v>
      </c>
      <c r="I138" t="str">
        <f t="shared" si="14"/>
        <v>WPC.VAV-5N-7</v>
      </c>
      <c r="J138" t="str">
        <f t="shared" si="15"/>
        <v>5N</v>
      </c>
      <c r="L138">
        <f>INDEX(Schedule!$A:$J, MATCH(Joined!$G138, Schedule!$B:$B, 0), 5)</f>
        <v>810</v>
      </c>
      <c r="M138">
        <f>INDEX(Schedule!$A:$J, MATCH(Joined!$G138, Schedule!$B:$B, 0), 6)</f>
        <v>165</v>
      </c>
    </row>
    <row r="139" spans="1:13" x14ac:dyDescent="0.2">
      <c r="A139">
        <f>INDEX(PanelInstance!B:D, MATCH(Joined!J139, PanelInstance!D:D, FALSE), 2)</f>
        <v>151000</v>
      </c>
      <c r="B139" t="s">
        <v>291</v>
      </c>
      <c r="C139">
        <f>COUNTIF($D$3:D139, RIGHT(LEFT(A139,4),3))</f>
        <v>4</v>
      </c>
      <c r="D139" t="str">
        <f t="shared" si="12"/>
        <v>510</v>
      </c>
      <c r="E139">
        <f t="shared" si="13"/>
        <v>151004</v>
      </c>
      <c r="F139">
        <f>INDEX(Schedule!$A:$N, MATCH(Joined!$G139, Schedule!$B:$B,0),14)</f>
        <v>15006</v>
      </c>
      <c r="G139" t="s">
        <v>641</v>
      </c>
      <c r="H139">
        <f>INDEX(VAV_Schedule_5_21[#All], MATCH(Joined!G139, VAV_Schedule_5_21[[#All],[UNIT TAG]], 0), 9)</f>
        <v>5</v>
      </c>
      <c r="I139" t="str">
        <f t="shared" si="14"/>
        <v>WPC.VAV-5N-7A</v>
      </c>
      <c r="J139" t="str">
        <f t="shared" si="15"/>
        <v>5N</v>
      </c>
      <c r="L139">
        <f>INDEX(Schedule!$A:$J, MATCH(Joined!$G139, Schedule!$B:$B, 0), 5)</f>
        <v>550</v>
      </c>
      <c r="M139">
        <f>INDEX(Schedule!$A:$J, MATCH(Joined!$G139, Schedule!$B:$B, 0), 6)</f>
        <v>110</v>
      </c>
    </row>
    <row r="140" spans="1:13" x14ac:dyDescent="0.2">
      <c r="A140">
        <f>INDEX(PanelInstance!B:D, MATCH(Joined!J140, PanelInstance!D:D, FALSE), 2)</f>
        <v>151000</v>
      </c>
      <c r="B140" t="s">
        <v>291</v>
      </c>
      <c r="C140">
        <f>COUNTIF($D$3:D140, RIGHT(LEFT(A140,4),3))</f>
        <v>5</v>
      </c>
      <c r="D140" t="str">
        <f t="shared" si="12"/>
        <v>510</v>
      </c>
      <c r="E140">
        <f t="shared" si="13"/>
        <v>151005</v>
      </c>
      <c r="F140">
        <f>INDEX(Schedule!$A:$N, MATCH(Joined!$G140, Schedule!$B:$B,0),14)</f>
        <v>15006</v>
      </c>
      <c r="G140" t="s">
        <v>173</v>
      </c>
      <c r="H140">
        <f>INDEX(VAV_Schedule_5_21[#All], MATCH(Joined!G140, VAV_Schedule_5_21[[#All],[UNIT TAG]], 0), 9)</f>
        <v>5</v>
      </c>
      <c r="I140" t="str">
        <f t="shared" si="14"/>
        <v>WPC.VAV-5N-8</v>
      </c>
      <c r="J140" t="str">
        <f t="shared" si="15"/>
        <v>5N</v>
      </c>
      <c r="L140">
        <f>INDEX(Schedule!$A:$J, MATCH(Joined!$G140, Schedule!$B:$B, 0), 5)</f>
        <v>750</v>
      </c>
      <c r="M140">
        <f>INDEX(Schedule!$A:$J, MATCH(Joined!$G140, Schedule!$B:$B, 0), 6)</f>
        <v>150</v>
      </c>
    </row>
    <row r="141" spans="1:13" x14ac:dyDescent="0.2">
      <c r="A141">
        <f>INDEX(PanelInstance!B:D, MATCH(Joined!J141, PanelInstance!D:D, FALSE), 2)</f>
        <v>151000</v>
      </c>
      <c r="B141" t="s">
        <v>291</v>
      </c>
      <c r="C141">
        <f>COUNTIF($D$3:D141, RIGHT(LEFT(A141,4),3))</f>
        <v>6</v>
      </c>
      <c r="D141" t="str">
        <f t="shared" si="12"/>
        <v>510</v>
      </c>
      <c r="E141">
        <f t="shared" si="13"/>
        <v>151006</v>
      </c>
      <c r="F141">
        <f>INDEX(Schedule!$A:$N, MATCH(Joined!$G141, Schedule!$B:$B,0),14)</f>
        <v>15006</v>
      </c>
      <c r="G141" t="s">
        <v>174</v>
      </c>
      <c r="H141">
        <f>INDEX(VAV_Schedule_5_21[#All], MATCH(Joined!G141, VAV_Schedule_5_21[[#All],[UNIT TAG]], 0), 9)</f>
        <v>5</v>
      </c>
      <c r="I141" t="str">
        <f t="shared" si="14"/>
        <v>WPC.VAV-5N-9</v>
      </c>
      <c r="J141" t="str">
        <f t="shared" si="15"/>
        <v>5N</v>
      </c>
      <c r="L141">
        <f>INDEX(Schedule!$A:$J, MATCH(Joined!$G141, Schedule!$B:$B, 0), 5)</f>
        <v>750</v>
      </c>
      <c r="M141">
        <f>INDEX(Schedule!$A:$J, MATCH(Joined!$G141, Schedule!$B:$B, 0), 6)</f>
        <v>150</v>
      </c>
    </row>
    <row r="142" spans="1:13" x14ac:dyDescent="0.2">
      <c r="A142">
        <f>INDEX(PanelInstance!B:D, MATCH(Joined!J142, PanelInstance!D:D, FALSE), 2)</f>
        <v>151000</v>
      </c>
      <c r="B142" t="s">
        <v>291</v>
      </c>
      <c r="C142">
        <f>COUNTIF($D$3:D142, RIGHT(LEFT(A142,4),3))</f>
        <v>7</v>
      </c>
      <c r="D142" t="str">
        <f t="shared" si="12"/>
        <v>510</v>
      </c>
      <c r="E142">
        <f t="shared" si="13"/>
        <v>151007</v>
      </c>
      <c r="F142">
        <f>INDEX(Schedule!$A:$N, MATCH(Joined!$G142, Schedule!$B:$B,0),14)</f>
        <v>15006</v>
      </c>
      <c r="G142" t="s">
        <v>175</v>
      </c>
      <c r="H142">
        <f>INDEX(VAV_Schedule_5_21[#All], MATCH(Joined!G142, VAV_Schedule_5_21[[#All],[UNIT TAG]], 0), 9)</f>
        <v>5</v>
      </c>
      <c r="I142" t="str">
        <f t="shared" si="14"/>
        <v>WPC.VAV-5N-10</v>
      </c>
      <c r="J142" t="str">
        <f t="shared" si="15"/>
        <v>5N</v>
      </c>
      <c r="L142">
        <f>INDEX(Schedule!$A:$J, MATCH(Joined!$G142, Schedule!$B:$B, 0), 5)</f>
        <v>750</v>
      </c>
      <c r="M142">
        <f>INDEX(Schedule!$A:$J, MATCH(Joined!$G142, Schedule!$B:$B, 0), 6)</f>
        <v>150</v>
      </c>
    </row>
    <row r="143" spans="1:13" x14ac:dyDescent="0.2">
      <c r="A143">
        <f>INDEX(PanelInstance!B:D, MATCH(Joined!J143, PanelInstance!D:D, FALSE), 2)</f>
        <v>151100</v>
      </c>
      <c r="B143" t="s">
        <v>291</v>
      </c>
      <c r="C143">
        <f>COUNTIF($D$3:D143, RIGHT(LEFT(A143,4),3))</f>
        <v>1</v>
      </c>
      <c r="D143" t="str">
        <f t="shared" si="12"/>
        <v>511</v>
      </c>
      <c r="E143">
        <f t="shared" si="13"/>
        <v>151101</v>
      </c>
      <c r="F143">
        <f>INDEX(Schedule!$A:$N, MATCH(Joined!$G143, Schedule!$B:$B,0),14)</f>
        <v>15007</v>
      </c>
      <c r="G143" t="s">
        <v>176</v>
      </c>
      <c r="H143">
        <f>INDEX(VAV_Schedule_5_21[#All], MATCH(Joined!G143, VAV_Schedule_5_21[[#All],[UNIT TAG]], 0), 9)</f>
        <v>5</v>
      </c>
      <c r="I143" t="str">
        <f t="shared" si="14"/>
        <v>WPC.VAV-5E-11</v>
      </c>
      <c r="J143" t="str">
        <f t="shared" si="15"/>
        <v>5E</v>
      </c>
      <c r="L143">
        <f>INDEX(Schedule!$A:$J, MATCH(Joined!$G143, Schedule!$B:$B, 0), 5)</f>
        <v>1200</v>
      </c>
      <c r="M143">
        <f>INDEX(Schedule!$A:$J, MATCH(Joined!$G143, Schedule!$B:$B, 0), 6)</f>
        <v>240</v>
      </c>
    </row>
    <row r="144" spans="1:13" x14ac:dyDescent="0.2">
      <c r="A144">
        <f>INDEX(PanelInstance!B:D, MATCH(Joined!J144, PanelInstance!D:D, FALSE), 2)</f>
        <v>151100</v>
      </c>
      <c r="B144" t="s">
        <v>291</v>
      </c>
      <c r="C144">
        <f>COUNTIF($D$3:D144, RIGHT(LEFT(A144,4),3))</f>
        <v>2</v>
      </c>
      <c r="D144" t="str">
        <f t="shared" si="12"/>
        <v>511</v>
      </c>
      <c r="E144">
        <f t="shared" si="13"/>
        <v>151102</v>
      </c>
      <c r="F144">
        <f>INDEX(Schedule!$A:$N, MATCH(Joined!$G144, Schedule!$B:$B,0),14)</f>
        <v>15007</v>
      </c>
      <c r="G144" t="s">
        <v>177</v>
      </c>
      <c r="H144">
        <f>INDEX(VAV_Schedule_5_21[#All], MATCH(Joined!G144, VAV_Schedule_5_21[[#All],[UNIT TAG]], 0), 9)</f>
        <v>5</v>
      </c>
      <c r="I144" t="str">
        <f t="shared" si="14"/>
        <v>WPC.VAV-5E-12</v>
      </c>
      <c r="J144" t="str">
        <f t="shared" si="15"/>
        <v>5E</v>
      </c>
      <c r="L144">
        <f>INDEX(Schedule!$A:$J, MATCH(Joined!$G144, Schedule!$B:$B, 0), 5)</f>
        <v>570</v>
      </c>
      <c r="M144">
        <f>INDEX(Schedule!$A:$J, MATCH(Joined!$G144, Schedule!$B:$B, 0), 6)</f>
        <v>115</v>
      </c>
    </row>
    <row r="145" spans="1:13" x14ac:dyDescent="0.2">
      <c r="A145">
        <f>INDEX(PanelInstance!B:D, MATCH(Joined!J145, PanelInstance!D:D, FALSE), 2)</f>
        <v>151100</v>
      </c>
      <c r="B145" t="s">
        <v>291</v>
      </c>
      <c r="C145">
        <f>COUNTIF($D$3:D145, RIGHT(LEFT(A145,4),3))</f>
        <v>3</v>
      </c>
      <c r="D145" t="str">
        <f t="shared" si="12"/>
        <v>511</v>
      </c>
      <c r="E145">
        <f t="shared" si="13"/>
        <v>151103</v>
      </c>
      <c r="F145">
        <f>INDEX(Schedule!$A:$N, MATCH(Joined!$G145, Schedule!$B:$B,0),14)</f>
        <v>15007</v>
      </c>
      <c r="G145" t="s">
        <v>178</v>
      </c>
      <c r="H145">
        <f>INDEX(VAV_Schedule_5_21[#All], MATCH(Joined!G145, VAV_Schedule_5_21[[#All],[UNIT TAG]], 0), 9)</f>
        <v>5</v>
      </c>
      <c r="I145" t="str">
        <f t="shared" si="14"/>
        <v>WPC.VAV-5E-13</v>
      </c>
      <c r="J145" t="str">
        <f t="shared" si="15"/>
        <v>5E</v>
      </c>
      <c r="L145">
        <f>INDEX(Schedule!$A:$J, MATCH(Joined!$G145, Schedule!$B:$B, 0), 5)</f>
        <v>525</v>
      </c>
      <c r="M145">
        <f>INDEX(Schedule!$A:$J, MATCH(Joined!$G145, Schedule!$B:$B, 0), 6)</f>
        <v>105</v>
      </c>
    </row>
    <row r="146" spans="1:13" x14ac:dyDescent="0.2">
      <c r="A146">
        <f>INDEX(PanelInstance!B:D, MATCH(Joined!J146, PanelInstance!D:D, FALSE), 2)</f>
        <v>151100</v>
      </c>
      <c r="B146" t="s">
        <v>291</v>
      </c>
      <c r="C146">
        <f>COUNTIF($D$3:D146, RIGHT(LEFT(A146,4),3))</f>
        <v>4</v>
      </c>
      <c r="D146" t="str">
        <f t="shared" si="12"/>
        <v>511</v>
      </c>
      <c r="E146">
        <f t="shared" si="13"/>
        <v>151104</v>
      </c>
      <c r="F146">
        <f>INDEX(Schedule!$A:$N, MATCH(Joined!$G146, Schedule!$B:$B,0),14)</f>
        <v>15007</v>
      </c>
      <c r="G146" t="s">
        <v>179</v>
      </c>
      <c r="H146">
        <f>INDEX(VAV_Schedule_5_21[#All], MATCH(Joined!G146, VAV_Schedule_5_21[[#All],[UNIT TAG]], 0), 9)</f>
        <v>5</v>
      </c>
      <c r="I146" t="str">
        <f t="shared" si="14"/>
        <v>WPC.VAV-5E-14</v>
      </c>
      <c r="J146" t="str">
        <f t="shared" si="15"/>
        <v>5E</v>
      </c>
      <c r="L146">
        <f>INDEX(Schedule!$A:$J, MATCH(Joined!$G146, Schedule!$B:$B, 0), 5)</f>
        <v>490</v>
      </c>
      <c r="M146">
        <f>INDEX(Schedule!$A:$J, MATCH(Joined!$G146, Schedule!$B:$B, 0), 6)</f>
        <v>100</v>
      </c>
    </row>
    <row r="147" spans="1:13" x14ac:dyDescent="0.2">
      <c r="A147">
        <f>INDEX(PanelInstance!B:D, MATCH(Joined!J147, PanelInstance!D:D, FALSE), 2)</f>
        <v>151100</v>
      </c>
      <c r="B147" t="s">
        <v>291</v>
      </c>
      <c r="C147">
        <f>COUNTIF($D$3:D147, RIGHT(LEFT(A147,4),3))</f>
        <v>5</v>
      </c>
      <c r="D147" t="str">
        <f t="shared" si="12"/>
        <v>511</v>
      </c>
      <c r="E147">
        <f t="shared" si="13"/>
        <v>151105</v>
      </c>
      <c r="F147">
        <f>INDEX(Schedule!$A:$N, MATCH(Joined!$G147, Schedule!$B:$B,0),14)</f>
        <v>15006</v>
      </c>
      <c r="G147" t="s">
        <v>642</v>
      </c>
      <c r="H147">
        <f>INDEX(VAV_Schedule_5_21[#All], MATCH(Joined!G147, VAV_Schedule_5_21[[#All],[UNIT TAG]], 0), 9)</f>
        <v>5</v>
      </c>
      <c r="I147" t="str">
        <f t="shared" si="14"/>
        <v>WPC.VAV-5E-14A</v>
      </c>
      <c r="J147" t="str">
        <f t="shared" si="15"/>
        <v>5E</v>
      </c>
      <c r="L147">
        <f>INDEX(Schedule!$A:$J, MATCH(Joined!$G147, Schedule!$B:$B, 0), 5)</f>
        <v>800</v>
      </c>
      <c r="M147">
        <f>INDEX(Schedule!$A:$J, MATCH(Joined!$G147, Schedule!$B:$B, 0), 6)</f>
        <v>160</v>
      </c>
    </row>
    <row r="148" spans="1:13" x14ac:dyDescent="0.2">
      <c r="A148">
        <f>INDEX(PanelInstance!B:D, MATCH(Joined!J148, PanelInstance!D:D, FALSE), 2)</f>
        <v>151100</v>
      </c>
      <c r="B148" t="s">
        <v>291</v>
      </c>
      <c r="C148">
        <f>COUNTIF($D$3:D148, RIGHT(LEFT(A148,4),3))</f>
        <v>6</v>
      </c>
      <c r="D148" t="str">
        <f t="shared" si="12"/>
        <v>511</v>
      </c>
      <c r="E148">
        <f t="shared" si="13"/>
        <v>151106</v>
      </c>
      <c r="F148">
        <f>INDEX(Schedule!$A:$N, MATCH(Joined!$G148, Schedule!$B:$B,0),14)</f>
        <v>15007</v>
      </c>
      <c r="G148" s="4" t="s">
        <v>180</v>
      </c>
      <c r="H148">
        <f>INDEX(VAV_Schedule_5_21[#All], MATCH(Joined!G148, VAV_Schedule_5_21[[#All],[UNIT TAG]], 0), 9)</f>
        <v>5</v>
      </c>
      <c r="I148" t="str">
        <f t="shared" si="14"/>
        <v>WPC.VAV-5E-15</v>
      </c>
      <c r="J148" t="str">
        <f t="shared" si="15"/>
        <v>5E</v>
      </c>
      <c r="L148">
        <f>INDEX(Schedule!$A:$J, MATCH(Joined!$G148, Schedule!$B:$B, 0), 5)</f>
        <v>1050</v>
      </c>
      <c r="M148">
        <f>INDEX(Schedule!$A:$J, MATCH(Joined!$G148, Schedule!$B:$B, 0), 6)</f>
        <v>210</v>
      </c>
    </row>
    <row r="149" spans="1:13" x14ac:dyDescent="0.2">
      <c r="A149">
        <f>INDEX(PanelInstance!B:D, MATCH(Joined!J149, PanelInstance!D:D, FALSE), 2)</f>
        <v>151100</v>
      </c>
      <c r="B149" t="s">
        <v>291</v>
      </c>
      <c r="C149">
        <f>COUNTIF($D$3:D149, RIGHT(LEFT(A149,4),3))</f>
        <v>7</v>
      </c>
      <c r="D149" t="str">
        <f t="shared" si="12"/>
        <v>511</v>
      </c>
      <c r="E149">
        <f t="shared" si="13"/>
        <v>151107</v>
      </c>
      <c r="F149">
        <f>INDEX(Schedule!$A:$N, MATCH(Joined!$G149, Schedule!$B:$B,0),14)</f>
        <v>15006</v>
      </c>
      <c r="G149" t="s">
        <v>643</v>
      </c>
      <c r="H149">
        <f>INDEX(VAV_Schedule_5_21[#All], MATCH(Joined!G149, VAV_Schedule_5_21[[#All],[UNIT TAG]], 0), 9)</f>
        <v>5</v>
      </c>
      <c r="I149" t="str">
        <f t="shared" si="14"/>
        <v>WPC.VAV-5E-15A</v>
      </c>
      <c r="J149" t="str">
        <f t="shared" si="15"/>
        <v>5E</v>
      </c>
      <c r="L149">
        <f>INDEX(Schedule!$A:$J, MATCH(Joined!$G149, Schedule!$B:$B, 0), 5)</f>
        <v>800</v>
      </c>
      <c r="M149">
        <f>INDEX(Schedule!$A:$J, MATCH(Joined!$G149, Schedule!$B:$B, 0), 6)</f>
        <v>160</v>
      </c>
    </row>
    <row r="150" spans="1:13" x14ac:dyDescent="0.2">
      <c r="A150">
        <f>INDEX(PanelInstance!B:D, MATCH(Joined!J150, PanelInstance!D:D, FALSE), 2)</f>
        <v>151100</v>
      </c>
      <c r="B150" t="s">
        <v>291</v>
      </c>
      <c r="C150">
        <f>COUNTIF($D$3:D150, RIGHT(LEFT(A150,4),3))</f>
        <v>8</v>
      </c>
      <c r="D150" t="str">
        <f t="shared" si="12"/>
        <v>511</v>
      </c>
      <c r="E150">
        <f t="shared" si="13"/>
        <v>151108</v>
      </c>
      <c r="F150">
        <f>INDEX(Schedule!$A:$N, MATCH(Joined!$G150, Schedule!$B:$B,0),14)</f>
        <v>15007</v>
      </c>
      <c r="G150" t="s">
        <v>181</v>
      </c>
      <c r="H150">
        <f>INDEX(VAV_Schedule_5_21[#All], MATCH(Joined!G150, VAV_Schedule_5_21[[#All],[UNIT TAG]], 0), 9)</f>
        <v>5</v>
      </c>
      <c r="I150" t="str">
        <f t="shared" si="14"/>
        <v>WPC.VAV-5E-16</v>
      </c>
      <c r="J150" t="str">
        <f t="shared" si="15"/>
        <v>5E</v>
      </c>
      <c r="L150">
        <f>INDEX(Schedule!$A:$J, MATCH(Joined!$G150, Schedule!$B:$B, 0), 5)</f>
        <v>840</v>
      </c>
      <c r="M150">
        <f>INDEX(Schedule!$A:$J, MATCH(Joined!$G150, Schedule!$B:$B, 0), 6)</f>
        <v>170</v>
      </c>
    </row>
    <row r="151" spans="1:13" x14ac:dyDescent="0.2">
      <c r="A151">
        <f>INDEX(PanelInstance!B:D, MATCH(Joined!J151, PanelInstance!D:D, FALSE), 2)</f>
        <v>151100</v>
      </c>
      <c r="B151" t="s">
        <v>291</v>
      </c>
      <c r="C151">
        <f>COUNTIF($D$3:D151, RIGHT(LEFT(A151,4),3))</f>
        <v>9</v>
      </c>
      <c r="D151" t="str">
        <f t="shared" si="12"/>
        <v>511</v>
      </c>
      <c r="E151">
        <f t="shared" si="13"/>
        <v>151109</v>
      </c>
      <c r="F151">
        <f>INDEX(Schedule!$A:$N, MATCH(Joined!$G151, Schedule!$B:$B,0),14)</f>
        <v>15007</v>
      </c>
      <c r="G151" t="s">
        <v>182</v>
      </c>
      <c r="H151">
        <f>INDEX(VAV_Schedule_5_21[#All], MATCH(Joined!G151, VAV_Schedule_5_21[[#All],[UNIT TAG]], 0), 9)</f>
        <v>5</v>
      </c>
      <c r="I151" t="str">
        <f t="shared" si="14"/>
        <v>WPC.VAV-5E-17</v>
      </c>
      <c r="J151" t="str">
        <f t="shared" si="15"/>
        <v>5E</v>
      </c>
      <c r="L151">
        <f>INDEX(Schedule!$A:$J, MATCH(Joined!$G151, Schedule!$B:$B, 0), 5)</f>
        <v>1050</v>
      </c>
      <c r="M151">
        <f>INDEX(Schedule!$A:$J, MATCH(Joined!$G151, Schedule!$B:$B, 0), 6)</f>
        <v>210</v>
      </c>
    </row>
    <row r="152" spans="1:13" x14ac:dyDescent="0.2">
      <c r="A152">
        <f>INDEX(PanelInstance!B:D, MATCH(Joined!J152, PanelInstance!D:D, FALSE), 2)</f>
        <v>151100</v>
      </c>
      <c r="B152" t="s">
        <v>291</v>
      </c>
      <c r="C152">
        <f>COUNTIF($D$3:D152, RIGHT(LEFT(A152,4),3))</f>
        <v>10</v>
      </c>
      <c r="D152" t="str">
        <f t="shared" si="12"/>
        <v>511</v>
      </c>
      <c r="E152">
        <f t="shared" si="13"/>
        <v>151110</v>
      </c>
      <c r="F152">
        <f>INDEX(Schedule!$A:$N, MATCH(Joined!$G152, Schedule!$B:$B,0),14)</f>
        <v>15007</v>
      </c>
      <c r="G152" t="s">
        <v>183</v>
      </c>
      <c r="H152">
        <f>INDEX(VAV_Schedule_5_21[#All], MATCH(Joined!G152, VAV_Schedule_5_21[[#All],[UNIT TAG]], 0), 9)</f>
        <v>5</v>
      </c>
      <c r="I152" t="str">
        <f t="shared" si="14"/>
        <v>WPC.VAV-5E-18</v>
      </c>
      <c r="J152" t="str">
        <f t="shared" si="15"/>
        <v>5E</v>
      </c>
      <c r="L152">
        <f>INDEX(Schedule!$A:$J, MATCH(Joined!$G152, Schedule!$B:$B, 0), 5)</f>
        <v>640</v>
      </c>
      <c r="M152">
        <f>INDEX(Schedule!$A:$J, MATCH(Joined!$G152, Schedule!$B:$B, 0), 6)</f>
        <v>130</v>
      </c>
    </row>
    <row r="153" spans="1:13" x14ac:dyDescent="0.2">
      <c r="A153">
        <f>INDEX(PanelInstance!B:D, MATCH(Joined!J153, PanelInstance!D:D, FALSE), 2)</f>
        <v>151100</v>
      </c>
      <c r="B153" t="s">
        <v>291</v>
      </c>
      <c r="C153">
        <f>COUNTIF($D$3:D153, RIGHT(LEFT(A153,4),3))</f>
        <v>11</v>
      </c>
      <c r="D153" t="str">
        <f t="shared" si="12"/>
        <v>511</v>
      </c>
      <c r="E153">
        <f t="shared" si="13"/>
        <v>151111</v>
      </c>
      <c r="F153">
        <f>INDEX(Schedule!$A:$N, MATCH(Joined!$G153, Schedule!$B:$B,0),14)</f>
        <v>15007</v>
      </c>
      <c r="G153" t="s">
        <v>184</v>
      </c>
      <c r="H153">
        <f>INDEX(VAV_Schedule_5_21[#All], MATCH(Joined!G153, VAV_Schedule_5_21[[#All],[UNIT TAG]], 0), 9)</f>
        <v>5</v>
      </c>
      <c r="I153" t="str">
        <f t="shared" si="14"/>
        <v>WPC.VAV-5E-19</v>
      </c>
      <c r="J153" t="str">
        <f t="shared" si="15"/>
        <v>5E</v>
      </c>
      <c r="L153">
        <f>INDEX(Schedule!$A:$J, MATCH(Joined!$G153, Schedule!$B:$B, 0), 5)</f>
        <v>850</v>
      </c>
      <c r="M153">
        <f>INDEX(Schedule!$A:$J, MATCH(Joined!$G153, Schedule!$B:$B, 0), 6)</f>
        <v>170</v>
      </c>
    </row>
    <row r="154" spans="1:13" x14ac:dyDescent="0.2">
      <c r="A154">
        <f>INDEX(PanelInstance!B:D, MATCH(Joined!J154, PanelInstance!D:D, FALSE), 2)</f>
        <v>151100</v>
      </c>
      <c r="B154" t="s">
        <v>291</v>
      </c>
      <c r="C154">
        <f>COUNTIF($D$3:D154, RIGHT(LEFT(A154,4),3))</f>
        <v>12</v>
      </c>
      <c r="D154" t="str">
        <f t="shared" si="12"/>
        <v>511</v>
      </c>
      <c r="E154">
        <f t="shared" si="13"/>
        <v>151112</v>
      </c>
      <c r="F154">
        <f>INDEX(Schedule!$A:$N, MATCH(Joined!$G154, Schedule!$B:$B,0),14)</f>
        <v>15007</v>
      </c>
      <c r="G154" t="s">
        <v>185</v>
      </c>
      <c r="H154">
        <f>INDEX(VAV_Schedule_5_21[#All], MATCH(Joined!G154, VAV_Schedule_5_21[[#All],[UNIT TAG]], 0), 9)</f>
        <v>5</v>
      </c>
      <c r="I154" t="str">
        <f t="shared" si="14"/>
        <v>WPC.VAV-5E-20</v>
      </c>
      <c r="J154" t="str">
        <f t="shared" si="15"/>
        <v>5E</v>
      </c>
      <c r="L154">
        <f>INDEX(Schedule!$A:$J, MATCH(Joined!$G154, Schedule!$B:$B, 0), 5)</f>
        <v>690</v>
      </c>
      <c r="M154">
        <f>INDEX(Schedule!$A:$J, MATCH(Joined!$G154, Schedule!$B:$B, 0), 6)</f>
        <v>140</v>
      </c>
    </row>
    <row r="155" spans="1:13" x14ac:dyDescent="0.2">
      <c r="A155">
        <f>INDEX(PanelInstance!B:D, MATCH(Joined!J155, PanelInstance!D:D, FALSE), 2)</f>
        <v>151100</v>
      </c>
      <c r="B155" t="s">
        <v>291</v>
      </c>
      <c r="C155">
        <f>COUNTIF($D$3:D155, RIGHT(LEFT(A155,4),3))</f>
        <v>13</v>
      </c>
      <c r="D155" t="str">
        <f t="shared" si="12"/>
        <v>511</v>
      </c>
      <c r="E155">
        <f t="shared" si="13"/>
        <v>151113</v>
      </c>
      <c r="F155">
        <f>INDEX(Schedule!$A:$N, MATCH(Joined!$G155, Schedule!$B:$B,0),14)</f>
        <v>15006</v>
      </c>
      <c r="G155" t="s">
        <v>644</v>
      </c>
      <c r="H155">
        <f>INDEX(VAV_Schedule_5_21[#All], MATCH(Joined!G155, VAV_Schedule_5_21[[#All],[UNIT TAG]], 0), 9)</f>
        <v>5</v>
      </c>
      <c r="I155" t="str">
        <f t="shared" si="14"/>
        <v>WPC.VAV-5E-20A</v>
      </c>
      <c r="J155" t="str">
        <f t="shared" si="15"/>
        <v>5E</v>
      </c>
      <c r="L155">
        <f>INDEX(Schedule!$A:$J, MATCH(Joined!$G155, Schedule!$B:$B, 0), 5)</f>
        <v>600</v>
      </c>
      <c r="M155">
        <f>INDEX(Schedule!$A:$J, MATCH(Joined!$G155, Schedule!$B:$B, 0), 6)</f>
        <v>120</v>
      </c>
    </row>
    <row r="156" spans="1:13" x14ac:dyDescent="0.2">
      <c r="A156">
        <f>INDEX(PanelInstance!B:D, MATCH(Joined!J156, PanelInstance!D:D, FALSE), 2)</f>
        <v>151100</v>
      </c>
      <c r="B156" t="s">
        <v>291</v>
      </c>
      <c r="C156">
        <f>COUNTIF($D$3:D156, RIGHT(LEFT(A156,4),3))</f>
        <v>14</v>
      </c>
      <c r="D156" t="str">
        <f t="shared" si="12"/>
        <v>511</v>
      </c>
      <c r="E156">
        <f t="shared" si="13"/>
        <v>151114</v>
      </c>
      <c r="F156">
        <f>INDEX(Schedule!$A:$N, MATCH(Joined!$G156, Schedule!$B:$B,0),14)</f>
        <v>15006</v>
      </c>
      <c r="G156" t="s">
        <v>186</v>
      </c>
      <c r="H156">
        <f>INDEX(VAV_Schedule_5_21[#All], MATCH(Joined!G156, VAV_Schedule_5_21[[#All],[UNIT TAG]], 0), 9)</f>
        <v>5</v>
      </c>
      <c r="I156" t="str">
        <f t="shared" si="14"/>
        <v>WPC.VAV-5E-21</v>
      </c>
      <c r="J156" t="str">
        <f t="shared" si="15"/>
        <v>5E</v>
      </c>
      <c r="L156">
        <f>INDEX(Schedule!$A:$J, MATCH(Joined!$G156, Schedule!$B:$B, 0), 5)</f>
        <v>1200</v>
      </c>
      <c r="M156">
        <f>INDEX(Schedule!$A:$J, MATCH(Joined!$G156, Schedule!$B:$B, 0), 6)</f>
        <v>240</v>
      </c>
    </row>
    <row r="157" spans="1:13" x14ac:dyDescent="0.2">
      <c r="A157">
        <f>INDEX(PanelInstance!B:D, MATCH(Joined!J157, PanelInstance!D:D, FALSE), 2)</f>
        <v>151100</v>
      </c>
      <c r="B157" t="s">
        <v>291</v>
      </c>
      <c r="C157">
        <f>COUNTIF($D$3:D157, RIGHT(LEFT(A157,4),3))</f>
        <v>15</v>
      </c>
      <c r="D157" t="str">
        <f t="shared" si="12"/>
        <v>511</v>
      </c>
      <c r="E157">
        <f t="shared" si="13"/>
        <v>151115</v>
      </c>
      <c r="F157">
        <f>INDEX(Schedule!$A:$N, MATCH(Joined!$G157, Schedule!$B:$B,0),14)</f>
        <v>15006</v>
      </c>
      <c r="G157" t="s">
        <v>187</v>
      </c>
      <c r="H157">
        <f>INDEX(VAV_Schedule_5_21[#All], MATCH(Joined!G157, VAV_Schedule_5_21[[#All],[UNIT TAG]], 0), 9)</f>
        <v>5</v>
      </c>
      <c r="I157" t="str">
        <f t="shared" si="14"/>
        <v>WPC.VAV-5E-22</v>
      </c>
      <c r="J157" t="str">
        <f t="shared" si="15"/>
        <v>5E</v>
      </c>
      <c r="L157">
        <f>INDEX(Schedule!$A:$J, MATCH(Joined!$G157, Schedule!$B:$B, 0), 5)</f>
        <v>925</v>
      </c>
      <c r="M157">
        <f>INDEX(Schedule!$A:$J, MATCH(Joined!$G157, Schedule!$B:$B, 0), 6)</f>
        <v>0</v>
      </c>
    </row>
    <row r="158" spans="1:13" x14ac:dyDescent="0.2">
      <c r="A158">
        <f>INDEX(PanelInstance!B:D, MATCH(Joined!J158, PanelInstance!D:D, FALSE), 2)</f>
        <v>151100</v>
      </c>
      <c r="B158" t="s">
        <v>291</v>
      </c>
      <c r="C158">
        <f>COUNTIF($D$3:D158, RIGHT(LEFT(A158,4),3))</f>
        <v>16</v>
      </c>
      <c r="D158" t="str">
        <f t="shared" si="12"/>
        <v>511</v>
      </c>
      <c r="E158">
        <f t="shared" si="13"/>
        <v>151116</v>
      </c>
      <c r="F158">
        <f>INDEX(Schedule!$A:$N, MATCH(Joined!$G158, Schedule!$B:$B,0),14)</f>
        <v>15006</v>
      </c>
      <c r="G158" t="s">
        <v>188</v>
      </c>
      <c r="H158">
        <f>INDEX(VAV_Schedule_5_21[#All], MATCH(Joined!G158, VAV_Schedule_5_21[[#All],[UNIT TAG]], 0), 9)</f>
        <v>5</v>
      </c>
      <c r="I158" t="str">
        <f t="shared" si="14"/>
        <v>WPC.VAV-5E-23</v>
      </c>
      <c r="J158" t="str">
        <f t="shared" si="15"/>
        <v>5E</v>
      </c>
      <c r="L158">
        <f>INDEX(Schedule!$A:$J, MATCH(Joined!$G158, Schedule!$B:$B, 0), 5)</f>
        <v>1350</v>
      </c>
      <c r="M158">
        <f>INDEX(Schedule!$A:$J, MATCH(Joined!$G158, Schedule!$B:$B, 0), 6)</f>
        <v>270</v>
      </c>
    </row>
    <row r="159" spans="1:13" x14ac:dyDescent="0.2">
      <c r="A159">
        <f>INDEX(PanelInstance!B:D, MATCH(Joined!J159, PanelInstance!D:D, FALSE), 2)</f>
        <v>151100</v>
      </c>
      <c r="B159" t="s">
        <v>291</v>
      </c>
      <c r="C159">
        <f>COUNTIF($D$3:D159, RIGHT(LEFT(A159,4),3))</f>
        <v>17</v>
      </c>
      <c r="D159" t="str">
        <f t="shared" si="12"/>
        <v>511</v>
      </c>
      <c r="E159">
        <f t="shared" si="13"/>
        <v>151117</v>
      </c>
      <c r="F159">
        <f>INDEX(Schedule!$A:$N, MATCH(Joined!$G159, Schedule!$B:$B,0),14)</f>
        <v>15007</v>
      </c>
      <c r="G159" t="s">
        <v>189</v>
      </c>
      <c r="H159">
        <f>INDEX(VAV_Schedule_5_21[#All], MATCH(Joined!G159, VAV_Schedule_5_21[[#All],[UNIT TAG]], 0), 9)</f>
        <v>5</v>
      </c>
      <c r="I159" t="str">
        <f t="shared" si="14"/>
        <v>WPC.VAV-5E-24</v>
      </c>
      <c r="J159" t="str">
        <f t="shared" si="15"/>
        <v>5E</v>
      </c>
      <c r="L159">
        <f>INDEX(Schedule!$A:$J, MATCH(Joined!$G159, Schedule!$B:$B, 0), 5)</f>
        <v>800</v>
      </c>
      <c r="M159">
        <f>INDEX(Schedule!$A:$J, MATCH(Joined!$G159, Schedule!$B:$B, 0), 6)</f>
        <v>160</v>
      </c>
    </row>
    <row r="160" spans="1:13" x14ac:dyDescent="0.2">
      <c r="A160">
        <f>INDEX(PanelInstance!B:D, MATCH(Joined!J160, PanelInstance!D:D, FALSE), 2)</f>
        <v>151100</v>
      </c>
      <c r="B160" t="s">
        <v>291</v>
      </c>
      <c r="C160">
        <f>COUNTIF($D$3:D160, RIGHT(LEFT(A160,4),3))</f>
        <v>18</v>
      </c>
      <c r="D160" t="str">
        <f t="shared" si="12"/>
        <v>511</v>
      </c>
      <c r="E160">
        <f t="shared" si="13"/>
        <v>151118</v>
      </c>
      <c r="F160">
        <f>INDEX(Schedule!$A:$N, MATCH(Joined!$G160, Schedule!$B:$B,0),14)</f>
        <v>15007</v>
      </c>
      <c r="G160" t="s">
        <v>190</v>
      </c>
      <c r="H160">
        <f>INDEX(VAV_Schedule_5_21[#All], MATCH(Joined!G160, VAV_Schedule_5_21[[#All],[UNIT TAG]], 0), 9)</f>
        <v>5</v>
      </c>
      <c r="I160" t="str">
        <f t="shared" si="14"/>
        <v>WPC.VAV-5E-25</v>
      </c>
      <c r="J160" t="str">
        <f t="shared" si="15"/>
        <v>5E</v>
      </c>
      <c r="L160">
        <f>INDEX(Schedule!$A:$J, MATCH(Joined!$G160, Schedule!$B:$B, 0), 5)</f>
        <v>350</v>
      </c>
      <c r="M160">
        <f>INDEX(Schedule!$A:$J, MATCH(Joined!$G160, Schedule!$B:$B, 0), 6)</f>
        <v>70</v>
      </c>
    </row>
    <row r="161" spans="1:13" x14ac:dyDescent="0.2">
      <c r="A161">
        <f>INDEX(PanelInstance!B:D, MATCH(Joined!J161, PanelInstance!D:D, FALSE), 2)</f>
        <v>151100</v>
      </c>
      <c r="B161" t="s">
        <v>291</v>
      </c>
      <c r="C161">
        <f>COUNTIF($D$3:D161, RIGHT(LEFT(A161,4),3))</f>
        <v>19</v>
      </c>
      <c r="D161" t="str">
        <f t="shared" si="12"/>
        <v>511</v>
      </c>
      <c r="E161">
        <f t="shared" si="13"/>
        <v>151119</v>
      </c>
      <c r="F161">
        <f>INDEX(Schedule!$A:$N, MATCH(Joined!$G161, Schedule!$B:$B,0),14)</f>
        <v>15007</v>
      </c>
      <c r="G161" t="s">
        <v>191</v>
      </c>
      <c r="H161">
        <f>INDEX(VAV_Schedule_5_21[#All], MATCH(Joined!G161, VAV_Schedule_5_21[[#All],[UNIT TAG]], 0), 9)</f>
        <v>5</v>
      </c>
      <c r="I161" t="str">
        <f t="shared" si="14"/>
        <v>WPC.VAV-5E-26</v>
      </c>
      <c r="J161" t="str">
        <f t="shared" si="15"/>
        <v>5E</v>
      </c>
      <c r="L161">
        <f>INDEX(Schedule!$A:$J, MATCH(Joined!$G161, Schedule!$B:$B, 0), 5)</f>
        <v>480</v>
      </c>
      <c r="M161">
        <f>INDEX(Schedule!$A:$J, MATCH(Joined!$G161, Schedule!$B:$B, 0), 6)</f>
        <v>100</v>
      </c>
    </row>
    <row r="162" spans="1:13" x14ac:dyDescent="0.2">
      <c r="A162">
        <f>INDEX(PanelInstance!B:D, MATCH(Joined!J162, PanelInstance!D:D, FALSE), 2)</f>
        <v>151100</v>
      </c>
      <c r="B162" t="s">
        <v>291</v>
      </c>
      <c r="C162">
        <f>COUNTIF($D$3:D162, RIGHT(LEFT(A162,4),3))</f>
        <v>20</v>
      </c>
      <c r="D162" t="str">
        <f t="shared" si="12"/>
        <v>511</v>
      </c>
      <c r="E162">
        <f t="shared" si="13"/>
        <v>151120</v>
      </c>
      <c r="F162">
        <f>INDEX(Schedule!$A:$N, MATCH(Joined!$G162, Schedule!$B:$B,0),14)</f>
        <v>15007</v>
      </c>
      <c r="G162" t="s">
        <v>192</v>
      </c>
      <c r="H162">
        <f>INDEX(VAV_Schedule_5_21[#All], MATCH(Joined!G162, VAV_Schedule_5_21[[#All],[UNIT TAG]], 0), 9)</f>
        <v>5</v>
      </c>
      <c r="I162" t="str">
        <f t="shared" si="14"/>
        <v>WPC.VAV-5E-27</v>
      </c>
      <c r="J162" t="str">
        <f t="shared" si="15"/>
        <v>5E</v>
      </c>
      <c r="L162">
        <f>INDEX(Schedule!$A:$J, MATCH(Joined!$G162, Schedule!$B:$B, 0), 5)</f>
        <v>1400</v>
      </c>
      <c r="M162">
        <f>INDEX(Schedule!$A:$J, MATCH(Joined!$G162, Schedule!$B:$B, 0), 6)</f>
        <v>280</v>
      </c>
    </row>
    <row r="163" spans="1:13" x14ac:dyDescent="0.2">
      <c r="A163">
        <f>INDEX(PanelInstance!B:D, MATCH(Joined!J163, PanelInstance!D:D, FALSE), 2)</f>
        <v>151200</v>
      </c>
      <c r="B163" t="s">
        <v>291</v>
      </c>
      <c r="C163">
        <f>COUNTIF($D$3:D163, RIGHT(LEFT(A163,4),3))</f>
        <v>5</v>
      </c>
      <c r="D163" t="str">
        <f t="shared" si="12"/>
        <v>512</v>
      </c>
      <c r="E163">
        <f t="shared" si="13"/>
        <v>151205</v>
      </c>
      <c r="F163">
        <f>INDEX(Schedule!$A:$N, MATCH(Joined!$G163, Schedule!$B:$B,0),14)</f>
        <v>15006</v>
      </c>
      <c r="G163" t="s">
        <v>193</v>
      </c>
      <c r="H163">
        <f>INDEX(VAV_Schedule_5_21[#All], MATCH(Joined!G163, VAV_Schedule_5_21[[#All],[UNIT TAG]], 0), 9)</f>
        <v>5</v>
      </c>
      <c r="I163" t="str">
        <f t="shared" si="14"/>
        <v>WPC.VAV-5W-28</v>
      </c>
      <c r="J163" t="str">
        <f t="shared" si="15"/>
        <v>5W</v>
      </c>
      <c r="L163">
        <f>INDEX(Schedule!$A:$J, MATCH(Joined!$G163, Schedule!$B:$B, 0), 5)</f>
        <v>560</v>
      </c>
      <c r="M163">
        <f>INDEX(Schedule!$A:$J, MATCH(Joined!$G163, Schedule!$B:$B, 0), 6)</f>
        <v>115</v>
      </c>
    </row>
    <row r="164" spans="1:13" x14ac:dyDescent="0.2">
      <c r="A164">
        <f>INDEX(PanelInstance!B:D, MATCH(Joined!J164, PanelInstance!D:D, FALSE), 2)</f>
        <v>151200</v>
      </c>
      <c r="B164" t="s">
        <v>291</v>
      </c>
      <c r="C164">
        <f>COUNTIF($D$3:D164, RIGHT(LEFT(A164,4),3))</f>
        <v>6</v>
      </c>
      <c r="D164" t="str">
        <f t="shared" si="12"/>
        <v>512</v>
      </c>
      <c r="E164">
        <f t="shared" si="13"/>
        <v>151206</v>
      </c>
      <c r="F164">
        <f>INDEX(Schedule!$A:$N, MATCH(Joined!$G164, Schedule!$B:$B,0),14)</f>
        <v>15006</v>
      </c>
      <c r="G164" t="s">
        <v>194</v>
      </c>
      <c r="H164">
        <f>INDEX(VAV_Schedule_5_21[#All], MATCH(Joined!G164, VAV_Schedule_5_21[[#All],[UNIT TAG]], 0), 9)</f>
        <v>5</v>
      </c>
      <c r="I164" t="str">
        <f t="shared" si="14"/>
        <v>WPC.VAV-5W-29</v>
      </c>
      <c r="J164" t="str">
        <f t="shared" si="15"/>
        <v>5W</v>
      </c>
      <c r="L164">
        <f>INDEX(Schedule!$A:$J, MATCH(Joined!$G164, Schedule!$B:$B, 0), 5)</f>
        <v>850</v>
      </c>
      <c r="M164">
        <f>INDEX(Schedule!$A:$J, MATCH(Joined!$G164, Schedule!$B:$B, 0), 6)</f>
        <v>170</v>
      </c>
    </row>
    <row r="165" spans="1:13" x14ac:dyDescent="0.2">
      <c r="A165">
        <f>INDEX(PanelInstance!B:D, MATCH(Joined!J165, PanelInstance!D:D, FALSE), 2)</f>
        <v>151200</v>
      </c>
      <c r="B165" t="s">
        <v>291</v>
      </c>
      <c r="C165">
        <f>COUNTIF($D$3:D165, RIGHT(LEFT(A165,4),3))</f>
        <v>7</v>
      </c>
      <c r="D165" t="str">
        <f t="shared" si="12"/>
        <v>512</v>
      </c>
      <c r="E165">
        <f t="shared" si="13"/>
        <v>151207</v>
      </c>
      <c r="F165">
        <f>INDEX(Schedule!$A:$N, MATCH(Joined!$G165, Schedule!$B:$B,0),14)</f>
        <v>15006</v>
      </c>
      <c r="G165" t="s">
        <v>195</v>
      </c>
      <c r="H165">
        <f>INDEX(VAV_Schedule_5_21[#All], MATCH(Joined!G165, VAV_Schedule_5_21[[#All],[UNIT TAG]], 0), 9)</f>
        <v>5</v>
      </c>
      <c r="I165" t="str">
        <f t="shared" si="14"/>
        <v>WPC.VAV-5W-30</v>
      </c>
      <c r="J165" t="str">
        <f t="shared" si="15"/>
        <v>5W</v>
      </c>
      <c r="L165">
        <f>INDEX(Schedule!$A:$J, MATCH(Joined!$G165, Schedule!$B:$B, 0), 5)</f>
        <v>1580</v>
      </c>
      <c r="M165">
        <f>INDEX(Schedule!$A:$J, MATCH(Joined!$G165, Schedule!$B:$B, 0), 6)</f>
        <v>320</v>
      </c>
    </row>
    <row r="166" spans="1:13" x14ac:dyDescent="0.2">
      <c r="A166">
        <f>INDEX(PanelInstance!B:D, MATCH(Joined!J166, PanelInstance!D:D, FALSE), 2)</f>
        <v>151200</v>
      </c>
      <c r="B166" t="s">
        <v>291</v>
      </c>
      <c r="C166">
        <f>COUNTIF($D$3:D166, RIGHT(LEFT(A166,4),3))</f>
        <v>8</v>
      </c>
      <c r="D166" t="str">
        <f t="shared" si="12"/>
        <v>512</v>
      </c>
      <c r="E166">
        <f t="shared" si="13"/>
        <v>151208</v>
      </c>
      <c r="F166">
        <f>INDEX(Schedule!$A:$N, MATCH(Joined!$G166, Schedule!$B:$B,0),14)</f>
        <v>15007</v>
      </c>
      <c r="G166" t="s">
        <v>196</v>
      </c>
      <c r="H166">
        <f>INDEX(VAV_Schedule_5_21[#All], MATCH(Joined!G166, VAV_Schedule_5_21[[#All],[UNIT TAG]], 0), 9)</f>
        <v>5</v>
      </c>
      <c r="I166" t="str">
        <f t="shared" si="14"/>
        <v>WPC.VAV-5W-31</v>
      </c>
      <c r="J166" t="str">
        <f t="shared" si="15"/>
        <v>5W</v>
      </c>
      <c r="L166">
        <f>INDEX(Schedule!$A:$J, MATCH(Joined!$G166, Schedule!$B:$B, 0), 5)</f>
        <v>800</v>
      </c>
      <c r="M166">
        <f>INDEX(Schedule!$A:$J, MATCH(Joined!$G166, Schedule!$B:$B, 0), 6)</f>
        <v>160</v>
      </c>
    </row>
    <row r="167" spans="1:13" x14ac:dyDescent="0.2">
      <c r="A167">
        <f>INDEX(PanelInstance!B:D, MATCH(Joined!J167, PanelInstance!D:D, FALSE), 2)</f>
        <v>151200</v>
      </c>
      <c r="B167" t="s">
        <v>291</v>
      </c>
      <c r="C167">
        <f>COUNTIF($D$3:D167, RIGHT(LEFT(A167,4),3))</f>
        <v>9</v>
      </c>
      <c r="D167" t="str">
        <f t="shared" si="12"/>
        <v>512</v>
      </c>
      <c r="E167">
        <f t="shared" si="13"/>
        <v>151209</v>
      </c>
      <c r="F167">
        <f>INDEX(Schedule!$A:$N, MATCH(Joined!$G167, Schedule!$B:$B,0),14)</f>
        <v>15007</v>
      </c>
      <c r="G167" t="s">
        <v>197</v>
      </c>
      <c r="H167">
        <f>INDEX(VAV_Schedule_5_21[#All], MATCH(Joined!G167, VAV_Schedule_5_21[[#All],[UNIT TAG]], 0), 9)</f>
        <v>5</v>
      </c>
      <c r="I167" t="str">
        <f t="shared" si="14"/>
        <v>WPC.VAV-5W-32</v>
      </c>
      <c r="J167" t="str">
        <f t="shared" si="15"/>
        <v>5W</v>
      </c>
      <c r="L167">
        <f>INDEX(Schedule!$A:$J, MATCH(Joined!$G167, Schedule!$B:$B, 0), 5)</f>
        <v>640</v>
      </c>
      <c r="M167">
        <f>INDEX(Schedule!$A:$J, MATCH(Joined!$G167, Schedule!$B:$B, 0), 6)</f>
        <v>130</v>
      </c>
    </row>
    <row r="168" spans="1:13" x14ac:dyDescent="0.2">
      <c r="A168">
        <f>INDEX(PanelInstance!B:D, MATCH(Joined!J168, PanelInstance!D:D, FALSE), 2)</f>
        <v>151200</v>
      </c>
      <c r="B168" t="s">
        <v>291</v>
      </c>
      <c r="C168">
        <f>COUNTIF($D$3:D168, RIGHT(LEFT(A168,4),3))</f>
        <v>10</v>
      </c>
      <c r="D168" t="str">
        <f t="shared" si="12"/>
        <v>512</v>
      </c>
      <c r="E168">
        <f t="shared" si="13"/>
        <v>151210</v>
      </c>
      <c r="F168">
        <f>INDEX(Schedule!$A:$N, MATCH(Joined!$G168, Schedule!$B:$B,0),14)</f>
        <v>15007</v>
      </c>
      <c r="G168" t="s">
        <v>198</v>
      </c>
      <c r="H168">
        <f>INDEX(VAV_Schedule_5_21[#All], MATCH(Joined!G168, VAV_Schedule_5_21[[#All],[UNIT TAG]], 0), 9)</f>
        <v>5</v>
      </c>
      <c r="I168" t="str">
        <f t="shared" si="14"/>
        <v>WPC.VAV-5W-33</v>
      </c>
      <c r="J168" t="str">
        <f t="shared" si="15"/>
        <v>5W</v>
      </c>
      <c r="L168">
        <f>INDEX(Schedule!$A:$J, MATCH(Joined!$G168, Schedule!$B:$B, 0), 5)</f>
        <v>925</v>
      </c>
      <c r="M168">
        <f>INDEX(Schedule!$A:$J, MATCH(Joined!$G168, Schedule!$B:$B, 0), 6)</f>
        <v>185</v>
      </c>
    </row>
    <row r="169" spans="1:13" x14ac:dyDescent="0.2">
      <c r="A169">
        <f>INDEX(PanelInstance!B:D, MATCH(Joined!J169, PanelInstance!D:D, FALSE), 2)</f>
        <v>151200</v>
      </c>
      <c r="B169" t="s">
        <v>291</v>
      </c>
      <c r="C169">
        <f>COUNTIF($D$3:D169, RIGHT(LEFT(A169,4),3))</f>
        <v>11</v>
      </c>
      <c r="D169" t="str">
        <f t="shared" si="12"/>
        <v>512</v>
      </c>
      <c r="E169">
        <f t="shared" si="13"/>
        <v>151211</v>
      </c>
      <c r="F169">
        <f>INDEX(Schedule!$A:$N, MATCH(Joined!$G169, Schedule!$B:$B,0),14)</f>
        <v>15007</v>
      </c>
      <c r="G169" t="s">
        <v>199</v>
      </c>
      <c r="H169">
        <f>INDEX(VAV_Schedule_5_21[#All], MATCH(Joined!G169, VAV_Schedule_5_21[[#All],[UNIT TAG]], 0), 9)</f>
        <v>5</v>
      </c>
      <c r="I169" t="str">
        <f t="shared" si="14"/>
        <v>WPC.VAV-5W-34</v>
      </c>
      <c r="J169" t="str">
        <f t="shared" si="15"/>
        <v>5W</v>
      </c>
      <c r="L169">
        <f>INDEX(Schedule!$A:$J, MATCH(Joined!$G169, Schedule!$B:$B, 0), 5)</f>
        <v>705</v>
      </c>
      <c r="M169">
        <f>INDEX(Schedule!$A:$J, MATCH(Joined!$G169, Schedule!$B:$B, 0), 6)</f>
        <v>145</v>
      </c>
    </row>
    <row r="170" spans="1:13" x14ac:dyDescent="0.2">
      <c r="A170">
        <f>INDEX(PanelInstance!B:D, MATCH(Joined!J170, PanelInstance!D:D, FALSE), 2)</f>
        <v>151200</v>
      </c>
      <c r="B170" t="s">
        <v>291</v>
      </c>
      <c r="C170">
        <f>COUNTIF($D$3:D170, RIGHT(LEFT(A170,4),3))</f>
        <v>12</v>
      </c>
      <c r="D170" t="str">
        <f t="shared" si="12"/>
        <v>512</v>
      </c>
      <c r="E170">
        <f t="shared" si="13"/>
        <v>151212</v>
      </c>
      <c r="F170">
        <f>INDEX(Schedule!$A:$N, MATCH(Joined!$G170, Schedule!$B:$B,0),14)</f>
        <v>15006</v>
      </c>
      <c r="G170" t="s">
        <v>200</v>
      </c>
      <c r="H170">
        <f>INDEX(VAV_Schedule_5_21[#All], MATCH(Joined!G170, VAV_Schedule_5_21[[#All],[UNIT TAG]], 0), 9)</f>
        <v>5</v>
      </c>
      <c r="I170" t="str">
        <f t="shared" si="14"/>
        <v>WPC.VAV-5W-35</v>
      </c>
      <c r="J170" t="str">
        <f t="shared" si="15"/>
        <v>5W</v>
      </c>
      <c r="L170">
        <f>INDEX(Schedule!$A:$J, MATCH(Joined!$G170, Schedule!$B:$B, 0), 5)</f>
        <v>1170</v>
      </c>
      <c r="M170">
        <f>INDEX(Schedule!$A:$J, MATCH(Joined!$G170, Schedule!$B:$B, 0), 6)</f>
        <v>235</v>
      </c>
    </row>
    <row r="171" spans="1:13" x14ac:dyDescent="0.2">
      <c r="A171">
        <f>INDEX(PanelInstance!B:D, MATCH(Joined!J171, PanelInstance!D:D, FALSE), 2)</f>
        <v>151200</v>
      </c>
      <c r="B171" t="s">
        <v>291</v>
      </c>
      <c r="C171">
        <f>COUNTIF($D$3:D171, RIGHT(LEFT(A171,4),3))</f>
        <v>13</v>
      </c>
      <c r="D171" t="str">
        <f t="shared" si="12"/>
        <v>512</v>
      </c>
      <c r="E171">
        <f t="shared" si="13"/>
        <v>151213</v>
      </c>
      <c r="F171">
        <f>INDEX(Schedule!$A:$N, MATCH(Joined!$G171, Schedule!$B:$B,0),14)</f>
        <v>15007</v>
      </c>
      <c r="G171" t="s">
        <v>201</v>
      </c>
      <c r="H171">
        <f>INDEX(VAV_Schedule_5_21[#All], MATCH(Joined!G171, VAV_Schedule_5_21[[#All],[UNIT TAG]], 0), 9)</f>
        <v>5</v>
      </c>
      <c r="I171" t="str">
        <f t="shared" si="14"/>
        <v>WPC.VAV-5W-36</v>
      </c>
      <c r="J171" t="str">
        <f t="shared" si="15"/>
        <v>5W</v>
      </c>
      <c r="L171">
        <f>INDEX(Schedule!$A:$J, MATCH(Joined!$G171, Schedule!$B:$B, 0), 5)</f>
        <v>1200</v>
      </c>
      <c r="M171">
        <f>INDEX(Schedule!$A:$J, MATCH(Joined!$G171, Schedule!$B:$B, 0), 6)</f>
        <v>240</v>
      </c>
    </row>
    <row r="172" spans="1:13" x14ac:dyDescent="0.2">
      <c r="A172">
        <f>INDEX(PanelInstance!B:D, MATCH(Joined!J172, PanelInstance!D:D, FALSE), 2)</f>
        <v>151200</v>
      </c>
      <c r="B172" t="s">
        <v>291</v>
      </c>
      <c r="C172">
        <f>COUNTIF($D$3:D172, RIGHT(LEFT(A172,4),3))</f>
        <v>14</v>
      </c>
      <c r="D172" t="str">
        <f t="shared" si="12"/>
        <v>512</v>
      </c>
      <c r="E172">
        <f t="shared" si="13"/>
        <v>151214</v>
      </c>
      <c r="F172">
        <f>INDEX(Schedule!$A:$N, MATCH(Joined!$G172, Schedule!$B:$B,0),14)</f>
        <v>15007</v>
      </c>
      <c r="G172" t="s">
        <v>202</v>
      </c>
      <c r="H172">
        <f>INDEX(VAV_Schedule_5_21[#All], MATCH(Joined!G172, VAV_Schedule_5_21[[#All],[UNIT TAG]], 0), 9)</f>
        <v>5</v>
      </c>
      <c r="I172" t="str">
        <f t="shared" si="14"/>
        <v>WPC.VAV-5W-37</v>
      </c>
      <c r="J172" t="str">
        <f t="shared" si="15"/>
        <v>5W</v>
      </c>
      <c r="L172">
        <f>INDEX(Schedule!$A:$J, MATCH(Joined!$G172, Schedule!$B:$B, 0), 5)</f>
        <v>1160</v>
      </c>
      <c r="M172">
        <f>INDEX(Schedule!$A:$J, MATCH(Joined!$G172, Schedule!$B:$B, 0), 6)</f>
        <v>235</v>
      </c>
    </row>
    <row r="173" spans="1:13" x14ac:dyDescent="0.2">
      <c r="A173">
        <f>INDEX(PanelInstance!B:D, MATCH(Joined!J173, PanelInstance!D:D, FALSE), 2)</f>
        <v>151200</v>
      </c>
      <c r="B173" t="s">
        <v>291</v>
      </c>
      <c r="C173">
        <f>COUNTIF($D$3:D173, RIGHT(LEFT(A173,4),3))</f>
        <v>15</v>
      </c>
      <c r="D173" t="str">
        <f t="shared" si="12"/>
        <v>512</v>
      </c>
      <c r="E173">
        <f t="shared" si="13"/>
        <v>151215</v>
      </c>
      <c r="F173">
        <f>INDEX(Schedule!$A:$N, MATCH(Joined!$G173, Schedule!$B:$B,0),14)</f>
        <v>15007</v>
      </c>
      <c r="G173" t="s">
        <v>203</v>
      </c>
      <c r="H173">
        <f>INDEX(VAV_Schedule_5_21[#All], MATCH(Joined!G173, VAV_Schedule_5_21[[#All],[UNIT TAG]], 0), 9)</f>
        <v>5</v>
      </c>
      <c r="I173" t="str">
        <f t="shared" si="14"/>
        <v>WPC.VAV-5W-38</v>
      </c>
      <c r="J173" t="str">
        <f t="shared" si="15"/>
        <v>5W</v>
      </c>
      <c r="L173">
        <f>INDEX(Schedule!$A:$J, MATCH(Joined!$G173, Schedule!$B:$B, 0), 5)</f>
        <v>1200</v>
      </c>
      <c r="M173">
        <f>INDEX(Schedule!$A:$J, MATCH(Joined!$G173, Schedule!$B:$B, 0), 6)</f>
        <v>240</v>
      </c>
    </row>
    <row r="174" spans="1:13" x14ac:dyDescent="0.2">
      <c r="A174">
        <f>INDEX(PanelInstance!B:D, MATCH(Joined!J174, PanelInstance!D:D, FALSE), 2)</f>
        <v>151500</v>
      </c>
      <c r="B174" t="s">
        <v>291</v>
      </c>
      <c r="C174">
        <f>COUNTIF($D$3:D174, RIGHT(LEFT(A174,4),3))</f>
        <v>1</v>
      </c>
      <c r="D174" t="str">
        <f t="shared" si="12"/>
        <v>515</v>
      </c>
      <c r="E174">
        <f t="shared" si="13"/>
        <v>151501</v>
      </c>
      <c r="F174">
        <f>INDEX(Schedule!$A:$N, MATCH(Joined!$G174, Schedule!$B:$B,0),14)</f>
        <v>15011</v>
      </c>
      <c r="G174" t="s">
        <v>292</v>
      </c>
      <c r="H174">
        <f>INDEX(VAV_Schedule_5_21[#All], MATCH(Joined!G174, VAV_Schedule_5_21[[#All],[UNIT TAG]], 0), 9)</f>
        <v>6</v>
      </c>
      <c r="I174" t="str">
        <f t="shared" si="14"/>
        <v>WPC.VAV-6W-1</v>
      </c>
      <c r="J174" t="str">
        <f t="shared" si="15"/>
        <v>6W</v>
      </c>
      <c r="L174">
        <f>INDEX(Schedule!$A:$J, MATCH(Joined!$G174, Schedule!$B:$B, 0), 5)</f>
        <v>640</v>
      </c>
      <c r="M174">
        <f>INDEX(Schedule!$A:$J, MATCH(Joined!$G174, Schedule!$B:$B, 0), 6)</f>
        <v>130</v>
      </c>
    </row>
    <row r="175" spans="1:13" x14ac:dyDescent="0.2">
      <c r="A175">
        <f>INDEX(PanelInstance!B:D, MATCH(Joined!J175, PanelInstance!D:D, FALSE), 2)</f>
        <v>151500</v>
      </c>
      <c r="B175" t="s">
        <v>291</v>
      </c>
      <c r="C175">
        <f>COUNTIF($D$3:D175, RIGHT(LEFT(A175,4),3))</f>
        <v>2</v>
      </c>
      <c r="D175" t="str">
        <f t="shared" si="12"/>
        <v>515</v>
      </c>
      <c r="E175">
        <f t="shared" si="13"/>
        <v>151502</v>
      </c>
      <c r="F175">
        <f>INDEX(Schedule!$A:$N, MATCH(Joined!$G175, Schedule!$B:$B,0),14)</f>
        <v>15011</v>
      </c>
      <c r="G175" t="s">
        <v>293</v>
      </c>
      <c r="H175">
        <f>INDEX(VAV_Schedule_5_21[#All], MATCH(Joined!G175, VAV_Schedule_5_21[[#All],[UNIT TAG]], 0), 9)</f>
        <v>6</v>
      </c>
      <c r="I175" t="str">
        <f t="shared" si="14"/>
        <v>WPC.VAV-6W-2</v>
      </c>
      <c r="J175" t="str">
        <f t="shared" si="15"/>
        <v>6W</v>
      </c>
      <c r="L175">
        <f>INDEX(Schedule!$A:$J, MATCH(Joined!$G175, Schedule!$B:$B, 0), 5)</f>
        <v>680</v>
      </c>
      <c r="M175">
        <f>INDEX(Schedule!$A:$J, MATCH(Joined!$G175, Schedule!$B:$B, 0), 6)</f>
        <v>140</v>
      </c>
    </row>
    <row r="176" spans="1:13" x14ac:dyDescent="0.2">
      <c r="A176">
        <f>INDEX(PanelInstance!B:D, MATCH(Joined!J176, PanelInstance!D:D, FALSE), 2)</f>
        <v>151500</v>
      </c>
      <c r="B176" t="s">
        <v>291</v>
      </c>
      <c r="C176">
        <f>COUNTIF($D$3:D176, RIGHT(LEFT(A176,4),3))</f>
        <v>3</v>
      </c>
      <c r="D176" t="str">
        <f t="shared" si="12"/>
        <v>515</v>
      </c>
      <c r="E176">
        <f t="shared" si="13"/>
        <v>151503</v>
      </c>
      <c r="F176">
        <f>INDEX(Schedule!$A:$N, MATCH(Joined!$G176, Schedule!$B:$B,0),14)</f>
        <v>15011</v>
      </c>
      <c r="G176" t="s">
        <v>294</v>
      </c>
      <c r="H176">
        <f>INDEX(VAV_Schedule_5_21[#All], MATCH(Joined!G176, VAV_Schedule_5_21[[#All],[UNIT TAG]], 0), 9)</f>
        <v>6</v>
      </c>
      <c r="I176" t="str">
        <f t="shared" si="14"/>
        <v>WPC.VAV-6W-3</v>
      </c>
      <c r="J176" t="str">
        <f t="shared" si="15"/>
        <v>6W</v>
      </c>
      <c r="L176">
        <f>INDEX(Schedule!$A:$J, MATCH(Joined!$G176, Schedule!$B:$B, 0), 5)</f>
        <v>600</v>
      </c>
      <c r="M176">
        <f>INDEX(Schedule!$A:$J, MATCH(Joined!$G176, Schedule!$B:$B, 0), 6)</f>
        <v>120</v>
      </c>
    </row>
    <row r="177" spans="1:13" x14ac:dyDescent="0.2">
      <c r="A177">
        <f>INDEX(PanelInstance!B:D, MATCH(Joined!J177, PanelInstance!D:D, FALSE), 2)</f>
        <v>151500</v>
      </c>
      <c r="B177" t="s">
        <v>291</v>
      </c>
      <c r="C177">
        <f>COUNTIF($D$3:D177, RIGHT(LEFT(A177,4),3))</f>
        <v>4</v>
      </c>
      <c r="D177" t="str">
        <f t="shared" si="12"/>
        <v>515</v>
      </c>
      <c r="E177">
        <f t="shared" si="13"/>
        <v>151504</v>
      </c>
      <c r="F177">
        <f>INDEX(Schedule!$A:$N, MATCH(Joined!$G177, Schedule!$B:$B,0),14)</f>
        <v>15011</v>
      </c>
      <c r="G177" t="s">
        <v>295</v>
      </c>
      <c r="H177">
        <f>INDEX(VAV_Schedule_5_21[#All], MATCH(Joined!G177, VAV_Schedule_5_21[[#All],[UNIT TAG]], 0), 9)</f>
        <v>6</v>
      </c>
      <c r="I177" t="str">
        <f t="shared" si="14"/>
        <v>WPC.VAV-6W-4</v>
      </c>
      <c r="J177" t="str">
        <f t="shared" si="15"/>
        <v>6W</v>
      </c>
      <c r="L177">
        <f>INDEX(Schedule!$A:$J, MATCH(Joined!$G177, Schedule!$B:$B, 0), 5)</f>
        <v>840</v>
      </c>
      <c r="M177">
        <f>INDEX(Schedule!$A:$J, MATCH(Joined!$G177, Schedule!$B:$B, 0), 6)</f>
        <v>170</v>
      </c>
    </row>
    <row r="178" spans="1:13" x14ac:dyDescent="0.2">
      <c r="A178">
        <f>INDEX(PanelInstance!B:D, MATCH(Joined!J178, PanelInstance!D:D, FALSE), 2)</f>
        <v>151300</v>
      </c>
      <c r="B178" t="s">
        <v>291</v>
      </c>
      <c r="C178">
        <f>COUNTIF($D$3:D178, RIGHT(LEFT(A178,4),3))</f>
        <v>1</v>
      </c>
      <c r="D178" t="str">
        <f t="shared" si="12"/>
        <v>513</v>
      </c>
      <c r="E178">
        <f t="shared" si="13"/>
        <v>151301</v>
      </c>
      <c r="F178">
        <f>INDEX(Schedule!$A:$N, MATCH(Joined!$G178, Schedule!$B:$B,0),14)</f>
        <v>15010</v>
      </c>
      <c r="G178" t="s">
        <v>296</v>
      </c>
      <c r="H178">
        <f>INDEX(VAV_Schedule_5_21[#All], MATCH(Joined!G178, VAV_Schedule_5_21[[#All],[UNIT TAG]], 0), 9)</f>
        <v>6</v>
      </c>
      <c r="I178" t="str">
        <f t="shared" si="14"/>
        <v>WPC.VAV-6N-5</v>
      </c>
      <c r="J178" t="str">
        <f t="shared" si="15"/>
        <v>6N</v>
      </c>
      <c r="L178">
        <f>INDEX(Schedule!$A:$J, MATCH(Joined!$G178, Schedule!$B:$B, 0), 5)</f>
        <v>1200</v>
      </c>
      <c r="M178">
        <f>INDEX(Schedule!$A:$J, MATCH(Joined!$G178, Schedule!$B:$B, 0), 6)</f>
        <v>240</v>
      </c>
    </row>
    <row r="179" spans="1:13" x14ac:dyDescent="0.2">
      <c r="A179">
        <f>INDEX(PanelInstance!B:D, MATCH(Joined!J179, PanelInstance!D:D, FALSE), 2)</f>
        <v>151300</v>
      </c>
      <c r="B179" t="s">
        <v>291</v>
      </c>
      <c r="C179">
        <f>COUNTIF($D$3:D179, RIGHT(LEFT(A179,4),3))</f>
        <v>2</v>
      </c>
      <c r="D179" t="str">
        <f t="shared" si="12"/>
        <v>513</v>
      </c>
      <c r="E179">
        <f t="shared" si="13"/>
        <v>151302</v>
      </c>
      <c r="F179">
        <f>INDEX(Schedule!$A:$N, MATCH(Joined!$G179, Schedule!$B:$B,0),14)</f>
        <v>15010</v>
      </c>
      <c r="G179" t="s">
        <v>297</v>
      </c>
      <c r="H179">
        <f>INDEX(VAV_Schedule_5_21[#All], MATCH(Joined!G179, VAV_Schedule_5_21[[#All],[UNIT TAG]], 0), 9)</f>
        <v>6</v>
      </c>
      <c r="I179" t="str">
        <f t="shared" si="14"/>
        <v>WPC.VAV-6N-6</v>
      </c>
      <c r="J179" t="str">
        <f t="shared" si="15"/>
        <v>6N</v>
      </c>
      <c r="L179">
        <f>INDEX(Schedule!$A:$J, MATCH(Joined!$G179, Schedule!$B:$B, 0), 5)</f>
        <v>975</v>
      </c>
      <c r="M179">
        <f>INDEX(Schedule!$A:$J, MATCH(Joined!$G179, Schedule!$B:$B, 0), 6)</f>
        <v>195</v>
      </c>
    </row>
    <row r="180" spans="1:13" x14ac:dyDescent="0.2">
      <c r="A180">
        <f>INDEX(PanelInstance!B:D, MATCH(Joined!J180, PanelInstance!D:D, FALSE), 2)</f>
        <v>151300</v>
      </c>
      <c r="B180" t="s">
        <v>291</v>
      </c>
      <c r="C180">
        <f>COUNTIF($D$3:D180, RIGHT(LEFT(A180,4),3))</f>
        <v>3</v>
      </c>
      <c r="D180" t="str">
        <f t="shared" si="12"/>
        <v>513</v>
      </c>
      <c r="E180">
        <f t="shared" si="13"/>
        <v>151303</v>
      </c>
      <c r="F180">
        <f>INDEX(Schedule!$A:$N, MATCH(Joined!$G180, Schedule!$B:$B,0),14)</f>
        <v>15010</v>
      </c>
      <c r="G180" t="s">
        <v>298</v>
      </c>
      <c r="H180">
        <f>INDEX(VAV_Schedule_5_21[#All], MATCH(Joined!G180, VAV_Schedule_5_21[[#All],[UNIT TAG]], 0), 9)</f>
        <v>6</v>
      </c>
      <c r="I180" t="str">
        <f t="shared" si="14"/>
        <v>WPC.VAV-6N-7</v>
      </c>
      <c r="J180" t="str">
        <f t="shared" si="15"/>
        <v>6N</v>
      </c>
      <c r="L180">
        <f>INDEX(Schedule!$A:$J, MATCH(Joined!$G180, Schedule!$B:$B, 0), 5)</f>
        <v>760</v>
      </c>
      <c r="M180">
        <f>INDEX(Schedule!$A:$J, MATCH(Joined!$G180, Schedule!$B:$B, 0), 6)</f>
        <v>155</v>
      </c>
    </row>
    <row r="181" spans="1:13" x14ac:dyDescent="0.2">
      <c r="A181">
        <f>INDEX(PanelInstance!B:D, MATCH(Joined!J181, PanelInstance!D:D, FALSE), 2)</f>
        <v>151300</v>
      </c>
      <c r="B181" t="s">
        <v>291</v>
      </c>
      <c r="C181">
        <f>COUNTIF($D$3:D181, RIGHT(LEFT(A181,4),3))</f>
        <v>4</v>
      </c>
      <c r="D181" t="str">
        <f t="shared" si="12"/>
        <v>513</v>
      </c>
      <c r="E181">
        <f t="shared" si="13"/>
        <v>151304</v>
      </c>
      <c r="F181">
        <f>INDEX(Schedule!$A:$N, MATCH(Joined!$G181, Schedule!$B:$B,0),14)</f>
        <v>15010</v>
      </c>
      <c r="G181" t="s">
        <v>299</v>
      </c>
      <c r="H181">
        <f>INDEX(VAV_Schedule_5_21[#All], MATCH(Joined!G181, VAV_Schedule_5_21[[#All],[UNIT TAG]], 0), 9)</f>
        <v>6</v>
      </c>
      <c r="I181" t="str">
        <f t="shared" si="14"/>
        <v>WPC.VAV-6N-8</v>
      </c>
      <c r="J181" t="str">
        <f t="shared" si="15"/>
        <v>6N</v>
      </c>
      <c r="L181">
        <f>INDEX(Schedule!$A:$J, MATCH(Joined!$G181, Schedule!$B:$B, 0), 5)</f>
        <v>1260</v>
      </c>
      <c r="M181">
        <f>INDEX(Schedule!$A:$J, MATCH(Joined!$G181, Schedule!$B:$B, 0), 6)</f>
        <v>255</v>
      </c>
    </row>
    <row r="182" spans="1:13" x14ac:dyDescent="0.2">
      <c r="A182">
        <f>INDEX(PanelInstance!B:D, MATCH(Joined!J182, PanelInstance!D:D, FALSE), 2)</f>
        <v>151300</v>
      </c>
      <c r="B182" t="s">
        <v>291</v>
      </c>
      <c r="C182">
        <f>COUNTIF($D$3:D182, RIGHT(LEFT(A182,4),3))</f>
        <v>5</v>
      </c>
      <c r="D182" t="str">
        <f t="shared" si="12"/>
        <v>513</v>
      </c>
      <c r="E182">
        <f t="shared" si="13"/>
        <v>151305</v>
      </c>
      <c r="F182">
        <f>INDEX(Schedule!$A:$N, MATCH(Joined!$G182, Schedule!$B:$B,0),14)</f>
        <v>15010</v>
      </c>
      <c r="G182" t="s">
        <v>645</v>
      </c>
      <c r="H182">
        <f>INDEX(VAV_Schedule_5_21[#All], MATCH(Joined!G182, VAV_Schedule_5_21[[#All],[UNIT TAG]], 0), 9)</f>
        <v>6</v>
      </c>
      <c r="I182" t="str">
        <f t="shared" si="14"/>
        <v>WPC.VAV-6N-8A</v>
      </c>
      <c r="J182" t="str">
        <f t="shared" si="15"/>
        <v>6N</v>
      </c>
      <c r="L182">
        <f>INDEX(Schedule!$A:$J, MATCH(Joined!$G182, Schedule!$B:$B, 0), 5)</f>
        <v>550</v>
      </c>
      <c r="M182">
        <f>INDEX(Schedule!$A:$J, MATCH(Joined!$G182, Schedule!$B:$B, 0), 6)</f>
        <v>110</v>
      </c>
    </row>
    <row r="183" spans="1:13" x14ac:dyDescent="0.2">
      <c r="A183">
        <f>INDEX(PanelInstance!B:D, MATCH(Joined!J183, PanelInstance!D:D, FALSE), 2)</f>
        <v>151300</v>
      </c>
      <c r="B183" t="s">
        <v>291</v>
      </c>
      <c r="C183">
        <f>COUNTIF($D$3:D183, RIGHT(LEFT(A183,4),3))</f>
        <v>6</v>
      </c>
      <c r="D183" t="str">
        <f t="shared" si="12"/>
        <v>513</v>
      </c>
      <c r="E183">
        <f t="shared" si="13"/>
        <v>151306</v>
      </c>
      <c r="F183">
        <f>INDEX(Schedule!$A:$N, MATCH(Joined!$G183, Schedule!$B:$B,0),14)</f>
        <v>15010</v>
      </c>
      <c r="G183" t="s">
        <v>300</v>
      </c>
      <c r="H183">
        <f>INDEX(VAV_Schedule_5_21[#All], MATCH(Joined!G183, VAV_Schedule_5_21[[#All],[UNIT TAG]], 0), 9)</f>
        <v>6</v>
      </c>
      <c r="I183" t="str">
        <f t="shared" si="14"/>
        <v>WPC.VAV-6N-9</v>
      </c>
      <c r="J183" t="str">
        <f t="shared" si="15"/>
        <v>6N</v>
      </c>
      <c r="L183">
        <f>INDEX(Schedule!$A:$J, MATCH(Joined!$G183, Schedule!$B:$B, 0), 5)</f>
        <v>1310</v>
      </c>
      <c r="M183">
        <f>INDEX(Schedule!$A:$J, MATCH(Joined!$G183, Schedule!$B:$B, 0), 6)</f>
        <v>265</v>
      </c>
    </row>
    <row r="184" spans="1:13" x14ac:dyDescent="0.2">
      <c r="A184">
        <f>INDEX(PanelInstance!B:D, MATCH(Joined!J184, PanelInstance!D:D, FALSE), 2)</f>
        <v>151300</v>
      </c>
      <c r="B184" t="s">
        <v>291</v>
      </c>
      <c r="C184">
        <f>COUNTIF($D$3:D184, RIGHT(LEFT(A184,4),3))</f>
        <v>7</v>
      </c>
      <c r="D184" t="str">
        <f t="shared" si="12"/>
        <v>513</v>
      </c>
      <c r="E184">
        <f t="shared" si="13"/>
        <v>151307</v>
      </c>
      <c r="F184">
        <f>INDEX(Schedule!$A:$N, MATCH(Joined!$G184, Schedule!$B:$B,0),14)</f>
        <v>15010</v>
      </c>
      <c r="G184" t="s">
        <v>301</v>
      </c>
      <c r="H184">
        <f>INDEX(VAV_Schedule_5_21[#All], MATCH(Joined!G184, VAV_Schedule_5_21[[#All],[UNIT TAG]], 0), 9)</f>
        <v>6</v>
      </c>
      <c r="I184" t="str">
        <f t="shared" si="14"/>
        <v>WPC.VAV-6N-10</v>
      </c>
      <c r="J184" t="str">
        <f t="shared" si="15"/>
        <v>6N</v>
      </c>
      <c r="L184">
        <f>INDEX(Schedule!$A:$J, MATCH(Joined!$G184, Schedule!$B:$B, 0), 5)</f>
        <v>1385</v>
      </c>
      <c r="M184">
        <f>INDEX(Schedule!$A:$J, MATCH(Joined!$G184, Schedule!$B:$B, 0), 6)</f>
        <v>280</v>
      </c>
    </row>
    <row r="185" spans="1:13" x14ac:dyDescent="0.2">
      <c r="A185">
        <f>INDEX(PanelInstance!B:D, MATCH(Joined!J185, PanelInstance!D:D, FALSE), 2)</f>
        <v>151300</v>
      </c>
      <c r="B185" t="s">
        <v>291</v>
      </c>
      <c r="C185">
        <f>COUNTIF($D$3:D185, RIGHT(LEFT(A185,4),3))</f>
        <v>8</v>
      </c>
      <c r="D185" t="str">
        <f t="shared" si="12"/>
        <v>513</v>
      </c>
      <c r="E185">
        <f t="shared" si="13"/>
        <v>151308</v>
      </c>
      <c r="F185">
        <f>INDEX(Schedule!$A:$N, MATCH(Joined!$G185, Schedule!$B:$B,0),14)</f>
        <v>15010</v>
      </c>
      <c r="G185" t="s">
        <v>302</v>
      </c>
      <c r="H185">
        <f>INDEX(VAV_Schedule_5_21[#All], MATCH(Joined!G185, VAV_Schedule_5_21[[#All],[UNIT TAG]], 0), 9)</f>
        <v>6</v>
      </c>
      <c r="I185" t="str">
        <f t="shared" si="14"/>
        <v>WPC.VAV-6N-11</v>
      </c>
      <c r="J185" t="str">
        <f t="shared" si="15"/>
        <v>6N</v>
      </c>
      <c r="L185">
        <f>INDEX(Schedule!$A:$J, MATCH(Joined!$G185, Schedule!$B:$B, 0), 5)</f>
        <v>1005</v>
      </c>
      <c r="M185">
        <f>INDEX(Schedule!$A:$J, MATCH(Joined!$G185, Schedule!$B:$B, 0), 6)</f>
        <v>205</v>
      </c>
    </row>
    <row r="186" spans="1:13" x14ac:dyDescent="0.2">
      <c r="A186">
        <f>INDEX(PanelInstance!B:D, MATCH(Joined!J186, PanelInstance!D:D, FALSE), 2)</f>
        <v>151400</v>
      </c>
      <c r="B186" t="s">
        <v>291</v>
      </c>
      <c r="C186">
        <f>COUNTIF($D$3:D186, RIGHT(LEFT(A186,4),3))</f>
        <v>1</v>
      </c>
      <c r="D186" t="str">
        <f t="shared" si="12"/>
        <v>514</v>
      </c>
      <c r="E186">
        <f t="shared" si="13"/>
        <v>151401</v>
      </c>
      <c r="F186">
        <f>INDEX(Schedule!$A:$N, MATCH(Joined!$G186, Schedule!$B:$B,0),14)</f>
        <v>15011</v>
      </c>
      <c r="G186" t="s">
        <v>303</v>
      </c>
      <c r="H186">
        <f>INDEX(VAV_Schedule_5_21[#All], MATCH(Joined!G186, VAV_Schedule_5_21[[#All],[UNIT TAG]], 0), 9)</f>
        <v>6</v>
      </c>
      <c r="I186" t="str">
        <f t="shared" si="14"/>
        <v>WPC.VAV-6E-12</v>
      </c>
      <c r="J186" t="str">
        <f t="shared" si="15"/>
        <v>6E</v>
      </c>
      <c r="L186">
        <f>INDEX(Schedule!$A:$J, MATCH(Joined!$G186, Schedule!$B:$B, 0), 5)</f>
        <v>840</v>
      </c>
      <c r="M186">
        <f>INDEX(Schedule!$A:$J, MATCH(Joined!$G186, Schedule!$B:$B, 0), 6)</f>
        <v>170</v>
      </c>
    </row>
    <row r="187" spans="1:13" x14ac:dyDescent="0.2">
      <c r="A187">
        <f>INDEX(PanelInstance!B:D, MATCH(Joined!J187, PanelInstance!D:D, FALSE), 2)</f>
        <v>151400</v>
      </c>
      <c r="B187" t="s">
        <v>291</v>
      </c>
      <c r="C187">
        <f>COUNTIF($D$3:D187, RIGHT(LEFT(A187,4),3))</f>
        <v>2</v>
      </c>
      <c r="D187" t="str">
        <f t="shared" si="12"/>
        <v>514</v>
      </c>
      <c r="E187">
        <f t="shared" si="13"/>
        <v>151402</v>
      </c>
      <c r="F187">
        <f>INDEX(Schedule!$A:$N, MATCH(Joined!$G187, Schedule!$B:$B,0),14)</f>
        <v>15011</v>
      </c>
      <c r="G187" t="s">
        <v>304</v>
      </c>
      <c r="H187">
        <f>INDEX(VAV_Schedule_5_21[#All], MATCH(Joined!G187, VAV_Schedule_5_21[[#All],[UNIT TAG]], 0), 9)</f>
        <v>6</v>
      </c>
      <c r="I187" t="str">
        <f t="shared" si="14"/>
        <v>WPC.VAV-6E-13</v>
      </c>
      <c r="J187" t="str">
        <f t="shared" si="15"/>
        <v>6E</v>
      </c>
      <c r="L187">
        <f>INDEX(Schedule!$A:$J, MATCH(Joined!$G187, Schedule!$B:$B, 0), 5)</f>
        <v>640</v>
      </c>
      <c r="M187">
        <f>INDEX(Schedule!$A:$J, MATCH(Joined!$G187, Schedule!$B:$B, 0), 6)</f>
        <v>130</v>
      </c>
    </row>
    <row r="188" spans="1:13" x14ac:dyDescent="0.2">
      <c r="A188">
        <f>INDEX(PanelInstance!B:D, MATCH(Joined!J188, PanelInstance!D:D, FALSE), 2)</f>
        <v>151400</v>
      </c>
      <c r="B188" t="s">
        <v>291</v>
      </c>
      <c r="C188">
        <f>COUNTIF($D$3:D188, RIGHT(LEFT(A188,4),3))</f>
        <v>3</v>
      </c>
      <c r="D188" t="str">
        <f t="shared" si="12"/>
        <v>514</v>
      </c>
      <c r="E188">
        <f t="shared" si="13"/>
        <v>151403</v>
      </c>
      <c r="F188">
        <f>INDEX(Schedule!$A:$N, MATCH(Joined!$G188, Schedule!$B:$B,0),14)</f>
        <v>15011</v>
      </c>
      <c r="G188" t="s">
        <v>305</v>
      </c>
      <c r="H188">
        <f>INDEX(VAV_Schedule_5_21[#All], MATCH(Joined!G188, VAV_Schedule_5_21[[#All],[UNIT TAG]], 0), 9)</f>
        <v>6</v>
      </c>
      <c r="I188" t="str">
        <f t="shared" si="14"/>
        <v>WPC.VAV-6E-14</v>
      </c>
      <c r="J188" t="str">
        <f t="shared" si="15"/>
        <v>6E</v>
      </c>
      <c r="L188">
        <f>INDEX(Schedule!$A:$J, MATCH(Joined!$G188, Schedule!$B:$B, 0), 5)</f>
        <v>685</v>
      </c>
      <c r="M188">
        <f>INDEX(Schedule!$A:$J, MATCH(Joined!$G188, Schedule!$B:$B, 0), 6)</f>
        <v>140</v>
      </c>
    </row>
    <row r="189" spans="1:13" x14ac:dyDescent="0.2">
      <c r="A189">
        <f>INDEX(PanelInstance!B:D, MATCH(Joined!J189, PanelInstance!D:D, FALSE), 2)</f>
        <v>151400</v>
      </c>
      <c r="B189" t="s">
        <v>291</v>
      </c>
      <c r="C189">
        <f>COUNTIF($D$3:D189, RIGHT(LEFT(A189,4),3))</f>
        <v>4</v>
      </c>
      <c r="D189" t="str">
        <f t="shared" si="12"/>
        <v>514</v>
      </c>
      <c r="E189">
        <f t="shared" si="13"/>
        <v>151404</v>
      </c>
      <c r="F189">
        <f>INDEX(Schedule!$A:$N, MATCH(Joined!$G189, Schedule!$B:$B,0),14)</f>
        <v>15011</v>
      </c>
      <c r="G189" t="s">
        <v>306</v>
      </c>
      <c r="H189">
        <f>INDEX(VAV_Schedule_5_21[#All], MATCH(Joined!G189, VAV_Schedule_5_21[[#All],[UNIT TAG]], 0), 9)</f>
        <v>6</v>
      </c>
      <c r="I189" t="str">
        <f t="shared" si="14"/>
        <v>WPC.VAV-6E-15</v>
      </c>
      <c r="J189" t="str">
        <f t="shared" si="15"/>
        <v>6E</v>
      </c>
      <c r="L189">
        <f>INDEX(Schedule!$A:$J, MATCH(Joined!$G189, Schedule!$B:$B, 0), 5)</f>
        <v>600</v>
      </c>
      <c r="M189">
        <f>INDEX(Schedule!$A:$J, MATCH(Joined!$G189, Schedule!$B:$B, 0), 6)</f>
        <v>120</v>
      </c>
    </row>
    <row r="190" spans="1:13" x14ac:dyDescent="0.2">
      <c r="A190">
        <f>INDEX(PanelInstance!B:D, MATCH(Joined!J190, PanelInstance!D:D, FALSE), 2)</f>
        <v>151400</v>
      </c>
      <c r="B190" t="s">
        <v>291</v>
      </c>
      <c r="C190">
        <f>COUNTIF($D$3:D190, RIGHT(LEFT(A190,4),3))</f>
        <v>5</v>
      </c>
      <c r="D190" t="str">
        <f t="shared" si="12"/>
        <v>514</v>
      </c>
      <c r="E190">
        <f t="shared" si="13"/>
        <v>151405</v>
      </c>
      <c r="F190">
        <f>INDEX(Schedule!$A:$N, MATCH(Joined!$G190, Schedule!$B:$B,0),14)</f>
        <v>15010</v>
      </c>
      <c r="G190" t="s">
        <v>307</v>
      </c>
      <c r="H190">
        <f>INDEX(VAV_Schedule_5_21[#All], MATCH(Joined!G190, VAV_Schedule_5_21[[#All],[UNIT TAG]], 0), 9)</f>
        <v>6</v>
      </c>
      <c r="I190" t="str">
        <f t="shared" si="14"/>
        <v>WPC.VAV-6E-16</v>
      </c>
      <c r="J190" t="str">
        <f t="shared" si="15"/>
        <v>6E</v>
      </c>
      <c r="L190">
        <f>INDEX(Schedule!$A:$J, MATCH(Joined!$G190, Schedule!$B:$B, 0), 5)</f>
        <v>200</v>
      </c>
      <c r="M190">
        <f>INDEX(Schedule!$A:$J, MATCH(Joined!$G190, Schedule!$B:$B, 0), 6)</f>
        <v>40</v>
      </c>
    </row>
    <row r="191" spans="1:13" x14ac:dyDescent="0.2">
      <c r="A191">
        <f>INDEX(PanelInstance!B:D, MATCH(Joined!J191, PanelInstance!D:D, FALSE), 2)</f>
        <v>151400</v>
      </c>
      <c r="B191" t="s">
        <v>291</v>
      </c>
      <c r="C191">
        <f>COUNTIF($D$3:D191, RIGHT(LEFT(A191,4),3))</f>
        <v>6</v>
      </c>
      <c r="D191" t="str">
        <f t="shared" si="12"/>
        <v>514</v>
      </c>
      <c r="E191">
        <f t="shared" si="13"/>
        <v>151406</v>
      </c>
      <c r="F191">
        <f>INDEX(Schedule!$A:$N, MATCH(Joined!$G191, Schedule!$B:$B,0),14)</f>
        <v>15010</v>
      </c>
      <c r="G191" t="s">
        <v>308</v>
      </c>
      <c r="H191">
        <f>INDEX(VAV_Schedule_5_21[#All], MATCH(Joined!G191, VAV_Schedule_5_21[[#All],[UNIT TAG]], 0), 9)</f>
        <v>6</v>
      </c>
      <c r="I191" t="str">
        <f t="shared" si="14"/>
        <v>WPC.VAV-6E-17</v>
      </c>
      <c r="J191" t="str">
        <f t="shared" si="15"/>
        <v>6E</v>
      </c>
      <c r="L191">
        <f>INDEX(Schedule!$A:$J, MATCH(Joined!$G191, Schedule!$B:$B, 0), 5)</f>
        <v>700</v>
      </c>
      <c r="M191">
        <f>INDEX(Schedule!$A:$J, MATCH(Joined!$G191, Schedule!$B:$B, 0), 6)</f>
        <v>140</v>
      </c>
    </row>
    <row r="192" spans="1:13" x14ac:dyDescent="0.2">
      <c r="A192">
        <f>INDEX(PanelInstance!B:D, MATCH(Joined!J192, PanelInstance!D:D, FALSE), 2)</f>
        <v>151400</v>
      </c>
      <c r="B192" t="s">
        <v>291</v>
      </c>
      <c r="C192">
        <f>COUNTIF($D$3:D192, RIGHT(LEFT(A192,4),3))</f>
        <v>7</v>
      </c>
      <c r="D192" t="str">
        <f t="shared" si="12"/>
        <v>514</v>
      </c>
      <c r="E192">
        <f t="shared" si="13"/>
        <v>151407</v>
      </c>
      <c r="F192">
        <f>INDEX(Schedule!$A:$N, MATCH(Joined!$G192, Schedule!$B:$B,0),14)</f>
        <v>15011</v>
      </c>
      <c r="G192" t="s">
        <v>309</v>
      </c>
      <c r="H192">
        <f>INDEX(VAV_Schedule_5_21[#All], MATCH(Joined!G192, VAV_Schedule_5_21[[#All],[UNIT TAG]], 0), 9)</f>
        <v>6</v>
      </c>
      <c r="I192" t="str">
        <f t="shared" si="14"/>
        <v>WPC.VAV-6E-18</v>
      </c>
      <c r="J192" t="str">
        <f t="shared" si="15"/>
        <v>6E</v>
      </c>
      <c r="L192">
        <f>INDEX(Schedule!$A:$J, MATCH(Joined!$G192, Schedule!$B:$B, 0), 5)</f>
        <v>1085</v>
      </c>
      <c r="M192">
        <f>INDEX(Schedule!$A:$J, MATCH(Joined!$G192, Schedule!$B:$B, 0), 6)</f>
        <v>220</v>
      </c>
    </row>
    <row r="193" spans="1:13" x14ac:dyDescent="0.2">
      <c r="A193">
        <f>INDEX(PanelInstance!B:D, MATCH(Joined!J193, PanelInstance!D:D, FALSE), 2)</f>
        <v>151400</v>
      </c>
      <c r="B193" t="s">
        <v>291</v>
      </c>
      <c r="C193">
        <f>COUNTIF($D$3:D193, RIGHT(LEFT(A193,4),3))</f>
        <v>8</v>
      </c>
      <c r="D193" t="str">
        <f t="shared" si="12"/>
        <v>514</v>
      </c>
      <c r="E193">
        <f t="shared" si="13"/>
        <v>151408</v>
      </c>
      <c r="F193">
        <f>INDEX(Schedule!$A:$N, MATCH(Joined!$G193, Schedule!$B:$B,0),14)</f>
        <v>15011</v>
      </c>
      <c r="G193" t="s">
        <v>310</v>
      </c>
      <c r="H193">
        <f>INDEX(VAV_Schedule_5_21[#All], MATCH(Joined!G193, VAV_Schedule_5_21[[#All],[UNIT TAG]], 0), 9)</f>
        <v>6</v>
      </c>
      <c r="I193" t="str">
        <f t="shared" si="14"/>
        <v>WPC.VAV-6E-19</v>
      </c>
      <c r="J193" t="str">
        <f t="shared" si="15"/>
        <v>6E</v>
      </c>
      <c r="L193">
        <f>INDEX(Schedule!$A:$J, MATCH(Joined!$G193, Schedule!$B:$B, 0), 5)</f>
        <v>840</v>
      </c>
      <c r="M193">
        <f>INDEX(Schedule!$A:$J, MATCH(Joined!$G193, Schedule!$B:$B, 0), 6)</f>
        <v>170</v>
      </c>
    </row>
    <row r="194" spans="1:13" x14ac:dyDescent="0.2">
      <c r="A194">
        <f>INDEX(PanelInstance!B:D, MATCH(Joined!J194, PanelInstance!D:D, FALSE), 2)</f>
        <v>151400</v>
      </c>
      <c r="B194" t="s">
        <v>291</v>
      </c>
      <c r="C194">
        <f>COUNTIF($D$3:D194, RIGHT(LEFT(A194,4),3))</f>
        <v>9</v>
      </c>
      <c r="D194" t="str">
        <f t="shared" si="12"/>
        <v>514</v>
      </c>
      <c r="E194">
        <f t="shared" si="13"/>
        <v>151409</v>
      </c>
      <c r="F194">
        <f>INDEX(Schedule!$A:$N, MATCH(Joined!$G194, Schedule!$B:$B,0),14)</f>
        <v>15010</v>
      </c>
      <c r="G194" t="s">
        <v>311</v>
      </c>
      <c r="H194">
        <f>INDEX(VAV_Schedule_5_21[#All], MATCH(Joined!G194, VAV_Schedule_5_21[[#All],[UNIT TAG]], 0), 9)</f>
        <v>6</v>
      </c>
      <c r="I194" t="str">
        <f t="shared" si="14"/>
        <v>WPC.VAV-6E-20</v>
      </c>
      <c r="J194" t="str">
        <f t="shared" si="15"/>
        <v>6E</v>
      </c>
      <c r="L194">
        <f>INDEX(Schedule!$A:$J, MATCH(Joined!$G194, Schedule!$B:$B, 0), 5)</f>
        <v>350</v>
      </c>
      <c r="M194">
        <f>INDEX(Schedule!$A:$J, MATCH(Joined!$G194, Schedule!$B:$B, 0), 6)</f>
        <v>70</v>
      </c>
    </row>
    <row r="195" spans="1:13" x14ac:dyDescent="0.2">
      <c r="A195">
        <f>INDEX(PanelInstance!B:D, MATCH(Joined!J195, PanelInstance!D:D, FALSE), 2)</f>
        <v>151400</v>
      </c>
      <c r="B195" t="s">
        <v>291</v>
      </c>
      <c r="C195">
        <f>COUNTIF($D$3:D195, RIGHT(LEFT(A195,4),3))</f>
        <v>10</v>
      </c>
      <c r="D195" t="str">
        <f t="shared" ref="D195:D258" si="16">RIGHT(LEFT(A195, 4),3)</f>
        <v>514</v>
      </c>
      <c r="E195">
        <f t="shared" ref="E195:E258" si="17">A195+C195</f>
        <v>151410</v>
      </c>
      <c r="F195">
        <f>INDEX(Schedule!$A:$N, MATCH(Joined!$G195, Schedule!$B:$B,0),14)</f>
        <v>15010</v>
      </c>
      <c r="G195" t="s">
        <v>312</v>
      </c>
      <c r="H195">
        <f>INDEX(VAV_Schedule_5_21[#All], MATCH(Joined!G195, VAV_Schedule_5_21[[#All],[UNIT TAG]], 0), 9)</f>
        <v>6</v>
      </c>
      <c r="I195" t="str">
        <f t="shared" ref="I195:I258" si="18">"WPC." &amp; G195</f>
        <v>WPC.VAV-6E-21</v>
      </c>
      <c r="J195" t="str">
        <f t="shared" si="15"/>
        <v>6E</v>
      </c>
      <c r="L195">
        <f>INDEX(Schedule!$A:$J, MATCH(Joined!$G195, Schedule!$B:$B, 0), 5)</f>
        <v>200</v>
      </c>
      <c r="M195">
        <f>INDEX(Schedule!$A:$J, MATCH(Joined!$G195, Schedule!$B:$B, 0), 6)</f>
        <v>40</v>
      </c>
    </row>
    <row r="196" spans="1:13" x14ac:dyDescent="0.2">
      <c r="A196">
        <f>INDEX(PanelInstance!B:D, MATCH(Joined!J196, PanelInstance!D:D, FALSE), 2)</f>
        <v>151400</v>
      </c>
      <c r="B196" t="s">
        <v>291</v>
      </c>
      <c r="C196">
        <f>COUNTIF($D$3:D196, RIGHT(LEFT(A196,4),3))</f>
        <v>11</v>
      </c>
      <c r="D196" t="str">
        <f t="shared" si="16"/>
        <v>514</v>
      </c>
      <c r="E196">
        <f t="shared" si="17"/>
        <v>151411</v>
      </c>
      <c r="F196">
        <f>INDEX(Schedule!$A:$N, MATCH(Joined!$G196, Schedule!$B:$B,0),14)</f>
        <v>15011</v>
      </c>
      <c r="G196" t="s">
        <v>313</v>
      </c>
      <c r="H196">
        <f>INDEX(VAV_Schedule_5_21[#All], MATCH(Joined!G196, VAV_Schedule_5_21[[#All],[UNIT TAG]], 0), 9)</f>
        <v>6</v>
      </c>
      <c r="I196" t="str">
        <f t="shared" si="18"/>
        <v>WPC.VAV-6E-22</v>
      </c>
      <c r="J196" t="str">
        <f t="shared" ref="J196:J259" si="19">LEFT(RIGHT($G196, LEN($G196) - FIND("-", $G196)), FIND("-", RIGHT($G196, LEN($G196) - FIND("-", $G196)))-1)</f>
        <v>6E</v>
      </c>
      <c r="L196">
        <f>INDEX(Schedule!$A:$J, MATCH(Joined!$G196, Schedule!$B:$B, 0), 5)</f>
        <v>1050</v>
      </c>
      <c r="M196">
        <f>INDEX(Schedule!$A:$J, MATCH(Joined!$G196, Schedule!$B:$B, 0), 6)</f>
        <v>210</v>
      </c>
    </row>
    <row r="197" spans="1:13" x14ac:dyDescent="0.2">
      <c r="A197">
        <f>INDEX(PanelInstance!B:D, MATCH(Joined!J197, PanelInstance!D:D, FALSE), 2)</f>
        <v>151400</v>
      </c>
      <c r="B197" t="s">
        <v>291</v>
      </c>
      <c r="C197">
        <f>COUNTIF($D$3:D197, RIGHT(LEFT(A197,4),3))</f>
        <v>12</v>
      </c>
      <c r="D197" t="str">
        <f t="shared" si="16"/>
        <v>514</v>
      </c>
      <c r="E197">
        <f t="shared" si="17"/>
        <v>151412</v>
      </c>
      <c r="F197">
        <f>INDEX(Schedule!$A:$N, MATCH(Joined!$G197, Schedule!$B:$B,0),14)</f>
        <v>15011</v>
      </c>
      <c r="G197" t="s">
        <v>314</v>
      </c>
      <c r="H197">
        <f>INDEX(VAV_Schedule_5_21[#All], MATCH(Joined!G197, VAV_Schedule_5_21[[#All],[UNIT TAG]], 0), 9)</f>
        <v>6</v>
      </c>
      <c r="I197" t="str">
        <f t="shared" si="18"/>
        <v>WPC.VAV-6E-23</v>
      </c>
      <c r="J197" t="str">
        <f t="shared" si="19"/>
        <v>6E</v>
      </c>
      <c r="L197">
        <f>INDEX(Schedule!$A:$J, MATCH(Joined!$G197, Schedule!$B:$B, 0), 5)</f>
        <v>640</v>
      </c>
      <c r="M197">
        <f>INDEX(Schedule!$A:$J, MATCH(Joined!$G197, Schedule!$B:$B, 0), 6)</f>
        <v>130</v>
      </c>
    </row>
    <row r="198" spans="1:13" x14ac:dyDescent="0.2">
      <c r="A198">
        <f>INDEX(PanelInstance!B:D, MATCH(Joined!J198, PanelInstance!D:D, FALSE), 2)</f>
        <v>151400</v>
      </c>
      <c r="B198" t="s">
        <v>291</v>
      </c>
      <c r="C198">
        <f>COUNTIF($D$3:D198, RIGHT(LEFT(A198,4),3))</f>
        <v>13</v>
      </c>
      <c r="D198" t="str">
        <f t="shared" si="16"/>
        <v>514</v>
      </c>
      <c r="E198">
        <f t="shared" si="17"/>
        <v>151413</v>
      </c>
      <c r="F198">
        <f>INDEX(Schedule!$A:$N, MATCH(Joined!$G198, Schedule!$B:$B,0),14)</f>
        <v>15011</v>
      </c>
      <c r="G198" t="s">
        <v>315</v>
      </c>
      <c r="H198">
        <f>INDEX(VAV_Schedule_5_21[#All], MATCH(Joined!G198, VAV_Schedule_5_21[[#All],[UNIT TAG]], 0), 9)</f>
        <v>6</v>
      </c>
      <c r="I198" t="str">
        <f t="shared" si="18"/>
        <v>WPC.VAV-6E-24</v>
      </c>
      <c r="J198" t="str">
        <f t="shared" si="19"/>
        <v>6E</v>
      </c>
      <c r="L198">
        <f>INDEX(Schedule!$A:$J, MATCH(Joined!$G198, Schedule!$B:$B, 0), 5)</f>
        <v>860</v>
      </c>
      <c r="M198">
        <f>INDEX(Schedule!$A:$J, MATCH(Joined!$G198, Schedule!$B:$B, 0), 6)</f>
        <v>175</v>
      </c>
    </row>
    <row r="199" spans="1:13" x14ac:dyDescent="0.2">
      <c r="A199">
        <f>INDEX(PanelInstance!B:D, MATCH(Joined!J199, PanelInstance!D:D, FALSE), 2)</f>
        <v>151400</v>
      </c>
      <c r="B199" t="s">
        <v>291</v>
      </c>
      <c r="C199">
        <f>COUNTIF($D$3:D199, RIGHT(LEFT(A199,4),3))</f>
        <v>14</v>
      </c>
      <c r="D199" t="str">
        <f t="shared" si="16"/>
        <v>514</v>
      </c>
      <c r="E199">
        <f t="shared" si="17"/>
        <v>151414</v>
      </c>
      <c r="F199">
        <f>INDEX(Schedule!$A:$N, MATCH(Joined!$G199, Schedule!$B:$B,0),14)</f>
        <v>15011</v>
      </c>
      <c r="G199" t="s">
        <v>316</v>
      </c>
      <c r="H199">
        <f>INDEX(VAV_Schedule_5_21[#All], MATCH(Joined!G199, VAV_Schedule_5_21[[#All],[UNIT TAG]], 0), 9)</f>
        <v>6</v>
      </c>
      <c r="I199" t="str">
        <f t="shared" si="18"/>
        <v>WPC.VAV-6E-25</v>
      </c>
      <c r="J199" t="str">
        <f t="shared" si="19"/>
        <v>6E</v>
      </c>
      <c r="L199">
        <f>INDEX(Schedule!$A:$J, MATCH(Joined!$G199, Schedule!$B:$B, 0), 5)</f>
        <v>690</v>
      </c>
      <c r="M199">
        <f>INDEX(Schedule!$A:$J, MATCH(Joined!$G199, Schedule!$B:$B, 0), 6)</f>
        <v>140</v>
      </c>
    </row>
    <row r="200" spans="1:13" x14ac:dyDescent="0.2">
      <c r="A200">
        <f>INDEX(PanelInstance!B:D, MATCH(Joined!J200, PanelInstance!D:D, FALSE), 2)</f>
        <v>151400</v>
      </c>
      <c r="B200" t="s">
        <v>291</v>
      </c>
      <c r="C200">
        <f>COUNTIF($D$3:D200, RIGHT(LEFT(A200,4),3))</f>
        <v>15</v>
      </c>
      <c r="D200" t="str">
        <f t="shared" si="16"/>
        <v>514</v>
      </c>
      <c r="E200">
        <f t="shared" si="17"/>
        <v>151415</v>
      </c>
      <c r="F200">
        <f>INDEX(Schedule!$A:$N, MATCH(Joined!$G200, Schedule!$B:$B,0),14)</f>
        <v>15010</v>
      </c>
      <c r="G200" t="s">
        <v>317</v>
      </c>
      <c r="H200">
        <f>INDEX(VAV_Schedule_5_21[#All], MATCH(Joined!G200, VAV_Schedule_5_21[[#All],[UNIT TAG]], 0), 9)</f>
        <v>6</v>
      </c>
      <c r="I200" t="str">
        <f t="shared" si="18"/>
        <v>WPC.VAV-6E-26</v>
      </c>
      <c r="J200" t="str">
        <f t="shared" si="19"/>
        <v>6E</v>
      </c>
      <c r="L200">
        <f>INDEX(Schedule!$A:$J, MATCH(Joined!$G200, Schedule!$B:$B, 0), 5)</f>
        <v>1310</v>
      </c>
      <c r="M200">
        <f>INDEX(Schedule!$A:$J, MATCH(Joined!$G200, Schedule!$B:$B, 0), 6)</f>
        <v>265</v>
      </c>
    </row>
    <row r="201" spans="1:13" x14ac:dyDescent="0.2">
      <c r="A201">
        <f>INDEX(PanelInstance!B:D, MATCH(Joined!J201, PanelInstance!D:D, FALSE), 2)</f>
        <v>151400</v>
      </c>
      <c r="B201" t="s">
        <v>291</v>
      </c>
      <c r="C201">
        <f>COUNTIF($D$3:D201, RIGHT(LEFT(A201,4),3))</f>
        <v>16</v>
      </c>
      <c r="D201" t="str">
        <f t="shared" si="16"/>
        <v>514</v>
      </c>
      <c r="E201">
        <f t="shared" si="17"/>
        <v>151416</v>
      </c>
      <c r="F201">
        <f>INDEX(Schedule!$A:$N, MATCH(Joined!$G201, Schedule!$B:$B,0),14)</f>
        <v>15010</v>
      </c>
      <c r="G201" t="s">
        <v>318</v>
      </c>
      <c r="H201">
        <f>INDEX(VAV_Schedule_5_21[#All], MATCH(Joined!G201, VAV_Schedule_5_21[[#All],[UNIT TAG]], 0), 9)</f>
        <v>6</v>
      </c>
      <c r="I201" t="str">
        <f t="shared" si="18"/>
        <v>WPC.VAV-6E-27</v>
      </c>
      <c r="J201" t="str">
        <f t="shared" si="19"/>
        <v>6E</v>
      </c>
      <c r="L201">
        <f>INDEX(Schedule!$A:$J, MATCH(Joined!$G201, Schedule!$B:$B, 0), 5)</f>
        <v>925</v>
      </c>
      <c r="M201">
        <f>INDEX(Schedule!$A:$J, MATCH(Joined!$G201, Schedule!$B:$B, 0), 6)</f>
        <v>0</v>
      </c>
    </row>
    <row r="202" spans="1:13" x14ac:dyDescent="0.2">
      <c r="A202">
        <f>INDEX(PanelInstance!B:D, MATCH(Joined!J202, PanelInstance!D:D, FALSE), 2)</f>
        <v>151400</v>
      </c>
      <c r="B202" t="s">
        <v>291</v>
      </c>
      <c r="C202">
        <f>COUNTIF($D$3:D202, RIGHT(LEFT(A202,4),3))</f>
        <v>17</v>
      </c>
      <c r="D202" t="str">
        <f t="shared" si="16"/>
        <v>514</v>
      </c>
      <c r="E202">
        <f t="shared" si="17"/>
        <v>151417</v>
      </c>
      <c r="F202">
        <f>INDEX(Schedule!$A:$N, MATCH(Joined!$G202, Schedule!$B:$B,0),14)</f>
        <v>15010</v>
      </c>
      <c r="G202" t="s">
        <v>319</v>
      </c>
      <c r="H202">
        <f>INDEX(VAV_Schedule_5_21[#All], MATCH(Joined!G202, VAV_Schedule_5_21[[#All],[UNIT TAG]], 0), 9)</f>
        <v>6</v>
      </c>
      <c r="I202" t="str">
        <f t="shared" si="18"/>
        <v>WPC.VAV-6E-28</v>
      </c>
      <c r="J202" t="str">
        <f t="shared" si="19"/>
        <v>6E</v>
      </c>
      <c r="L202">
        <f>INDEX(Schedule!$A:$J, MATCH(Joined!$G202, Schedule!$B:$B, 0), 5)</f>
        <v>1510</v>
      </c>
      <c r="M202">
        <f>INDEX(Schedule!$A:$J, MATCH(Joined!$G202, Schedule!$B:$B, 0), 6)</f>
        <v>305</v>
      </c>
    </row>
    <row r="203" spans="1:13" x14ac:dyDescent="0.2">
      <c r="A203">
        <f>INDEX(PanelInstance!B:D, MATCH(Joined!J203, PanelInstance!D:D, FALSE), 2)</f>
        <v>151400</v>
      </c>
      <c r="B203" t="s">
        <v>291</v>
      </c>
      <c r="C203">
        <f>COUNTIF($D$3:D203, RIGHT(LEFT(A203,4),3))</f>
        <v>18</v>
      </c>
      <c r="D203" t="str">
        <f t="shared" si="16"/>
        <v>514</v>
      </c>
      <c r="E203">
        <f t="shared" si="17"/>
        <v>151418</v>
      </c>
      <c r="F203">
        <f>INDEX(Schedule!$A:$N, MATCH(Joined!$G203, Schedule!$B:$B,0),14)</f>
        <v>15011</v>
      </c>
      <c r="G203" t="s">
        <v>320</v>
      </c>
      <c r="H203">
        <f>INDEX(VAV_Schedule_5_21[#All], MATCH(Joined!G203, VAV_Schedule_5_21[[#All],[UNIT TAG]], 0), 9)</f>
        <v>6</v>
      </c>
      <c r="I203" t="str">
        <f t="shared" si="18"/>
        <v>WPC.VAV-6E-29</v>
      </c>
      <c r="J203" t="str">
        <f t="shared" si="19"/>
        <v>6E</v>
      </c>
      <c r="L203">
        <f>INDEX(Schedule!$A:$J, MATCH(Joined!$G203, Schedule!$B:$B, 0), 5)</f>
        <v>800</v>
      </c>
      <c r="M203">
        <f>INDEX(Schedule!$A:$J, MATCH(Joined!$G203, Schedule!$B:$B, 0), 6)</f>
        <v>160</v>
      </c>
    </row>
    <row r="204" spans="1:13" x14ac:dyDescent="0.2">
      <c r="A204">
        <f>INDEX(PanelInstance!B:D, MATCH(Joined!J204, PanelInstance!D:D, FALSE), 2)</f>
        <v>151400</v>
      </c>
      <c r="B204" t="s">
        <v>291</v>
      </c>
      <c r="C204">
        <f>COUNTIF($D$3:D204, RIGHT(LEFT(A204,4),3))</f>
        <v>19</v>
      </c>
      <c r="D204" t="str">
        <f t="shared" si="16"/>
        <v>514</v>
      </c>
      <c r="E204">
        <f t="shared" si="17"/>
        <v>151419</v>
      </c>
      <c r="F204">
        <f>INDEX(Schedule!$A:$N, MATCH(Joined!$G204, Schedule!$B:$B,0),14)</f>
        <v>15011</v>
      </c>
      <c r="G204" t="s">
        <v>321</v>
      </c>
      <c r="H204">
        <f>INDEX(VAV_Schedule_5_21[#All], MATCH(Joined!G204, VAV_Schedule_5_21[[#All],[UNIT TAG]], 0), 9)</f>
        <v>6</v>
      </c>
      <c r="I204" t="str">
        <f t="shared" si="18"/>
        <v>WPC.VAV-6E-30</v>
      </c>
      <c r="J204" t="str">
        <f t="shared" si="19"/>
        <v>6E</v>
      </c>
      <c r="L204">
        <f>INDEX(Schedule!$A:$J, MATCH(Joined!$G204, Schedule!$B:$B, 0), 5)</f>
        <v>1400</v>
      </c>
      <c r="M204">
        <f>INDEX(Schedule!$A:$J, MATCH(Joined!$G204, Schedule!$B:$B, 0), 6)</f>
        <v>280</v>
      </c>
    </row>
    <row r="205" spans="1:13" x14ac:dyDescent="0.2">
      <c r="A205">
        <f>INDEX(PanelInstance!B:D, MATCH(Joined!J205, PanelInstance!D:D, FALSE), 2)</f>
        <v>151500</v>
      </c>
      <c r="B205" t="s">
        <v>291</v>
      </c>
      <c r="C205">
        <f>COUNTIF($D$3:D205, RIGHT(LEFT(A205,4),3))</f>
        <v>5</v>
      </c>
      <c r="D205" t="str">
        <f t="shared" si="16"/>
        <v>515</v>
      </c>
      <c r="E205">
        <f t="shared" si="17"/>
        <v>151505</v>
      </c>
      <c r="F205">
        <f>INDEX(Schedule!$A:$N, MATCH(Joined!$G205, Schedule!$B:$B,0),14)</f>
        <v>15010</v>
      </c>
      <c r="G205" t="s">
        <v>322</v>
      </c>
      <c r="H205">
        <f>INDEX(VAV_Schedule_5_21[#All], MATCH(Joined!G205, VAV_Schedule_5_21[[#All],[UNIT TAG]], 0), 9)</f>
        <v>6</v>
      </c>
      <c r="I205" t="str">
        <f t="shared" si="18"/>
        <v>WPC.VAV-6W-31</v>
      </c>
      <c r="J205" t="str">
        <f t="shared" si="19"/>
        <v>6W</v>
      </c>
      <c r="L205">
        <f>INDEX(Schedule!$A:$J, MATCH(Joined!$G205, Schedule!$B:$B, 0), 5)</f>
        <v>560</v>
      </c>
      <c r="M205">
        <f>INDEX(Schedule!$A:$J, MATCH(Joined!$G205, Schedule!$B:$B, 0), 6)</f>
        <v>115</v>
      </c>
    </row>
    <row r="206" spans="1:13" x14ac:dyDescent="0.2">
      <c r="A206">
        <f>INDEX(PanelInstance!B:D, MATCH(Joined!J206, PanelInstance!D:D, FALSE), 2)</f>
        <v>151500</v>
      </c>
      <c r="B206" t="s">
        <v>291</v>
      </c>
      <c r="C206">
        <f>COUNTIF($D$3:D206, RIGHT(LEFT(A206,4),3))</f>
        <v>6</v>
      </c>
      <c r="D206" t="str">
        <f t="shared" si="16"/>
        <v>515</v>
      </c>
      <c r="E206">
        <f t="shared" si="17"/>
        <v>151506</v>
      </c>
      <c r="F206">
        <f>INDEX(Schedule!$A:$N, MATCH(Joined!$G206, Schedule!$B:$B,0),14)</f>
        <v>15010</v>
      </c>
      <c r="G206" t="s">
        <v>323</v>
      </c>
      <c r="H206">
        <f>INDEX(VAV_Schedule_5_21[#All], MATCH(Joined!G206, VAV_Schedule_5_21[[#All],[UNIT TAG]], 0), 9)</f>
        <v>6</v>
      </c>
      <c r="I206" t="str">
        <f t="shared" si="18"/>
        <v>WPC.VAV-6W-32</v>
      </c>
      <c r="J206" t="str">
        <f t="shared" si="19"/>
        <v>6W</v>
      </c>
      <c r="L206">
        <f>INDEX(Schedule!$A:$J, MATCH(Joined!$G206, Schedule!$B:$B, 0), 5)</f>
        <v>1030</v>
      </c>
      <c r="M206">
        <f>INDEX(Schedule!$A:$J, MATCH(Joined!$G206, Schedule!$B:$B, 0), 6)</f>
        <v>210</v>
      </c>
    </row>
    <row r="207" spans="1:13" x14ac:dyDescent="0.2">
      <c r="A207">
        <f>INDEX(PanelInstance!B:D, MATCH(Joined!J207, PanelInstance!D:D, FALSE), 2)</f>
        <v>151500</v>
      </c>
      <c r="B207" t="s">
        <v>291</v>
      </c>
      <c r="C207">
        <f>COUNTIF($D$3:D207, RIGHT(LEFT(A207,4),3))</f>
        <v>7</v>
      </c>
      <c r="D207" t="str">
        <f t="shared" si="16"/>
        <v>515</v>
      </c>
      <c r="E207">
        <f t="shared" si="17"/>
        <v>151507</v>
      </c>
      <c r="F207">
        <f>INDEX(Schedule!$A:$N, MATCH(Joined!$G207, Schedule!$B:$B,0),14)</f>
        <v>15011</v>
      </c>
      <c r="G207" t="s">
        <v>324</v>
      </c>
      <c r="H207">
        <f>INDEX(VAV_Schedule_5_21[#All], MATCH(Joined!G207, VAV_Schedule_5_21[[#All],[UNIT TAG]], 0), 9)</f>
        <v>6</v>
      </c>
      <c r="I207" t="str">
        <f t="shared" si="18"/>
        <v>WPC.VAV-6W-33</v>
      </c>
      <c r="J207" t="str">
        <f t="shared" si="19"/>
        <v>6W</v>
      </c>
      <c r="L207">
        <f>INDEX(Schedule!$A:$J, MATCH(Joined!$G207, Schedule!$B:$B, 0), 5)</f>
        <v>800</v>
      </c>
      <c r="M207">
        <f>INDEX(Schedule!$A:$J, MATCH(Joined!$G207, Schedule!$B:$B, 0), 6)</f>
        <v>160</v>
      </c>
    </row>
    <row r="208" spans="1:13" x14ac:dyDescent="0.2">
      <c r="A208">
        <f>INDEX(PanelInstance!B:D, MATCH(Joined!J208, PanelInstance!D:D, FALSE), 2)</f>
        <v>151500</v>
      </c>
      <c r="B208" t="s">
        <v>291</v>
      </c>
      <c r="C208">
        <f>COUNTIF($D$3:D208, RIGHT(LEFT(A208,4),3))</f>
        <v>8</v>
      </c>
      <c r="D208" t="str">
        <f t="shared" si="16"/>
        <v>515</v>
      </c>
      <c r="E208">
        <f t="shared" si="17"/>
        <v>151508</v>
      </c>
      <c r="F208">
        <f>INDEX(Schedule!$A:$N, MATCH(Joined!$G208, Schedule!$B:$B,0),14)</f>
        <v>15011</v>
      </c>
      <c r="G208" t="s">
        <v>325</v>
      </c>
      <c r="H208">
        <f>INDEX(VAV_Schedule_5_21[#All], MATCH(Joined!G208, VAV_Schedule_5_21[[#All],[UNIT TAG]], 0), 9)</f>
        <v>6</v>
      </c>
      <c r="I208" t="str">
        <f t="shared" si="18"/>
        <v>WPC.VAV-6W-34</v>
      </c>
      <c r="J208" t="str">
        <f t="shared" si="19"/>
        <v>6W</v>
      </c>
      <c r="L208">
        <f>INDEX(Schedule!$A:$J, MATCH(Joined!$G208, Schedule!$B:$B, 0), 5)</f>
        <v>640</v>
      </c>
      <c r="M208">
        <f>INDEX(Schedule!$A:$J, MATCH(Joined!$G208, Schedule!$B:$B, 0), 6)</f>
        <v>130</v>
      </c>
    </row>
    <row r="209" spans="1:13" x14ac:dyDescent="0.2">
      <c r="A209">
        <f>INDEX(PanelInstance!B:D, MATCH(Joined!J209, PanelInstance!D:D, FALSE), 2)</f>
        <v>151500</v>
      </c>
      <c r="B209" t="s">
        <v>291</v>
      </c>
      <c r="C209">
        <f>COUNTIF($D$3:D209, RIGHT(LEFT(A209,4),3))</f>
        <v>9</v>
      </c>
      <c r="D209" t="str">
        <f t="shared" si="16"/>
        <v>515</v>
      </c>
      <c r="E209">
        <f t="shared" si="17"/>
        <v>151509</v>
      </c>
      <c r="F209">
        <f>INDEX(Schedule!$A:$N, MATCH(Joined!$G209, Schedule!$B:$B,0),14)</f>
        <v>15011</v>
      </c>
      <c r="G209" t="s">
        <v>326</v>
      </c>
      <c r="H209">
        <f>INDEX(VAV_Schedule_5_21[#All], MATCH(Joined!G209, VAV_Schedule_5_21[[#All],[UNIT TAG]], 0), 9)</f>
        <v>6</v>
      </c>
      <c r="I209" t="str">
        <f t="shared" si="18"/>
        <v>WPC.VAV-6W-35</v>
      </c>
      <c r="J209" t="str">
        <f t="shared" si="19"/>
        <v>6W</v>
      </c>
      <c r="L209">
        <f>INDEX(Schedule!$A:$J, MATCH(Joined!$G209, Schedule!$B:$B, 0), 5)</f>
        <v>860</v>
      </c>
      <c r="M209">
        <f>INDEX(Schedule!$A:$J, MATCH(Joined!$G209, Schedule!$B:$B, 0), 6)</f>
        <v>175</v>
      </c>
    </row>
    <row r="210" spans="1:13" x14ac:dyDescent="0.2">
      <c r="A210">
        <f>INDEX(PanelInstance!B:D, MATCH(Joined!J210, PanelInstance!D:D, FALSE), 2)</f>
        <v>151500</v>
      </c>
      <c r="B210" t="s">
        <v>291</v>
      </c>
      <c r="C210">
        <f>COUNTIF($D$3:D210, RIGHT(LEFT(A210,4),3))</f>
        <v>10</v>
      </c>
      <c r="D210" t="str">
        <f t="shared" si="16"/>
        <v>515</v>
      </c>
      <c r="E210">
        <f t="shared" si="17"/>
        <v>151510</v>
      </c>
      <c r="F210">
        <f>INDEX(Schedule!$A:$N, MATCH(Joined!$G210, Schedule!$B:$B,0),14)</f>
        <v>15011</v>
      </c>
      <c r="G210" t="s">
        <v>327</v>
      </c>
      <c r="H210">
        <f>INDEX(VAV_Schedule_5_21[#All], MATCH(Joined!G210, VAV_Schedule_5_21[[#All],[UNIT TAG]], 0), 9)</f>
        <v>6</v>
      </c>
      <c r="I210" t="str">
        <f t="shared" si="18"/>
        <v>WPC.VAV-6W-36</v>
      </c>
      <c r="J210" t="str">
        <f t="shared" si="19"/>
        <v>6W</v>
      </c>
      <c r="L210">
        <f>INDEX(Schedule!$A:$J, MATCH(Joined!$G210, Schedule!$B:$B, 0), 5)</f>
        <v>700</v>
      </c>
      <c r="M210">
        <f>INDEX(Schedule!$A:$J, MATCH(Joined!$G210, Schedule!$B:$B, 0), 6)</f>
        <v>140</v>
      </c>
    </row>
    <row r="211" spans="1:13" x14ac:dyDescent="0.2">
      <c r="A211">
        <f>INDEX(PanelInstance!B:D, MATCH(Joined!J211, PanelInstance!D:D, FALSE), 2)</f>
        <v>151500</v>
      </c>
      <c r="B211" t="s">
        <v>291</v>
      </c>
      <c r="C211">
        <f>COUNTIF($D$3:D211, RIGHT(LEFT(A211,4),3))</f>
        <v>11</v>
      </c>
      <c r="D211" t="str">
        <f t="shared" si="16"/>
        <v>515</v>
      </c>
      <c r="E211">
        <f t="shared" si="17"/>
        <v>151511</v>
      </c>
      <c r="F211">
        <f>INDEX(Schedule!$A:$N, MATCH(Joined!$G211, Schedule!$B:$B,0),14)</f>
        <v>15010</v>
      </c>
      <c r="G211" t="s">
        <v>328</v>
      </c>
      <c r="H211">
        <f>INDEX(VAV_Schedule_5_21[#All], MATCH(Joined!G211, VAV_Schedule_5_21[[#All],[UNIT TAG]], 0), 9)</f>
        <v>6</v>
      </c>
      <c r="I211" t="str">
        <f t="shared" si="18"/>
        <v>WPC.VAV-6W-37</v>
      </c>
      <c r="J211" t="str">
        <f t="shared" si="19"/>
        <v>6W</v>
      </c>
      <c r="L211">
        <f>INDEX(Schedule!$A:$J, MATCH(Joined!$G211, Schedule!$B:$B, 0), 5)</f>
        <v>1140</v>
      </c>
      <c r="M211">
        <f>INDEX(Schedule!$A:$J, MATCH(Joined!$G211, Schedule!$B:$B, 0), 6)</f>
        <v>230</v>
      </c>
    </row>
    <row r="212" spans="1:13" x14ac:dyDescent="0.2">
      <c r="A212">
        <f>INDEX(PanelInstance!B:D, MATCH(Joined!J212, PanelInstance!D:D, FALSE), 2)</f>
        <v>151500</v>
      </c>
      <c r="B212" t="s">
        <v>291</v>
      </c>
      <c r="C212">
        <f>COUNTIF($D$3:D212, RIGHT(LEFT(A212,4),3))</f>
        <v>12</v>
      </c>
      <c r="D212" t="str">
        <f t="shared" si="16"/>
        <v>515</v>
      </c>
      <c r="E212">
        <f t="shared" si="17"/>
        <v>151512</v>
      </c>
      <c r="F212">
        <f>INDEX(Schedule!$A:$N, MATCH(Joined!$G212, Schedule!$B:$B,0),14)</f>
        <v>15010</v>
      </c>
      <c r="G212" t="s">
        <v>329</v>
      </c>
      <c r="H212">
        <f>INDEX(VAV_Schedule_5_21[#All], MATCH(Joined!G212, VAV_Schedule_5_21[[#All],[UNIT TAG]], 0), 9)</f>
        <v>6</v>
      </c>
      <c r="I212" t="str">
        <f t="shared" si="18"/>
        <v>WPC.VAV-6W-38</v>
      </c>
      <c r="J212" t="str">
        <f t="shared" si="19"/>
        <v>6W</v>
      </c>
      <c r="L212">
        <f>INDEX(Schedule!$A:$J, MATCH(Joined!$G212, Schedule!$B:$B, 0), 5)</f>
        <v>1040</v>
      </c>
      <c r="M212">
        <f>INDEX(Schedule!$A:$J, MATCH(Joined!$G212, Schedule!$B:$B, 0), 6)</f>
        <v>210</v>
      </c>
    </row>
    <row r="213" spans="1:13" x14ac:dyDescent="0.2">
      <c r="A213">
        <f>INDEX(PanelInstance!B:D, MATCH(Joined!J213, PanelInstance!D:D, FALSE), 2)</f>
        <v>151500</v>
      </c>
      <c r="B213" t="s">
        <v>291</v>
      </c>
      <c r="C213">
        <f>COUNTIF($D$3:D213, RIGHT(LEFT(A213,4),3))</f>
        <v>13</v>
      </c>
      <c r="D213" t="str">
        <f t="shared" si="16"/>
        <v>515</v>
      </c>
      <c r="E213">
        <f t="shared" si="17"/>
        <v>151513</v>
      </c>
      <c r="F213">
        <f>INDEX(Schedule!$A:$N, MATCH(Joined!$G213, Schedule!$B:$B,0),14)</f>
        <v>15010</v>
      </c>
      <c r="G213" t="s">
        <v>330</v>
      </c>
      <c r="H213">
        <f>INDEX(VAV_Schedule_5_21[#All], MATCH(Joined!G213, VAV_Schedule_5_21[[#All],[UNIT TAG]], 0), 9)</f>
        <v>6</v>
      </c>
      <c r="I213" t="str">
        <f t="shared" si="18"/>
        <v>WPC.VAV-6W-39</v>
      </c>
      <c r="J213" t="str">
        <f t="shared" si="19"/>
        <v>6W</v>
      </c>
      <c r="L213">
        <f>INDEX(Schedule!$A:$J, MATCH(Joined!$G213, Schedule!$B:$B, 0), 5)</f>
        <v>185</v>
      </c>
      <c r="M213">
        <f>INDEX(Schedule!$A:$J, MATCH(Joined!$G213, Schedule!$B:$B, 0), 6)</f>
        <v>40</v>
      </c>
    </row>
    <row r="214" spans="1:13" x14ac:dyDescent="0.2">
      <c r="A214">
        <f>INDEX(PanelInstance!B:D, MATCH(Joined!J214, PanelInstance!D:D, FALSE), 2)</f>
        <v>151500</v>
      </c>
      <c r="B214" t="s">
        <v>291</v>
      </c>
      <c r="C214">
        <f>COUNTIF($D$3:D214, RIGHT(LEFT(A214,4),3))</f>
        <v>14</v>
      </c>
      <c r="D214" t="str">
        <f t="shared" si="16"/>
        <v>515</v>
      </c>
      <c r="E214">
        <f t="shared" si="17"/>
        <v>151514</v>
      </c>
      <c r="F214">
        <f>INDEX(Schedule!$A:$N, MATCH(Joined!$G214, Schedule!$B:$B,0),14)</f>
        <v>15011</v>
      </c>
      <c r="G214" t="s">
        <v>331</v>
      </c>
      <c r="H214">
        <f>INDEX(VAV_Schedule_5_21[#All], MATCH(Joined!G214, VAV_Schedule_5_21[[#All],[UNIT TAG]], 0), 9)</f>
        <v>6</v>
      </c>
      <c r="I214" t="str">
        <f t="shared" si="18"/>
        <v>WPC.VAV-6W-40</v>
      </c>
      <c r="J214" t="str">
        <f t="shared" si="19"/>
        <v>6W</v>
      </c>
      <c r="L214">
        <f>INDEX(Schedule!$A:$J, MATCH(Joined!$G214, Schedule!$B:$B, 0), 5)</f>
        <v>1220</v>
      </c>
      <c r="M214">
        <f>INDEX(Schedule!$A:$J, MATCH(Joined!$G214, Schedule!$B:$B, 0), 6)</f>
        <v>245</v>
      </c>
    </row>
    <row r="215" spans="1:13" x14ac:dyDescent="0.2">
      <c r="A215">
        <f>INDEX(PanelInstance!B:D, MATCH(Joined!J215, PanelInstance!D:D, FALSE), 2)</f>
        <v>151500</v>
      </c>
      <c r="B215" t="s">
        <v>291</v>
      </c>
      <c r="C215">
        <f>COUNTIF($D$3:D215, RIGHT(LEFT(A215,4),3))</f>
        <v>15</v>
      </c>
      <c r="D215" t="str">
        <f t="shared" si="16"/>
        <v>515</v>
      </c>
      <c r="E215">
        <f t="shared" si="17"/>
        <v>151515</v>
      </c>
      <c r="F215">
        <f>INDEX(Schedule!$A:$N, MATCH(Joined!$G215, Schedule!$B:$B,0),14)</f>
        <v>15011</v>
      </c>
      <c r="G215" t="s">
        <v>332</v>
      </c>
      <c r="H215">
        <f>INDEX(VAV_Schedule_5_21[#All], MATCH(Joined!G215, VAV_Schedule_5_21[[#All],[UNIT TAG]], 0), 9)</f>
        <v>6</v>
      </c>
      <c r="I215" t="str">
        <f t="shared" si="18"/>
        <v>WPC.VAV-6W-41</v>
      </c>
      <c r="J215" t="str">
        <f t="shared" si="19"/>
        <v>6W</v>
      </c>
      <c r="L215">
        <f>INDEX(Schedule!$A:$J, MATCH(Joined!$G215, Schedule!$B:$B, 0), 5)</f>
        <v>960</v>
      </c>
      <c r="M215">
        <f>INDEX(Schedule!$A:$J, MATCH(Joined!$G215, Schedule!$B:$B, 0), 6)</f>
        <v>195</v>
      </c>
    </row>
    <row r="216" spans="1:13" x14ac:dyDescent="0.2">
      <c r="A216">
        <f>INDEX(PanelInstance!B:D, MATCH(Joined!J216, PanelInstance!D:D, FALSE), 2)</f>
        <v>151500</v>
      </c>
      <c r="B216" t="s">
        <v>291</v>
      </c>
      <c r="C216">
        <f>COUNTIF($D$3:D216, RIGHT(LEFT(A216,4),3))</f>
        <v>16</v>
      </c>
      <c r="D216" t="str">
        <f t="shared" si="16"/>
        <v>515</v>
      </c>
      <c r="E216">
        <f t="shared" si="17"/>
        <v>151516</v>
      </c>
      <c r="F216">
        <f>INDEX(Schedule!$A:$N, MATCH(Joined!$G216, Schedule!$B:$B,0),14)</f>
        <v>15011</v>
      </c>
      <c r="G216" t="s">
        <v>333</v>
      </c>
      <c r="H216">
        <f>INDEX(VAV_Schedule_5_21[#All], MATCH(Joined!G216, VAV_Schedule_5_21[[#All],[UNIT TAG]], 0), 9)</f>
        <v>6</v>
      </c>
      <c r="I216" t="str">
        <f t="shared" si="18"/>
        <v>WPC.VAV-6W-42</v>
      </c>
      <c r="J216" t="str">
        <f t="shared" si="19"/>
        <v>6W</v>
      </c>
      <c r="L216">
        <f>INDEX(Schedule!$A:$J, MATCH(Joined!$G216, Schedule!$B:$B, 0), 5)</f>
        <v>1220</v>
      </c>
      <c r="M216">
        <f>INDEX(Schedule!$A:$J, MATCH(Joined!$G216, Schedule!$B:$B, 0), 6)</f>
        <v>245</v>
      </c>
    </row>
    <row r="217" spans="1:13" x14ac:dyDescent="0.2">
      <c r="A217">
        <f>INDEX(PanelInstance!B:D, MATCH(Joined!J217, PanelInstance!D:D, FALSE), 2)</f>
        <v>151500</v>
      </c>
      <c r="B217" t="s">
        <v>291</v>
      </c>
      <c r="C217">
        <f>COUNTIF($D$3:D217, RIGHT(LEFT(A217,4),3))</f>
        <v>17</v>
      </c>
      <c r="D217" t="str">
        <f t="shared" si="16"/>
        <v>515</v>
      </c>
      <c r="E217">
        <f t="shared" si="17"/>
        <v>151517</v>
      </c>
      <c r="F217">
        <f>INDEX(Schedule!$A:$N, MATCH(Joined!$G217, Schedule!$B:$B,0),14)</f>
        <v>15010</v>
      </c>
      <c r="G217" t="s">
        <v>334</v>
      </c>
      <c r="H217">
        <f>INDEX(VAV_Schedule_5_21[#All], MATCH(Joined!G217, VAV_Schedule_5_21[[#All],[UNIT TAG]], 0), 9)</f>
        <v>6</v>
      </c>
      <c r="I217" t="str">
        <f t="shared" si="18"/>
        <v>WPC.VAV-6W-43</v>
      </c>
      <c r="J217" t="str">
        <f t="shared" si="19"/>
        <v>6W</v>
      </c>
      <c r="L217">
        <f>INDEX(Schedule!$A:$J, MATCH(Joined!$G217, Schedule!$B:$B, 0), 5)</f>
        <v>200</v>
      </c>
      <c r="M217">
        <f>INDEX(Schedule!$A:$J, MATCH(Joined!$G217, Schedule!$B:$B, 0), 6)</f>
        <v>40</v>
      </c>
    </row>
    <row r="218" spans="1:13" x14ac:dyDescent="0.2">
      <c r="A218">
        <f>INDEX(PanelInstance!B:D, MATCH(Joined!J218, PanelInstance!D:D, FALSE), 2)</f>
        <v>151800</v>
      </c>
      <c r="B218" t="s">
        <v>291</v>
      </c>
      <c r="C218">
        <f>COUNTIF($D$3:D218, RIGHT(LEFT(A218,4),3))</f>
        <v>1</v>
      </c>
      <c r="D218" t="str">
        <f t="shared" si="16"/>
        <v>518</v>
      </c>
      <c r="E218">
        <f t="shared" si="17"/>
        <v>151801</v>
      </c>
      <c r="F218">
        <f>INDEX(Schedule!$A:$N, MATCH(Joined!$G218, Schedule!$B:$B,0),14)</f>
        <v>15011</v>
      </c>
      <c r="G218" t="s">
        <v>335</v>
      </c>
      <c r="H218">
        <f>INDEX(VAV_Schedule_5_21[#All], MATCH(Joined!G218, VAV_Schedule_5_21[[#All],[UNIT TAG]], 0), 9)</f>
        <v>7</v>
      </c>
      <c r="I218" t="str">
        <f t="shared" si="18"/>
        <v>WPC.VAV-7W-1</v>
      </c>
      <c r="J218" t="str">
        <f t="shared" si="19"/>
        <v>7W</v>
      </c>
      <c r="L218">
        <f>INDEX(Schedule!$A:$J, MATCH(Joined!$G218, Schedule!$B:$B, 0), 5)</f>
        <v>640</v>
      </c>
      <c r="M218">
        <f>INDEX(Schedule!$A:$J, MATCH(Joined!$G218, Schedule!$B:$B, 0), 6)</f>
        <v>130</v>
      </c>
    </row>
    <row r="219" spans="1:13" x14ac:dyDescent="0.2">
      <c r="A219">
        <f>INDEX(PanelInstance!B:D, MATCH(Joined!J219, PanelInstance!D:D, FALSE), 2)</f>
        <v>151800</v>
      </c>
      <c r="B219" t="s">
        <v>291</v>
      </c>
      <c r="C219">
        <f>COUNTIF($D$3:D219, RIGHT(LEFT(A219,4),3))</f>
        <v>2</v>
      </c>
      <c r="D219" t="str">
        <f t="shared" si="16"/>
        <v>518</v>
      </c>
      <c r="E219">
        <f t="shared" si="17"/>
        <v>151802</v>
      </c>
      <c r="F219">
        <f>INDEX(Schedule!$A:$N, MATCH(Joined!$G219, Schedule!$B:$B,0),14)</f>
        <v>15011</v>
      </c>
      <c r="G219" t="s">
        <v>336</v>
      </c>
      <c r="H219">
        <f>INDEX(VAV_Schedule_5_21[#All], MATCH(Joined!G219, VAV_Schedule_5_21[[#All],[UNIT TAG]], 0), 9)</f>
        <v>7</v>
      </c>
      <c r="I219" t="str">
        <f t="shared" si="18"/>
        <v>WPC.VAV-7W-2</v>
      </c>
      <c r="J219" t="str">
        <f t="shared" si="19"/>
        <v>7W</v>
      </c>
      <c r="L219">
        <f>INDEX(Schedule!$A:$J, MATCH(Joined!$G219, Schedule!$B:$B, 0), 5)</f>
        <v>680</v>
      </c>
      <c r="M219">
        <f>INDEX(Schedule!$A:$J, MATCH(Joined!$G219, Schedule!$B:$B, 0), 6)</f>
        <v>140</v>
      </c>
    </row>
    <row r="220" spans="1:13" x14ac:dyDescent="0.2">
      <c r="A220">
        <f>INDEX(PanelInstance!B:D, MATCH(Joined!J220, PanelInstance!D:D, FALSE), 2)</f>
        <v>151800</v>
      </c>
      <c r="B220" t="s">
        <v>291</v>
      </c>
      <c r="C220">
        <f>COUNTIF($D$3:D220, RIGHT(LEFT(A220,4),3))</f>
        <v>3</v>
      </c>
      <c r="D220" t="str">
        <f t="shared" si="16"/>
        <v>518</v>
      </c>
      <c r="E220">
        <f t="shared" si="17"/>
        <v>151803</v>
      </c>
      <c r="F220">
        <f>INDEX(Schedule!$A:$N, MATCH(Joined!$G220, Schedule!$B:$B,0),14)</f>
        <v>15011</v>
      </c>
      <c r="G220" t="s">
        <v>337</v>
      </c>
      <c r="H220">
        <f>INDEX(VAV_Schedule_5_21[#All], MATCH(Joined!G220, VAV_Schedule_5_21[[#All],[UNIT TAG]], 0), 9)</f>
        <v>7</v>
      </c>
      <c r="I220" t="str">
        <f t="shared" si="18"/>
        <v>WPC.VAV-7W-3</v>
      </c>
      <c r="J220" t="str">
        <f t="shared" si="19"/>
        <v>7W</v>
      </c>
      <c r="L220">
        <f>INDEX(Schedule!$A:$J, MATCH(Joined!$G220, Schedule!$B:$B, 0), 5)</f>
        <v>600</v>
      </c>
      <c r="M220">
        <f>INDEX(Schedule!$A:$J, MATCH(Joined!$G220, Schedule!$B:$B, 0), 6)</f>
        <v>120</v>
      </c>
    </row>
    <row r="221" spans="1:13" x14ac:dyDescent="0.2">
      <c r="A221">
        <f>INDEX(PanelInstance!B:D, MATCH(Joined!J221, PanelInstance!D:D, FALSE), 2)</f>
        <v>151800</v>
      </c>
      <c r="B221" t="s">
        <v>291</v>
      </c>
      <c r="C221">
        <f>COUNTIF($D$3:D221, RIGHT(LEFT(A221,4),3))</f>
        <v>4</v>
      </c>
      <c r="D221" t="str">
        <f t="shared" si="16"/>
        <v>518</v>
      </c>
      <c r="E221">
        <f t="shared" si="17"/>
        <v>151804</v>
      </c>
      <c r="F221">
        <f>INDEX(Schedule!$A:$N, MATCH(Joined!$G221, Schedule!$B:$B,0),14)</f>
        <v>15011</v>
      </c>
      <c r="G221" t="s">
        <v>338</v>
      </c>
      <c r="H221">
        <f>INDEX(VAV_Schedule_5_21[#All], MATCH(Joined!G221, VAV_Schedule_5_21[[#All],[UNIT TAG]], 0), 9)</f>
        <v>7</v>
      </c>
      <c r="I221" t="str">
        <f t="shared" si="18"/>
        <v>WPC.VAV-7W-4</v>
      </c>
      <c r="J221" t="str">
        <f t="shared" si="19"/>
        <v>7W</v>
      </c>
      <c r="L221">
        <f>INDEX(Schedule!$A:$J, MATCH(Joined!$G221, Schedule!$B:$B, 0), 5)</f>
        <v>840</v>
      </c>
      <c r="M221">
        <f>INDEX(Schedule!$A:$J, MATCH(Joined!$G221, Schedule!$B:$B, 0), 6)</f>
        <v>170</v>
      </c>
    </row>
    <row r="222" spans="1:13" x14ac:dyDescent="0.2">
      <c r="A222">
        <f>INDEX(PanelInstance!B:D, MATCH(Joined!J222, PanelInstance!D:D, FALSE), 2)</f>
        <v>151600</v>
      </c>
      <c r="B222" t="s">
        <v>291</v>
      </c>
      <c r="C222">
        <f>COUNTIF($D$3:D222, RIGHT(LEFT(A222,4),3))</f>
        <v>1</v>
      </c>
      <c r="D222" t="str">
        <f t="shared" si="16"/>
        <v>516</v>
      </c>
      <c r="E222">
        <f t="shared" si="17"/>
        <v>151601</v>
      </c>
      <c r="F222">
        <f>INDEX(Schedule!$A:$N, MATCH(Joined!$G222, Schedule!$B:$B,0),14)</f>
        <v>15010</v>
      </c>
      <c r="G222" t="s">
        <v>339</v>
      </c>
      <c r="H222">
        <f>INDEX(VAV_Schedule_5_21[#All], MATCH(Joined!G222, VAV_Schedule_5_21[[#All],[UNIT TAG]], 0), 9)</f>
        <v>7</v>
      </c>
      <c r="I222" t="str">
        <f t="shared" si="18"/>
        <v>WPC.VAV-7N-5</v>
      </c>
      <c r="J222" t="str">
        <f t="shared" si="19"/>
        <v>7N</v>
      </c>
      <c r="L222">
        <f>INDEX(Schedule!$A:$J, MATCH(Joined!$G222, Schedule!$B:$B, 0), 5)</f>
        <v>1200</v>
      </c>
      <c r="M222">
        <f>INDEX(Schedule!$A:$J, MATCH(Joined!$G222, Schedule!$B:$B, 0), 6)</f>
        <v>240</v>
      </c>
    </row>
    <row r="223" spans="1:13" x14ac:dyDescent="0.2">
      <c r="A223">
        <f>INDEX(PanelInstance!B:D, MATCH(Joined!J223, PanelInstance!D:D, FALSE), 2)</f>
        <v>151600</v>
      </c>
      <c r="B223" t="s">
        <v>291</v>
      </c>
      <c r="C223">
        <f>COUNTIF($D$3:D223, RIGHT(LEFT(A223,4),3))</f>
        <v>2</v>
      </c>
      <c r="D223" t="str">
        <f t="shared" si="16"/>
        <v>516</v>
      </c>
      <c r="E223">
        <f t="shared" si="17"/>
        <v>151602</v>
      </c>
      <c r="F223">
        <f>INDEX(Schedule!$A:$N, MATCH(Joined!$G223, Schedule!$B:$B,0),14)</f>
        <v>15010</v>
      </c>
      <c r="G223" t="s">
        <v>340</v>
      </c>
      <c r="H223">
        <f>INDEX(VAV_Schedule_5_21[#All], MATCH(Joined!G223, VAV_Schedule_5_21[[#All],[UNIT TAG]], 0), 9)</f>
        <v>7</v>
      </c>
      <c r="I223" t="str">
        <f t="shared" si="18"/>
        <v>WPC.VAV-7N-6</v>
      </c>
      <c r="J223" t="str">
        <f t="shared" si="19"/>
        <v>7N</v>
      </c>
      <c r="L223">
        <f>INDEX(Schedule!$A:$J, MATCH(Joined!$G223, Schedule!$B:$B, 0), 5)</f>
        <v>975</v>
      </c>
      <c r="M223">
        <f>INDEX(Schedule!$A:$J, MATCH(Joined!$G223, Schedule!$B:$B, 0), 6)</f>
        <v>195</v>
      </c>
    </row>
    <row r="224" spans="1:13" x14ac:dyDescent="0.2">
      <c r="A224">
        <f>INDEX(PanelInstance!B:D, MATCH(Joined!J224, PanelInstance!D:D, FALSE), 2)</f>
        <v>151600</v>
      </c>
      <c r="B224" t="s">
        <v>291</v>
      </c>
      <c r="C224">
        <f>COUNTIF($D$3:D224, RIGHT(LEFT(A224,4),3))</f>
        <v>3</v>
      </c>
      <c r="D224" t="str">
        <f t="shared" si="16"/>
        <v>516</v>
      </c>
      <c r="E224">
        <f t="shared" si="17"/>
        <v>151603</v>
      </c>
      <c r="F224">
        <f>INDEX(Schedule!$A:$N, MATCH(Joined!$G224, Schedule!$B:$B,0),14)</f>
        <v>15010</v>
      </c>
      <c r="G224" t="s">
        <v>341</v>
      </c>
      <c r="H224">
        <f>INDEX(VAV_Schedule_5_21[#All], MATCH(Joined!G224, VAV_Schedule_5_21[[#All],[UNIT TAG]], 0), 9)</f>
        <v>7</v>
      </c>
      <c r="I224" t="str">
        <f t="shared" si="18"/>
        <v>WPC.VAV-7N-7</v>
      </c>
      <c r="J224" t="str">
        <f t="shared" si="19"/>
        <v>7N</v>
      </c>
      <c r="L224">
        <f>INDEX(Schedule!$A:$J, MATCH(Joined!$G224, Schedule!$B:$B, 0), 5)</f>
        <v>550</v>
      </c>
      <c r="M224">
        <f>INDEX(Schedule!$A:$J, MATCH(Joined!$G224, Schedule!$B:$B, 0), 6)</f>
        <v>110</v>
      </c>
    </row>
    <row r="225" spans="1:13" x14ac:dyDescent="0.2">
      <c r="A225">
        <f>INDEX(PanelInstance!B:D, MATCH(Joined!J225, PanelInstance!D:D, FALSE), 2)</f>
        <v>151600</v>
      </c>
      <c r="B225" t="s">
        <v>291</v>
      </c>
      <c r="C225">
        <f>COUNTIF($D$3:D225, RIGHT(LEFT(A225,4),3))</f>
        <v>4</v>
      </c>
      <c r="D225" t="str">
        <f t="shared" si="16"/>
        <v>516</v>
      </c>
      <c r="E225">
        <f t="shared" si="17"/>
        <v>151604</v>
      </c>
      <c r="F225">
        <f>INDEX(Schedule!$A:$N, MATCH(Joined!$G225, Schedule!$B:$B,0),14)</f>
        <v>15010</v>
      </c>
      <c r="G225" t="s">
        <v>342</v>
      </c>
      <c r="H225">
        <f>INDEX(VAV_Schedule_5_21[#All], MATCH(Joined!G225, VAV_Schedule_5_21[[#All],[UNIT TAG]], 0), 9)</f>
        <v>7</v>
      </c>
      <c r="I225" t="str">
        <f t="shared" si="18"/>
        <v>WPC.VAV-7N-8</v>
      </c>
      <c r="J225" t="str">
        <f t="shared" si="19"/>
        <v>7N</v>
      </c>
      <c r="L225">
        <f>INDEX(Schedule!$A:$J, MATCH(Joined!$G225, Schedule!$B:$B, 0), 5)</f>
        <v>760</v>
      </c>
      <c r="M225">
        <f>INDEX(Schedule!$A:$J, MATCH(Joined!$G225, Schedule!$B:$B, 0), 6)</f>
        <v>155</v>
      </c>
    </row>
    <row r="226" spans="1:13" x14ac:dyDescent="0.2">
      <c r="A226">
        <f>INDEX(PanelInstance!B:D, MATCH(Joined!J226, PanelInstance!D:D, FALSE), 2)</f>
        <v>151600</v>
      </c>
      <c r="B226" t="s">
        <v>291</v>
      </c>
      <c r="C226">
        <f>COUNTIF($D$3:D226, RIGHT(LEFT(A226,4),3))</f>
        <v>5</v>
      </c>
      <c r="D226" t="str">
        <f t="shared" si="16"/>
        <v>516</v>
      </c>
      <c r="E226">
        <f t="shared" si="17"/>
        <v>151605</v>
      </c>
      <c r="F226">
        <f>INDEX(Schedule!$A:$N, MATCH(Joined!$G226, Schedule!$B:$B,0),14)</f>
        <v>15010</v>
      </c>
      <c r="G226" t="s">
        <v>343</v>
      </c>
      <c r="H226">
        <f>INDEX(VAV_Schedule_5_21[#All], MATCH(Joined!G226, VAV_Schedule_5_21[[#All],[UNIT TAG]], 0), 9)</f>
        <v>7</v>
      </c>
      <c r="I226" t="str">
        <f t="shared" si="18"/>
        <v>WPC.VAV-7N-9</v>
      </c>
      <c r="J226" t="str">
        <f t="shared" si="19"/>
        <v>7N</v>
      </c>
      <c r="L226">
        <f>INDEX(Schedule!$A:$J, MATCH(Joined!$G226, Schedule!$B:$B, 0), 5)</f>
        <v>1270</v>
      </c>
      <c r="M226">
        <f>INDEX(Schedule!$A:$J, MATCH(Joined!$G226, Schedule!$B:$B, 0), 6)</f>
        <v>255</v>
      </c>
    </row>
    <row r="227" spans="1:13" x14ac:dyDescent="0.2">
      <c r="A227">
        <f>INDEX(PanelInstance!B:D, MATCH(Joined!J227, PanelInstance!D:D, FALSE), 2)</f>
        <v>151600</v>
      </c>
      <c r="B227" t="s">
        <v>291</v>
      </c>
      <c r="C227">
        <f>COUNTIF($D$3:D227, RIGHT(LEFT(A227,4),3))</f>
        <v>6</v>
      </c>
      <c r="D227" t="str">
        <f t="shared" si="16"/>
        <v>516</v>
      </c>
      <c r="E227">
        <f t="shared" si="17"/>
        <v>151606</v>
      </c>
      <c r="F227">
        <f>INDEX(Schedule!$A:$N, MATCH(Joined!$G227, Schedule!$B:$B,0),14)</f>
        <v>15010</v>
      </c>
      <c r="G227" t="s">
        <v>646</v>
      </c>
      <c r="H227">
        <f>INDEX(VAV_Schedule_5_21[#All], MATCH(Joined!G227, VAV_Schedule_5_21[[#All],[UNIT TAG]], 0), 9)</f>
        <v>7</v>
      </c>
      <c r="I227" t="str">
        <f t="shared" si="18"/>
        <v>WPC.VAV-7N-9A</v>
      </c>
      <c r="J227" t="str">
        <f t="shared" si="19"/>
        <v>7N</v>
      </c>
      <c r="L227">
        <f>INDEX(Schedule!$A:$J, MATCH(Joined!$G227, Schedule!$B:$B, 0), 5)</f>
        <v>550</v>
      </c>
      <c r="M227">
        <f>INDEX(Schedule!$A:$J, MATCH(Joined!$G227, Schedule!$B:$B, 0), 6)</f>
        <v>110</v>
      </c>
    </row>
    <row r="228" spans="1:13" x14ac:dyDescent="0.2">
      <c r="A228">
        <f>INDEX(PanelInstance!B:D, MATCH(Joined!J228, PanelInstance!D:D, FALSE), 2)</f>
        <v>151600</v>
      </c>
      <c r="B228" t="s">
        <v>291</v>
      </c>
      <c r="C228">
        <f>COUNTIF($D$3:D228, RIGHT(LEFT(A228,4),3))</f>
        <v>7</v>
      </c>
      <c r="D228" t="str">
        <f t="shared" si="16"/>
        <v>516</v>
      </c>
      <c r="E228">
        <f t="shared" si="17"/>
        <v>151607</v>
      </c>
      <c r="F228">
        <f>INDEX(Schedule!$A:$N, MATCH(Joined!$G228, Schedule!$B:$B,0),14)</f>
        <v>15010</v>
      </c>
      <c r="G228" t="s">
        <v>344</v>
      </c>
      <c r="H228">
        <f>INDEX(VAV_Schedule_5_21[#All], MATCH(Joined!G228, VAV_Schedule_5_21[[#All],[UNIT TAG]], 0), 9)</f>
        <v>7</v>
      </c>
      <c r="I228" t="str">
        <f t="shared" si="18"/>
        <v>WPC.VAV-7N-10</v>
      </c>
      <c r="J228" t="str">
        <f t="shared" si="19"/>
        <v>7N</v>
      </c>
      <c r="L228">
        <f>INDEX(Schedule!$A:$J, MATCH(Joined!$G228, Schedule!$B:$B, 0), 5)</f>
        <v>1310</v>
      </c>
      <c r="M228">
        <f>INDEX(Schedule!$A:$J, MATCH(Joined!$G228, Schedule!$B:$B, 0), 6)</f>
        <v>265</v>
      </c>
    </row>
    <row r="229" spans="1:13" x14ac:dyDescent="0.2">
      <c r="A229">
        <f>INDEX(PanelInstance!B:D, MATCH(Joined!J229, PanelInstance!D:D, FALSE), 2)</f>
        <v>151600</v>
      </c>
      <c r="B229" t="s">
        <v>291</v>
      </c>
      <c r="C229">
        <f>COUNTIF($D$3:D229, RIGHT(LEFT(A229,4),3))</f>
        <v>8</v>
      </c>
      <c r="D229" t="str">
        <f t="shared" si="16"/>
        <v>516</v>
      </c>
      <c r="E229">
        <f t="shared" si="17"/>
        <v>151608</v>
      </c>
      <c r="F229">
        <f>INDEX(Schedule!$A:$N, MATCH(Joined!$G229, Schedule!$B:$B,0),14)</f>
        <v>15010</v>
      </c>
      <c r="G229" t="s">
        <v>345</v>
      </c>
      <c r="H229">
        <f>INDEX(VAV_Schedule_5_21[#All], MATCH(Joined!G229, VAV_Schedule_5_21[[#All],[UNIT TAG]], 0), 9)</f>
        <v>7</v>
      </c>
      <c r="I229" t="str">
        <f t="shared" si="18"/>
        <v>WPC.VAV-7N-11</v>
      </c>
      <c r="J229" t="str">
        <f t="shared" si="19"/>
        <v>7N</v>
      </c>
      <c r="L229">
        <f>INDEX(Schedule!$A:$J, MATCH(Joined!$G229, Schedule!$B:$B, 0), 5)</f>
        <v>1385</v>
      </c>
      <c r="M229">
        <f>INDEX(Schedule!$A:$J, MATCH(Joined!$G229, Schedule!$B:$B, 0), 6)</f>
        <v>280</v>
      </c>
    </row>
    <row r="230" spans="1:13" x14ac:dyDescent="0.2">
      <c r="A230">
        <f>INDEX(PanelInstance!B:D, MATCH(Joined!J230, PanelInstance!D:D, FALSE), 2)</f>
        <v>151600</v>
      </c>
      <c r="B230" t="s">
        <v>291</v>
      </c>
      <c r="C230">
        <f>COUNTIF($D$3:D230, RIGHT(LEFT(A230,4),3))</f>
        <v>9</v>
      </c>
      <c r="D230" t="str">
        <f t="shared" si="16"/>
        <v>516</v>
      </c>
      <c r="E230">
        <f t="shared" si="17"/>
        <v>151609</v>
      </c>
      <c r="F230">
        <f>INDEX(Schedule!$A:$N, MATCH(Joined!$G230, Schedule!$B:$B,0),14)</f>
        <v>15010</v>
      </c>
      <c r="G230" t="s">
        <v>346</v>
      </c>
      <c r="H230">
        <f>INDEX(VAV_Schedule_5_21[#All], MATCH(Joined!G230, VAV_Schedule_5_21[[#All],[UNIT TAG]], 0), 9)</f>
        <v>7</v>
      </c>
      <c r="I230" t="str">
        <f t="shared" si="18"/>
        <v>WPC.VAV-7N-12</v>
      </c>
      <c r="J230" t="str">
        <f t="shared" si="19"/>
        <v>7N</v>
      </c>
      <c r="L230">
        <f>INDEX(Schedule!$A:$J, MATCH(Joined!$G230, Schedule!$B:$B, 0), 5)</f>
        <v>1035</v>
      </c>
      <c r="M230">
        <f>INDEX(Schedule!$A:$J, MATCH(Joined!$G230, Schedule!$B:$B, 0), 6)</f>
        <v>210</v>
      </c>
    </row>
    <row r="231" spans="1:13" x14ac:dyDescent="0.2">
      <c r="A231">
        <f>INDEX(PanelInstance!B:D, MATCH(Joined!J231, PanelInstance!D:D, FALSE), 2)</f>
        <v>151700</v>
      </c>
      <c r="B231" t="s">
        <v>291</v>
      </c>
      <c r="C231">
        <f>COUNTIF($D$3:D231, RIGHT(LEFT(A231,4),3))</f>
        <v>1</v>
      </c>
      <c r="D231" t="str">
        <f t="shared" si="16"/>
        <v>517</v>
      </c>
      <c r="E231">
        <f t="shared" si="17"/>
        <v>151701</v>
      </c>
      <c r="F231">
        <f>INDEX(Schedule!$A:$N, MATCH(Joined!$G231, Schedule!$B:$B,0),14)</f>
        <v>15011</v>
      </c>
      <c r="G231" t="s">
        <v>347</v>
      </c>
      <c r="H231">
        <f>INDEX(VAV_Schedule_5_21[#All], MATCH(Joined!G231, VAV_Schedule_5_21[[#All],[UNIT TAG]], 0), 9)</f>
        <v>7</v>
      </c>
      <c r="I231" t="str">
        <f t="shared" si="18"/>
        <v>WPC.VAV-7E-13</v>
      </c>
      <c r="J231" t="str">
        <f t="shared" si="19"/>
        <v>7E</v>
      </c>
      <c r="L231">
        <f>INDEX(Schedule!$A:$J, MATCH(Joined!$G231, Schedule!$B:$B, 0), 5)</f>
        <v>840</v>
      </c>
      <c r="M231">
        <f>INDEX(Schedule!$A:$J, MATCH(Joined!$G231, Schedule!$B:$B, 0), 6)</f>
        <v>170</v>
      </c>
    </row>
    <row r="232" spans="1:13" x14ac:dyDescent="0.2">
      <c r="A232">
        <f>INDEX(PanelInstance!B:D, MATCH(Joined!J232, PanelInstance!D:D, FALSE), 2)</f>
        <v>151700</v>
      </c>
      <c r="B232" t="s">
        <v>291</v>
      </c>
      <c r="C232">
        <f>COUNTIF($D$3:D232, RIGHT(LEFT(A232,4),3))</f>
        <v>2</v>
      </c>
      <c r="D232" t="str">
        <f t="shared" si="16"/>
        <v>517</v>
      </c>
      <c r="E232">
        <f t="shared" si="17"/>
        <v>151702</v>
      </c>
      <c r="F232">
        <f>INDEX(Schedule!$A:$N, MATCH(Joined!$G232, Schedule!$B:$B,0),14)</f>
        <v>15011</v>
      </c>
      <c r="G232" t="s">
        <v>348</v>
      </c>
      <c r="H232">
        <f>INDEX(VAV_Schedule_5_21[#All], MATCH(Joined!G232, VAV_Schedule_5_21[[#All],[UNIT TAG]], 0), 9)</f>
        <v>7</v>
      </c>
      <c r="I232" t="str">
        <f t="shared" si="18"/>
        <v>WPC.VAV-7E-14</v>
      </c>
      <c r="J232" t="str">
        <f t="shared" si="19"/>
        <v>7E</v>
      </c>
      <c r="L232">
        <f>INDEX(Schedule!$A:$J, MATCH(Joined!$G232, Schedule!$B:$B, 0), 5)</f>
        <v>640</v>
      </c>
      <c r="M232">
        <f>INDEX(Schedule!$A:$J, MATCH(Joined!$G232, Schedule!$B:$B, 0), 6)</f>
        <v>130</v>
      </c>
    </row>
    <row r="233" spans="1:13" x14ac:dyDescent="0.2">
      <c r="A233">
        <f>INDEX(PanelInstance!B:D, MATCH(Joined!J233, PanelInstance!D:D, FALSE), 2)</f>
        <v>151700</v>
      </c>
      <c r="B233" t="s">
        <v>291</v>
      </c>
      <c r="C233">
        <f>COUNTIF($D$3:D233, RIGHT(LEFT(A233,4),3))</f>
        <v>3</v>
      </c>
      <c r="D233" t="str">
        <f t="shared" si="16"/>
        <v>517</v>
      </c>
      <c r="E233">
        <f t="shared" si="17"/>
        <v>151703</v>
      </c>
      <c r="F233">
        <f>INDEX(Schedule!$A:$N, MATCH(Joined!$G233, Schedule!$B:$B,0),14)</f>
        <v>15011</v>
      </c>
      <c r="G233" t="s">
        <v>349</v>
      </c>
      <c r="H233">
        <f>INDEX(VAV_Schedule_5_21[#All], MATCH(Joined!G233, VAV_Schedule_5_21[[#All],[UNIT TAG]], 0), 9)</f>
        <v>7</v>
      </c>
      <c r="I233" t="str">
        <f t="shared" si="18"/>
        <v>WPC.VAV-7E-15</v>
      </c>
      <c r="J233" t="str">
        <f t="shared" si="19"/>
        <v>7E</v>
      </c>
      <c r="L233">
        <f>INDEX(Schedule!$A:$J, MATCH(Joined!$G233, Schedule!$B:$B, 0), 5)</f>
        <v>680</v>
      </c>
      <c r="M233">
        <f>INDEX(Schedule!$A:$J, MATCH(Joined!$G233, Schedule!$B:$B, 0), 6)</f>
        <v>140</v>
      </c>
    </row>
    <row r="234" spans="1:13" x14ac:dyDescent="0.2">
      <c r="A234">
        <f>INDEX(PanelInstance!B:D, MATCH(Joined!J234, PanelInstance!D:D, FALSE), 2)</f>
        <v>151700</v>
      </c>
      <c r="B234" t="s">
        <v>291</v>
      </c>
      <c r="C234">
        <f>COUNTIF($D$3:D234, RIGHT(LEFT(A234,4),3))</f>
        <v>4</v>
      </c>
      <c r="D234" t="str">
        <f t="shared" si="16"/>
        <v>517</v>
      </c>
      <c r="E234">
        <f t="shared" si="17"/>
        <v>151704</v>
      </c>
      <c r="F234">
        <f>INDEX(Schedule!$A:$N, MATCH(Joined!$G234, Schedule!$B:$B,0),14)</f>
        <v>15011</v>
      </c>
      <c r="G234" t="s">
        <v>350</v>
      </c>
      <c r="H234">
        <f>INDEX(VAV_Schedule_5_21[#All], MATCH(Joined!G234, VAV_Schedule_5_21[[#All],[UNIT TAG]], 0), 9)</f>
        <v>7</v>
      </c>
      <c r="I234" t="str">
        <f t="shared" si="18"/>
        <v>WPC.VAV-7E-16</v>
      </c>
      <c r="J234" t="str">
        <f t="shared" si="19"/>
        <v>7E</v>
      </c>
      <c r="L234">
        <f>INDEX(Schedule!$A:$J, MATCH(Joined!$G234, Schedule!$B:$B, 0), 5)</f>
        <v>600</v>
      </c>
      <c r="M234">
        <f>INDEX(Schedule!$A:$J, MATCH(Joined!$G234, Schedule!$B:$B, 0), 6)</f>
        <v>120</v>
      </c>
    </row>
    <row r="235" spans="1:13" x14ac:dyDescent="0.2">
      <c r="A235">
        <f>INDEX(PanelInstance!B:D, MATCH(Joined!J235, PanelInstance!D:D, FALSE), 2)</f>
        <v>151700</v>
      </c>
      <c r="B235" t="s">
        <v>291</v>
      </c>
      <c r="C235">
        <f>COUNTIF($D$3:D235, RIGHT(LEFT(A235,4),3))</f>
        <v>5</v>
      </c>
      <c r="D235" t="str">
        <f t="shared" si="16"/>
        <v>517</v>
      </c>
      <c r="E235">
        <f t="shared" si="17"/>
        <v>151705</v>
      </c>
      <c r="F235">
        <f>INDEX(Schedule!$A:$N, MATCH(Joined!$G235, Schedule!$B:$B,0),14)</f>
        <v>15010</v>
      </c>
      <c r="G235" t="s">
        <v>351</v>
      </c>
      <c r="H235">
        <f>INDEX(VAV_Schedule_5_21[#All], MATCH(Joined!G235, VAV_Schedule_5_21[[#All],[UNIT TAG]], 0), 9)</f>
        <v>7</v>
      </c>
      <c r="I235" t="str">
        <f t="shared" si="18"/>
        <v>WPC.VAV-7E-17</v>
      </c>
      <c r="J235" t="str">
        <f t="shared" si="19"/>
        <v>7E</v>
      </c>
      <c r="L235">
        <f>INDEX(Schedule!$A:$J, MATCH(Joined!$G235, Schedule!$B:$B, 0), 5)</f>
        <v>200</v>
      </c>
      <c r="M235">
        <f>INDEX(Schedule!$A:$J, MATCH(Joined!$G235, Schedule!$B:$B, 0), 6)</f>
        <v>40</v>
      </c>
    </row>
    <row r="236" spans="1:13" x14ac:dyDescent="0.2">
      <c r="A236">
        <f>INDEX(PanelInstance!B:D, MATCH(Joined!J236, PanelInstance!D:D, FALSE), 2)</f>
        <v>151700</v>
      </c>
      <c r="B236" t="s">
        <v>291</v>
      </c>
      <c r="C236">
        <f>COUNTIF($D$3:D236, RIGHT(LEFT(A236,4),3))</f>
        <v>6</v>
      </c>
      <c r="D236" t="str">
        <f t="shared" si="16"/>
        <v>517</v>
      </c>
      <c r="E236">
        <f t="shared" si="17"/>
        <v>151706</v>
      </c>
      <c r="F236">
        <f>INDEX(Schedule!$A:$N, MATCH(Joined!$G236, Schedule!$B:$B,0),14)</f>
        <v>15011</v>
      </c>
      <c r="G236" t="s">
        <v>352</v>
      </c>
      <c r="H236">
        <f>INDEX(VAV_Schedule_5_21[#All], MATCH(Joined!G236, VAV_Schedule_5_21[[#All],[UNIT TAG]], 0), 9)</f>
        <v>7</v>
      </c>
      <c r="I236" t="str">
        <f t="shared" si="18"/>
        <v>WPC.VAV-7E-18</v>
      </c>
      <c r="J236" t="str">
        <f t="shared" si="19"/>
        <v>7E</v>
      </c>
      <c r="L236">
        <f>INDEX(Schedule!$A:$J, MATCH(Joined!$G236, Schedule!$B:$B, 0), 5)</f>
        <v>1085</v>
      </c>
      <c r="M236">
        <f>INDEX(Schedule!$A:$J, MATCH(Joined!$G236, Schedule!$B:$B, 0), 6)</f>
        <v>220</v>
      </c>
    </row>
    <row r="237" spans="1:13" x14ac:dyDescent="0.2">
      <c r="A237">
        <f>INDEX(PanelInstance!B:D, MATCH(Joined!J237, PanelInstance!D:D, FALSE), 2)</f>
        <v>151700</v>
      </c>
      <c r="B237" t="s">
        <v>291</v>
      </c>
      <c r="C237">
        <f>COUNTIF($D$3:D237, RIGHT(LEFT(A237,4),3))</f>
        <v>7</v>
      </c>
      <c r="D237" t="str">
        <f t="shared" si="16"/>
        <v>517</v>
      </c>
      <c r="E237">
        <f t="shared" si="17"/>
        <v>151707</v>
      </c>
      <c r="F237">
        <f>INDEX(Schedule!$A:$N, MATCH(Joined!$G237, Schedule!$B:$B,0),14)</f>
        <v>15010</v>
      </c>
      <c r="G237" t="s">
        <v>353</v>
      </c>
      <c r="H237">
        <f>INDEX(VAV_Schedule_5_21[#All], MATCH(Joined!G237, VAV_Schedule_5_21[[#All],[UNIT TAG]], 0), 9)</f>
        <v>7</v>
      </c>
      <c r="I237" t="str">
        <f t="shared" si="18"/>
        <v>WPC.VAV-7E-19</v>
      </c>
      <c r="J237" t="str">
        <f t="shared" si="19"/>
        <v>7E</v>
      </c>
      <c r="L237">
        <f>INDEX(Schedule!$A:$J, MATCH(Joined!$G237, Schedule!$B:$B, 0), 5)</f>
        <v>680</v>
      </c>
      <c r="M237">
        <f>INDEX(Schedule!$A:$J, MATCH(Joined!$G237, Schedule!$B:$B, 0), 6)</f>
        <v>140</v>
      </c>
    </row>
    <row r="238" spans="1:13" x14ac:dyDescent="0.2">
      <c r="A238">
        <f>INDEX(PanelInstance!B:D, MATCH(Joined!J238, PanelInstance!D:D, FALSE), 2)</f>
        <v>151700</v>
      </c>
      <c r="B238" t="s">
        <v>291</v>
      </c>
      <c r="C238">
        <f>COUNTIF($D$3:D238, RIGHT(LEFT(A238,4),3))</f>
        <v>8</v>
      </c>
      <c r="D238" t="str">
        <f t="shared" si="16"/>
        <v>517</v>
      </c>
      <c r="E238">
        <f t="shared" si="17"/>
        <v>151708</v>
      </c>
      <c r="F238">
        <f>INDEX(Schedule!$A:$N, MATCH(Joined!$G238, Schedule!$B:$B,0),14)</f>
        <v>15010</v>
      </c>
      <c r="G238" t="s">
        <v>354</v>
      </c>
      <c r="H238">
        <f>INDEX(VAV_Schedule_5_21[#All], MATCH(Joined!G238, VAV_Schedule_5_21[[#All],[UNIT TAG]], 0), 9)</f>
        <v>7</v>
      </c>
      <c r="I238" t="str">
        <f t="shared" si="18"/>
        <v>WPC.VAV-7E-20</v>
      </c>
      <c r="J238" t="str">
        <f t="shared" si="19"/>
        <v>7E</v>
      </c>
      <c r="L238">
        <f>INDEX(Schedule!$A:$J, MATCH(Joined!$G238, Schedule!$B:$B, 0), 5)</f>
        <v>350</v>
      </c>
      <c r="M238">
        <f>INDEX(Schedule!$A:$J, MATCH(Joined!$G238, Schedule!$B:$B, 0), 6)</f>
        <v>70</v>
      </c>
    </row>
    <row r="239" spans="1:13" x14ac:dyDescent="0.2">
      <c r="A239">
        <f>INDEX(PanelInstance!B:D, MATCH(Joined!J239, PanelInstance!D:D, FALSE), 2)</f>
        <v>151700</v>
      </c>
      <c r="B239" t="s">
        <v>291</v>
      </c>
      <c r="C239">
        <f>COUNTIF($D$3:D239, RIGHT(LEFT(A239,4),3))</f>
        <v>9</v>
      </c>
      <c r="D239" t="str">
        <f t="shared" si="16"/>
        <v>517</v>
      </c>
      <c r="E239">
        <f t="shared" si="17"/>
        <v>151709</v>
      </c>
      <c r="F239">
        <f>INDEX(Schedule!$A:$N, MATCH(Joined!$G239, Schedule!$B:$B,0),14)</f>
        <v>15011</v>
      </c>
      <c r="G239" t="s">
        <v>355</v>
      </c>
      <c r="H239">
        <f>INDEX(VAV_Schedule_5_21[#All], MATCH(Joined!G239, VAV_Schedule_5_21[[#All],[UNIT TAG]], 0), 9)</f>
        <v>7</v>
      </c>
      <c r="I239" t="str">
        <f t="shared" si="18"/>
        <v>WPC.VAV-7E-21</v>
      </c>
      <c r="J239" t="str">
        <f t="shared" si="19"/>
        <v>7E</v>
      </c>
      <c r="L239">
        <f>INDEX(Schedule!$A:$J, MATCH(Joined!$G239, Schedule!$B:$B, 0), 5)</f>
        <v>805</v>
      </c>
      <c r="M239">
        <f>INDEX(Schedule!$A:$J, MATCH(Joined!$G239, Schedule!$B:$B, 0), 6)</f>
        <v>165</v>
      </c>
    </row>
    <row r="240" spans="1:13" x14ac:dyDescent="0.2">
      <c r="A240">
        <f>INDEX(PanelInstance!B:D, MATCH(Joined!J240, PanelInstance!D:D, FALSE), 2)</f>
        <v>151700</v>
      </c>
      <c r="B240" t="s">
        <v>291</v>
      </c>
      <c r="C240">
        <f>COUNTIF($D$3:D240, RIGHT(LEFT(A240,4),3))</f>
        <v>10</v>
      </c>
      <c r="D240" t="str">
        <f t="shared" si="16"/>
        <v>517</v>
      </c>
      <c r="E240">
        <f t="shared" si="17"/>
        <v>151710</v>
      </c>
      <c r="F240">
        <f>INDEX(Schedule!$A:$N, MATCH(Joined!$G240, Schedule!$B:$B,0),14)</f>
        <v>15011</v>
      </c>
      <c r="G240" t="s">
        <v>356</v>
      </c>
      <c r="H240">
        <f>INDEX(VAV_Schedule_5_21[#All], MATCH(Joined!G240, VAV_Schedule_5_21[[#All],[UNIT TAG]], 0), 9)</f>
        <v>7</v>
      </c>
      <c r="I240" t="str">
        <f t="shared" si="18"/>
        <v>WPC.VAV-7E-22</v>
      </c>
      <c r="J240" t="str">
        <f t="shared" si="19"/>
        <v>7E</v>
      </c>
      <c r="L240">
        <f>INDEX(Schedule!$A:$J, MATCH(Joined!$G240, Schedule!$B:$B, 0), 5)</f>
        <v>1050</v>
      </c>
      <c r="M240">
        <f>INDEX(Schedule!$A:$J, MATCH(Joined!$G240, Schedule!$B:$B, 0), 6)</f>
        <v>210</v>
      </c>
    </row>
    <row r="241" spans="1:13" x14ac:dyDescent="0.2">
      <c r="A241">
        <f>INDEX(PanelInstance!B:D, MATCH(Joined!J241, PanelInstance!D:D, FALSE), 2)</f>
        <v>151700</v>
      </c>
      <c r="B241" t="s">
        <v>291</v>
      </c>
      <c r="C241">
        <f>COUNTIF($D$3:D241, RIGHT(LEFT(A241,4),3))</f>
        <v>11</v>
      </c>
      <c r="D241" t="str">
        <f t="shared" si="16"/>
        <v>517</v>
      </c>
      <c r="E241">
        <f t="shared" si="17"/>
        <v>151711</v>
      </c>
      <c r="F241">
        <f>INDEX(Schedule!$A:$N, MATCH(Joined!$G241, Schedule!$B:$B,0),14)</f>
        <v>15010</v>
      </c>
      <c r="G241" t="s">
        <v>357</v>
      </c>
      <c r="H241">
        <f>INDEX(VAV_Schedule_5_21[#All], MATCH(Joined!G241, VAV_Schedule_5_21[[#All],[UNIT TAG]], 0), 9)</f>
        <v>7</v>
      </c>
      <c r="I241" t="str">
        <f t="shared" si="18"/>
        <v>WPC.VAV-7E-23</v>
      </c>
      <c r="J241" t="str">
        <f t="shared" si="19"/>
        <v>7E</v>
      </c>
      <c r="L241">
        <f>INDEX(Schedule!$A:$J, MATCH(Joined!$G241, Schedule!$B:$B, 0), 5)</f>
        <v>200</v>
      </c>
      <c r="M241">
        <f>INDEX(Schedule!$A:$J, MATCH(Joined!$G241, Schedule!$B:$B, 0), 6)</f>
        <v>40</v>
      </c>
    </row>
    <row r="242" spans="1:13" x14ac:dyDescent="0.2">
      <c r="A242">
        <f>INDEX(PanelInstance!B:D, MATCH(Joined!J242, PanelInstance!D:D, FALSE), 2)</f>
        <v>151700</v>
      </c>
      <c r="B242" t="s">
        <v>291</v>
      </c>
      <c r="C242">
        <f>COUNTIF($D$3:D242, RIGHT(LEFT(A242,4),3))</f>
        <v>12</v>
      </c>
      <c r="D242" t="str">
        <f t="shared" si="16"/>
        <v>517</v>
      </c>
      <c r="E242">
        <f t="shared" si="17"/>
        <v>151712</v>
      </c>
      <c r="F242">
        <f>INDEX(Schedule!$A:$N, MATCH(Joined!$G242, Schedule!$B:$B,0),14)</f>
        <v>15011</v>
      </c>
      <c r="G242" t="s">
        <v>358</v>
      </c>
      <c r="H242">
        <f>INDEX(VAV_Schedule_5_21[#All], MATCH(Joined!G242, VAV_Schedule_5_21[[#All],[UNIT TAG]], 0), 9)</f>
        <v>7</v>
      </c>
      <c r="I242" t="str">
        <f t="shared" si="18"/>
        <v>WPC.VAV-7E-24</v>
      </c>
      <c r="J242" t="str">
        <f t="shared" si="19"/>
        <v>7E</v>
      </c>
      <c r="L242">
        <f>INDEX(Schedule!$A:$J, MATCH(Joined!$G242, Schedule!$B:$B, 0), 5)</f>
        <v>640</v>
      </c>
      <c r="M242">
        <f>INDEX(Schedule!$A:$J, MATCH(Joined!$G242, Schedule!$B:$B, 0), 6)</f>
        <v>130</v>
      </c>
    </row>
    <row r="243" spans="1:13" x14ac:dyDescent="0.2">
      <c r="A243">
        <f>INDEX(PanelInstance!B:D, MATCH(Joined!J243, PanelInstance!D:D, FALSE), 2)</f>
        <v>151700</v>
      </c>
      <c r="B243" t="s">
        <v>291</v>
      </c>
      <c r="C243">
        <f>COUNTIF($D$3:D243, RIGHT(LEFT(A243,4),3))</f>
        <v>13</v>
      </c>
      <c r="D243" t="str">
        <f t="shared" si="16"/>
        <v>517</v>
      </c>
      <c r="E243">
        <f t="shared" si="17"/>
        <v>151713</v>
      </c>
      <c r="F243">
        <f>INDEX(Schedule!$A:$N, MATCH(Joined!$G243, Schedule!$B:$B,0),14)</f>
        <v>15011</v>
      </c>
      <c r="G243" t="s">
        <v>359</v>
      </c>
      <c r="H243">
        <f>INDEX(VAV_Schedule_5_21[#All], MATCH(Joined!G243, VAV_Schedule_5_21[[#All],[UNIT TAG]], 0), 9)</f>
        <v>7</v>
      </c>
      <c r="I243" t="str">
        <f t="shared" si="18"/>
        <v>WPC.VAV-7E-25</v>
      </c>
      <c r="J243" t="str">
        <f t="shared" si="19"/>
        <v>7E</v>
      </c>
      <c r="L243">
        <f>INDEX(Schedule!$A:$J, MATCH(Joined!$G243, Schedule!$B:$B, 0), 5)</f>
        <v>860</v>
      </c>
      <c r="M243">
        <f>INDEX(Schedule!$A:$J, MATCH(Joined!$G243, Schedule!$B:$B, 0), 6)</f>
        <v>175</v>
      </c>
    </row>
    <row r="244" spans="1:13" x14ac:dyDescent="0.2">
      <c r="A244">
        <f>INDEX(PanelInstance!B:D, MATCH(Joined!J244, PanelInstance!D:D, FALSE), 2)</f>
        <v>151700</v>
      </c>
      <c r="B244" t="s">
        <v>291</v>
      </c>
      <c r="C244">
        <f>COUNTIF($D$3:D244, RIGHT(LEFT(A244,4),3))</f>
        <v>14</v>
      </c>
      <c r="D244" t="str">
        <f t="shared" si="16"/>
        <v>517</v>
      </c>
      <c r="E244">
        <f t="shared" si="17"/>
        <v>151714</v>
      </c>
      <c r="F244">
        <f>INDEX(Schedule!$A:$N, MATCH(Joined!$G244, Schedule!$B:$B,0),14)</f>
        <v>15011</v>
      </c>
      <c r="G244" t="s">
        <v>360</v>
      </c>
      <c r="H244">
        <f>INDEX(VAV_Schedule_5_21[#All], MATCH(Joined!G244, VAV_Schedule_5_21[[#All],[UNIT TAG]], 0), 9)</f>
        <v>7</v>
      </c>
      <c r="I244" t="str">
        <f t="shared" si="18"/>
        <v>WPC.VAV-7E-26</v>
      </c>
      <c r="J244" t="str">
        <f t="shared" si="19"/>
        <v>7E</v>
      </c>
      <c r="L244">
        <f>INDEX(Schedule!$A:$J, MATCH(Joined!$G244, Schedule!$B:$B, 0), 5)</f>
        <v>640</v>
      </c>
      <c r="M244">
        <f>INDEX(Schedule!$A:$J, MATCH(Joined!$G244, Schedule!$B:$B, 0), 6)</f>
        <v>130</v>
      </c>
    </row>
    <row r="245" spans="1:13" x14ac:dyDescent="0.2">
      <c r="A245">
        <f>INDEX(PanelInstance!B:D, MATCH(Joined!J245, PanelInstance!D:D, FALSE), 2)</f>
        <v>151700</v>
      </c>
      <c r="B245" t="s">
        <v>291</v>
      </c>
      <c r="C245">
        <f>COUNTIF($D$3:D245, RIGHT(LEFT(A245,4),3))</f>
        <v>15</v>
      </c>
      <c r="D245" t="str">
        <f t="shared" si="16"/>
        <v>517</v>
      </c>
      <c r="E245">
        <f t="shared" si="17"/>
        <v>151715</v>
      </c>
      <c r="F245">
        <f>INDEX(Schedule!$A:$N, MATCH(Joined!$G245, Schedule!$B:$B,0),14)</f>
        <v>15010</v>
      </c>
      <c r="G245" t="s">
        <v>361</v>
      </c>
      <c r="H245">
        <f>INDEX(VAV_Schedule_5_21[#All], MATCH(Joined!G245, VAV_Schedule_5_21[[#All],[UNIT TAG]], 0), 9)</f>
        <v>7</v>
      </c>
      <c r="I245" t="str">
        <f t="shared" si="18"/>
        <v>WPC.VAV-7E-27</v>
      </c>
      <c r="J245" t="str">
        <f t="shared" si="19"/>
        <v>7E</v>
      </c>
      <c r="L245">
        <f>INDEX(Schedule!$A:$J, MATCH(Joined!$G245, Schedule!$B:$B, 0), 5)</f>
        <v>1310</v>
      </c>
      <c r="M245">
        <f>INDEX(Schedule!$A:$J, MATCH(Joined!$G245, Schedule!$B:$B, 0), 6)</f>
        <v>265</v>
      </c>
    </row>
    <row r="246" spans="1:13" x14ac:dyDescent="0.2">
      <c r="A246">
        <f>INDEX(PanelInstance!B:D, MATCH(Joined!J246, PanelInstance!D:D, FALSE), 2)</f>
        <v>151700</v>
      </c>
      <c r="B246" t="s">
        <v>291</v>
      </c>
      <c r="C246">
        <f>COUNTIF($D$3:D246, RIGHT(LEFT(A246,4),3))</f>
        <v>16</v>
      </c>
      <c r="D246" t="str">
        <f t="shared" si="16"/>
        <v>517</v>
      </c>
      <c r="E246">
        <f t="shared" si="17"/>
        <v>151716</v>
      </c>
      <c r="F246">
        <f>INDEX(Schedule!$A:$N, MATCH(Joined!$G246, Schedule!$B:$B,0),14)</f>
        <v>15010</v>
      </c>
      <c r="G246" t="s">
        <v>362</v>
      </c>
      <c r="H246">
        <f>INDEX(VAV_Schedule_5_21[#All], MATCH(Joined!G246, VAV_Schedule_5_21[[#All],[UNIT TAG]], 0), 9)</f>
        <v>7</v>
      </c>
      <c r="I246" t="str">
        <f t="shared" si="18"/>
        <v>WPC.VAV-7E-28</v>
      </c>
      <c r="J246" t="str">
        <f t="shared" si="19"/>
        <v>7E</v>
      </c>
      <c r="L246">
        <f>INDEX(Schedule!$A:$J, MATCH(Joined!$G246, Schedule!$B:$B, 0), 5)</f>
        <v>1510</v>
      </c>
      <c r="M246">
        <f>INDEX(Schedule!$A:$J, MATCH(Joined!$G246, Schedule!$B:$B, 0), 6)</f>
        <v>305</v>
      </c>
    </row>
    <row r="247" spans="1:13" x14ac:dyDescent="0.2">
      <c r="A247">
        <f>INDEX(PanelInstance!B:D, MATCH(Joined!J247, PanelInstance!D:D, FALSE), 2)</f>
        <v>151700</v>
      </c>
      <c r="B247" t="s">
        <v>291</v>
      </c>
      <c r="C247">
        <f>COUNTIF($D$3:D247, RIGHT(LEFT(A247,4),3))</f>
        <v>17</v>
      </c>
      <c r="D247" t="str">
        <f t="shared" si="16"/>
        <v>517</v>
      </c>
      <c r="E247">
        <f t="shared" si="17"/>
        <v>151717</v>
      </c>
      <c r="F247">
        <f>INDEX(Schedule!$A:$N, MATCH(Joined!$G247, Schedule!$B:$B,0),14)</f>
        <v>15010</v>
      </c>
      <c r="G247" t="s">
        <v>363</v>
      </c>
      <c r="H247">
        <f>INDEX(VAV_Schedule_5_21[#All], MATCH(Joined!G247, VAV_Schedule_5_21[[#All],[UNIT TAG]], 0), 9)</f>
        <v>7</v>
      </c>
      <c r="I247" t="str">
        <f t="shared" si="18"/>
        <v>WPC.VAV-7E-29</v>
      </c>
      <c r="J247" t="str">
        <f t="shared" si="19"/>
        <v>7E</v>
      </c>
      <c r="L247">
        <f>INDEX(Schedule!$A:$J, MATCH(Joined!$G247, Schedule!$B:$B, 0), 5)</f>
        <v>925</v>
      </c>
      <c r="M247">
        <f>INDEX(Schedule!$A:$J, MATCH(Joined!$G247, Schedule!$B:$B, 0), 6)</f>
        <v>0</v>
      </c>
    </row>
    <row r="248" spans="1:13" x14ac:dyDescent="0.2">
      <c r="A248">
        <f>INDEX(PanelInstance!B:D, MATCH(Joined!J248, PanelInstance!D:D, FALSE), 2)</f>
        <v>151700</v>
      </c>
      <c r="B248" t="s">
        <v>291</v>
      </c>
      <c r="C248">
        <f>COUNTIF($D$3:D248, RIGHT(LEFT(A248,4),3))</f>
        <v>18</v>
      </c>
      <c r="D248" t="str">
        <f t="shared" si="16"/>
        <v>517</v>
      </c>
      <c r="E248">
        <f t="shared" si="17"/>
        <v>151718</v>
      </c>
      <c r="F248">
        <f>INDEX(Schedule!$A:$N, MATCH(Joined!$G248, Schedule!$B:$B,0),14)</f>
        <v>15011</v>
      </c>
      <c r="G248" t="s">
        <v>364</v>
      </c>
      <c r="H248">
        <f>INDEX(VAV_Schedule_5_21[#All], MATCH(Joined!G248, VAV_Schedule_5_21[[#All],[UNIT TAG]], 0), 9)</f>
        <v>7</v>
      </c>
      <c r="I248" t="str">
        <f t="shared" si="18"/>
        <v>WPC.VAV-7E-30</v>
      </c>
      <c r="J248" t="str">
        <f t="shared" si="19"/>
        <v>7E</v>
      </c>
      <c r="L248">
        <f>INDEX(Schedule!$A:$J, MATCH(Joined!$G248, Schedule!$B:$B, 0), 5)</f>
        <v>800</v>
      </c>
      <c r="M248">
        <f>INDEX(Schedule!$A:$J, MATCH(Joined!$G248, Schedule!$B:$B, 0), 6)</f>
        <v>160</v>
      </c>
    </row>
    <row r="249" spans="1:13" x14ac:dyDescent="0.2">
      <c r="A249">
        <f>INDEX(PanelInstance!B:D, MATCH(Joined!J249, PanelInstance!D:D, FALSE), 2)</f>
        <v>151700</v>
      </c>
      <c r="B249" t="s">
        <v>291</v>
      </c>
      <c r="C249">
        <f>COUNTIF($D$3:D249, RIGHT(LEFT(A249,4),3))</f>
        <v>19</v>
      </c>
      <c r="D249" t="str">
        <f t="shared" si="16"/>
        <v>517</v>
      </c>
      <c r="E249">
        <f t="shared" si="17"/>
        <v>151719</v>
      </c>
      <c r="F249">
        <f>INDEX(Schedule!$A:$N, MATCH(Joined!$G249, Schedule!$B:$B,0),14)</f>
        <v>15011</v>
      </c>
      <c r="G249" t="s">
        <v>365</v>
      </c>
      <c r="H249">
        <f>INDEX(VAV_Schedule_5_21[#All], MATCH(Joined!G249, VAV_Schedule_5_21[[#All],[UNIT TAG]], 0), 9)</f>
        <v>7</v>
      </c>
      <c r="I249" t="str">
        <f t="shared" si="18"/>
        <v>WPC.VAV-7E-31</v>
      </c>
      <c r="J249" t="str">
        <f t="shared" si="19"/>
        <v>7E</v>
      </c>
      <c r="L249">
        <f>INDEX(Schedule!$A:$J, MATCH(Joined!$G249, Schedule!$B:$B, 0), 5)</f>
        <v>1400</v>
      </c>
      <c r="M249">
        <f>INDEX(Schedule!$A:$J, MATCH(Joined!$G249, Schedule!$B:$B, 0), 6)</f>
        <v>280</v>
      </c>
    </row>
    <row r="250" spans="1:13" x14ac:dyDescent="0.2">
      <c r="A250">
        <f>INDEX(PanelInstance!B:D, MATCH(Joined!J250, PanelInstance!D:D, FALSE), 2)</f>
        <v>151800</v>
      </c>
      <c r="B250" t="s">
        <v>291</v>
      </c>
      <c r="C250">
        <f>COUNTIF($D$3:D250, RIGHT(LEFT(A250,4),3))</f>
        <v>5</v>
      </c>
      <c r="D250" t="str">
        <f t="shared" si="16"/>
        <v>518</v>
      </c>
      <c r="E250">
        <f t="shared" si="17"/>
        <v>151805</v>
      </c>
      <c r="F250">
        <f>INDEX(Schedule!$A:$N, MATCH(Joined!$G250, Schedule!$B:$B,0),14)</f>
        <v>15010</v>
      </c>
      <c r="G250" t="s">
        <v>366</v>
      </c>
      <c r="H250">
        <f>INDEX(VAV_Schedule_5_21[#All], MATCH(Joined!G250, VAV_Schedule_5_21[[#All],[UNIT TAG]], 0), 9)</f>
        <v>7</v>
      </c>
      <c r="I250" t="str">
        <f t="shared" si="18"/>
        <v>WPC.VAV-7W-32</v>
      </c>
      <c r="J250" t="str">
        <f t="shared" si="19"/>
        <v>7W</v>
      </c>
      <c r="L250">
        <f>INDEX(Schedule!$A:$J, MATCH(Joined!$G250, Schedule!$B:$B, 0), 5)</f>
        <v>560</v>
      </c>
      <c r="M250">
        <f>INDEX(Schedule!$A:$J, MATCH(Joined!$G250, Schedule!$B:$B, 0), 6)</f>
        <v>115</v>
      </c>
    </row>
    <row r="251" spans="1:13" x14ac:dyDescent="0.2">
      <c r="A251">
        <f>INDEX(PanelInstance!B:D, MATCH(Joined!J251, PanelInstance!D:D, FALSE), 2)</f>
        <v>151800</v>
      </c>
      <c r="B251" t="s">
        <v>291</v>
      </c>
      <c r="C251">
        <f>COUNTIF($D$3:D251, RIGHT(LEFT(A251,4),3))</f>
        <v>6</v>
      </c>
      <c r="D251" t="str">
        <f t="shared" si="16"/>
        <v>518</v>
      </c>
      <c r="E251">
        <f t="shared" si="17"/>
        <v>151806</v>
      </c>
      <c r="F251">
        <f>INDEX(Schedule!$A:$N, MATCH(Joined!$G251, Schedule!$B:$B,0),14)</f>
        <v>15010</v>
      </c>
      <c r="G251" t="s">
        <v>367</v>
      </c>
      <c r="H251">
        <f>INDEX(VAV_Schedule_5_21[#All], MATCH(Joined!G251, VAV_Schedule_5_21[[#All],[UNIT TAG]], 0), 9)</f>
        <v>7</v>
      </c>
      <c r="I251" t="str">
        <f t="shared" si="18"/>
        <v>WPC.VAV-7W-33</v>
      </c>
      <c r="J251" t="str">
        <f t="shared" si="19"/>
        <v>7W</v>
      </c>
      <c r="L251">
        <f>INDEX(Schedule!$A:$J, MATCH(Joined!$G251, Schedule!$B:$B, 0), 5)</f>
        <v>1350</v>
      </c>
      <c r="M251">
        <f>INDEX(Schedule!$A:$J, MATCH(Joined!$G251, Schedule!$B:$B, 0), 6)</f>
        <v>270</v>
      </c>
    </row>
    <row r="252" spans="1:13" x14ac:dyDescent="0.2">
      <c r="A252">
        <f>INDEX(PanelInstance!B:D, MATCH(Joined!J252, PanelInstance!D:D, FALSE), 2)</f>
        <v>151800</v>
      </c>
      <c r="B252" t="s">
        <v>291</v>
      </c>
      <c r="C252">
        <f>COUNTIF($D$3:D252, RIGHT(LEFT(A252,4),3))</f>
        <v>7</v>
      </c>
      <c r="D252" t="str">
        <f t="shared" si="16"/>
        <v>518</v>
      </c>
      <c r="E252">
        <f t="shared" si="17"/>
        <v>151807</v>
      </c>
      <c r="F252">
        <f>INDEX(Schedule!$A:$N, MATCH(Joined!$G252, Schedule!$B:$B,0),14)</f>
        <v>15011</v>
      </c>
      <c r="G252" t="s">
        <v>368</v>
      </c>
      <c r="H252">
        <f>INDEX(VAV_Schedule_5_21[#All], MATCH(Joined!G252, VAV_Schedule_5_21[[#All],[UNIT TAG]], 0), 9)</f>
        <v>7</v>
      </c>
      <c r="I252" t="str">
        <f t="shared" si="18"/>
        <v>WPC.VAV-7W-34</v>
      </c>
      <c r="J252" t="str">
        <f t="shared" si="19"/>
        <v>7W</v>
      </c>
      <c r="L252">
        <f>INDEX(Schedule!$A:$J, MATCH(Joined!$G252, Schedule!$B:$B, 0), 5)</f>
        <v>800</v>
      </c>
      <c r="M252">
        <f>INDEX(Schedule!$A:$J, MATCH(Joined!$G252, Schedule!$B:$B, 0), 6)</f>
        <v>160</v>
      </c>
    </row>
    <row r="253" spans="1:13" x14ac:dyDescent="0.2">
      <c r="A253">
        <f>INDEX(PanelInstance!B:D, MATCH(Joined!J253, PanelInstance!D:D, FALSE), 2)</f>
        <v>151800</v>
      </c>
      <c r="B253" t="s">
        <v>291</v>
      </c>
      <c r="C253">
        <f>COUNTIF($D$3:D253, RIGHT(LEFT(A253,4),3))</f>
        <v>8</v>
      </c>
      <c r="D253" t="str">
        <f t="shared" si="16"/>
        <v>518</v>
      </c>
      <c r="E253">
        <f t="shared" si="17"/>
        <v>151808</v>
      </c>
      <c r="F253">
        <f>INDEX(Schedule!$A:$N, MATCH(Joined!$G253, Schedule!$B:$B,0),14)</f>
        <v>15011</v>
      </c>
      <c r="G253" t="s">
        <v>369</v>
      </c>
      <c r="H253">
        <f>INDEX(VAV_Schedule_5_21[#All], MATCH(Joined!G253, VAV_Schedule_5_21[[#All],[UNIT TAG]], 0), 9)</f>
        <v>7</v>
      </c>
      <c r="I253" t="str">
        <f t="shared" si="18"/>
        <v>WPC.VAV-7W-35</v>
      </c>
      <c r="J253" t="str">
        <f t="shared" si="19"/>
        <v>7W</v>
      </c>
      <c r="L253">
        <f>INDEX(Schedule!$A:$J, MATCH(Joined!$G253, Schedule!$B:$B, 0), 5)</f>
        <v>640</v>
      </c>
      <c r="M253">
        <f>INDEX(Schedule!$A:$J, MATCH(Joined!$G253, Schedule!$B:$B, 0), 6)</f>
        <v>130</v>
      </c>
    </row>
    <row r="254" spans="1:13" x14ac:dyDescent="0.2">
      <c r="A254">
        <f>INDEX(PanelInstance!B:D, MATCH(Joined!J254, PanelInstance!D:D, FALSE), 2)</f>
        <v>151800</v>
      </c>
      <c r="B254" t="s">
        <v>291</v>
      </c>
      <c r="C254">
        <f>COUNTIF($D$3:D254, RIGHT(LEFT(A254,4),3))</f>
        <v>9</v>
      </c>
      <c r="D254" t="str">
        <f t="shared" si="16"/>
        <v>518</v>
      </c>
      <c r="E254">
        <f t="shared" si="17"/>
        <v>151809</v>
      </c>
      <c r="F254">
        <f>INDEX(Schedule!$A:$N, MATCH(Joined!$G254, Schedule!$B:$B,0),14)</f>
        <v>15011</v>
      </c>
      <c r="G254" t="s">
        <v>370</v>
      </c>
      <c r="H254">
        <f>INDEX(VAV_Schedule_5_21[#All], MATCH(Joined!G254, VAV_Schedule_5_21[[#All],[UNIT TAG]], 0), 9)</f>
        <v>7</v>
      </c>
      <c r="I254" t="str">
        <f t="shared" si="18"/>
        <v>WPC.VAV-7W-36</v>
      </c>
      <c r="J254" t="str">
        <f t="shared" si="19"/>
        <v>7W</v>
      </c>
      <c r="L254">
        <f>INDEX(Schedule!$A:$J, MATCH(Joined!$G254, Schedule!$B:$B, 0), 5)</f>
        <v>860</v>
      </c>
      <c r="M254">
        <f>INDEX(Schedule!$A:$J, MATCH(Joined!$G254, Schedule!$B:$B, 0), 6)</f>
        <v>175</v>
      </c>
    </row>
    <row r="255" spans="1:13" x14ac:dyDescent="0.2">
      <c r="A255">
        <f>INDEX(PanelInstance!B:D, MATCH(Joined!J255, PanelInstance!D:D, FALSE), 2)</f>
        <v>151800</v>
      </c>
      <c r="B255" t="s">
        <v>291</v>
      </c>
      <c r="C255">
        <f>COUNTIF($D$3:D255, RIGHT(LEFT(A255,4),3))</f>
        <v>10</v>
      </c>
      <c r="D255" t="str">
        <f t="shared" si="16"/>
        <v>518</v>
      </c>
      <c r="E255">
        <f t="shared" si="17"/>
        <v>151810</v>
      </c>
      <c r="F255">
        <f>INDEX(Schedule!$A:$N, MATCH(Joined!$G255, Schedule!$B:$B,0),14)</f>
        <v>15011</v>
      </c>
      <c r="G255" t="s">
        <v>371</v>
      </c>
      <c r="H255">
        <f>INDEX(VAV_Schedule_5_21[#All], MATCH(Joined!G255, VAV_Schedule_5_21[[#All],[UNIT TAG]], 0), 9)</f>
        <v>7</v>
      </c>
      <c r="I255" t="str">
        <f t="shared" si="18"/>
        <v>WPC.VAV-7W-37</v>
      </c>
      <c r="J255" t="str">
        <f t="shared" si="19"/>
        <v>7W</v>
      </c>
      <c r="L255">
        <f>INDEX(Schedule!$A:$J, MATCH(Joined!$G255, Schedule!$B:$B, 0), 5)</f>
        <v>700</v>
      </c>
      <c r="M255">
        <f>INDEX(Schedule!$A:$J, MATCH(Joined!$G255, Schedule!$B:$B, 0), 6)</f>
        <v>140</v>
      </c>
    </row>
    <row r="256" spans="1:13" x14ac:dyDescent="0.2">
      <c r="A256">
        <f>INDEX(PanelInstance!B:D, MATCH(Joined!J256, PanelInstance!D:D, FALSE), 2)</f>
        <v>151800</v>
      </c>
      <c r="B256" t="s">
        <v>291</v>
      </c>
      <c r="C256">
        <f>COUNTIF($D$3:D256, RIGHT(LEFT(A256,4),3))</f>
        <v>11</v>
      </c>
      <c r="D256" t="str">
        <f t="shared" si="16"/>
        <v>518</v>
      </c>
      <c r="E256">
        <f t="shared" si="17"/>
        <v>151811</v>
      </c>
      <c r="F256">
        <f>INDEX(Schedule!$A:$N, MATCH(Joined!$G256, Schedule!$B:$B,0),14)</f>
        <v>15010</v>
      </c>
      <c r="G256" t="s">
        <v>372</v>
      </c>
      <c r="H256">
        <f>INDEX(VAV_Schedule_5_21[#All], MATCH(Joined!G256, VAV_Schedule_5_21[[#All],[UNIT TAG]], 0), 9)</f>
        <v>7</v>
      </c>
      <c r="I256" t="str">
        <f t="shared" si="18"/>
        <v>WPC.VAV-7W-38</v>
      </c>
      <c r="J256" t="str">
        <f t="shared" si="19"/>
        <v>7W</v>
      </c>
      <c r="L256">
        <f>INDEX(Schedule!$A:$J, MATCH(Joined!$G256, Schedule!$B:$B, 0), 5)</f>
        <v>1200</v>
      </c>
      <c r="M256">
        <f>INDEX(Schedule!$A:$J, MATCH(Joined!$G256, Schedule!$B:$B, 0), 6)</f>
        <v>240</v>
      </c>
    </row>
    <row r="257" spans="1:13" x14ac:dyDescent="0.2">
      <c r="A257">
        <f>INDEX(PanelInstance!B:D, MATCH(Joined!J257, PanelInstance!D:D, FALSE), 2)</f>
        <v>151800</v>
      </c>
      <c r="B257" t="s">
        <v>291</v>
      </c>
      <c r="C257">
        <f>COUNTIF($D$3:D257, RIGHT(LEFT(A257,4),3))</f>
        <v>12</v>
      </c>
      <c r="D257" t="str">
        <f t="shared" si="16"/>
        <v>518</v>
      </c>
      <c r="E257">
        <f t="shared" si="17"/>
        <v>151812</v>
      </c>
      <c r="F257">
        <f>INDEX(Schedule!$A:$N, MATCH(Joined!$G257, Schedule!$B:$B,0),14)</f>
        <v>15010</v>
      </c>
      <c r="G257" t="s">
        <v>373</v>
      </c>
      <c r="H257">
        <f>INDEX(VAV_Schedule_5_21[#All], MATCH(Joined!G257, VAV_Schedule_5_21[[#All],[UNIT TAG]], 0), 9)</f>
        <v>7</v>
      </c>
      <c r="I257" t="str">
        <f t="shared" si="18"/>
        <v>WPC.VAV-7W-39</v>
      </c>
      <c r="J257" t="str">
        <f t="shared" si="19"/>
        <v>7W</v>
      </c>
      <c r="L257">
        <f>INDEX(Schedule!$A:$J, MATCH(Joined!$G257, Schedule!$B:$B, 0), 5)</f>
        <v>1040</v>
      </c>
      <c r="M257">
        <f>INDEX(Schedule!$A:$J, MATCH(Joined!$G257, Schedule!$B:$B, 0), 6)</f>
        <v>210</v>
      </c>
    </row>
    <row r="258" spans="1:13" x14ac:dyDescent="0.2">
      <c r="A258">
        <f>INDEX(PanelInstance!B:D, MATCH(Joined!J258, PanelInstance!D:D, FALSE), 2)</f>
        <v>151800</v>
      </c>
      <c r="B258" t="s">
        <v>291</v>
      </c>
      <c r="C258">
        <f>COUNTIF($D$3:D258, RIGHT(LEFT(A258,4),3))</f>
        <v>13</v>
      </c>
      <c r="D258" t="str">
        <f t="shared" si="16"/>
        <v>518</v>
      </c>
      <c r="E258">
        <f t="shared" si="17"/>
        <v>151813</v>
      </c>
      <c r="F258">
        <f>INDEX(Schedule!$A:$N, MATCH(Joined!$G258, Schedule!$B:$B,0),14)</f>
        <v>15010</v>
      </c>
      <c r="G258" t="s">
        <v>374</v>
      </c>
      <c r="H258">
        <f>INDEX(VAV_Schedule_5_21[#All], MATCH(Joined!G258, VAV_Schedule_5_21[[#All],[UNIT TAG]], 0), 9)</f>
        <v>7</v>
      </c>
      <c r="I258" t="str">
        <f t="shared" si="18"/>
        <v>WPC.VAV-7W-40</v>
      </c>
      <c r="J258" t="str">
        <f t="shared" si="19"/>
        <v>7W</v>
      </c>
      <c r="L258">
        <f>INDEX(Schedule!$A:$J, MATCH(Joined!$G258, Schedule!$B:$B, 0), 5)</f>
        <v>200</v>
      </c>
      <c r="M258">
        <f>INDEX(Schedule!$A:$J, MATCH(Joined!$G258, Schedule!$B:$B, 0), 6)</f>
        <v>40</v>
      </c>
    </row>
    <row r="259" spans="1:13" x14ac:dyDescent="0.2">
      <c r="A259">
        <f>INDEX(PanelInstance!B:D, MATCH(Joined!J259, PanelInstance!D:D, FALSE), 2)</f>
        <v>151800</v>
      </c>
      <c r="B259" t="s">
        <v>291</v>
      </c>
      <c r="C259">
        <f>COUNTIF($D$3:D259, RIGHT(LEFT(A259,4),3))</f>
        <v>14</v>
      </c>
      <c r="D259" t="str">
        <f t="shared" ref="D259:D322" si="20">RIGHT(LEFT(A259, 4),3)</f>
        <v>518</v>
      </c>
      <c r="E259">
        <f t="shared" ref="E259:E322" si="21">A259+C259</f>
        <v>151814</v>
      </c>
      <c r="F259">
        <f>INDEX(Schedule!$A:$N, MATCH(Joined!$G259, Schedule!$B:$B,0),14)</f>
        <v>15011</v>
      </c>
      <c r="G259" t="s">
        <v>375</v>
      </c>
      <c r="H259">
        <f>INDEX(VAV_Schedule_5_21[#All], MATCH(Joined!G259, VAV_Schedule_5_21[[#All],[UNIT TAG]], 0), 9)</f>
        <v>7</v>
      </c>
      <c r="I259" t="str">
        <f t="shared" ref="I259:I322" si="22">"WPC." &amp; G259</f>
        <v>WPC.VAV-7W-41</v>
      </c>
      <c r="J259" t="str">
        <f t="shared" si="19"/>
        <v>7W</v>
      </c>
      <c r="L259">
        <f>INDEX(Schedule!$A:$J, MATCH(Joined!$G259, Schedule!$B:$B, 0), 5)</f>
        <v>1220</v>
      </c>
      <c r="M259">
        <f>INDEX(Schedule!$A:$J, MATCH(Joined!$G259, Schedule!$B:$B, 0), 6)</f>
        <v>245</v>
      </c>
    </row>
    <row r="260" spans="1:13" x14ac:dyDescent="0.2">
      <c r="A260">
        <f>INDEX(PanelInstance!B:D, MATCH(Joined!J260, PanelInstance!D:D, FALSE), 2)</f>
        <v>151800</v>
      </c>
      <c r="B260" t="s">
        <v>291</v>
      </c>
      <c r="C260">
        <f>COUNTIF($D$3:D260, RIGHT(LEFT(A260,4),3))</f>
        <v>15</v>
      </c>
      <c r="D260" t="str">
        <f t="shared" si="20"/>
        <v>518</v>
      </c>
      <c r="E260">
        <f t="shared" si="21"/>
        <v>151815</v>
      </c>
      <c r="F260">
        <f>INDEX(Schedule!$A:$N, MATCH(Joined!$G260, Schedule!$B:$B,0),14)</f>
        <v>15011</v>
      </c>
      <c r="G260" t="s">
        <v>376</v>
      </c>
      <c r="H260">
        <f>INDEX(VAV_Schedule_5_21[#All], MATCH(Joined!G260, VAV_Schedule_5_21[[#All],[UNIT TAG]], 0), 9)</f>
        <v>7</v>
      </c>
      <c r="I260" t="str">
        <f t="shared" si="22"/>
        <v>WPC.VAV-7W-42</v>
      </c>
      <c r="J260" t="str">
        <f t="shared" ref="J260:J323" si="23">LEFT(RIGHT($G260, LEN($G260) - FIND("-", $G260)), FIND("-", RIGHT($G260, LEN($G260) - FIND("-", $G260)))-1)</f>
        <v>7W</v>
      </c>
      <c r="L260">
        <f>INDEX(Schedule!$A:$J, MATCH(Joined!$G260, Schedule!$B:$B, 0), 5)</f>
        <v>940</v>
      </c>
      <c r="M260">
        <f>INDEX(Schedule!$A:$J, MATCH(Joined!$G260, Schedule!$B:$B, 0), 6)</f>
        <v>190</v>
      </c>
    </row>
    <row r="261" spans="1:13" x14ac:dyDescent="0.2">
      <c r="A261">
        <f>INDEX(PanelInstance!B:D, MATCH(Joined!J261, PanelInstance!D:D, FALSE), 2)</f>
        <v>151800</v>
      </c>
      <c r="B261" t="s">
        <v>291</v>
      </c>
      <c r="C261">
        <f>COUNTIF($D$3:D261, RIGHT(LEFT(A261,4),3))</f>
        <v>16</v>
      </c>
      <c r="D261" t="str">
        <f t="shared" si="20"/>
        <v>518</v>
      </c>
      <c r="E261">
        <f t="shared" si="21"/>
        <v>151816</v>
      </c>
      <c r="F261">
        <f>INDEX(Schedule!$A:$N, MATCH(Joined!$G261, Schedule!$B:$B,0),14)</f>
        <v>15011</v>
      </c>
      <c r="G261" t="s">
        <v>377</v>
      </c>
      <c r="H261">
        <f>INDEX(VAV_Schedule_5_21[#All], MATCH(Joined!G261, VAV_Schedule_5_21[[#All],[UNIT TAG]], 0), 9)</f>
        <v>7</v>
      </c>
      <c r="I261" t="str">
        <f t="shared" si="22"/>
        <v>WPC.VAV-7W-43</v>
      </c>
      <c r="J261" t="str">
        <f t="shared" si="23"/>
        <v>7W</v>
      </c>
      <c r="L261">
        <f>INDEX(Schedule!$A:$J, MATCH(Joined!$G261, Schedule!$B:$B, 0), 5)</f>
        <v>1220</v>
      </c>
      <c r="M261">
        <f>INDEX(Schedule!$A:$J, MATCH(Joined!$G261, Schedule!$B:$B, 0), 6)</f>
        <v>245</v>
      </c>
    </row>
    <row r="262" spans="1:13" x14ac:dyDescent="0.2">
      <c r="A262">
        <f>INDEX(PanelInstance!B:D, MATCH(Joined!J262, PanelInstance!D:D, FALSE), 2)</f>
        <v>151800</v>
      </c>
      <c r="B262" t="s">
        <v>291</v>
      </c>
      <c r="C262">
        <f>COUNTIF($D$3:D262, RIGHT(LEFT(A262,4),3))</f>
        <v>17</v>
      </c>
      <c r="D262" t="str">
        <f t="shared" si="20"/>
        <v>518</v>
      </c>
      <c r="E262">
        <f t="shared" si="21"/>
        <v>151817</v>
      </c>
      <c r="F262">
        <f>INDEX(Schedule!$A:$N, MATCH(Joined!$G262, Schedule!$B:$B,0),14)</f>
        <v>15010</v>
      </c>
      <c r="G262" t="s">
        <v>378</v>
      </c>
      <c r="H262">
        <f>INDEX(VAV_Schedule_5_21[#All], MATCH(Joined!G262, VAV_Schedule_5_21[[#All],[UNIT TAG]], 0), 9)</f>
        <v>7</v>
      </c>
      <c r="I262" t="str">
        <f t="shared" si="22"/>
        <v>WPC.VAV-7W-44</v>
      </c>
      <c r="J262" t="str">
        <f t="shared" si="23"/>
        <v>7W</v>
      </c>
      <c r="L262">
        <f>INDEX(Schedule!$A:$J, MATCH(Joined!$G262, Schedule!$B:$B, 0), 5)</f>
        <v>200</v>
      </c>
      <c r="M262">
        <f>INDEX(Schedule!$A:$J, MATCH(Joined!$G262, Schedule!$B:$B, 0), 6)</f>
        <v>40</v>
      </c>
    </row>
    <row r="263" spans="1:13" x14ac:dyDescent="0.2">
      <c r="A263">
        <f>INDEX(PanelInstance!B:D, MATCH(Joined!J263, PanelInstance!D:D, FALSE), 2)</f>
        <v>152100</v>
      </c>
      <c r="B263" t="s">
        <v>291</v>
      </c>
      <c r="C263">
        <f>COUNTIF($D$3:D263, RIGHT(LEFT(A263,4),3))</f>
        <v>1</v>
      </c>
      <c r="D263" t="str">
        <f t="shared" si="20"/>
        <v>521</v>
      </c>
      <c r="E263">
        <f t="shared" si="21"/>
        <v>152101</v>
      </c>
      <c r="F263">
        <f>INDEX(Schedule!$A:$N, MATCH(Joined!$G263, Schedule!$B:$B,0),14)</f>
        <v>15011</v>
      </c>
      <c r="G263" t="s">
        <v>379</v>
      </c>
      <c r="H263">
        <f>INDEX(VAV_Schedule_5_21[#All], MATCH(Joined!G263, VAV_Schedule_5_21[[#All],[UNIT TAG]], 0), 9)</f>
        <v>8</v>
      </c>
      <c r="I263" t="str">
        <f t="shared" si="22"/>
        <v>WPC.VAV-8W-1</v>
      </c>
      <c r="J263" t="str">
        <f t="shared" si="23"/>
        <v>8W</v>
      </c>
      <c r="L263">
        <f>INDEX(Schedule!$A:$J, MATCH(Joined!$G263, Schedule!$B:$B, 0), 5)</f>
        <v>640</v>
      </c>
      <c r="M263">
        <f>INDEX(Schedule!$A:$J, MATCH(Joined!$G263, Schedule!$B:$B, 0), 6)</f>
        <v>130</v>
      </c>
    </row>
    <row r="264" spans="1:13" x14ac:dyDescent="0.2">
      <c r="A264">
        <f>INDEX(PanelInstance!B:D, MATCH(Joined!J264, PanelInstance!D:D, FALSE), 2)</f>
        <v>152100</v>
      </c>
      <c r="B264" t="s">
        <v>291</v>
      </c>
      <c r="C264">
        <f>COUNTIF($D$3:D264, RIGHT(LEFT(A264,4),3))</f>
        <v>2</v>
      </c>
      <c r="D264" t="str">
        <f t="shared" si="20"/>
        <v>521</v>
      </c>
      <c r="E264">
        <f t="shared" si="21"/>
        <v>152102</v>
      </c>
      <c r="F264">
        <f>INDEX(Schedule!$A:$N, MATCH(Joined!$G264, Schedule!$B:$B,0),14)</f>
        <v>15011</v>
      </c>
      <c r="G264" t="s">
        <v>380</v>
      </c>
      <c r="H264">
        <f>INDEX(VAV_Schedule_5_21[#All], MATCH(Joined!G264, VAV_Schedule_5_21[[#All],[UNIT TAG]], 0), 9)</f>
        <v>8</v>
      </c>
      <c r="I264" t="str">
        <f t="shared" si="22"/>
        <v>WPC.VAV-8W-2</v>
      </c>
      <c r="J264" t="str">
        <f t="shared" si="23"/>
        <v>8W</v>
      </c>
      <c r="L264">
        <f>INDEX(Schedule!$A:$J, MATCH(Joined!$G264, Schedule!$B:$B, 0), 5)</f>
        <v>680</v>
      </c>
      <c r="M264">
        <f>INDEX(Schedule!$A:$J, MATCH(Joined!$G264, Schedule!$B:$B, 0), 6)</f>
        <v>140</v>
      </c>
    </row>
    <row r="265" spans="1:13" x14ac:dyDescent="0.2">
      <c r="A265">
        <f>INDEX(PanelInstance!B:D, MATCH(Joined!J265, PanelInstance!D:D, FALSE), 2)</f>
        <v>152100</v>
      </c>
      <c r="B265" t="s">
        <v>291</v>
      </c>
      <c r="C265">
        <f>COUNTIF($D$3:D265, RIGHT(LEFT(A265,4),3))</f>
        <v>3</v>
      </c>
      <c r="D265" t="str">
        <f t="shared" si="20"/>
        <v>521</v>
      </c>
      <c r="E265">
        <f t="shared" si="21"/>
        <v>152103</v>
      </c>
      <c r="F265">
        <f>INDEX(Schedule!$A:$N, MATCH(Joined!$G265, Schedule!$B:$B,0),14)</f>
        <v>15011</v>
      </c>
      <c r="G265" t="s">
        <v>381</v>
      </c>
      <c r="H265">
        <f>INDEX(VAV_Schedule_5_21[#All], MATCH(Joined!G265, VAV_Schedule_5_21[[#All],[UNIT TAG]], 0), 9)</f>
        <v>8</v>
      </c>
      <c r="I265" t="str">
        <f t="shared" si="22"/>
        <v>WPC.VAV-8W-3</v>
      </c>
      <c r="J265" t="str">
        <f t="shared" si="23"/>
        <v>8W</v>
      </c>
      <c r="L265">
        <f>INDEX(Schedule!$A:$J, MATCH(Joined!$G265, Schedule!$B:$B, 0), 5)</f>
        <v>600</v>
      </c>
      <c r="M265">
        <f>INDEX(Schedule!$A:$J, MATCH(Joined!$G265, Schedule!$B:$B, 0), 6)</f>
        <v>120</v>
      </c>
    </row>
    <row r="266" spans="1:13" x14ac:dyDescent="0.2">
      <c r="A266">
        <f>INDEX(PanelInstance!B:D, MATCH(Joined!J266, PanelInstance!D:D, FALSE), 2)</f>
        <v>152100</v>
      </c>
      <c r="B266" t="s">
        <v>291</v>
      </c>
      <c r="C266">
        <f>COUNTIF($D$3:D266, RIGHT(LEFT(A266,4),3))</f>
        <v>4</v>
      </c>
      <c r="D266" t="str">
        <f t="shared" si="20"/>
        <v>521</v>
      </c>
      <c r="E266">
        <f t="shared" si="21"/>
        <v>152104</v>
      </c>
      <c r="F266">
        <f>INDEX(Schedule!$A:$N, MATCH(Joined!$G266, Schedule!$B:$B,0),14)</f>
        <v>15011</v>
      </c>
      <c r="G266" t="s">
        <v>382</v>
      </c>
      <c r="H266">
        <f>INDEX(VAV_Schedule_5_21[#All], MATCH(Joined!G266, VAV_Schedule_5_21[[#All],[UNIT TAG]], 0), 9)</f>
        <v>8</v>
      </c>
      <c r="I266" t="str">
        <f t="shared" si="22"/>
        <v>WPC.VAV-8W-4</v>
      </c>
      <c r="J266" t="str">
        <f t="shared" si="23"/>
        <v>8W</v>
      </c>
      <c r="L266">
        <f>INDEX(Schedule!$A:$J, MATCH(Joined!$G266, Schedule!$B:$B, 0), 5)</f>
        <v>840</v>
      </c>
      <c r="M266">
        <f>INDEX(Schedule!$A:$J, MATCH(Joined!$G266, Schedule!$B:$B, 0), 6)</f>
        <v>170</v>
      </c>
    </row>
    <row r="267" spans="1:13" x14ac:dyDescent="0.2">
      <c r="A267">
        <f>INDEX(PanelInstance!B:D, MATCH(Joined!J267, PanelInstance!D:D, FALSE), 2)</f>
        <v>151900</v>
      </c>
      <c r="B267" t="s">
        <v>291</v>
      </c>
      <c r="C267">
        <f>COUNTIF($D$3:D267, RIGHT(LEFT(A267,4),3))</f>
        <v>1</v>
      </c>
      <c r="D267" t="str">
        <f t="shared" si="20"/>
        <v>519</v>
      </c>
      <c r="E267">
        <f t="shared" si="21"/>
        <v>151901</v>
      </c>
      <c r="F267">
        <f>INDEX(Schedule!$A:$N, MATCH(Joined!$G267, Schedule!$B:$B,0),14)</f>
        <v>15010</v>
      </c>
      <c r="G267" t="s">
        <v>383</v>
      </c>
      <c r="H267">
        <f>INDEX(VAV_Schedule_5_21[#All], MATCH(Joined!G267, VAV_Schedule_5_21[[#All],[UNIT TAG]], 0), 9)</f>
        <v>8</v>
      </c>
      <c r="I267" t="str">
        <f t="shared" si="22"/>
        <v>WPC.VAV-8N-5</v>
      </c>
      <c r="J267" t="str">
        <f t="shared" si="23"/>
        <v>8N</v>
      </c>
      <c r="L267">
        <f>INDEX(Schedule!$A:$J, MATCH(Joined!$G267, Schedule!$B:$B, 0), 5)</f>
        <v>1330</v>
      </c>
      <c r="M267">
        <f>INDEX(Schedule!$A:$J, MATCH(Joined!$G267, Schedule!$B:$B, 0), 6)</f>
        <v>270</v>
      </c>
    </row>
    <row r="268" spans="1:13" x14ac:dyDescent="0.2">
      <c r="A268">
        <f>INDEX(PanelInstance!B:D, MATCH(Joined!J268, PanelInstance!D:D, FALSE), 2)</f>
        <v>151900</v>
      </c>
      <c r="B268" t="s">
        <v>291</v>
      </c>
      <c r="C268">
        <f>COUNTIF($D$3:D268, RIGHT(LEFT(A268,4),3))</f>
        <v>2</v>
      </c>
      <c r="D268" t="str">
        <f t="shared" si="20"/>
        <v>519</v>
      </c>
      <c r="E268">
        <f t="shared" si="21"/>
        <v>151902</v>
      </c>
      <c r="F268">
        <f>INDEX(Schedule!$A:$N, MATCH(Joined!$G268, Schedule!$B:$B,0),14)</f>
        <v>15010</v>
      </c>
      <c r="G268" t="s">
        <v>384</v>
      </c>
      <c r="H268">
        <f>INDEX(VAV_Schedule_5_21[#All], MATCH(Joined!G268, VAV_Schedule_5_21[[#All],[UNIT TAG]], 0), 9)</f>
        <v>8</v>
      </c>
      <c r="I268" t="str">
        <f t="shared" si="22"/>
        <v>WPC.VAV-8N-6</v>
      </c>
      <c r="J268" t="str">
        <f t="shared" si="23"/>
        <v>8N</v>
      </c>
      <c r="L268">
        <f>INDEX(Schedule!$A:$J, MATCH(Joined!$G268, Schedule!$B:$B, 0), 5)</f>
        <v>975</v>
      </c>
      <c r="M268">
        <f>INDEX(Schedule!$A:$J, MATCH(Joined!$G268, Schedule!$B:$B, 0), 6)</f>
        <v>195</v>
      </c>
    </row>
    <row r="269" spans="1:13" x14ac:dyDescent="0.2">
      <c r="A269">
        <f>INDEX(PanelInstance!B:D, MATCH(Joined!J269, PanelInstance!D:D, FALSE), 2)</f>
        <v>151900</v>
      </c>
      <c r="B269" t="s">
        <v>291</v>
      </c>
      <c r="C269">
        <f>COUNTIF($D$3:D269, RIGHT(LEFT(A269,4),3))</f>
        <v>3</v>
      </c>
      <c r="D269" t="str">
        <f t="shared" si="20"/>
        <v>519</v>
      </c>
      <c r="E269">
        <f t="shared" si="21"/>
        <v>151903</v>
      </c>
      <c r="F269">
        <f>INDEX(Schedule!$A:$N, MATCH(Joined!$G269, Schedule!$B:$B,0),14)</f>
        <v>15010</v>
      </c>
      <c r="G269" t="s">
        <v>385</v>
      </c>
      <c r="H269">
        <f>INDEX(VAV_Schedule_5_21[#All], MATCH(Joined!G269, VAV_Schedule_5_21[[#All],[UNIT TAG]], 0), 9)</f>
        <v>8</v>
      </c>
      <c r="I269" t="str">
        <f t="shared" si="22"/>
        <v>WPC.VAV-8N-7</v>
      </c>
      <c r="J269" t="str">
        <f t="shared" si="23"/>
        <v>8N</v>
      </c>
      <c r="L269">
        <f>INDEX(Schedule!$A:$J, MATCH(Joined!$G269, Schedule!$B:$B, 0), 5)</f>
        <v>760</v>
      </c>
      <c r="M269">
        <f>INDEX(Schedule!$A:$J, MATCH(Joined!$G269, Schedule!$B:$B, 0), 6)</f>
        <v>155</v>
      </c>
    </row>
    <row r="270" spans="1:13" x14ac:dyDescent="0.2">
      <c r="A270">
        <f>INDEX(PanelInstance!B:D, MATCH(Joined!J270, PanelInstance!D:D, FALSE), 2)</f>
        <v>151900</v>
      </c>
      <c r="B270" t="s">
        <v>291</v>
      </c>
      <c r="C270">
        <f>COUNTIF($D$3:D270, RIGHT(LEFT(A270,4),3))</f>
        <v>4</v>
      </c>
      <c r="D270" t="str">
        <f t="shared" si="20"/>
        <v>519</v>
      </c>
      <c r="E270">
        <f t="shared" si="21"/>
        <v>151904</v>
      </c>
      <c r="F270">
        <f>INDEX(Schedule!$A:$N, MATCH(Joined!$G270, Schedule!$B:$B,0),14)</f>
        <v>15010</v>
      </c>
      <c r="G270" t="s">
        <v>386</v>
      </c>
      <c r="H270">
        <f>INDEX(VAV_Schedule_5_21[#All], MATCH(Joined!G270, VAV_Schedule_5_21[[#All],[UNIT TAG]], 0), 9)</f>
        <v>8</v>
      </c>
      <c r="I270" t="str">
        <f t="shared" si="22"/>
        <v>WPC.VAV-8N-8</v>
      </c>
      <c r="J270" t="str">
        <f t="shared" si="23"/>
        <v>8N</v>
      </c>
      <c r="L270">
        <f>INDEX(Schedule!$A:$J, MATCH(Joined!$G270, Schedule!$B:$B, 0), 5)</f>
        <v>600</v>
      </c>
      <c r="M270">
        <f>INDEX(Schedule!$A:$J, MATCH(Joined!$G270, Schedule!$B:$B, 0), 6)</f>
        <v>120</v>
      </c>
    </row>
    <row r="271" spans="1:13" x14ac:dyDescent="0.2">
      <c r="A271">
        <f>INDEX(PanelInstance!B:D, MATCH(Joined!J271, PanelInstance!D:D, FALSE), 2)</f>
        <v>151900</v>
      </c>
      <c r="B271" t="s">
        <v>291</v>
      </c>
      <c r="C271">
        <f>COUNTIF($D$3:D271, RIGHT(LEFT(A271,4),3))</f>
        <v>5</v>
      </c>
      <c r="D271" t="str">
        <f t="shared" si="20"/>
        <v>519</v>
      </c>
      <c r="E271">
        <f t="shared" si="21"/>
        <v>151905</v>
      </c>
      <c r="F271">
        <f>INDEX(Schedule!$A:$N, MATCH(Joined!$G271, Schedule!$B:$B,0),14)</f>
        <v>15010</v>
      </c>
      <c r="G271" t="s">
        <v>387</v>
      </c>
      <c r="H271">
        <f>INDEX(VAV_Schedule_5_21[#All], MATCH(Joined!G271, VAV_Schedule_5_21[[#All],[UNIT TAG]], 0), 9)</f>
        <v>8</v>
      </c>
      <c r="I271" t="str">
        <f t="shared" si="22"/>
        <v>WPC.VAV-8N-9</v>
      </c>
      <c r="J271" t="str">
        <f t="shared" si="23"/>
        <v>8N</v>
      </c>
      <c r="L271">
        <f>INDEX(Schedule!$A:$J, MATCH(Joined!$G271, Schedule!$B:$B, 0), 5)</f>
        <v>1200</v>
      </c>
      <c r="M271">
        <f>INDEX(Schedule!$A:$J, MATCH(Joined!$G271, Schedule!$B:$B, 0), 6)</f>
        <v>240</v>
      </c>
    </row>
    <row r="272" spans="1:13" x14ac:dyDescent="0.2">
      <c r="A272">
        <f>INDEX(PanelInstance!B:D, MATCH(Joined!J272, PanelInstance!D:D, FALSE), 2)</f>
        <v>151900</v>
      </c>
      <c r="B272" t="s">
        <v>291</v>
      </c>
      <c r="C272">
        <f>COUNTIF($D$3:D272, RIGHT(LEFT(A272,4),3))</f>
        <v>6</v>
      </c>
      <c r="D272" t="str">
        <f t="shared" si="20"/>
        <v>519</v>
      </c>
      <c r="E272">
        <f t="shared" si="21"/>
        <v>151906</v>
      </c>
      <c r="F272">
        <f>INDEX(Schedule!$A:$N, MATCH(Joined!$G272, Schedule!$B:$B,0),14)</f>
        <v>15010</v>
      </c>
      <c r="G272" t="s">
        <v>647</v>
      </c>
      <c r="H272">
        <f>INDEX(VAV_Schedule_5_21[#All], MATCH(Joined!G272, VAV_Schedule_5_21[[#All],[UNIT TAG]], 0), 9)</f>
        <v>8</v>
      </c>
      <c r="I272" t="str">
        <f t="shared" si="22"/>
        <v>WPC.VAV-8N-9A</v>
      </c>
      <c r="J272" t="str">
        <f t="shared" si="23"/>
        <v>8N</v>
      </c>
      <c r="L272">
        <f>INDEX(Schedule!$A:$J, MATCH(Joined!$G272, Schedule!$B:$B, 0), 5)</f>
        <v>550</v>
      </c>
      <c r="M272">
        <f>INDEX(Schedule!$A:$J, MATCH(Joined!$G272, Schedule!$B:$B, 0), 6)</f>
        <v>110</v>
      </c>
    </row>
    <row r="273" spans="1:13" x14ac:dyDescent="0.2">
      <c r="A273">
        <f>INDEX(PanelInstance!B:D, MATCH(Joined!J273, PanelInstance!D:D, FALSE), 2)</f>
        <v>151900</v>
      </c>
      <c r="B273" t="s">
        <v>291</v>
      </c>
      <c r="C273">
        <f>COUNTIF($D$3:D273, RIGHT(LEFT(A273,4),3))</f>
        <v>7</v>
      </c>
      <c r="D273" t="str">
        <f t="shared" si="20"/>
        <v>519</v>
      </c>
      <c r="E273">
        <f t="shared" si="21"/>
        <v>151907</v>
      </c>
      <c r="F273">
        <f>INDEX(Schedule!$A:$N, MATCH(Joined!$G273, Schedule!$B:$B,0),14)</f>
        <v>15010</v>
      </c>
      <c r="G273" t="s">
        <v>388</v>
      </c>
      <c r="H273">
        <f>INDEX(VAV_Schedule_5_21[#All], MATCH(Joined!G273, VAV_Schedule_5_21[[#All],[UNIT TAG]], 0), 9)</f>
        <v>8</v>
      </c>
      <c r="I273" t="str">
        <f t="shared" si="22"/>
        <v>WPC.VAV-8N-10</v>
      </c>
      <c r="J273" t="str">
        <f t="shared" si="23"/>
        <v>8N</v>
      </c>
      <c r="L273">
        <f>INDEX(Schedule!$A:$J, MATCH(Joined!$G273, Schedule!$B:$B, 0), 5)</f>
        <v>1280</v>
      </c>
      <c r="M273">
        <f>INDEX(Schedule!$A:$J, MATCH(Joined!$G273, Schedule!$B:$B, 0), 6)</f>
        <v>260</v>
      </c>
    </row>
    <row r="274" spans="1:13" x14ac:dyDescent="0.2">
      <c r="A274">
        <f>INDEX(PanelInstance!B:D, MATCH(Joined!J274, PanelInstance!D:D, FALSE), 2)</f>
        <v>151900</v>
      </c>
      <c r="B274" t="s">
        <v>291</v>
      </c>
      <c r="C274">
        <f>COUNTIF($D$3:D274, RIGHT(LEFT(A274,4),3))</f>
        <v>8</v>
      </c>
      <c r="D274" t="str">
        <f t="shared" si="20"/>
        <v>519</v>
      </c>
      <c r="E274">
        <f t="shared" si="21"/>
        <v>151908</v>
      </c>
      <c r="F274">
        <f>INDEX(Schedule!$A:$N, MATCH(Joined!$G274, Schedule!$B:$B,0),14)</f>
        <v>15010</v>
      </c>
      <c r="G274" t="s">
        <v>389</v>
      </c>
      <c r="H274">
        <f>INDEX(VAV_Schedule_5_21[#All], MATCH(Joined!G274, VAV_Schedule_5_21[[#All],[UNIT TAG]], 0), 9)</f>
        <v>8</v>
      </c>
      <c r="I274" t="str">
        <f t="shared" si="22"/>
        <v>WPC.VAV-8N-11</v>
      </c>
      <c r="J274" t="str">
        <f t="shared" si="23"/>
        <v>8N</v>
      </c>
      <c r="L274">
        <f>INDEX(Schedule!$A:$J, MATCH(Joined!$G274, Schedule!$B:$B, 0), 5)</f>
        <v>445</v>
      </c>
      <c r="M274">
        <f>INDEX(Schedule!$A:$J, MATCH(Joined!$G274, Schedule!$B:$B, 0), 6)</f>
        <v>90</v>
      </c>
    </row>
    <row r="275" spans="1:13" x14ac:dyDescent="0.2">
      <c r="A275">
        <f>INDEX(PanelInstance!B:D, MATCH(Joined!J275, PanelInstance!D:D, FALSE), 2)</f>
        <v>151900</v>
      </c>
      <c r="B275" t="s">
        <v>291</v>
      </c>
      <c r="C275">
        <f>COUNTIF($D$3:D275, RIGHT(LEFT(A275,4),3))</f>
        <v>9</v>
      </c>
      <c r="D275" t="str">
        <f t="shared" si="20"/>
        <v>519</v>
      </c>
      <c r="E275">
        <f t="shared" si="21"/>
        <v>151909</v>
      </c>
      <c r="F275">
        <f>INDEX(Schedule!$A:$N, MATCH(Joined!$G275, Schedule!$B:$B,0),14)</f>
        <v>15010</v>
      </c>
      <c r="G275" t="s">
        <v>390</v>
      </c>
      <c r="H275">
        <f>INDEX(VAV_Schedule_5_21[#All], MATCH(Joined!G275, VAV_Schedule_5_21[[#All],[UNIT TAG]], 0), 9)</f>
        <v>8</v>
      </c>
      <c r="I275" t="str">
        <f t="shared" si="22"/>
        <v>WPC.VAV-8N-12</v>
      </c>
      <c r="J275" t="str">
        <f t="shared" si="23"/>
        <v>8N</v>
      </c>
      <c r="L275">
        <f>INDEX(Schedule!$A:$J, MATCH(Joined!$G275, Schedule!$B:$B, 0), 5)</f>
        <v>1385</v>
      </c>
      <c r="M275">
        <f>INDEX(Schedule!$A:$J, MATCH(Joined!$G275, Schedule!$B:$B, 0), 6)</f>
        <v>280</v>
      </c>
    </row>
    <row r="276" spans="1:13" x14ac:dyDescent="0.2">
      <c r="A276">
        <f>INDEX(PanelInstance!B:D, MATCH(Joined!J276, PanelInstance!D:D, FALSE), 2)</f>
        <v>151900</v>
      </c>
      <c r="B276" t="s">
        <v>291</v>
      </c>
      <c r="C276">
        <f>COUNTIF($D$3:D276, RIGHT(LEFT(A276,4),3))</f>
        <v>10</v>
      </c>
      <c r="D276" t="str">
        <f t="shared" si="20"/>
        <v>519</v>
      </c>
      <c r="E276">
        <f t="shared" si="21"/>
        <v>151910</v>
      </c>
      <c r="F276">
        <f>INDEX(Schedule!$A:$N, MATCH(Joined!$G276, Schedule!$B:$B,0),14)</f>
        <v>15010</v>
      </c>
      <c r="G276" t="s">
        <v>391</v>
      </c>
      <c r="H276">
        <f>INDEX(VAV_Schedule_5_21[#All], MATCH(Joined!G276, VAV_Schedule_5_21[[#All],[UNIT TAG]], 0), 9)</f>
        <v>8</v>
      </c>
      <c r="I276" t="str">
        <f t="shared" si="22"/>
        <v>WPC.VAV-8N-13</v>
      </c>
      <c r="J276" t="str">
        <f t="shared" si="23"/>
        <v>8N</v>
      </c>
      <c r="L276">
        <f>INDEX(Schedule!$A:$J, MATCH(Joined!$G276, Schedule!$B:$B, 0), 5)</f>
        <v>1025</v>
      </c>
      <c r="M276">
        <f>INDEX(Schedule!$A:$J, MATCH(Joined!$G276, Schedule!$B:$B, 0), 6)</f>
        <v>205</v>
      </c>
    </row>
    <row r="277" spans="1:13" x14ac:dyDescent="0.2">
      <c r="A277">
        <f>INDEX(PanelInstance!B:D, MATCH(Joined!J277, PanelInstance!D:D, FALSE), 2)</f>
        <v>152000</v>
      </c>
      <c r="B277" t="s">
        <v>291</v>
      </c>
      <c r="C277">
        <f>COUNTIF($D$3:D277, RIGHT(LEFT(A277,4),3))</f>
        <v>1</v>
      </c>
      <c r="D277" t="str">
        <f t="shared" si="20"/>
        <v>520</v>
      </c>
      <c r="E277">
        <f t="shared" si="21"/>
        <v>152001</v>
      </c>
      <c r="F277">
        <f>INDEX(Schedule!$A:$N, MATCH(Joined!$G277, Schedule!$B:$B,0),14)</f>
        <v>15011</v>
      </c>
      <c r="G277" t="s">
        <v>392</v>
      </c>
      <c r="H277">
        <f>INDEX(VAV_Schedule_5_21[#All], MATCH(Joined!G277, VAV_Schedule_5_21[[#All],[UNIT TAG]], 0), 9)</f>
        <v>8</v>
      </c>
      <c r="I277" t="str">
        <f t="shared" si="22"/>
        <v>WPC.VAV-8E-14</v>
      </c>
      <c r="J277" t="str">
        <f t="shared" si="23"/>
        <v>8E</v>
      </c>
      <c r="L277">
        <f>INDEX(Schedule!$A:$J, MATCH(Joined!$G277, Schedule!$B:$B, 0), 5)</f>
        <v>840</v>
      </c>
      <c r="M277">
        <f>INDEX(Schedule!$A:$J, MATCH(Joined!$G277, Schedule!$B:$B, 0), 6)</f>
        <v>170</v>
      </c>
    </row>
    <row r="278" spans="1:13" x14ac:dyDescent="0.2">
      <c r="A278">
        <f>INDEX(PanelInstance!B:D, MATCH(Joined!J278, PanelInstance!D:D, FALSE), 2)</f>
        <v>152000</v>
      </c>
      <c r="B278" t="s">
        <v>291</v>
      </c>
      <c r="C278">
        <f>COUNTIF($D$3:D278, RIGHT(LEFT(A278,4),3))</f>
        <v>2</v>
      </c>
      <c r="D278" t="str">
        <f t="shared" si="20"/>
        <v>520</v>
      </c>
      <c r="E278">
        <f t="shared" si="21"/>
        <v>152002</v>
      </c>
      <c r="F278">
        <f>INDEX(Schedule!$A:$N, MATCH(Joined!$G278, Schedule!$B:$B,0),14)</f>
        <v>15011</v>
      </c>
      <c r="G278" t="s">
        <v>393</v>
      </c>
      <c r="H278">
        <f>INDEX(VAV_Schedule_5_21[#All], MATCH(Joined!G278, VAV_Schedule_5_21[[#All],[UNIT TAG]], 0), 9)</f>
        <v>8</v>
      </c>
      <c r="I278" t="str">
        <f t="shared" si="22"/>
        <v>WPC.VAV-8E-15</v>
      </c>
      <c r="J278" t="str">
        <f t="shared" si="23"/>
        <v>8E</v>
      </c>
      <c r="L278">
        <f>INDEX(Schedule!$A:$J, MATCH(Joined!$G278, Schedule!$B:$B, 0), 5)</f>
        <v>640</v>
      </c>
      <c r="M278">
        <f>INDEX(Schedule!$A:$J, MATCH(Joined!$G278, Schedule!$B:$B, 0), 6)</f>
        <v>130</v>
      </c>
    </row>
    <row r="279" spans="1:13" x14ac:dyDescent="0.2">
      <c r="A279">
        <f>INDEX(PanelInstance!B:D, MATCH(Joined!J279, PanelInstance!D:D, FALSE), 2)</f>
        <v>152000</v>
      </c>
      <c r="B279" t="s">
        <v>291</v>
      </c>
      <c r="C279">
        <f>COUNTIF($D$3:D279, RIGHT(LEFT(A279,4),3))</f>
        <v>3</v>
      </c>
      <c r="D279" t="str">
        <f t="shared" si="20"/>
        <v>520</v>
      </c>
      <c r="E279">
        <f t="shared" si="21"/>
        <v>152003</v>
      </c>
      <c r="F279">
        <f>INDEX(Schedule!$A:$N, MATCH(Joined!$G279, Schedule!$B:$B,0),14)</f>
        <v>15011</v>
      </c>
      <c r="G279" t="s">
        <v>394</v>
      </c>
      <c r="H279">
        <f>INDEX(VAV_Schedule_5_21[#All], MATCH(Joined!G279, VAV_Schedule_5_21[[#All],[UNIT TAG]], 0), 9)</f>
        <v>8</v>
      </c>
      <c r="I279" t="str">
        <f t="shared" si="22"/>
        <v>WPC.VAV-8E-16</v>
      </c>
      <c r="J279" t="str">
        <f t="shared" si="23"/>
        <v>8E</v>
      </c>
      <c r="L279">
        <f>INDEX(Schedule!$A:$J, MATCH(Joined!$G279, Schedule!$B:$B, 0), 5)</f>
        <v>680</v>
      </c>
      <c r="M279">
        <f>INDEX(Schedule!$A:$J, MATCH(Joined!$G279, Schedule!$B:$B, 0), 6)</f>
        <v>140</v>
      </c>
    </row>
    <row r="280" spans="1:13" x14ac:dyDescent="0.2">
      <c r="A280">
        <f>INDEX(PanelInstance!B:D, MATCH(Joined!J280, PanelInstance!D:D, FALSE), 2)</f>
        <v>152000</v>
      </c>
      <c r="B280" t="s">
        <v>291</v>
      </c>
      <c r="C280">
        <f>COUNTIF($D$3:D280, RIGHT(LEFT(A280,4),3))</f>
        <v>4</v>
      </c>
      <c r="D280" t="str">
        <f t="shared" si="20"/>
        <v>520</v>
      </c>
      <c r="E280">
        <f t="shared" si="21"/>
        <v>152004</v>
      </c>
      <c r="F280">
        <f>INDEX(Schedule!$A:$N, MATCH(Joined!$G280, Schedule!$B:$B,0),14)</f>
        <v>15011</v>
      </c>
      <c r="G280" t="s">
        <v>395</v>
      </c>
      <c r="H280">
        <f>INDEX(VAV_Schedule_5_21[#All], MATCH(Joined!G280, VAV_Schedule_5_21[[#All],[UNIT TAG]], 0), 9)</f>
        <v>8</v>
      </c>
      <c r="I280" t="str">
        <f t="shared" si="22"/>
        <v>WPC.VAV-8E-17</v>
      </c>
      <c r="J280" t="str">
        <f t="shared" si="23"/>
        <v>8E</v>
      </c>
      <c r="L280">
        <f>INDEX(Schedule!$A:$J, MATCH(Joined!$G280, Schedule!$B:$B, 0), 5)</f>
        <v>600</v>
      </c>
      <c r="M280">
        <f>INDEX(Schedule!$A:$J, MATCH(Joined!$G280, Schedule!$B:$B, 0), 6)</f>
        <v>120</v>
      </c>
    </row>
    <row r="281" spans="1:13" x14ac:dyDescent="0.2">
      <c r="A281">
        <f>INDEX(PanelInstance!B:D, MATCH(Joined!J281, PanelInstance!D:D, FALSE), 2)</f>
        <v>152000</v>
      </c>
      <c r="B281" t="s">
        <v>291</v>
      </c>
      <c r="C281">
        <f>COUNTIF($D$3:D281, RIGHT(LEFT(A281,4),3))</f>
        <v>5</v>
      </c>
      <c r="D281" t="str">
        <f t="shared" si="20"/>
        <v>520</v>
      </c>
      <c r="E281">
        <f t="shared" si="21"/>
        <v>152005</v>
      </c>
      <c r="F281">
        <f>INDEX(Schedule!$A:$N, MATCH(Joined!$G281, Schedule!$B:$B,0),14)</f>
        <v>15010</v>
      </c>
      <c r="G281" t="s">
        <v>396</v>
      </c>
      <c r="H281">
        <f>INDEX(VAV_Schedule_5_21[#All], MATCH(Joined!G281, VAV_Schedule_5_21[[#All],[UNIT TAG]], 0), 9)</f>
        <v>8</v>
      </c>
      <c r="I281" t="str">
        <f t="shared" si="22"/>
        <v>WPC.VAV-8E-18</v>
      </c>
      <c r="J281" t="str">
        <f t="shared" si="23"/>
        <v>8E</v>
      </c>
      <c r="L281">
        <f>INDEX(Schedule!$A:$J, MATCH(Joined!$G281, Schedule!$B:$B, 0), 5)</f>
        <v>200</v>
      </c>
      <c r="M281">
        <f>INDEX(Schedule!$A:$J, MATCH(Joined!$G281, Schedule!$B:$B, 0), 6)</f>
        <v>40</v>
      </c>
    </row>
    <row r="282" spans="1:13" x14ac:dyDescent="0.2">
      <c r="A282">
        <f>INDEX(PanelInstance!B:D, MATCH(Joined!J282, PanelInstance!D:D, FALSE), 2)</f>
        <v>152000</v>
      </c>
      <c r="B282" t="s">
        <v>291</v>
      </c>
      <c r="C282">
        <f>COUNTIF($D$3:D282, RIGHT(LEFT(A282,4),3))</f>
        <v>6</v>
      </c>
      <c r="D282" t="str">
        <f t="shared" si="20"/>
        <v>520</v>
      </c>
      <c r="E282">
        <f t="shared" si="21"/>
        <v>152006</v>
      </c>
      <c r="F282">
        <f>INDEX(Schedule!$A:$N, MATCH(Joined!$G282, Schedule!$B:$B,0),14)</f>
        <v>15010</v>
      </c>
      <c r="G282" t="s">
        <v>397</v>
      </c>
      <c r="H282">
        <f>INDEX(VAV_Schedule_5_21[#All], MATCH(Joined!G282, VAV_Schedule_5_21[[#All],[UNIT TAG]], 0), 9)</f>
        <v>8</v>
      </c>
      <c r="I282" t="str">
        <f t="shared" si="22"/>
        <v>WPC.VAV-8E-19</v>
      </c>
      <c r="J282" t="str">
        <f t="shared" si="23"/>
        <v>8E</v>
      </c>
      <c r="L282">
        <f>INDEX(Schedule!$A:$J, MATCH(Joined!$G282, Schedule!$B:$B, 0), 5)</f>
        <v>700</v>
      </c>
      <c r="M282">
        <f>INDEX(Schedule!$A:$J, MATCH(Joined!$G282, Schedule!$B:$B, 0), 6)</f>
        <v>140</v>
      </c>
    </row>
    <row r="283" spans="1:13" x14ac:dyDescent="0.2">
      <c r="A283">
        <f>INDEX(PanelInstance!B:D, MATCH(Joined!J283, PanelInstance!D:D, FALSE), 2)</f>
        <v>152000</v>
      </c>
      <c r="B283" t="s">
        <v>291</v>
      </c>
      <c r="C283">
        <f>COUNTIF($D$3:D283, RIGHT(LEFT(A283,4),3))</f>
        <v>7</v>
      </c>
      <c r="D283" t="str">
        <f t="shared" si="20"/>
        <v>520</v>
      </c>
      <c r="E283">
        <f t="shared" si="21"/>
        <v>152007</v>
      </c>
      <c r="F283">
        <f>INDEX(Schedule!$A:$N, MATCH(Joined!$G283, Schedule!$B:$B,0),14)</f>
        <v>15011</v>
      </c>
      <c r="G283" t="s">
        <v>398</v>
      </c>
      <c r="H283">
        <f>INDEX(VAV_Schedule_5_21[#All], MATCH(Joined!G283, VAV_Schedule_5_21[[#All],[UNIT TAG]], 0), 9)</f>
        <v>8</v>
      </c>
      <c r="I283" t="str">
        <f t="shared" si="22"/>
        <v>WPC.VAV-8E-20</v>
      </c>
      <c r="J283" t="str">
        <f t="shared" si="23"/>
        <v>8E</v>
      </c>
      <c r="L283">
        <f>INDEX(Schedule!$A:$J, MATCH(Joined!$G283, Schedule!$B:$B, 0), 5)</f>
        <v>1085</v>
      </c>
      <c r="M283">
        <f>INDEX(Schedule!$A:$J, MATCH(Joined!$G283, Schedule!$B:$B, 0), 6)</f>
        <v>220</v>
      </c>
    </row>
    <row r="284" spans="1:13" x14ac:dyDescent="0.2">
      <c r="A284">
        <f>INDEX(PanelInstance!B:D, MATCH(Joined!J284, PanelInstance!D:D, FALSE), 2)</f>
        <v>152000</v>
      </c>
      <c r="B284" t="s">
        <v>291</v>
      </c>
      <c r="C284">
        <f>COUNTIF($D$3:D284, RIGHT(LEFT(A284,4),3))</f>
        <v>8</v>
      </c>
      <c r="D284" t="str">
        <f t="shared" si="20"/>
        <v>520</v>
      </c>
      <c r="E284">
        <f t="shared" si="21"/>
        <v>152008</v>
      </c>
      <c r="F284">
        <f>INDEX(Schedule!$A:$N, MATCH(Joined!$G284, Schedule!$B:$B,0),14)</f>
        <v>15011</v>
      </c>
      <c r="G284" t="s">
        <v>399</v>
      </c>
      <c r="H284">
        <f>INDEX(VAV_Schedule_5_21[#All], MATCH(Joined!G284, VAV_Schedule_5_21[[#All],[UNIT TAG]], 0), 9)</f>
        <v>8</v>
      </c>
      <c r="I284" t="str">
        <f t="shared" si="22"/>
        <v>WPC.VAV-8E-21</v>
      </c>
      <c r="J284" t="str">
        <f t="shared" si="23"/>
        <v>8E</v>
      </c>
      <c r="L284">
        <f>INDEX(Schedule!$A:$J, MATCH(Joined!$G284, Schedule!$B:$B, 0), 5)</f>
        <v>840</v>
      </c>
      <c r="M284">
        <f>INDEX(Schedule!$A:$J, MATCH(Joined!$G284, Schedule!$B:$B, 0), 6)</f>
        <v>170</v>
      </c>
    </row>
    <row r="285" spans="1:13" x14ac:dyDescent="0.2">
      <c r="A285">
        <f>INDEX(PanelInstance!B:D, MATCH(Joined!J285, PanelInstance!D:D, FALSE), 2)</f>
        <v>152000</v>
      </c>
      <c r="B285" t="s">
        <v>291</v>
      </c>
      <c r="C285">
        <f>COUNTIF($D$3:D285, RIGHT(LEFT(A285,4),3))</f>
        <v>9</v>
      </c>
      <c r="D285" t="str">
        <f t="shared" si="20"/>
        <v>520</v>
      </c>
      <c r="E285">
        <f t="shared" si="21"/>
        <v>152009</v>
      </c>
      <c r="F285">
        <f>INDEX(Schedule!$A:$N, MATCH(Joined!$G285, Schedule!$B:$B,0),14)</f>
        <v>15010</v>
      </c>
      <c r="G285" t="s">
        <v>400</v>
      </c>
      <c r="H285">
        <f>INDEX(VAV_Schedule_5_21[#All], MATCH(Joined!G285, VAV_Schedule_5_21[[#All],[UNIT TAG]], 0), 9)</f>
        <v>8</v>
      </c>
      <c r="I285" t="str">
        <f t="shared" si="22"/>
        <v>WPC.VAV-8E-22</v>
      </c>
      <c r="J285" t="str">
        <f t="shared" si="23"/>
        <v>8E</v>
      </c>
      <c r="L285">
        <f>INDEX(Schedule!$A:$J, MATCH(Joined!$G285, Schedule!$B:$B, 0), 5)</f>
        <v>350</v>
      </c>
      <c r="M285">
        <f>INDEX(Schedule!$A:$J, MATCH(Joined!$G285, Schedule!$B:$B, 0), 6)</f>
        <v>70</v>
      </c>
    </row>
    <row r="286" spans="1:13" x14ac:dyDescent="0.2">
      <c r="A286">
        <f>INDEX(PanelInstance!B:D, MATCH(Joined!J286, PanelInstance!D:D, FALSE), 2)</f>
        <v>152000</v>
      </c>
      <c r="B286" t="s">
        <v>291</v>
      </c>
      <c r="C286">
        <f>COUNTIF($D$3:D286, RIGHT(LEFT(A286,4),3))</f>
        <v>10</v>
      </c>
      <c r="D286" t="str">
        <f t="shared" si="20"/>
        <v>520</v>
      </c>
      <c r="E286">
        <f t="shared" si="21"/>
        <v>152010</v>
      </c>
      <c r="F286">
        <f>INDEX(Schedule!$A:$N, MATCH(Joined!$G286, Schedule!$B:$B,0),14)</f>
        <v>15011</v>
      </c>
      <c r="G286" t="s">
        <v>401</v>
      </c>
      <c r="H286">
        <f>INDEX(VAV_Schedule_5_21[#All], MATCH(Joined!G286, VAV_Schedule_5_21[[#All],[UNIT TAG]], 0), 9)</f>
        <v>8</v>
      </c>
      <c r="I286" t="str">
        <f t="shared" si="22"/>
        <v>WPC.VAV-8E-23</v>
      </c>
      <c r="J286" t="str">
        <f t="shared" si="23"/>
        <v>8E</v>
      </c>
      <c r="L286">
        <f>INDEX(Schedule!$A:$J, MATCH(Joined!$G286, Schedule!$B:$B, 0), 5)</f>
        <v>1050</v>
      </c>
      <c r="M286">
        <f>INDEX(Schedule!$A:$J, MATCH(Joined!$G286, Schedule!$B:$B, 0), 6)</f>
        <v>210</v>
      </c>
    </row>
    <row r="287" spans="1:13" x14ac:dyDescent="0.2">
      <c r="A287">
        <f>INDEX(PanelInstance!B:D, MATCH(Joined!J287, PanelInstance!D:D, FALSE), 2)</f>
        <v>152000</v>
      </c>
      <c r="B287" t="s">
        <v>291</v>
      </c>
      <c r="C287">
        <f>COUNTIF($D$3:D287, RIGHT(LEFT(A287,4),3))</f>
        <v>11</v>
      </c>
      <c r="D287" t="str">
        <f t="shared" si="20"/>
        <v>520</v>
      </c>
      <c r="E287">
        <f t="shared" si="21"/>
        <v>152011</v>
      </c>
      <c r="F287">
        <f>INDEX(Schedule!$A:$N, MATCH(Joined!$G287, Schedule!$B:$B,0),14)</f>
        <v>15010</v>
      </c>
      <c r="G287" t="s">
        <v>402</v>
      </c>
      <c r="H287">
        <f>INDEX(VAV_Schedule_5_21[#All], MATCH(Joined!G287, VAV_Schedule_5_21[[#All],[UNIT TAG]], 0), 9)</f>
        <v>8</v>
      </c>
      <c r="I287" t="str">
        <f t="shared" si="22"/>
        <v>WPC.VAV-8E-24</v>
      </c>
      <c r="J287" t="str">
        <f t="shared" si="23"/>
        <v>8E</v>
      </c>
      <c r="L287">
        <f>INDEX(Schedule!$A:$J, MATCH(Joined!$G287, Schedule!$B:$B, 0), 5)</f>
        <v>200</v>
      </c>
      <c r="M287">
        <f>INDEX(Schedule!$A:$J, MATCH(Joined!$G287, Schedule!$B:$B, 0), 6)</f>
        <v>40</v>
      </c>
    </row>
    <row r="288" spans="1:13" x14ac:dyDescent="0.2">
      <c r="A288">
        <f>INDEX(PanelInstance!B:D, MATCH(Joined!J288, PanelInstance!D:D, FALSE), 2)</f>
        <v>152000</v>
      </c>
      <c r="B288" t="s">
        <v>291</v>
      </c>
      <c r="C288">
        <f>COUNTIF($D$3:D288, RIGHT(LEFT(A288,4),3))</f>
        <v>12</v>
      </c>
      <c r="D288" t="str">
        <f t="shared" si="20"/>
        <v>520</v>
      </c>
      <c r="E288">
        <f t="shared" si="21"/>
        <v>152012</v>
      </c>
      <c r="F288">
        <f>INDEX(Schedule!$A:$N, MATCH(Joined!$G288, Schedule!$B:$B,0),14)</f>
        <v>15011</v>
      </c>
      <c r="G288" t="s">
        <v>403</v>
      </c>
      <c r="H288">
        <f>INDEX(VAV_Schedule_5_21[#All], MATCH(Joined!G288, VAV_Schedule_5_21[[#All],[UNIT TAG]], 0), 9)</f>
        <v>8</v>
      </c>
      <c r="I288" t="str">
        <f t="shared" si="22"/>
        <v>WPC.VAV-8E-25</v>
      </c>
      <c r="J288" t="str">
        <f t="shared" si="23"/>
        <v>8E</v>
      </c>
      <c r="L288">
        <f>INDEX(Schedule!$A:$J, MATCH(Joined!$G288, Schedule!$B:$B, 0), 5)</f>
        <v>640</v>
      </c>
      <c r="M288">
        <f>INDEX(Schedule!$A:$J, MATCH(Joined!$G288, Schedule!$B:$B, 0), 6)</f>
        <v>130</v>
      </c>
    </row>
    <row r="289" spans="1:13" x14ac:dyDescent="0.2">
      <c r="A289">
        <f>INDEX(PanelInstance!B:D, MATCH(Joined!J289, PanelInstance!D:D, FALSE), 2)</f>
        <v>152000</v>
      </c>
      <c r="B289" t="s">
        <v>291</v>
      </c>
      <c r="C289">
        <f>COUNTIF($D$3:D289, RIGHT(LEFT(A289,4),3))</f>
        <v>13</v>
      </c>
      <c r="D289" t="str">
        <f t="shared" si="20"/>
        <v>520</v>
      </c>
      <c r="E289">
        <f t="shared" si="21"/>
        <v>152013</v>
      </c>
      <c r="F289">
        <f>INDEX(Schedule!$A:$N, MATCH(Joined!$G289, Schedule!$B:$B,0),14)</f>
        <v>15011</v>
      </c>
      <c r="G289" t="s">
        <v>404</v>
      </c>
      <c r="H289">
        <f>INDEX(VAV_Schedule_5_21[#All], MATCH(Joined!G289, VAV_Schedule_5_21[[#All],[UNIT TAG]], 0), 9)</f>
        <v>8</v>
      </c>
      <c r="I289" t="str">
        <f t="shared" si="22"/>
        <v>WPC.VAV-8E-26</v>
      </c>
      <c r="J289" t="str">
        <f t="shared" si="23"/>
        <v>8E</v>
      </c>
      <c r="L289">
        <f>INDEX(Schedule!$A:$J, MATCH(Joined!$G289, Schedule!$B:$B, 0), 5)</f>
        <v>860</v>
      </c>
      <c r="M289">
        <f>INDEX(Schedule!$A:$J, MATCH(Joined!$G289, Schedule!$B:$B, 0), 6)</f>
        <v>175</v>
      </c>
    </row>
    <row r="290" spans="1:13" x14ac:dyDescent="0.2">
      <c r="A290">
        <f>INDEX(PanelInstance!B:D, MATCH(Joined!J290, PanelInstance!D:D, FALSE), 2)</f>
        <v>152000</v>
      </c>
      <c r="B290" t="s">
        <v>291</v>
      </c>
      <c r="C290">
        <f>COUNTIF($D$3:D290, RIGHT(LEFT(A290,4),3))</f>
        <v>14</v>
      </c>
      <c r="D290" t="str">
        <f t="shared" si="20"/>
        <v>520</v>
      </c>
      <c r="E290">
        <f t="shared" si="21"/>
        <v>152014</v>
      </c>
      <c r="F290">
        <f>INDEX(Schedule!$A:$N, MATCH(Joined!$G290, Schedule!$B:$B,0),14)</f>
        <v>15011</v>
      </c>
      <c r="G290" t="s">
        <v>405</v>
      </c>
      <c r="H290">
        <f>INDEX(VAV_Schedule_5_21[#All], MATCH(Joined!G290, VAV_Schedule_5_21[[#All],[UNIT TAG]], 0), 9)</f>
        <v>8</v>
      </c>
      <c r="I290" t="str">
        <f t="shared" si="22"/>
        <v>WPC.VAV-8E-27</v>
      </c>
      <c r="J290" t="str">
        <f t="shared" si="23"/>
        <v>8E</v>
      </c>
      <c r="L290">
        <f>INDEX(Schedule!$A:$J, MATCH(Joined!$G290, Schedule!$B:$B, 0), 5)</f>
        <v>690</v>
      </c>
      <c r="M290">
        <f>INDEX(Schedule!$A:$J, MATCH(Joined!$G290, Schedule!$B:$B, 0), 6)</f>
        <v>140</v>
      </c>
    </row>
    <row r="291" spans="1:13" x14ac:dyDescent="0.2">
      <c r="A291">
        <f>INDEX(PanelInstance!B:D, MATCH(Joined!J291, PanelInstance!D:D, FALSE), 2)</f>
        <v>152000</v>
      </c>
      <c r="B291" t="s">
        <v>291</v>
      </c>
      <c r="C291">
        <f>COUNTIF($D$3:D291, RIGHT(LEFT(A291,4),3))</f>
        <v>15</v>
      </c>
      <c r="D291" t="str">
        <f t="shared" si="20"/>
        <v>520</v>
      </c>
      <c r="E291">
        <f t="shared" si="21"/>
        <v>152015</v>
      </c>
      <c r="F291">
        <f>INDEX(Schedule!$A:$N, MATCH(Joined!$G291, Schedule!$B:$B,0),14)</f>
        <v>15010</v>
      </c>
      <c r="G291" t="s">
        <v>406</v>
      </c>
      <c r="H291">
        <f>INDEX(VAV_Schedule_5_21[#All], MATCH(Joined!G291, VAV_Schedule_5_21[[#All],[UNIT TAG]], 0), 9)</f>
        <v>8</v>
      </c>
      <c r="I291" t="str">
        <f t="shared" si="22"/>
        <v>WPC.VAV-8E-28</v>
      </c>
      <c r="J291" t="str">
        <f t="shared" si="23"/>
        <v>8E</v>
      </c>
      <c r="L291">
        <f>INDEX(Schedule!$A:$J, MATCH(Joined!$G291, Schedule!$B:$B, 0), 5)</f>
        <v>1310</v>
      </c>
      <c r="M291">
        <f>INDEX(Schedule!$A:$J, MATCH(Joined!$G291, Schedule!$B:$B, 0), 6)</f>
        <v>265</v>
      </c>
    </row>
    <row r="292" spans="1:13" x14ac:dyDescent="0.2">
      <c r="A292">
        <f>INDEX(PanelInstance!B:D, MATCH(Joined!J292, PanelInstance!D:D, FALSE), 2)</f>
        <v>152000</v>
      </c>
      <c r="B292" t="s">
        <v>291</v>
      </c>
      <c r="C292">
        <f>COUNTIF($D$3:D292, RIGHT(LEFT(A292,4),3))</f>
        <v>16</v>
      </c>
      <c r="D292" t="str">
        <f t="shared" si="20"/>
        <v>520</v>
      </c>
      <c r="E292">
        <f t="shared" si="21"/>
        <v>152016</v>
      </c>
      <c r="F292">
        <f>INDEX(Schedule!$A:$N, MATCH(Joined!$G292, Schedule!$B:$B,0),14)</f>
        <v>15010</v>
      </c>
      <c r="G292" t="s">
        <v>407</v>
      </c>
      <c r="H292">
        <f>INDEX(VAV_Schedule_5_21[#All], MATCH(Joined!G292, VAV_Schedule_5_21[[#All],[UNIT TAG]], 0), 9)</f>
        <v>8</v>
      </c>
      <c r="I292" t="str">
        <f t="shared" si="22"/>
        <v>WPC.VAV-8E-29</v>
      </c>
      <c r="J292" t="str">
        <f t="shared" si="23"/>
        <v>8E</v>
      </c>
      <c r="L292">
        <f>INDEX(Schedule!$A:$J, MATCH(Joined!$G292, Schedule!$B:$B, 0), 5)</f>
        <v>925</v>
      </c>
      <c r="M292">
        <f>INDEX(Schedule!$A:$J, MATCH(Joined!$G292, Schedule!$B:$B, 0), 6)</f>
        <v>0</v>
      </c>
    </row>
    <row r="293" spans="1:13" x14ac:dyDescent="0.2">
      <c r="A293">
        <f>INDEX(PanelInstance!B:D, MATCH(Joined!J293, PanelInstance!D:D, FALSE), 2)</f>
        <v>152000</v>
      </c>
      <c r="B293" t="s">
        <v>291</v>
      </c>
      <c r="C293">
        <f>COUNTIF($D$3:D293, RIGHT(LEFT(A293,4),3))</f>
        <v>17</v>
      </c>
      <c r="D293" t="str">
        <f t="shared" si="20"/>
        <v>520</v>
      </c>
      <c r="E293">
        <f t="shared" si="21"/>
        <v>152017</v>
      </c>
      <c r="F293">
        <f>INDEX(Schedule!$A:$N, MATCH(Joined!$G293, Schedule!$B:$B,0),14)</f>
        <v>15010</v>
      </c>
      <c r="G293" t="s">
        <v>408</v>
      </c>
      <c r="H293">
        <f>INDEX(VAV_Schedule_5_21[#All], MATCH(Joined!G293, VAV_Schedule_5_21[[#All],[UNIT TAG]], 0), 9)</f>
        <v>8</v>
      </c>
      <c r="I293" t="str">
        <f t="shared" si="22"/>
        <v>WPC.VAV-8E-30</v>
      </c>
      <c r="J293" t="str">
        <f t="shared" si="23"/>
        <v>8E</v>
      </c>
      <c r="L293">
        <f>INDEX(Schedule!$A:$J, MATCH(Joined!$G293, Schedule!$B:$B, 0), 5)</f>
        <v>1510</v>
      </c>
      <c r="M293">
        <f>INDEX(Schedule!$A:$J, MATCH(Joined!$G293, Schedule!$B:$B, 0), 6)</f>
        <v>305</v>
      </c>
    </row>
    <row r="294" spans="1:13" x14ac:dyDescent="0.2">
      <c r="A294">
        <f>INDEX(PanelInstance!B:D, MATCH(Joined!J294, PanelInstance!D:D, FALSE), 2)</f>
        <v>152000</v>
      </c>
      <c r="B294" t="s">
        <v>291</v>
      </c>
      <c r="C294">
        <f>COUNTIF($D$3:D294, RIGHT(LEFT(A294,4),3))</f>
        <v>18</v>
      </c>
      <c r="D294" t="str">
        <f t="shared" si="20"/>
        <v>520</v>
      </c>
      <c r="E294">
        <f t="shared" si="21"/>
        <v>152018</v>
      </c>
      <c r="F294">
        <f>INDEX(Schedule!$A:$N, MATCH(Joined!$G294, Schedule!$B:$B,0),14)</f>
        <v>15011</v>
      </c>
      <c r="G294" t="s">
        <v>409</v>
      </c>
      <c r="H294">
        <f>INDEX(VAV_Schedule_5_21[#All], MATCH(Joined!G294, VAV_Schedule_5_21[[#All],[UNIT TAG]], 0), 9)</f>
        <v>8</v>
      </c>
      <c r="I294" t="str">
        <f t="shared" si="22"/>
        <v>WPC.VAV-8E-31</v>
      </c>
      <c r="J294" t="str">
        <f t="shared" si="23"/>
        <v>8E</v>
      </c>
      <c r="L294">
        <f>INDEX(Schedule!$A:$J, MATCH(Joined!$G294, Schedule!$B:$B, 0), 5)</f>
        <v>800</v>
      </c>
      <c r="M294">
        <f>INDEX(Schedule!$A:$J, MATCH(Joined!$G294, Schedule!$B:$B, 0), 6)</f>
        <v>160</v>
      </c>
    </row>
    <row r="295" spans="1:13" x14ac:dyDescent="0.2">
      <c r="A295">
        <f>INDEX(PanelInstance!B:D, MATCH(Joined!J295, PanelInstance!D:D, FALSE), 2)</f>
        <v>152000</v>
      </c>
      <c r="B295" t="s">
        <v>291</v>
      </c>
      <c r="C295">
        <f>COUNTIF($D$3:D295, RIGHT(LEFT(A295,4),3))</f>
        <v>19</v>
      </c>
      <c r="D295" t="str">
        <f t="shared" si="20"/>
        <v>520</v>
      </c>
      <c r="E295">
        <f t="shared" si="21"/>
        <v>152019</v>
      </c>
      <c r="F295">
        <f>INDEX(Schedule!$A:$N, MATCH(Joined!$G295, Schedule!$B:$B,0),14)</f>
        <v>15011</v>
      </c>
      <c r="G295" t="s">
        <v>410</v>
      </c>
      <c r="H295">
        <f>INDEX(VAV_Schedule_5_21[#All], MATCH(Joined!G295, VAV_Schedule_5_21[[#All],[UNIT TAG]], 0), 9)</f>
        <v>8</v>
      </c>
      <c r="I295" t="str">
        <f t="shared" si="22"/>
        <v>WPC.VAV-8E-32</v>
      </c>
      <c r="J295" t="str">
        <f t="shared" si="23"/>
        <v>8E</v>
      </c>
      <c r="L295">
        <f>INDEX(Schedule!$A:$J, MATCH(Joined!$G295, Schedule!$B:$B, 0), 5)</f>
        <v>1400</v>
      </c>
      <c r="M295">
        <f>INDEX(Schedule!$A:$J, MATCH(Joined!$G295, Schedule!$B:$B, 0), 6)</f>
        <v>280</v>
      </c>
    </row>
    <row r="296" spans="1:13" x14ac:dyDescent="0.2">
      <c r="A296">
        <f>INDEX(PanelInstance!B:D, MATCH(Joined!J296, PanelInstance!D:D, FALSE), 2)</f>
        <v>152100</v>
      </c>
      <c r="B296" t="s">
        <v>291</v>
      </c>
      <c r="C296">
        <f>COUNTIF($D$3:D296, RIGHT(LEFT(A296,4),3))</f>
        <v>5</v>
      </c>
      <c r="D296" t="str">
        <f t="shared" si="20"/>
        <v>521</v>
      </c>
      <c r="E296">
        <f t="shared" si="21"/>
        <v>152105</v>
      </c>
      <c r="F296">
        <f>INDEX(Schedule!$A:$N, MATCH(Joined!$G296, Schedule!$B:$B,0),14)</f>
        <v>15010</v>
      </c>
      <c r="G296" t="s">
        <v>411</v>
      </c>
      <c r="H296">
        <f>INDEX(VAV_Schedule_5_21[#All], MATCH(Joined!G296, VAV_Schedule_5_21[[#All],[UNIT TAG]], 0), 9)</f>
        <v>8</v>
      </c>
      <c r="I296" t="str">
        <f t="shared" si="22"/>
        <v>WPC.VAV-8W-33</v>
      </c>
      <c r="J296" t="str">
        <f t="shared" si="23"/>
        <v>8W</v>
      </c>
      <c r="L296">
        <f>INDEX(Schedule!$A:$J, MATCH(Joined!$G296, Schedule!$B:$B, 0), 5)</f>
        <v>560</v>
      </c>
      <c r="M296">
        <f>INDEX(Schedule!$A:$J, MATCH(Joined!$G296, Schedule!$B:$B, 0), 6)</f>
        <v>115</v>
      </c>
    </row>
    <row r="297" spans="1:13" x14ac:dyDescent="0.2">
      <c r="A297">
        <f>INDEX(PanelInstance!B:D, MATCH(Joined!J297, PanelInstance!D:D, FALSE), 2)</f>
        <v>152100</v>
      </c>
      <c r="B297" t="s">
        <v>291</v>
      </c>
      <c r="C297">
        <f>COUNTIF($D$3:D297, RIGHT(LEFT(A297,4),3))</f>
        <v>6</v>
      </c>
      <c r="D297" t="str">
        <f t="shared" si="20"/>
        <v>521</v>
      </c>
      <c r="E297">
        <f t="shared" si="21"/>
        <v>152106</v>
      </c>
      <c r="F297">
        <f>INDEX(Schedule!$A:$N, MATCH(Joined!$G297, Schedule!$B:$B,0),14)</f>
        <v>15010</v>
      </c>
      <c r="G297" t="s">
        <v>412</v>
      </c>
      <c r="H297">
        <f>INDEX(VAV_Schedule_5_21[#All], MATCH(Joined!G297, VAV_Schedule_5_21[[#All],[UNIT TAG]], 0), 9)</f>
        <v>8</v>
      </c>
      <c r="I297" t="str">
        <f t="shared" si="22"/>
        <v>WPC.VAV-8W-34</v>
      </c>
      <c r="J297" t="str">
        <f t="shared" si="23"/>
        <v>8W</v>
      </c>
      <c r="L297">
        <f>INDEX(Schedule!$A:$J, MATCH(Joined!$G297, Schedule!$B:$B, 0), 5)</f>
        <v>1030</v>
      </c>
      <c r="M297">
        <f>INDEX(Schedule!$A:$J, MATCH(Joined!$G297, Schedule!$B:$B, 0), 6)</f>
        <v>210</v>
      </c>
    </row>
    <row r="298" spans="1:13" x14ac:dyDescent="0.2">
      <c r="A298">
        <f>INDEX(PanelInstance!B:D, MATCH(Joined!J298, PanelInstance!D:D, FALSE), 2)</f>
        <v>152100</v>
      </c>
      <c r="B298" t="s">
        <v>291</v>
      </c>
      <c r="C298">
        <f>COUNTIF($D$3:D298, RIGHT(LEFT(A298,4),3))</f>
        <v>7</v>
      </c>
      <c r="D298" t="str">
        <f t="shared" si="20"/>
        <v>521</v>
      </c>
      <c r="E298">
        <f t="shared" si="21"/>
        <v>152107</v>
      </c>
      <c r="F298">
        <f>INDEX(Schedule!$A:$N, MATCH(Joined!$G298, Schedule!$B:$B,0),14)</f>
        <v>15011</v>
      </c>
      <c r="G298" t="s">
        <v>413</v>
      </c>
      <c r="H298">
        <f>INDEX(VAV_Schedule_5_21[#All], MATCH(Joined!G298, VAV_Schedule_5_21[[#All],[UNIT TAG]], 0), 9)</f>
        <v>8</v>
      </c>
      <c r="I298" t="str">
        <f t="shared" si="22"/>
        <v>WPC.VAV-8W-35</v>
      </c>
      <c r="J298" t="str">
        <f t="shared" si="23"/>
        <v>8W</v>
      </c>
      <c r="L298">
        <f>INDEX(Schedule!$A:$J, MATCH(Joined!$G298, Schedule!$B:$B, 0), 5)</f>
        <v>800</v>
      </c>
      <c r="M298">
        <f>INDEX(Schedule!$A:$J, MATCH(Joined!$G298, Schedule!$B:$B, 0), 6)</f>
        <v>160</v>
      </c>
    </row>
    <row r="299" spans="1:13" x14ac:dyDescent="0.2">
      <c r="A299">
        <f>INDEX(PanelInstance!B:D, MATCH(Joined!J299, PanelInstance!D:D, FALSE), 2)</f>
        <v>152100</v>
      </c>
      <c r="B299" t="s">
        <v>291</v>
      </c>
      <c r="C299">
        <f>COUNTIF($D$3:D299, RIGHT(LEFT(A299,4),3))</f>
        <v>8</v>
      </c>
      <c r="D299" t="str">
        <f t="shared" si="20"/>
        <v>521</v>
      </c>
      <c r="E299">
        <f t="shared" si="21"/>
        <v>152108</v>
      </c>
      <c r="F299">
        <f>INDEX(Schedule!$A:$N, MATCH(Joined!$G299, Schedule!$B:$B,0),14)</f>
        <v>15011</v>
      </c>
      <c r="G299" t="s">
        <v>414</v>
      </c>
      <c r="H299">
        <f>INDEX(VAV_Schedule_5_21[#All], MATCH(Joined!G299, VAV_Schedule_5_21[[#All],[UNIT TAG]], 0), 9)</f>
        <v>8</v>
      </c>
      <c r="I299" t="str">
        <f t="shared" si="22"/>
        <v>WPC.VAV-8W-36</v>
      </c>
      <c r="J299" t="str">
        <f t="shared" si="23"/>
        <v>8W</v>
      </c>
      <c r="L299">
        <f>INDEX(Schedule!$A:$J, MATCH(Joined!$G299, Schedule!$B:$B, 0), 5)</f>
        <v>640</v>
      </c>
      <c r="M299">
        <f>INDEX(Schedule!$A:$J, MATCH(Joined!$G299, Schedule!$B:$B, 0), 6)</f>
        <v>130</v>
      </c>
    </row>
    <row r="300" spans="1:13" x14ac:dyDescent="0.2">
      <c r="A300">
        <f>INDEX(PanelInstance!B:D, MATCH(Joined!J300, PanelInstance!D:D, FALSE), 2)</f>
        <v>152100</v>
      </c>
      <c r="B300" t="s">
        <v>291</v>
      </c>
      <c r="C300">
        <f>COUNTIF($D$3:D300, RIGHT(LEFT(A300,4),3))</f>
        <v>9</v>
      </c>
      <c r="D300" t="str">
        <f t="shared" si="20"/>
        <v>521</v>
      </c>
      <c r="E300">
        <f t="shared" si="21"/>
        <v>152109</v>
      </c>
      <c r="F300">
        <f>INDEX(Schedule!$A:$N, MATCH(Joined!$G300, Schedule!$B:$B,0),14)</f>
        <v>15011</v>
      </c>
      <c r="G300" t="s">
        <v>415</v>
      </c>
      <c r="H300">
        <f>INDEX(VAV_Schedule_5_21[#All], MATCH(Joined!G300, VAV_Schedule_5_21[[#All],[UNIT TAG]], 0), 9)</f>
        <v>8</v>
      </c>
      <c r="I300" t="str">
        <f t="shared" si="22"/>
        <v>WPC.VAV-8W-37</v>
      </c>
      <c r="J300" t="str">
        <f t="shared" si="23"/>
        <v>8W</v>
      </c>
      <c r="L300">
        <f>INDEX(Schedule!$A:$J, MATCH(Joined!$G300, Schedule!$B:$B, 0), 5)</f>
        <v>860</v>
      </c>
      <c r="M300">
        <f>INDEX(Schedule!$A:$J, MATCH(Joined!$G300, Schedule!$B:$B, 0), 6)</f>
        <v>175</v>
      </c>
    </row>
    <row r="301" spans="1:13" x14ac:dyDescent="0.2">
      <c r="A301">
        <f>INDEX(PanelInstance!B:D, MATCH(Joined!J301, PanelInstance!D:D, FALSE), 2)</f>
        <v>152100</v>
      </c>
      <c r="B301" t="s">
        <v>291</v>
      </c>
      <c r="C301">
        <f>COUNTIF($D$3:D301, RIGHT(LEFT(A301,4),3))</f>
        <v>10</v>
      </c>
      <c r="D301" t="str">
        <f t="shared" si="20"/>
        <v>521</v>
      </c>
      <c r="E301">
        <f t="shared" si="21"/>
        <v>152110</v>
      </c>
      <c r="F301">
        <f>INDEX(Schedule!$A:$N, MATCH(Joined!$G301, Schedule!$B:$B,0),14)</f>
        <v>15011</v>
      </c>
      <c r="G301" t="s">
        <v>416</v>
      </c>
      <c r="H301">
        <f>INDEX(VAV_Schedule_5_21[#All], MATCH(Joined!G301, VAV_Schedule_5_21[[#All],[UNIT TAG]], 0), 9)</f>
        <v>8</v>
      </c>
      <c r="I301" t="str">
        <f t="shared" si="22"/>
        <v>WPC.VAV-8W-38</v>
      </c>
      <c r="J301" t="str">
        <f t="shared" si="23"/>
        <v>8W</v>
      </c>
      <c r="L301">
        <f>INDEX(Schedule!$A:$J, MATCH(Joined!$G301, Schedule!$B:$B, 0), 5)</f>
        <v>700</v>
      </c>
      <c r="M301">
        <f>INDEX(Schedule!$A:$J, MATCH(Joined!$G301, Schedule!$B:$B, 0), 6)</f>
        <v>140</v>
      </c>
    </row>
    <row r="302" spans="1:13" x14ac:dyDescent="0.2">
      <c r="A302">
        <f>INDEX(PanelInstance!B:D, MATCH(Joined!J302, PanelInstance!D:D, FALSE), 2)</f>
        <v>152100</v>
      </c>
      <c r="B302" t="s">
        <v>291</v>
      </c>
      <c r="C302">
        <f>COUNTIF($D$3:D302, RIGHT(LEFT(A302,4),3))</f>
        <v>11</v>
      </c>
      <c r="D302" t="str">
        <f t="shared" si="20"/>
        <v>521</v>
      </c>
      <c r="E302">
        <f t="shared" si="21"/>
        <v>152111</v>
      </c>
      <c r="F302">
        <f>INDEX(Schedule!$A:$N, MATCH(Joined!$G302, Schedule!$B:$B,0),14)</f>
        <v>15010</v>
      </c>
      <c r="G302" t="s">
        <v>417</v>
      </c>
      <c r="H302">
        <f>INDEX(VAV_Schedule_5_21[#All], MATCH(Joined!G302, VAV_Schedule_5_21[[#All],[UNIT TAG]], 0), 9)</f>
        <v>8</v>
      </c>
      <c r="I302" t="str">
        <f t="shared" si="22"/>
        <v>WPC.VAV-8W-39</v>
      </c>
      <c r="J302" t="str">
        <f t="shared" si="23"/>
        <v>8W</v>
      </c>
      <c r="L302">
        <f>INDEX(Schedule!$A:$J, MATCH(Joined!$G302, Schedule!$B:$B, 0), 5)</f>
        <v>1140</v>
      </c>
      <c r="M302">
        <f>INDEX(Schedule!$A:$J, MATCH(Joined!$G302, Schedule!$B:$B, 0), 6)</f>
        <v>230</v>
      </c>
    </row>
    <row r="303" spans="1:13" x14ac:dyDescent="0.2">
      <c r="A303">
        <f>INDEX(PanelInstance!B:D, MATCH(Joined!J303, PanelInstance!D:D, FALSE), 2)</f>
        <v>152100</v>
      </c>
      <c r="B303" t="s">
        <v>291</v>
      </c>
      <c r="C303">
        <f>COUNTIF($D$3:D303, RIGHT(LEFT(A303,4),3))</f>
        <v>12</v>
      </c>
      <c r="D303" t="str">
        <f t="shared" si="20"/>
        <v>521</v>
      </c>
      <c r="E303">
        <f t="shared" si="21"/>
        <v>152112</v>
      </c>
      <c r="F303">
        <f>INDEX(Schedule!$A:$N, MATCH(Joined!$G303, Schedule!$B:$B,0),14)</f>
        <v>15010</v>
      </c>
      <c r="G303" t="s">
        <v>418</v>
      </c>
      <c r="H303">
        <f>INDEX(VAV_Schedule_5_21[#All], MATCH(Joined!G303, VAV_Schedule_5_21[[#All],[UNIT TAG]], 0), 9)</f>
        <v>8</v>
      </c>
      <c r="I303" t="str">
        <f t="shared" si="22"/>
        <v>WPC.VAV-8W-40</v>
      </c>
      <c r="J303" t="str">
        <f t="shared" si="23"/>
        <v>8W</v>
      </c>
      <c r="L303">
        <f>INDEX(Schedule!$A:$J, MATCH(Joined!$G303, Schedule!$B:$B, 0), 5)</f>
        <v>1040</v>
      </c>
      <c r="M303">
        <f>INDEX(Schedule!$A:$J, MATCH(Joined!$G303, Schedule!$B:$B, 0), 6)</f>
        <v>210</v>
      </c>
    </row>
    <row r="304" spans="1:13" x14ac:dyDescent="0.2">
      <c r="A304">
        <f>INDEX(PanelInstance!B:D, MATCH(Joined!J304, PanelInstance!D:D, FALSE), 2)</f>
        <v>152100</v>
      </c>
      <c r="B304" t="s">
        <v>291</v>
      </c>
      <c r="C304">
        <f>COUNTIF($D$3:D304, RIGHT(LEFT(A304,4),3))</f>
        <v>13</v>
      </c>
      <c r="D304" t="str">
        <f t="shared" si="20"/>
        <v>521</v>
      </c>
      <c r="E304">
        <f t="shared" si="21"/>
        <v>152113</v>
      </c>
      <c r="F304">
        <f>INDEX(Schedule!$A:$N, MATCH(Joined!$G304, Schedule!$B:$B,0),14)</f>
        <v>15010</v>
      </c>
      <c r="G304" t="s">
        <v>419</v>
      </c>
      <c r="H304">
        <f>INDEX(VAV_Schedule_5_21[#All], MATCH(Joined!G304, VAV_Schedule_5_21[[#All],[UNIT TAG]], 0), 9)</f>
        <v>8</v>
      </c>
      <c r="I304" t="str">
        <f t="shared" si="22"/>
        <v>WPC.VAV-8W-41</v>
      </c>
      <c r="J304" t="str">
        <f t="shared" si="23"/>
        <v>8W</v>
      </c>
      <c r="L304">
        <f>INDEX(Schedule!$A:$J, MATCH(Joined!$G304, Schedule!$B:$B, 0), 5)</f>
        <v>200</v>
      </c>
      <c r="M304">
        <f>INDEX(Schedule!$A:$J, MATCH(Joined!$G304, Schedule!$B:$B, 0), 6)</f>
        <v>40</v>
      </c>
    </row>
    <row r="305" spans="1:13" x14ac:dyDescent="0.2">
      <c r="A305">
        <f>INDEX(PanelInstance!B:D, MATCH(Joined!J305, PanelInstance!D:D, FALSE), 2)</f>
        <v>152100</v>
      </c>
      <c r="B305" t="s">
        <v>291</v>
      </c>
      <c r="C305">
        <f>COUNTIF($D$3:D305, RIGHT(LEFT(A305,4),3))</f>
        <v>14</v>
      </c>
      <c r="D305" t="str">
        <f t="shared" si="20"/>
        <v>521</v>
      </c>
      <c r="E305">
        <f t="shared" si="21"/>
        <v>152114</v>
      </c>
      <c r="F305">
        <f>INDEX(Schedule!$A:$N, MATCH(Joined!$G305, Schedule!$B:$B,0),14)</f>
        <v>15011</v>
      </c>
      <c r="G305" t="s">
        <v>420</v>
      </c>
      <c r="H305">
        <f>INDEX(VAV_Schedule_5_21[#All], MATCH(Joined!G305, VAV_Schedule_5_21[[#All],[UNIT TAG]], 0), 9)</f>
        <v>8</v>
      </c>
      <c r="I305" t="str">
        <f t="shared" si="22"/>
        <v>WPC.VAV-8W-42</v>
      </c>
      <c r="J305" t="str">
        <f t="shared" si="23"/>
        <v>8W</v>
      </c>
      <c r="L305">
        <f>INDEX(Schedule!$A:$J, MATCH(Joined!$G305, Schedule!$B:$B, 0), 5)</f>
        <v>1220</v>
      </c>
      <c r="M305">
        <f>INDEX(Schedule!$A:$J, MATCH(Joined!$G305, Schedule!$B:$B, 0), 6)</f>
        <v>245</v>
      </c>
    </row>
    <row r="306" spans="1:13" x14ac:dyDescent="0.2">
      <c r="A306">
        <f>INDEX(PanelInstance!B:D, MATCH(Joined!J306, PanelInstance!D:D, FALSE), 2)</f>
        <v>152100</v>
      </c>
      <c r="B306" t="s">
        <v>291</v>
      </c>
      <c r="C306">
        <f>COUNTIF($D$3:D306, RIGHT(LEFT(A306,4),3))</f>
        <v>15</v>
      </c>
      <c r="D306" t="str">
        <f t="shared" si="20"/>
        <v>521</v>
      </c>
      <c r="E306">
        <f t="shared" si="21"/>
        <v>152115</v>
      </c>
      <c r="F306">
        <f>INDEX(Schedule!$A:$N, MATCH(Joined!$G306, Schedule!$B:$B,0),14)</f>
        <v>15011</v>
      </c>
      <c r="G306" t="s">
        <v>421</v>
      </c>
      <c r="H306">
        <f>INDEX(VAV_Schedule_5_21[#All], MATCH(Joined!G306, VAV_Schedule_5_21[[#All],[UNIT TAG]], 0), 9)</f>
        <v>8</v>
      </c>
      <c r="I306" t="str">
        <f t="shared" si="22"/>
        <v>WPC.VAV-8W-43</v>
      </c>
      <c r="J306" t="str">
        <f t="shared" si="23"/>
        <v>8W</v>
      </c>
      <c r="L306">
        <f>INDEX(Schedule!$A:$J, MATCH(Joined!$G306, Schedule!$B:$B, 0), 5)</f>
        <v>960</v>
      </c>
      <c r="M306">
        <f>INDEX(Schedule!$A:$J, MATCH(Joined!$G306, Schedule!$B:$B, 0), 6)</f>
        <v>195</v>
      </c>
    </row>
    <row r="307" spans="1:13" x14ac:dyDescent="0.2">
      <c r="A307">
        <f>INDEX(PanelInstance!B:D, MATCH(Joined!J307, PanelInstance!D:D, FALSE), 2)</f>
        <v>152100</v>
      </c>
      <c r="B307" t="s">
        <v>291</v>
      </c>
      <c r="C307">
        <f>COUNTIF($D$3:D307, RIGHT(LEFT(A307,4),3))</f>
        <v>16</v>
      </c>
      <c r="D307" t="str">
        <f t="shared" si="20"/>
        <v>521</v>
      </c>
      <c r="E307">
        <f t="shared" si="21"/>
        <v>152116</v>
      </c>
      <c r="F307">
        <f>INDEX(Schedule!$A:$N, MATCH(Joined!$G307, Schedule!$B:$B,0),14)</f>
        <v>15011</v>
      </c>
      <c r="G307" t="s">
        <v>422</v>
      </c>
      <c r="H307">
        <f>INDEX(VAV_Schedule_5_21[#All], MATCH(Joined!G307, VAV_Schedule_5_21[[#All],[UNIT TAG]], 0), 9)</f>
        <v>8</v>
      </c>
      <c r="I307" t="str">
        <f t="shared" si="22"/>
        <v>WPC.VAV-8W-44</v>
      </c>
      <c r="J307" t="str">
        <f t="shared" si="23"/>
        <v>8W</v>
      </c>
      <c r="L307">
        <f>INDEX(Schedule!$A:$J, MATCH(Joined!$G307, Schedule!$B:$B, 0), 5)</f>
        <v>1220</v>
      </c>
      <c r="M307">
        <f>INDEX(Schedule!$A:$J, MATCH(Joined!$G307, Schedule!$B:$B, 0), 6)</f>
        <v>245</v>
      </c>
    </row>
    <row r="308" spans="1:13" x14ac:dyDescent="0.2">
      <c r="A308">
        <f>INDEX(PanelInstance!B:D, MATCH(Joined!J308, PanelInstance!D:D, FALSE), 2)</f>
        <v>152100</v>
      </c>
      <c r="B308" t="s">
        <v>291</v>
      </c>
      <c r="C308">
        <f>COUNTIF($D$3:D308, RIGHT(LEFT(A308,4),3))</f>
        <v>17</v>
      </c>
      <c r="D308" t="str">
        <f t="shared" si="20"/>
        <v>521</v>
      </c>
      <c r="E308">
        <f t="shared" si="21"/>
        <v>152117</v>
      </c>
      <c r="F308">
        <f>INDEX(Schedule!$A:$N, MATCH(Joined!$G308, Schedule!$B:$B,0),14)</f>
        <v>15010</v>
      </c>
      <c r="G308" t="s">
        <v>423</v>
      </c>
      <c r="H308">
        <f>INDEX(VAV_Schedule_5_21[#All], MATCH(Joined!G308, VAV_Schedule_5_21[[#All],[UNIT TAG]], 0), 9)</f>
        <v>8</v>
      </c>
      <c r="I308" t="str">
        <f t="shared" si="22"/>
        <v>WPC.VAV-8W-45</v>
      </c>
      <c r="J308" t="str">
        <f t="shared" si="23"/>
        <v>8W</v>
      </c>
      <c r="L308">
        <f>INDEX(Schedule!$A:$J, MATCH(Joined!$G308, Schedule!$B:$B, 0), 5)</f>
        <v>200</v>
      </c>
      <c r="M308">
        <f>INDEX(Schedule!$A:$J, MATCH(Joined!$G308, Schedule!$B:$B, 0), 6)</f>
        <v>40</v>
      </c>
    </row>
    <row r="309" spans="1:13" x14ac:dyDescent="0.2">
      <c r="A309">
        <f>INDEX(PanelInstance!B:D, MATCH(Joined!J309, PanelInstance!D:D, FALSE), 2)</f>
        <v>154100</v>
      </c>
      <c r="B309" t="s">
        <v>291</v>
      </c>
      <c r="C309">
        <f>COUNTIF($D$3:D309, RIGHT(LEFT(A309,4),3))</f>
        <v>1</v>
      </c>
      <c r="D309" t="str">
        <f t="shared" si="20"/>
        <v>541</v>
      </c>
      <c r="E309">
        <f t="shared" si="21"/>
        <v>154101</v>
      </c>
      <c r="F309">
        <f>INDEX(Schedule!$A:$N, MATCH(Joined!$G309, Schedule!$B:$B,0),14)</f>
        <v>15011</v>
      </c>
      <c r="G309" t="s">
        <v>217</v>
      </c>
      <c r="H309">
        <f>INDEX(VAV_Schedule_5_21[#All], MATCH(Joined!G309, VAV_Schedule_5_21[[#All],[UNIT TAG]], 0), 9)</f>
        <v>15</v>
      </c>
      <c r="I309" t="str">
        <f t="shared" si="22"/>
        <v>WPC.VAV-15E-14</v>
      </c>
      <c r="J309" t="str">
        <f t="shared" si="23"/>
        <v>15E</v>
      </c>
      <c r="L309">
        <f>INDEX(Schedule!$A:$J, MATCH(Joined!$G309, Schedule!$B:$B, 0), 5)</f>
        <v>840</v>
      </c>
      <c r="M309">
        <f>INDEX(Schedule!$A:$J, MATCH(Joined!$G309, Schedule!$B:$B, 0), 6)</f>
        <v>170</v>
      </c>
    </row>
    <row r="310" spans="1:13" x14ac:dyDescent="0.2">
      <c r="A310">
        <f>INDEX(PanelInstance!B:D, MATCH(Joined!J310, PanelInstance!D:D, FALSE), 2)</f>
        <v>154100</v>
      </c>
      <c r="B310" t="s">
        <v>291</v>
      </c>
      <c r="C310">
        <f>COUNTIF($D$3:D310, RIGHT(LEFT(A310,4),3))</f>
        <v>2</v>
      </c>
      <c r="D310" t="str">
        <f t="shared" si="20"/>
        <v>541</v>
      </c>
      <c r="E310">
        <f t="shared" si="21"/>
        <v>154102</v>
      </c>
      <c r="F310">
        <f>INDEX(Schedule!$A:$N, MATCH(Joined!$G310, Schedule!$B:$B,0),14)</f>
        <v>15011</v>
      </c>
      <c r="G310" t="s">
        <v>218</v>
      </c>
      <c r="H310">
        <f>INDEX(VAV_Schedule_5_21[#All], MATCH(Joined!G310, VAV_Schedule_5_21[[#All],[UNIT TAG]], 0), 9)</f>
        <v>15</v>
      </c>
      <c r="I310" t="str">
        <f t="shared" si="22"/>
        <v>WPC.VAV-15E-15</v>
      </c>
      <c r="J310" t="str">
        <f t="shared" si="23"/>
        <v>15E</v>
      </c>
      <c r="L310">
        <f>INDEX(Schedule!$A:$J, MATCH(Joined!$G310, Schedule!$B:$B, 0), 5)</f>
        <v>640</v>
      </c>
      <c r="M310">
        <f>INDEX(Schedule!$A:$J, MATCH(Joined!$G310, Schedule!$B:$B, 0), 6)</f>
        <v>130</v>
      </c>
    </row>
    <row r="311" spans="1:13" x14ac:dyDescent="0.2">
      <c r="A311">
        <f>INDEX(PanelInstance!B:D, MATCH(Joined!J311, PanelInstance!D:D, FALSE), 2)</f>
        <v>154100</v>
      </c>
      <c r="B311" t="s">
        <v>291</v>
      </c>
      <c r="C311">
        <f>COUNTIF($D$3:D311, RIGHT(LEFT(A311,4),3))</f>
        <v>3</v>
      </c>
      <c r="D311" t="str">
        <f t="shared" si="20"/>
        <v>541</v>
      </c>
      <c r="E311">
        <f t="shared" si="21"/>
        <v>154103</v>
      </c>
      <c r="F311">
        <f>INDEX(Schedule!$A:$N, MATCH(Joined!$G311, Schedule!$B:$B,0),14)</f>
        <v>15011</v>
      </c>
      <c r="G311" t="s">
        <v>219</v>
      </c>
      <c r="H311">
        <f>INDEX(VAV_Schedule_5_21[#All], MATCH(Joined!G311, VAV_Schedule_5_21[[#All],[UNIT TAG]], 0), 9)</f>
        <v>15</v>
      </c>
      <c r="I311" t="str">
        <f t="shared" si="22"/>
        <v>WPC.VAV-15E-16</v>
      </c>
      <c r="J311" t="str">
        <f t="shared" si="23"/>
        <v>15E</v>
      </c>
      <c r="L311">
        <f>INDEX(Schedule!$A:$J, MATCH(Joined!$G311, Schedule!$B:$B, 0), 5)</f>
        <v>600</v>
      </c>
      <c r="M311">
        <f>INDEX(Schedule!$A:$J, MATCH(Joined!$G311, Schedule!$B:$B, 0), 6)</f>
        <v>120</v>
      </c>
    </row>
    <row r="312" spans="1:13" x14ac:dyDescent="0.2">
      <c r="A312">
        <f>INDEX(PanelInstance!B:D, MATCH(Joined!J312, PanelInstance!D:D, FALSE), 2)</f>
        <v>154100</v>
      </c>
      <c r="B312" t="s">
        <v>291</v>
      </c>
      <c r="C312">
        <f>COUNTIF($D$3:D312, RIGHT(LEFT(A312,4),3))</f>
        <v>4</v>
      </c>
      <c r="D312" t="str">
        <f t="shared" si="20"/>
        <v>541</v>
      </c>
      <c r="E312">
        <f t="shared" si="21"/>
        <v>154104</v>
      </c>
      <c r="F312">
        <f>INDEX(Schedule!$A:$N, MATCH(Joined!$G312, Schedule!$B:$B,0),14)</f>
        <v>15011</v>
      </c>
      <c r="G312" t="s">
        <v>220</v>
      </c>
      <c r="H312">
        <f>INDEX(VAV_Schedule_5_21[#All], MATCH(Joined!G312, VAV_Schedule_5_21[[#All],[UNIT TAG]], 0), 9)</f>
        <v>15</v>
      </c>
      <c r="I312" t="str">
        <f t="shared" si="22"/>
        <v>WPC.VAV-15E-17</v>
      </c>
      <c r="J312" t="str">
        <f t="shared" si="23"/>
        <v>15E</v>
      </c>
      <c r="L312">
        <f>INDEX(Schedule!$A:$J, MATCH(Joined!$G312, Schedule!$B:$B, 0), 5)</f>
        <v>680</v>
      </c>
      <c r="M312">
        <f>INDEX(Schedule!$A:$J, MATCH(Joined!$G312, Schedule!$B:$B, 0), 6)</f>
        <v>195</v>
      </c>
    </row>
    <row r="313" spans="1:13" x14ac:dyDescent="0.2">
      <c r="A313">
        <f>INDEX(PanelInstance!B:D, MATCH(Joined!J313, PanelInstance!D:D, FALSE), 2)</f>
        <v>154100</v>
      </c>
      <c r="B313" t="s">
        <v>291</v>
      </c>
      <c r="C313">
        <f>COUNTIF($D$3:D313, RIGHT(LEFT(A313,4),3))</f>
        <v>5</v>
      </c>
      <c r="D313" t="str">
        <f t="shared" si="20"/>
        <v>541</v>
      </c>
      <c r="E313">
        <f t="shared" si="21"/>
        <v>154105</v>
      </c>
      <c r="F313">
        <f>INDEX(Schedule!$A:$N, MATCH(Joined!$G313, Schedule!$B:$B,0),14)</f>
        <v>15010</v>
      </c>
      <c r="G313" t="s">
        <v>221</v>
      </c>
      <c r="H313">
        <f>INDEX(VAV_Schedule_5_21[#All], MATCH(Joined!G313, VAV_Schedule_5_21[[#All],[UNIT TAG]], 0), 9)</f>
        <v>15</v>
      </c>
      <c r="I313" t="str">
        <f t="shared" si="22"/>
        <v>WPC.VAV-15E-18</v>
      </c>
      <c r="J313" t="str">
        <f t="shared" si="23"/>
        <v>15E</v>
      </c>
      <c r="L313">
        <f>INDEX(Schedule!$A:$J, MATCH(Joined!$G313, Schedule!$B:$B, 0), 5)</f>
        <v>100</v>
      </c>
      <c r="M313">
        <f>INDEX(Schedule!$A:$J, MATCH(Joined!$G313, Schedule!$B:$B, 0), 6)</f>
        <v>20</v>
      </c>
    </row>
    <row r="314" spans="1:13" x14ac:dyDescent="0.2">
      <c r="A314">
        <f>INDEX(PanelInstance!B:D, MATCH(Joined!J314, PanelInstance!D:D, FALSE), 2)</f>
        <v>154100</v>
      </c>
      <c r="B314" t="s">
        <v>291</v>
      </c>
      <c r="C314">
        <f>COUNTIF($D$3:D314, RIGHT(LEFT(A314,4),3))</f>
        <v>6</v>
      </c>
      <c r="D314" t="str">
        <f t="shared" si="20"/>
        <v>541</v>
      </c>
      <c r="E314">
        <f t="shared" si="21"/>
        <v>154106</v>
      </c>
      <c r="F314">
        <f>INDEX(Schedule!$A:$N, MATCH(Joined!$G314, Schedule!$B:$B,0),14)</f>
        <v>15011</v>
      </c>
      <c r="G314" t="s">
        <v>222</v>
      </c>
      <c r="H314">
        <f>INDEX(VAV_Schedule_5_21[#All], MATCH(Joined!G314, VAV_Schedule_5_21[[#All],[UNIT TAG]], 0), 9)</f>
        <v>15</v>
      </c>
      <c r="I314" t="str">
        <f t="shared" si="22"/>
        <v>WPC.VAV-15E-19</v>
      </c>
      <c r="J314" t="str">
        <f t="shared" si="23"/>
        <v>15E</v>
      </c>
      <c r="L314">
        <f>INDEX(Schedule!$A:$J, MATCH(Joined!$G314, Schedule!$B:$B, 0), 5)</f>
        <v>690</v>
      </c>
      <c r="M314">
        <f>INDEX(Schedule!$A:$J, MATCH(Joined!$G314, Schedule!$B:$B, 0), 6)</f>
        <v>140</v>
      </c>
    </row>
    <row r="315" spans="1:13" x14ac:dyDescent="0.2">
      <c r="A315">
        <f>INDEX(PanelInstance!B:D, MATCH(Joined!J315, PanelInstance!D:D, FALSE), 2)</f>
        <v>154100</v>
      </c>
      <c r="B315" t="s">
        <v>291</v>
      </c>
      <c r="C315">
        <f>COUNTIF($D$3:D315, RIGHT(LEFT(A315,4),3))</f>
        <v>7</v>
      </c>
      <c r="D315" t="str">
        <f t="shared" si="20"/>
        <v>541</v>
      </c>
      <c r="E315">
        <f t="shared" si="21"/>
        <v>154107</v>
      </c>
      <c r="F315">
        <f>INDEX(Schedule!$A:$N, MATCH(Joined!$G315, Schedule!$B:$B,0),14)</f>
        <v>15011</v>
      </c>
      <c r="G315" t="s">
        <v>223</v>
      </c>
      <c r="H315">
        <f>INDEX(VAV_Schedule_5_21[#All], MATCH(Joined!G315, VAV_Schedule_5_21[[#All],[UNIT TAG]], 0), 9)</f>
        <v>15</v>
      </c>
      <c r="I315" t="str">
        <f t="shared" si="22"/>
        <v>WPC.VAV-15E-20</v>
      </c>
      <c r="J315" t="str">
        <f t="shared" si="23"/>
        <v>15E</v>
      </c>
      <c r="L315">
        <f>INDEX(Schedule!$A:$J, MATCH(Joined!$G315, Schedule!$B:$B, 0), 5)</f>
        <v>850</v>
      </c>
      <c r="M315">
        <f>INDEX(Schedule!$A:$J, MATCH(Joined!$G315, Schedule!$B:$B, 0), 6)</f>
        <v>180</v>
      </c>
    </row>
    <row r="316" spans="1:13" x14ac:dyDescent="0.2">
      <c r="A316">
        <f>INDEX(PanelInstance!B:D, MATCH(Joined!J316, PanelInstance!D:D, FALSE), 2)</f>
        <v>154100</v>
      </c>
      <c r="B316" t="s">
        <v>291</v>
      </c>
      <c r="C316">
        <f>COUNTIF($D$3:D316, RIGHT(LEFT(A316,4),3))</f>
        <v>8</v>
      </c>
      <c r="D316" t="str">
        <f t="shared" si="20"/>
        <v>541</v>
      </c>
      <c r="E316">
        <f t="shared" si="21"/>
        <v>154108</v>
      </c>
      <c r="F316">
        <f>INDEX(Schedule!$A:$N, MATCH(Joined!$G316, Schedule!$B:$B,0),14)</f>
        <v>15011</v>
      </c>
      <c r="G316" t="s">
        <v>224</v>
      </c>
      <c r="H316">
        <f>INDEX(VAV_Schedule_5_21[#All], MATCH(Joined!G316, VAV_Schedule_5_21[[#All],[UNIT TAG]], 0), 9)</f>
        <v>15</v>
      </c>
      <c r="I316" t="str">
        <f t="shared" si="22"/>
        <v>WPC.VAV-15E-21</v>
      </c>
      <c r="J316" t="str">
        <f t="shared" si="23"/>
        <v>15E</v>
      </c>
      <c r="L316">
        <f>INDEX(Schedule!$A:$J, MATCH(Joined!$G316, Schedule!$B:$B, 0), 5)</f>
        <v>660</v>
      </c>
      <c r="M316">
        <f>INDEX(Schedule!$A:$J, MATCH(Joined!$G316, Schedule!$B:$B, 0), 6)</f>
        <v>135</v>
      </c>
    </row>
    <row r="317" spans="1:13" x14ac:dyDescent="0.2">
      <c r="A317">
        <f>INDEX(PanelInstance!B:D, MATCH(Joined!J317, PanelInstance!D:D, FALSE), 2)</f>
        <v>154100</v>
      </c>
      <c r="B317" t="s">
        <v>291</v>
      </c>
      <c r="C317">
        <f>COUNTIF($D$3:D317, RIGHT(LEFT(A317,4),3))</f>
        <v>9</v>
      </c>
      <c r="D317" t="str">
        <f t="shared" si="20"/>
        <v>541</v>
      </c>
      <c r="E317">
        <f t="shared" si="21"/>
        <v>154109</v>
      </c>
      <c r="F317">
        <f>INDEX(Schedule!$A:$N, MATCH(Joined!$G317, Schedule!$B:$B,0),14)</f>
        <v>15010</v>
      </c>
      <c r="G317" t="s">
        <v>225</v>
      </c>
      <c r="H317">
        <f>INDEX(VAV_Schedule_5_21[#All], MATCH(Joined!G317, VAV_Schedule_5_21[[#All],[UNIT TAG]], 0), 9)</f>
        <v>15</v>
      </c>
      <c r="I317" t="str">
        <f t="shared" si="22"/>
        <v>WPC.VAV-15E-22</v>
      </c>
      <c r="J317" t="str">
        <f t="shared" si="23"/>
        <v>15E</v>
      </c>
      <c r="L317">
        <f>INDEX(Schedule!$A:$J, MATCH(Joined!$G317, Schedule!$B:$B, 0), 5)</f>
        <v>185</v>
      </c>
      <c r="M317">
        <f>INDEX(Schedule!$A:$J, MATCH(Joined!$G317, Schedule!$B:$B, 0), 6)</f>
        <v>40</v>
      </c>
    </row>
    <row r="318" spans="1:13" x14ac:dyDescent="0.2">
      <c r="A318">
        <f>INDEX(PanelInstance!B:D, MATCH(Joined!J318, PanelInstance!D:D, FALSE), 2)</f>
        <v>154100</v>
      </c>
      <c r="B318" t="s">
        <v>291</v>
      </c>
      <c r="C318">
        <f>COUNTIF($D$3:D318, RIGHT(LEFT(A318,4),3))</f>
        <v>10</v>
      </c>
      <c r="D318" t="str">
        <f t="shared" si="20"/>
        <v>541</v>
      </c>
      <c r="E318">
        <f t="shared" si="21"/>
        <v>154110</v>
      </c>
      <c r="F318">
        <f>INDEX(Schedule!$A:$N, MATCH(Joined!$G318, Schedule!$B:$B,0),14)</f>
        <v>15011</v>
      </c>
      <c r="G318" t="s">
        <v>226</v>
      </c>
      <c r="H318">
        <f>INDEX(VAV_Schedule_5_21[#All], MATCH(Joined!G318, VAV_Schedule_5_21[[#All],[UNIT TAG]], 0), 9)</f>
        <v>15</v>
      </c>
      <c r="I318" t="str">
        <f t="shared" si="22"/>
        <v>WPC.VAV-15E-23</v>
      </c>
      <c r="J318" t="str">
        <f t="shared" si="23"/>
        <v>15E</v>
      </c>
      <c r="L318">
        <f>INDEX(Schedule!$A:$J, MATCH(Joined!$G318, Schedule!$B:$B, 0), 5)</f>
        <v>840</v>
      </c>
      <c r="M318">
        <f>INDEX(Schedule!$A:$J, MATCH(Joined!$G318, Schedule!$B:$B, 0), 6)</f>
        <v>230</v>
      </c>
    </row>
    <row r="319" spans="1:13" x14ac:dyDescent="0.2">
      <c r="A319">
        <f>INDEX(PanelInstance!B:D, MATCH(Joined!J319, PanelInstance!D:D, FALSE), 2)</f>
        <v>154100</v>
      </c>
      <c r="B319" t="s">
        <v>291</v>
      </c>
      <c r="C319">
        <f>COUNTIF($D$3:D319, RIGHT(LEFT(A319,4),3))</f>
        <v>11</v>
      </c>
      <c r="D319" t="str">
        <f t="shared" si="20"/>
        <v>541</v>
      </c>
      <c r="E319">
        <f t="shared" si="21"/>
        <v>154111</v>
      </c>
      <c r="F319">
        <f>INDEX(Schedule!$A:$N, MATCH(Joined!$G319, Schedule!$B:$B,0),14)</f>
        <v>15011</v>
      </c>
      <c r="G319" t="s">
        <v>227</v>
      </c>
      <c r="H319">
        <f>INDEX(VAV_Schedule_5_21[#All], MATCH(Joined!G319, VAV_Schedule_5_21[[#All],[UNIT TAG]], 0), 9)</f>
        <v>15</v>
      </c>
      <c r="I319" t="str">
        <f t="shared" si="22"/>
        <v>WPC.VAV-15E-24</v>
      </c>
      <c r="J319" t="str">
        <f t="shared" si="23"/>
        <v>15E</v>
      </c>
      <c r="L319">
        <f>INDEX(Schedule!$A:$J, MATCH(Joined!$G319, Schedule!$B:$B, 0), 5)</f>
        <v>720</v>
      </c>
      <c r="M319">
        <f>INDEX(Schedule!$A:$J, MATCH(Joined!$G319, Schedule!$B:$B, 0), 6)</f>
        <v>230</v>
      </c>
    </row>
    <row r="320" spans="1:13" x14ac:dyDescent="0.2">
      <c r="A320">
        <f>INDEX(PanelInstance!B:D, MATCH(Joined!J320, PanelInstance!D:D, FALSE), 2)</f>
        <v>154100</v>
      </c>
      <c r="B320" t="s">
        <v>291</v>
      </c>
      <c r="C320">
        <f>COUNTIF($D$3:D320, RIGHT(LEFT(A320,4),3))</f>
        <v>12</v>
      </c>
      <c r="D320" t="str">
        <f t="shared" si="20"/>
        <v>541</v>
      </c>
      <c r="E320">
        <f t="shared" si="21"/>
        <v>154112</v>
      </c>
      <c r="F320">
        <f>INDEX(Schedule!$A:$N, MATCH(Joined!$G320, Schedule!$B:$B,0),14)</f>
        <v>15011</v>
      </c>
      <c r="G320" t="s">
        <v>228</v>
      </c>
      <c r="H320">
        <f>INDEX(VAV_Schedule_5_21[#All], MATCH(Joined!G320, VAV_Schedule_5_21[[#All],[UNIT TAG]], 0), 9)</f>
        <v>15</v>
      </c>
      <c r="I320" t="str">
        <f t="shared" si="22"/>
        <v>WPC.VAV-15E-25</v>
      </c>
      <c r="J320" t="str">
        <f t="shared" si="23"/>
        <v>15E</v>
      </c>
      <c r="L320">
        <f>INDEX(Schedule!$A:$J, MATCH(Joined!$G320, Schedule!$B:$B, 0), 5)</f>
        <v>640</v>
      </c>
      <c r="M320">
        <f>INDEX(Schedule!$A:$J, MATCH(Joined!$G320, Schedule!$B:$B, 0), 6)</f>
        <v>130</v>
      </c>
    </row>
    <row r="321" spans="1:13" x14ac:dyDescent="0.2">
      <c r="A321">
        <f>INDEX(PanelInstance!B:D, MATCH(Joined!J321, PanelInstance!D:D, FALSE), 2)</f>
        <v>154100</v>
      </c>
      <c r="B321" t="s">
        <v>291</v>
      </c>
      <c r="C321">
        <f>COUNTIF($D$3:D321, RIGHT(LEFT(A321,4),3))</f>
        <v>13</v>
      </c>
      <c r="D321" t="str">
        <f t="shared" si="20"/>
        <v>541</v>
      </c>
      <c r="E321">
        <f t="shared" si="21"/>
        <v>154113</v>
      </c>
      <c r="F321">
        <f>INDEX(Schedule!$A:$N, MATCH(Joined!$G321, Schedule!$B:$B,0),14)</f>
        <v>15011</v>
      </c>
      <c r="G321" t="s">
        <v>229</v>
      </c>
      <c r="H321">
        <f>INDEX(VAV_Schedule_5_21[#All], MATCH(Joined!G321, VAV_Schedule_5_21[[#All],[UNIT TAG]], 0), 9)</f>
        <v>15</v>
      </c>
      <c r="I321" t="str">
        <f t="shared" si="22"/>
        <v>WPC.VAV-15E-26</v>
      </c>
      <c r="J321" t="str">
        <f t="shared" si="23"/>
        <v>15E</v>
      </c>
      <c r="L321">
        <f>INDEX(Schedule!$A:$J, MATCH(Joined!$G321, Schedule!$B:$B, 0), 5)</f>
        <v>700</v>
      </c>
      <c r="M321">
        <f>INDEX(Schedule!$A:$J, MATCH(Joined!$G321, Schedule!$B:$B, 0), 6)</f>
        <v>140</v>
      </c>
    </row>
    <row r="322" spans="1:13" x14ac:dyDescent="0.2">
      <c r="A322">
        <f>INDEX(PanelInstance!B:D, MATCH(Joined!J322, PanelInstance!D:D, FALSE), 2)</f>
        <v>154100</v>
      </c>
      <c r="B322" t="s">
        <v>291</v>
      </c>
      <c r="C322">
        <f>COUNTIF($D$3:D322, RIGHT(LEFT(A322,4),3))</f>
        <v>14</v>
      </c>
      <c r="D322" t="str">
        <f t="shared" si="20"/>
        <v>541</v>
      </c>
      <c r="E322">
        <f t="shared" si="21"/>
        <v>154114</v>
      </c>
      <c r="F322">
        <f>INDEX(Schedule!$A:$N, MATCH(Joined!$G322, Schedule!$B:$B,0),14)</f>
        <v>15011</v>
      </c>
      <c r="G322" t="s">
        <v>230</v>
      </c>
      <c r="H322">
        <f>INDEX(VAV_Schedule_5_21[#All], MATCH(Joined!G322, VAV_Schedule_5_21[[#All],[UNIT TAG]], 0), 9)</f>
        <v>15</v>
      </c>
      <c r="I322" t="str">
        <f t="shared" si="22"/>
        <v>WPC.VAV-15E-27</v>
      </c>
      <c r="J322" t="str">
        <f t="shared" si="23"/>
        <v>15E</v>
      </c>
      <c r="L322">
        <f>INDEX(Schedule!$A:$J, MATCH(Joined!$G322, Schedule!$B:$B, 0), 5)</f>
        <v>770</v>
      </c>
      <c r="M322">
        <f>INDEX(Schedule!$A:$J, MATCH(Joined!$G322, Schedule!$B:$B, 0), 6)</f>
        <v>0</v>
      </c>
    </row>
    <row r="323" spans="1:13" x14ac:dyDescent="0.2">
      <c r="A323">
        <f>INDEX(PanelInstance!B:D, MATCH(Joined!J323, PanelInstance!D:D, FALSE), 2)</f>
        <v>154100</v>
      </c>
      <c r="B323" t="s">
        <v>291</v>
      </c>
      <c r="C323">
        <f>COUNTIF($D$3:D323, RIGHT(LEFT(A323,4),3))</f>
        <v>15</v>
      </c>
      <c r="D323" t="str">
        <f t="shared" ref="D323:D338" si="24">RIGHT(LEFT(A323, 4),3)</f>
        <v>541</v>
      </c>
      <c r="E323">
        <f t="shared" ref="E323:E338" si="25">A323+C323</f>
        <v>154115</v>
      </c>
      <c r="F323">
        <f>INDEX(Schedule!$A:$N, MATCH(Joined!$G323, Schedule!$B:$B,0),14)</f>
        <v>15011</v>
      </c>
      <c r="G323" t="s">
        <v>231</v>
      </c>
      <c r="H323">
        <f>INDEX(VAV_Schedule_5_21[#All], MATCH(Joined!G323, VAV_Schedule_5_21[[#All],[UNIT TAG]], 0), 9)</f>
        <v>15</v>
      </c>
      <c r="I323" t="str">
        <f t="shared" ref="I323:I386" si="26">"WPC." &amp; G323</f>
        <v>WPC.VAV-15E-28</v>
      </c>
      <c r="J323" t="str">
        <f t="shared" si="23"/>
        <v>15E</v>
      </c>
      <c r="L323">
        <f>INDEX(Schedule!$A:$J, MATCH(Joined!$G323, Schedule!$B:$B, 0), 5)</f>
        <v>1200</v>
      </c>
      <c r="M323">
        <f>INDEX(Schedule!$A:$J, MATCH(Joined!$G323, Schedule!$B:$B, 0), 6)</f>
        <v>240</v>
      </c>
    </row>
    <row r="324" spans="1:13" x14ac:dyDescent="0.2">
      <c r="A324">
        <f>INDEX(PanelInstance!B:D, MATCH(Joined!J324, PanelInstance!D:D, FALSE), 2)</f>
        <v>154100</v>
      </c>
      <c r="B324" t="s">
        <v>291</v>
      </c>
      <c r="C324">
        <f>COUNTIF($D$3:D324, RIGHT(LEFT(A324,4),3))</f>
        <v>16</v>
      </c>
      <c r="D324" t="str">
        <f t="shared" si="24"/>
        <v>541</v>
      </c>
      <c r="E324">
        <f t="shared" si="25"/>
        <v>154116</v>
      </c>
      <c r="F324">
        <f>INDEX(Schedule!$A:$N, MATCH(Joined!$G324, Schedule!$B:$B,0),14)</f>
        <v>15011</v>
      </c>
      <c r="G324" t="s">
        <v>232</v>
      </c>
      <c r="H324">
        <f>INDEX(VAV_Schedule_5_21[#All], MATCH(Joined!G324, VAV_Schedule_5_21[[#All],[UNIT TAG]], 0), 9)</f>
        <v>15</v>
      </c>
      <c r="I324" t="str">
        <f t="shared" si="26"/>
        <v>WPC.VAV-15E-29</v>
      </c>
      <c r="J324" t="str">
        <f t="shared" ref="J324:J387" si="27">LEFT(RIGHT($G324, LEN($G324) - FIND("-", $G324)), FIND("-", RIGHT($G324, LEN($G324) - FIND("-", $G324)))-1)</f>
        <v>15E</v>
      </c>
      <c r="L324">
        <f>INDEX(Schedule!$A:$J, MATCH(Joined!$G324, Schedule!$B:$B, 0), 5)</f>
        <v>100</v>
      </c>
      <c r="M324">
        <f>INDEX(Schedule!$A:$J, MATCH(Joined!$G324, Schedule!$B:$B, 0), 6)</f>
        <v>200</v>
      </c>
    </row>
    <row r="325" spans="1:13" x14ac:dyDescent="0.2">
      <c r="A325">
        <f>INDEX(PanelInstance!B:D, MATCH(Joined!J325, PanelInstance!D:D, FALSE), 2)</f>
        <v>154100</v>
      </c>
      <c r="B325" t="s">
        <v>291</v>
      </c>
      <c r="C325">
        <f>COUNTIF($D$3:D325, RIGHT(LEFT(A325,4),3))</f>
        <v>17</v>
      </c>
      <c r="D325" t="str">
        <f t="shared" si="24"/>
        <v>541</v>
      </c>
      <c r="E325">
        <f t="shared" si="25"/>
        <v>154117</v>
      </c>
      <c r="F325">
        <f>INDEX(Schedule!$A:$N, MATCH(Joined!$G325, Schedule!$B:$B,0),14)</f>
        <v>15011</v>
      </c>
      <c r="G325" t="s">
        <v>233</v>
      </c>
      <c r="H325">
        <f>INDEX(VAV_Schedule_5_21[#All], MATCH(Joined!G325, VAV_Schedule_5_21[[#All],[UNIT TAG]], 0), 9)</f>
        <v>15</v>
      </c>
      <c r="I325" t="str">
        <f t="shared" si="26"/>
        <v>WPC.VAV-15E-30</v>
      </c>
      <c r="J325" t="str">
        <f t="shared" si="27"/>
        <v>15E</v>
      </c>
      <c r="L325">
        <f>INDEX(Schedule!$A:$J, MATCH(Joined!$G325, Schedule!$B:$B, 0), 5)</f>
        <v>1300</v>
      </c>
      <c r="M325">
        <f>INDEX(Schedule!$A:$J, MATCH(Joined!$G325, Schedule!$B:$B, 0), 6)</f>
        <v>260</v>
      </c>
    </row>
    <row r="326" spans="1:13" x14ac:dyDescent="0.2">
      <c r="A326">
        <f>INDEX(PanelInstance!B:D, MATCH(Joined!J326, PanelInstance!D:D, FALSE), 2)</f>
        <v>154000</v>
      </c>
      <c r="B326" t="s">
        <v>291</v>
      </c>
      <c r="C326">
        <f>COUNTIF($D$3:D326, RIGHT(LEFT(A326,4),3))</f>
        <v>1</v>
      </c>
      <c r="D326" t="str">
        <f t="shared" si="24"/>
        <v>540</v>
      </c>
      <c r="E326">
        <f t="shared" si="25"/>
        <v>154001</v>
      </c>
      <c r="F326">
        <f>INDEX(Schedule!$A:$N, MATCH(Joined!$G326, Schedule!$B:$B,0),14)</f>
        <v>15010</v>
      </c>
      <c r="G326" t="s">
        <v>213</v>
      </c>
      <c r="H326">
        <f>INDEX(VAV_Schedule_5_21[#All], MATCH(Joined!G326, VAV_Schedule_5_21[[#All],[UNIT TAG]], 0), 9)</f>
        <v>15</v>
      </c>
      <c r="I326" t="str">
        <f t="shared" si="26"/>
        <v>WPC.VAV-15N-10</v>
      </c>
      <c r="J326" t="str">
        <f t="shared" si="27"/>
        <v>15N</v>
      </c>
      <c r="L326">
        <f>INDEX(Schedule!$A:$J, MATCH(Joined!$G326, Schedule!$B:$B, 0), 5)</f>
        <v>410</v>
      </c>
      <c r="M326">
        <f>INDEX(Schedule!$A:$J, MATCH(Joined!$G326, Schedule!$B:$B, 0), 6)</f>
        <v>85</v>
      </c>
    </row>
    <row r="327" spans="1:13" x14ac:dyDescent="0.2">
      <c r="A327">
        <f>INDEX(PanelInstance!B:D, MATCH(Joined!J327, PanelInstance!D:D, FALSE), 2)</f>
        <v>154000</v>
      </c>
      <c r="B327" t="s">
        <v>291</v>
      </c>
      <c r="C327">
        <f>COUNTIF($D$3:D327, RIGHT(LEFT(A327,4),3))</f>
        <v>2</v>
      </c>
      <c r="D327" t="str">
        <f t="shared" si="24"/>
        <v>540</v>
      </c>
      <c r="E327">
        <f t="shared" si="25"/>
        <v>154002</v>
      </c>
      <c r="F327">
        <f>INDEX(Schedule!$A:$N, MATCH(Joined!$G327, Schedule!$B:$B,0),14)</f>
        <v>15011</v>
      </c>
      <c r="G327" t="s">
        <v>214</v>
      </c>
      <c r="H327">
        <f>INDEX(VAV_Schedule_5_21[#All], MATCH(Joined!G327, VAV_Schedule_5_21[[#All],[UNIT TAG]], 0), 9)</f>
        <v>15</v>
      </c>
      <c r="I327" t="str">
        <f t="shared" si="26"/>
        <v>WPC.VAV-15N-11</v>
      </c>
      <c r="J327" t="str">
        <f t="shared" si="27"/>
        <v>15N</v>
      </c>
      <c r="L327">
        <f>INDEX(Schedule!$A:$J, MATCH(Joined!$G327, Schedule!$B:$B, 0), 5)</f>
        <v>1300</v>
      </c>
      <c r="M327">
        <f>INDEX(Schedule!$A:$J, MATCH(Joined!$G327, Schedule!$B:$B, 0), 6)</f>
        <v>260</v>
      </c>
    </row>
    <row r="328" spans="1:13" x14ac:dyDescent="0.2">
      <c r="A328">
        <f>INDEX(PanelInstance!B:D, MATCH(Joined!J328, PanelInstance!D:D, FALSE), 2)</f>
        <v>154000</v>
      </c>
      <c r="B328" t="s">
        <v>291</v>
      </c>
      <c r="C328">
        <f>COUNTIF($D$3:D328, RIGHT(LEFT(A328,4),3))</f>
        <v>3</v>
      </c>
      <c r="D328" t="str">
        <f t="shared" si="24"/>
        <v>540</v>
      </c>
      <c r="E328">
        <f t="shared" si="25"/>
        <v>154003</v>
      </c>
      <c r="F328">
        <f>INDEX(Schedule!$A:$N, MATCH(Joined!$G328, Schedule!$B:$B,0),14)</f>
        <v>15011</v>
      </c>
      <c r="G328" t="s">
        <v>215</v>
      </c>
      <c r="H328">
        <f>INDEX(VAV_Schedule_5_21[#All], MATCH(Joined!G328, VAV_Schedule_5_21[[#All],[UNIT TAG]], 0), 9)</f>
        <v>15</v>
      </c>
      <c r="I328" t="str">
        <f t="shared" si="26"/>
        <v>WPC.VAV-15N-12</v>
      </c>
      <c r="J328" t="str">
        <f t="shared" si="27"/>
        <v>15N</v>
      </c>
      <c r="L328">
        <f>INDEX(Schedule!$A:$J, MATCH(Joined!$G328, Schedule!$B:$B, 0), 5)</f>
        <v>1360</v>
      </c>
      <c r="M328">
        <f>INDEX(Schedule!$A:$J, MATCH(Joined!$G328, Schedule!$B:$B, 0), 6)</f>
        <v>275</v>
      </c>
    </row>
    <row r="329" spans="1:13" x14ac:dyDescent="0.2">
      <c r="A329">
        <f>INDEX(PanelInstance!B:D, MATCH(Joined!J329, PanelInstance!D:D, FALSE), 2)</f>
        <v>154000</v>
      </c>
      <c r="B329" t="s">
        <v>291</v>
      </c>
      <c r="C329">
        <f>COUNTIF($D$3:D329, RIGHT(LEFT(A329,4),3))</f>
        <v>4</v>
      </c>
      <c r="D329" t="str">
        <f t="shared" si="24"/>
        <v>540</v>
      </c>
      <c r="E329">
        <f t="shared" si="25"/>
        <v>154004</v>
      </c>
      <c r="F329">
        <f>INDEX(Schedule!$A:$N, MATCH(Joined!$G329, Schedule!$B:$B,0),14)</f>
        <v>15011</v>
      </c>
      <c r="G329" t="s">
        <v>216</v>
      </c>
      <c r="H329">
        <f>INDEX(VAV_Schedule_5_21[#All], MATCH(Joined!G329, VAV_Schedule_5_21[[#All],[UNIT TAG]], 0), 9)</f>
        <v>15</v>
      </c>
      <c r="I329" t="str">
        <f t="shared" si="26"/>
        <v>WPC.VAV-15N-13</v>
      </c>
      <c r="J329" t="str">
        <f t="shared" si="27"/>
        <v>15N</v>
      </c>
      <c r="L329">
        <f>INDEX(Schedule!$A:$J, MATCH(Joined!$G329, Schedule!$B:$B, 0), 5)</f>
        <v>1060</v>
      </c>
      <c r="M329">
        <f>INDEX(Schedule!$A:$J, MATCH(Joined!$G329, Schedule!$B:$B, 0), 6)</f>
        <v>260</v>
      </c>
    </row>
    <row r="330" spans="1:13" x14ac:dyDescent="0.2">
      <c r="A330">
        <f>INDEX(PanelInstance!B:D, MATCH(Joined!J330, PanelInstance!D:D, FALSE), 2)</f>
        <v>154000</v>
      </c>
      <c r="B330" t="s">
        <v>291</v>
      </c>
      <c r="C330">
        <f>COUNTIF($D$3:D330, RIGHT(LEFT(A330,4),3))</f>
        <v>5</v>
      </c>
      <c r="D330" t="str">
        <f t="shared" si="24"/>
        <v>540</v>
      </c>
      <c r="E330">
        <f t="shared" si="25"/>
        <v>154005</v>
      </c>
      <c r="F330">
        <f>INDEX(Schedule!$A:$N, MATCH(Joined!$G330, Schedule!$B:$B,0),14)</f>
        <v>15011</v>
      </c>
      <c r="G330" t="s">
        <v>208</v>
      </c>
      <c r="H330">
        <f>INDEX(VAV_Schedule_5_21[#All], MATCH(Joined!G330, VAV_Schedule_5_21[[#All],[UNIT TAG]], 0), 9)</f>
        <v>15</v>
      </c>
      <c r="I330" t="str">
        <f t="shared" si="26"/>
        <v>WPC.VAV-15N-5</v>
      </c>
      <c r="J330" t="str">
        <f t="shared" si="27"/>
        <v>15N</v>
      </c>
      <c r="L330">
        <f>INDEX(Schedule!$A:$J, MATCH(Joined!$G330, Schedule!$B:$B, 0), 5)</f>
        <v>1065</v>
      </c>
      <c r="M330">
        <f>INDEX(Schedule!$A:$J, MATCH(Joined!$G330, Schedule!$B:$B, 0), 6)</f>
        <v>260</v>
      </c>
    </row>
    <row r="331" spans="1:13" x14ac:dyDescent="0.2">
      <c r="A331">
        <f>INDEX(PanelInstance!B:D, MATCH(Joined!J331, PanelInstance!D:D, FALSE), 2)</f>
        <v>154000</v>
      </c>
      <c r="B331" t="s">
        <v>291</v>
      </c>
      <c r="C331">
        <f>COUNTIF($D$3:D331, RIGHT(LEFT(A331,4),3))</f>
        <v>6</v>
      </c>
      <c r="D331" t="str">
        <f t="shared" si="24"/>
        <v>540</v>
      </c>
      <c r="E331">
        <f t="shared" si="25"/>
        <v>154006</v>
      </c>
      <c r="F331">
        <f>INDEX(Schedule!$A:$N, MATCH(Joined!$G331, Schedule!$B:$B,0),14)</f>
        <v>15011</v>
      </c>
      <c r="G331" t="s">
        <v>209</v>
      </c>
      <c r="H331">
        <f>INDEX(VAV_Schedule_5_21[#All], MATCH(Joined!G331, VAV_Schedule_5_21[[#All],[UNIT TAG]], 0), 9)</f>
        <v>15</v>
      </c>
      <c r="I331" t="str">
        <f t="shared" si="26"/>
        <v>WPC.VAV-15N-6</v>
      </c>
      <c r="J331" t="str">
        <f t="shared" si="27"/>
        <v>15N</v>
      </c>
      <c r="L331">
        <f>INDEX(Schedule!$A:$J, MATCH(Joined!$G331, Schedule!$B:$B, 0), 5)</f>
        <v>1080</v>
      </c>
      <c r="M331">
        <f>INDEX(Schedule!$A:$J, MATCH(Joined!$G331, Schedule!$B:$B, 0), 6)</f>
        <v>220</v>
      </c>
    </row>
    <row r="332" spans="1:13" x14ac:dyDescent="0.2">
      <c r="A332">
        <f>INDEX(PanelInstance!B:D, MATCH(Joined!J332, PanelInstance!D:D, FALSE), 2)</f>
        <v>154000</v>
      </c>
      <c r="B332" t="s">
        <v>291</v>
      </c>
      <c r="C332">
        <f>COUNTIF($D$3:D332, RIGHT(LEFT(A332,4),3))</f>
        <v>7</v>
      </c>
      <c r="D332" t="str">
        <f t="shared" si="24"/>
        <v>540</v>
      </c>
      <c r="E332">
        <f t="shared" si="25"/>
        <v>154007</v>
      </c>
      <c r="F332">
        <f>INDEX(Schedule!$A:$N, MATCH(Joined!$G332, Schedule!$B:$B,0),14)</f>
        <v>15010</v>
      </c>
      <c r="G332" t="s">
        <v>210</v>
      </c>
      <c r="H332">
        <f>INDEX(VAV_Schedule_5_21[#All], MATCH(Joined!G332, VAV_Schedule_5_21[[#All],[UNIT TAG]], 0), 9)</f>
        <v>15</v>
      </c>
      <c r="I332" t="str">
        <f t="shared" si="26"/>
        <v>WPC.VAV-15N-7</v>
      </c>
      <c r="J332" t="str">
        <f t="shared" si="27"/>
        <v>15N</v>
      </c>
      <c r="L332">
        <f>INDEX(Schedule!$A:$J, MATCH(Joined!$G332, Schedule!$B:$B, 0), 5)</f>
        <v>500</v>
      </c>
      <c r="M332">
        <f>INDEX(Schedule!$A:$J, MATCH(Joined!$G332, Schedule!$B:$B, 0), 6)</f>
        <v>100</v>
      </c>
    </row>
    <row r="333" spans="1:13" x14ac:dyDescent="0.2">
      <c r="A333">
        <f>INDEX(PanelInstance!B:D, MATCH(Joined!J333, PanelInstance!D:D, FALSE), 2)</f>
        <v>154000</v>
      </c>
      <c r="B333" t="s">
        <v>291</v>
      </c>
      <c r="C333">
        <f>COUNTIF($D$3:D333, RIGHT(LEFT(A333,4),3))</f>
        <v>8</v>
      </c>
      <c r="D333" t="str">
        <f t="shared" si="24"/>
        <v>540</v>
      </c>
      <c r="E333">
        <f t="shared" si="25"/>
        <v>154008</v>
      </c>
      <c r="F333">
        <f>INDEX(Schedule!$A:$N, MATCH(Joined!$G333, Schedule!$B:$B,0),14)</f>
        <v>15010</v>
      </c>
      <c r="G333" t="s">
        <v>211</v>
      </c>
      <c r="H333">
        <f>INDEX(VAV_Schedule_5_21[#All], MATCH(Joined!G333, VAV_Schedule_5_21[[#All],[UNIT TAG]], 0), 9)</f>
        <v>15</v>
      </c>
      <c r="I333" t="str">
        <f t="shared" si="26"/>
        <v>WPC.VAV-15N-8</v>
      </c>
      <c r="J333" t="str">
        <f t="shared" si="27"/>
        <v>15N</v>
      </c>
      <c r="L333">
        <f>INDEX(Schedule!$A:$J, MATCH(Joined!$G333, Schedule!$B:$B, 0), 5)</f>
        <v>600</v>
      </c>
      <c r="M333">
        <f>INDEX(Schedule!$A:$J, MATCH(Joined!$G333, Schedule!$B:$B, 0), 6)</f>
        <v>120</v>
      </c>
    </row>
    <row r="334" spans="1:13" x14ac:dyDescent="0.2">
      <c r="A334">
        <f>INDEX(PanelInstance!B:D, MATCH(Joined!J334, PanelInstance!D:D, FALSE), 2)</f>
        <v>154000</v>
      </c>
      <c r="B334" t="s">
        <v>291</v>
      </c>
      <c r="C334">
        <f>COUNTIF($D$3:D334, RIGHT(LEFT(A334,4),3))</f>
        <v>9</v>
      </c>
      <c r="D334" t="str">
        <f t="shared" si="24"/>
        <v>540</v>
      </c>
      <c r="E334">
        <f t="shared" si="25"/>
        <v>154009</v>
      </c>
      <c r="F334">
        <f>INDEX(Schedule!$A:$N, MATCH(Joined!$G334, Schedule!$B:$B,0),14)</f>
        <v>15011</v>
      </c>
      <c r="G334" t="s">
        <v>212</v>
      </c>
      <c r="H334">
        <f>INDEX(VAV_Schedule_5_21[#All], MATCH(Joined!G334, VAV_Schedule_5_21[[#All],[UNIT TAG]], 0), 9)</f>
        <v>15</v>
      </c>
      <c r="I334" t="str">
        <f t="shared" si="26"/>
        <v>WPC.VAV-15N-9</v>
      </c>
      <c r="J334" t="str">
        <f t="shared" si="27"/>
        <v>15N</v>
      </c>
      <c r="L334">
        <f>INDEX(Schedule!$A:$J, MATCH(Joined!$G334, Schedule!$B:$B, 0), 5)</f>
        <v>1190</v>
      </c>
      <c r="M334">
        <f>INDEX(Schedule!$A:$J, MATCH(Joined!$G334, Schedule!$B:$B, 0), 6)</f>
        <v>260</v>
      </c>
    </row>
    <row r="335" spans="1:13" x14ac:dyDescent="0.2">
      <c r="A335">
        <f>INDEX(PanelInstance!B:D, MATCH(Joined!J335, PanelInstance!D:D, FALSE), 2)</f>
        <v>154200</v>
      </c>
      <c r="B335" t="s">
        <v>291</v>
      </c>
      <c r="C335">
        <f>COUNTIF($D$3:D335, RIGHT(LEFT(A335,4),3))</f>
        <v>1</v>
      </c>
      <c r="D335" t="str">
        <f t="shared" si="24"/>
        <v>542</v>
      </c>
      <c r="E335">
        <f t="shared" si="25"/>
        <v>154201</v>
      </c>
      <c r="F335">
        <f>INDEX(Schedule!$A:$N, MATCH(Joined!$G335, Schedule!$B:$B,0),14)</f>
        <v>15011</v>
      </c>
      <c r="G335" t="s">
        <v>204</v>
      </c>
      <c r="H335">
        <f>INDEX(VAV_Schedule_5_21[#All], MATCH(Joined!G335, VAV_Schedule_5_21[[#All],[UNIT TAG]], 0), 9)</f>
        <v>15</v>
      </c>
      <c r="I335" t="str">
        <f t="shared" si="26"/>
        <v>WPC.VAV-15W-1</v>
      </c>
      <c r="J335" t="str">
        <f t="shared" si="27"/>
        <v>15W</v>
      </c>
      <c r="L335">
        <f>INDEX(Schedule!$A:$J, MATCH(Joined!$G335, Schedule!$B:$B, 0), 5)</f>
        <v>1050</v>
      </c>
      <c r="M335">
        <f>INDEX(Schedule!$A:$J, MATCH(Joined!$G335, Schedule!$B:$B, 0), 6)</f>
        <v>210</v>
      </c>
    </row>
    <row r="336" spans="1:13" x14ac:dyDescent="0.2">
      <c r="A336">
        <f>INDEX(PanelInstance!B:D, MATCH(Joined!J336, PanelInstance!D:D, FALSE), 2)</f>
        <v>154200</v>
      </c>
      <c r="B336" t="s">
        <v>291</v>
      </c>
      <c r="C336">
        <f>COUNTIF($D$3:D336, RIGHT(LEFT(A336,4),3))</f>
        <v>2</v>
      </c>
      <c r="D336" t="str">
        <f t="shared" si="24"/>
        <v>542</v>
      </c>
      <c r="E336">
        <f t="shared" si="25"/>
        <v>154202</v>
      </c>
      <c r="F336">
        <f>INDEX(Schedule!$A:$N, MATCH(Joined!$G336, Schedule!$B:$B,0),14)</f>
        <v>15011</v>
      </c>
      <c r="G336" t="s">
        <v>205</v>
      </c>
      <c r="H336">
        <f>INDEX(VAV_Schedule_5_21[#All], MATCH(Joined!G336, VAV_Schedule_5_21[[#All],[UNIT TAG]], 0), 9)</f>
        <v>15</v>
      </c>
      <c r="I336" t="str">
        <f t="shared" si="26"/>
        <v>WPC.VAV-15W-2</v>
      </c>
      <c r="J336" t="str">
        <f t="shared" si="27"/>
        <v>15W</v>
      </c>
      <c r="L336">
        <f>INDEX(Schedule!$A:$J, MATCH(Joined!$G336, Schedule!$B:$B, 0), 5)</f>
        <v>640</v>
      </c>
      <c r="M336">
        <f>INDEX(Schedule!$A:$J, MATCH(Joined!$G336, Schedule!$B:$B, 0), 6)</f>
        <v>130</v>
      </c>
    </row>
    <row r="337" spans="1:13" x14ac:dyDescent="0.2">
      <c r="A337">
        <f>INDEX(PanelInstance!B:D, MATCH(Joined!J337, PanelInstance!D:D, FALSE), 2)</f>
        <v>154200</v>
      </c>
      <c r="B337" t="s">
        <v>291</v>
      </c>
      <c r="C337">
        <f>COUNTIF($D$3:D337, RIGHT(LEFT(A337,4),3))</f>
        <v>3</v>
      </c>
      <c r="D337" t="str">
        <f t="shared" si="24"/>
        <v>542</v>
      </c>
      <c r="E337">
        <f t="shared" si="25"/>
        <v>154203</v>
      </c>
      <c r="F337">
        <f>INDEX(Schedule!$A:$N, MATCH(Joined!$G337, Schedule!$B:$B,0),14)</f>
        <v>15011</v>
      </c>
      <c r="G337" t="s">
        <v>206</v>
      </c>
      <c r="H337">
        <f>INDEX(VAV_Schedule_5_21[#All], MATCH(Joined!G337, VAV_Schedule_5_21[[#All],[UNIT TAG]], 0), 9)</f>
        <v>15</v>
      </c>
      <c r="I337" t="str">
        <f t="shared" si="26"/>
        <v>WPC.VAV-15W-3</v>
      </c>
      <c r="J337" t="str">
        <f t="shared" si="27"/>
        <v>15W</v>
      </c>
      <c r="L337">
        <f>INDEX(Schedule!$A:$J, MATCH(Joined!$G337, Schedule!$B:$B, 0), 5)</f>
        <v>640</v>
      </c>
      <c r="M337">
        <f>INDEX(Schedule!$A:$J, MATCH(Joined!$G337, Schedule!$B:$B, 0), 6)</f>
        <v>130</v>
      </c>
    </row>
    <row r="338" spans="1:13" x14ac:dyDescent="0.2">
      <c r="A338">
        <f>INDEX(PanelInstance!B:D, MATCH(Joined!J338, PanelInstance!D:D, FALSE), 2)</f>
        <v>154200</v>
      </c>
      <c r="B338" t="s">
        <v>291</v>
      </c>
      <c r="C338">
        <f>COUNTIF($D$3:D338, RIGHT(LEFT(A338,4),3))</f>
        <v>4</v>
      </c>
      <c r="D338" t="str">
        <f t="shared" si="24"/>
        <v>542</v>
      </c>
      <c r="E338">
        <f t="shared" si="25"/>
        <v>154204</v>
      </c>
      <c r="F338">
        <f>INDEX(Schedule!$A:$N, MATCH(Joined!$G338, Schedule!$B:$B,0),14)</f>
        <v>15011</v>
      </c>
      <c r="G338" t="s">
        <v>234</v>
      </c>
      <c r="H338">
        <f>INDEX(VAV_Schedule_5_21[#All], MATCH(Joined!G338, VAV_Schedule_5_21[[#All],[UNIT TAG]], 0), 9)</f>
        <v>15</v>
      </c>
      <c r="I338" t="str">
        <f t="shared" si="26"/>
        <v>WPC.VAV-15W-31</v>
      </c>
      <c r="J338" t="str">
        <f t="shared" si="27"/>
        <v>15W</v>
      </c>
      <c r="L338">
        <f>INDEX(Schedule!$A:$J, MATCH(Joined!$G338, Schedule!$B:$B, 0), 5)</f>
        <v>645</v>
      </c>
      <c r="M338">
        <f>INDEX(Schedule!$A:$J, MATCH(Joined!$G338, Schedule!$B:$B, 0), 6)</f>
        <v>130</v>
      </c>
    </row>
    <row r="339" spans="1:13" x14ac:dyDescent="0.2">
      <c r="A339">
        <f>INDEX(PanelInstance!B:D, MATCH(Joined!J339, PanelInstance!D:D, FALSE), 2)</f>
        <v>154200</v>
      </c>
      <c r="B339" t="s">
        <v>291</v>
      </c>
      <c r="C339">
        <f>COUNTIF($D$3:D339, RIGHT(LEFT(A339,4),3))</f>
        <v>5</v>
      </c>
      <c r="D339" t="str">
        <f t="shared" ref="D339:D349" si="28">RIGHT(LEFT(A339, 4),3)</f>
        <v>542</v>
      </c>
      <c r="E339">
        <f t="shared" ref="E339:E349" si="29">A339+C339</f>
        <v>154205</v>
      </c>
      <c r="F339">
        <f>INDEX(Schedule!$A:$N, MATCH(Joined!$G339, Schedule!$B:$B,0),14)</f>
        <v>15011</v>
      </c>
      <c r="G339" t="s">
        <v>235</v>
      </c>
      <c r="H339">
        <f>INDEX(VAV_Schedule_5_21[#All], MATCH(Joined!G339, VAV_Schedule_5_21[[#All],[UNIT TAG]], 0), 9)</f>
        <v>15</v>
      </c>
      <c r="I339" t="str">
        <f t="shared" si="26"/>
        <v>WPC.VAV-15W-32</v>
      </c>
      <c r="J339" t="str">
        <f t="shared" si="27"/>
        <v>15W</v>
      </c>
      <c r="L339">
        <f>INDEX(Schedule!$A:$J, MATCH(Joined!$G339, Schedule!$B:$B, 0), 5)</f>
        <v>1080</v>
      </c>
      <c r="M339">
        <f>INDEX(Schedule!$A:$J, MATCH(Joined!$G339, Schedule!$B:$B, 0), 6)</f>
        <v>240</v>
      </c>
    </row>
    <row r="340" spans="1:13" x14ac:dyDescent="0.2">
      <c r="A340">
        <f>INDEX(PanelInstance!B:D, MATCH(Joined!J340, PanelInstance!D:D, FALSE), 2)</f>
        <v>154200</v>
      </c>
      <c r="B340" t="s">
        <v>291</v>
      </c>
      <c r="C340">
        <f>COUNTIF($D$3:D340, RIGHT(LEFT(A340,4),3))</f>
        <v>6</v>
      </c>
      <c r="D340" t="str">
        <f t="shared" si="28"/>
        <v>542</v>
      </c>
      <c r="E340">
        <f t="shared" si="29"/>
        <v>154206</v>
      </c>
      <c r="F340">
        <f>INDEX(Schedule!$A:$N, MATCH(Joined!$G340, Schedule!$B:$B,0),14)</f>
        <v>15011</v>
      </c>
      <c r="G340" t="s">
        <v>236</v>
      </c>
      <c r="H340">
        <f>INDEX(VAV_Schedule_5_21[#All], MATCH(Joined!G340, VAV_Schedule_5_21[[#All],[UNIT TAG]], 0), 9)</f>
        <v>15</v>
      </c>
      <c r="I340" t="str">
        <f t="shared" si="26"/>
        <v>WPC.VAV-15W-33</v>
      </c>
      <c r="J340" t="str">
        <f t="shared" si="27"/>
        <v>15W</v>
      </c>
      <c r="L340">
        <f>INDEX(Schedule!$A:$J, MATCH(Joined!$G340, Schedule!$B:$B, 0), 5)</f>
        <v>640</v>
      </c>
      <c r="M340">
        <f>INDEX(Schedule!$A:$J, MATCH(Joined!$G340, Schedule!$B:$B, 0), 6)</f>
        <v>130</v>
      </c>
    </row>
    <row r="341" spans="1:13" x14ac:dyDescent="0.2">
      <c r="A341">
        <f>INDEX(PanelInstance!B:D, MATCH(Joined!J341, PanelInstance!D:D, FALSE), 2)</f>
        <v>154200</v>
      </c>
      <c r="B341" t="s">
        <v>291</v>
      </c>
      <c r="C341">
        <f>COUNTIF($D$3:D341, RIGHT(LEFT(A341,4),3))</f>
        <v>7</v>
      </c>
      <c r="D341" t="str">
        <f t="shared" si="28"/>
        <v>542</v>
      </c>
      <c r="E341">
        <f t="shared" si="29"/>
        <v>154207</v>
      </c>
      <c r="F341">
        <f>INDEX(Schedule!$A:$N, MATCH(Joined!$G341, Schedule!$B:$B,0),14)</f>
        <v>15011</v>
      </c>
      <c r="G341" t="s">
        <v>237</v>
      </c>
      <c r="H341">
        <f>INDEX(VAV_Schedule_5_21[#All], MATCH(Joined!G341, VAV_Schedule_5_21[[#All],[UNIT TAG]], 0), 9)</f>
        <v>15</v>
      </c>
      <c r="I341" t="str">
        <f t="shared" si="26"/>
        <v>WPC.VAV-15W-34</v>
      </c>
      <c r="J341" t="str">
        <f t="shared" si="27"/>
        <v>15W</v>
      </c>
      <c r="L341">
        <f>INDEX(Schedule!$A:$J, MATCH(Joined!$G341, Schedule!$B:$B, 0), 5)</f>
        <v>700</v>
      </c>
      <c r="M341">
        <f>INDEX(Schedule!$A:$J, MATCH(Joined!$G341, Schedule!$B:$B, 0), 6)</f>
        <v>140</v>
      </c>
    </row>
    <row r="342" spans="1:13" x14ac:dyDescent="0.2">
      <c r="A342">
        <f>INDEX(PanelInstance!B:D, MATCH(Joined!J342, PanelInstance!D:D, FALSE), 2)</f>
        <v>154200</v>
      </c>
      <c r="B342" t="s">
        <v>291</v>
      </c>
      <c r="C342">
        <f>COUNTIF($D$3:D342, RIGHT(LEFT(A342,4),3))</f>
        <v>8</v>
      </c>
      <c r="D342" t="str">
        <f t="shared" si="28"/>
        <v>542</v>
      </c>
      <c r="E342">
        <f t="shared" si="29"/>
        <v>154208</v>
      </c>
      <c r="F342">
        <f>INDEX(Schedule!$A:$N, MATCH(Joined!$G342, Schedule!$B:$B,0),14)</f>
        <v>15011</v>
      </c>
      <c r="G342" t="s">
        <v>238</v>
      </c>
      <c r="H342">
        <f>INDEX(VAV_Schedule_5_21[#All], MATCH(Joined!G342, VAV_Schedule_5_21[[#All],[UNIT TAG]], 0), 9)</f>
        <v>15</v>
      </c>
      <c r="I342" t="str">
        <f t="shared" si="26"/>
        <v>WPC.VAV-15W-35</v>
      </c>
      <c r="J342" t="str">
        <f t="shared" si="27"/>
        <v>15W</v>
      </c>
      <c r="L342">
        <f>INDEX(Schedule!$A:$J, MATCH(Joined!$G342, Schedule!$B:$B, 0), 5)</f>
        <v>1200</v>
      </c>
      <c r="M342">
        <f>INDEX(Schedule!$A:$J, MATCH(Joined!$G342, Schedule!$B:$B, 0), 6)</f>
        <v>240</v>
      </c>
    </row>
    <row r="343" spans="1:13" x14ac:dyDescent="0.2">
      <c r="A343">
        <f>INDEX(PanelInstance!B:D, MATCH(Joined!J343, PanelInstance!D:D, FALSE), 2)</f>
        <v>154200</v>
      </c>
      <c r="B343" t="s">
        <v>291</v>
      </c>
      <c r="C343">
        <f>COUNTIF($D$3:D343, RIGHT(LEFT(A343,4),3))</f>
        <v>9</v>
      </c>
      <c r="D343" t="str">
        <f t="shared" si="28"/>
        <v>542</v>
      </c>
      <c r="E343">
        <f t="shared" si="29"/>
        <v>154209</v>
      </c>
      <c r="F343">
        <f>INDEX(Schedule!$A:$N, MATCH(Joined!$G343, Schedule!$B:$B,0),14)</f>
        <v>15011</v>
      </c>
      <c r="G343" t="s">
        <v>239</v>
      </c>
      <c r="H343">
        <f>INDEX(VAV_Schedule_5_21[#All], MATCH(Joined!G343, VAV_Schedule_5_21[[#All],[UNIT TAG]], 0), 9)</f>
        <v>15</v>
      </c>
      <c r="I343" t="str">
        <f t="shared" si="26"/>
        <v>WPC.VAV-15W-36</v>
      </c>
      <c r="J343" t="str">
        <f t="shared" si="27"/>
        <v>15W</v>
      </c>
      <c r="L343">
        <f>INDEX(Schedule!$A:$J, MATCH(Joined!$G343, Schedule!$B:$B, 0), 5)</f>
        <v>840</v>
      </c>
      <c r="M343">
        <f>INDEX(Schedule!$A:$J, MATCH(Joined!$G343, Schedule!$B:$B, 0), 6)</f>
        <v>230</v>
      </c>
    </row>
    <row r="344" spans="1:13" x14ac:dyDescent="0.2">
      <c r="A344">
        <f>INDEX(PanelInstance!B:D, MATCH(Joined!J344, PanelInstance!D:D, FALSE), 2)</f>
        <v>154200</v>
      </c>
      <c r="B344" t="s">
        <v>291</v>
      </c>
      <c r="C344">
        <f>COUNTIF($D$3:D344, RIGHT(LEFT(A344,4),3))</f>
        <v>10</v>
      </c>
      <c r="D344" t="str">
        <f t="shared" si="28"/>
        <v>542</v>
      </c>
      <c r="E344">
        <f t="shared" si="29"/>
        <v>154210</v>
      </c>
      <c r="F344">
        <f>INDEX(Schedule!$A:$N, MATCH(Joined!$G344, Schedule!$B:$B,0),14)</f>
        <v>15010</v>
      </c>
      <c r="G344" t="s">
        <v>240</v>
      </c>
      <c r="H344">
        <f>INDEX(VAV_Schedule_5_21[#All], MATCH(Joined!G344, VAV_Schedule_5_21[[#All],[UNIT TAG]], 0), 9)</f>
        <v>15</v>
      </c>
      <c r="I344" t="str">
        <f t="shared" si="26"/>
        <v>WPC.VAV-15W-37</v>
      </c>
      <c r="J344" t="str">
        <f t="shared" si="27"/>
        <v>15W</v>
      </c>
      <c r="L344">
        <f>INDEX(Schedule!$A:$J, MATCH(Joined!$G344, Schedule!$B:$B, 0), 5)</f>
        <v>185</v>
      </c>
      <c r="M344">
        <f>INDEX(Schedule!$A:$J, MATCH(Joined!$G344, Schedule!$B:$B, 0), 6)</f>
        <v>40</v>
      </c>
    </row>
    <row r="345" spans="1:13" x14ac:dyDescent="0.2">
      <c r="A345">
        <f>INDEX(PanelInstance!B:D, MATCH(Joined!J345, PanelInstance!D:D, FALSE), 2)</f>
        <v>154200</v>
      </c>
      <c r="B345" t="s">
        <v>291</v>
      </c>
      <c r="C345">
        <f>COUNTIF($D$3:D345, RIGHT(LEFT(A345,4),3))</f>
        <v>11</v>
      </c>
      <c r="D345" t="str">
        <f t="shared" si="28"/>
        <v>542</v>
      </c>
      <c r="E345">
        <f t="shared" si="29"/>
        <v>154211</v>
      </c>
      <c r="F345">
        <f>INDEX(Schedule!$A:$N, MATCH(Joined!$G345, Schedule!$B:$B,0),14)</f>
        <v>15011</v>
      </c>
      <c r="G345" t="s">
        <v>241</v>
      </c>
      <c r="H345">
        <f>INDEX(VAV_Schedule_5_21[#All], MATCH(Joined!G345, VAV_Schedule_5_21[[#All],[UNIT TAG]], 0), 9)</f>
        <v>15</v>
      </c>
      <c r="I345" t="str">
        <f t="shared" si="26"/>
        <v>WPC.VAV-15W-38</v>
      </c>
      <c r="J345" t="str">
        <f t="shared" si="27"/>
        <v>15W</v>
      </c>
      <c r="L345">
        <f>INDEX(Schedule!$A:$J, MATCH(Joined!$G345, Schedule!$B:$B, 0), 5)</f>
        <v>680</v>
      </c>
      <c r="M345">
        <f>INDEX(Schedule!$A:$J, MATCH(Joined!$G345, Schedule!$B:$B, 0), 6)</f>
        <v>160</v>
      </c>
    </row>
    <row r="346" spans="1:13" x14ac:dyDescent="0.2">
      <c r="A346">
        <f>INDEX(PanelInstance!B:D, MATCH(Joined!J346, PanelInstance!D:D, FALSE), 2)</f>
        <v>154200</v>
      </c>
      <c r="B346" t="s">
        <v>291</v>
      </c>
      <c r="C346">
        <f>COUNTIF($D$3:D346, RIGHT(LEFT(A346,4),3))</f>
        <v>12</v>
      </c>
      <c r="D346" t="str">
        <f t="shared" si="28"/>
        <v>542</v>
      </c>
      <c r="E346">
        <f t="shared" si="29"/>
        <v>154212</v>
      </c>
      <c r="F346">
        <f>INDEX(Schedule!$A:$N, MATCH(Joined!$G346, Schedule!$B:$B,0),14)</f>
        <v>15011</v>
      </c>
      <c r="G346" t="s">
        <v>242</v>
      </c>
      <c r="H346">
        <f>INDEX(VAV_Schedule_5_21[#All], MATCH(Joined!G346, VAV_Schedule_5_21[[#All],[UNIT TAG]], 0), 9)</f>
        <v>15</v>
      </c>
      <c r="I346" t="str">
        <f t="shared" si="26"/>
        <v>WPC.VAV-15W-39</v>
      </c>
      <c r="J346" t="str">
        <f t="shared" si="27"/>
        <v>15W</v>
      </c>
      <c r="L346">
        <f>INDEX(Schedule!$A:$J, MATCH(Joined!$G346, Schedule!$B:$B, 0), 5)</f>
        <v>1000</v>
      </c>
      <c r="M346">
        <f>INDEX(Schedule!$A:$J, MATCH(Joined!$G346, Schedule!$B:$B, 0), 6)</f>
        <v>210</v>
      </c>
    </row>
    <row r="347" spans="1:13" x14ac:dyDescent="0.2">
      <c r="A347">
        <f>INDEX(PanelInstance!B:D, MATCH(Joined!J347, PanelInstance!D:D, FALSE), 2)</f>
        <v>154200</v>
      </c>
      <c r="B347" t="s">
        <v>291</v>
      </c>
      <c r="C347">
        <f>COUNTIF($D$3:D347, RIGHT(LEFT(A347,4),3))</f>
        <v>13</v>
      </c>
      <c r="D347" t="str">
        <f t="shared" si="28"/>
        <v>542</v>
      </c>
      <c r="E347">
        <f t="shared" si="29"/>
        <v>154213</v>
      </c>
      <c r="F347">
        <f>INDEX(Schedule!$A:$N, MATCH(Joined!$G347, Schedule!$B:$B,0),14)</f>
        <v>15011</v>
      </c>
      <c r="G347" t="s">
        <v>207</v>
      </c>
      <c r="H347">
        <f>INDEX(VAV_Schedule_5_21[#All], MATCH(Joined!G347, VAV_Schedule_5_21[[#All],[UNIT TAG]], 0), 9)</f>
        <v>15</v>
      </c>
      <c r="I347" t="str">
        <f t="shared" si="26"/>
        <v>WPC.VAV-15W-4</v>
      </c>
      <c r="J347" t="str">
        <f t="shared" si="27"/>
        <v>15W</v>
      </c>
      <c r="L347">
        <f>INDEX(Schedule!$A:$J, MATCH(Joined!$G347, Schedule!$B:$B, 0), 5)</f>
        <v>840</v>
      </c>
      <c r="M347">
        <f>INDEX(Schedule!$A:$J, MATCH(Joined!$G347, Schedule!$B:$B, 0), 6)</f>
        <v>170</v>
      </c>
    </row>
    <row r="348" spans="1:13" x14ac:dyDescent="0.2">
      <c r="A348">
        <f>INDEX(PanelInstance!B:D, MATCH(Joined!J348, PanelInstance!D:D, FALSE), 2)</f>
        <v>154200</v>
      </c>
      <c r="B348" t="s">
        <v>291</v>
      </c>
      <c r="C348">
        <f>COUNTIF($D$3:D348, RIGHT(LEFT(A348,4),3))</f>
        <v>14</v>
      </c>
      <c r="D348" t="str">
        <f t="shared" si="28"/>
        <v>542</v>
      </c>
      <c r="E348">
        <f t="shared" si="29"/>
        <v>154214</v>
      </c>
      <c r="F348">
        <f>INDEX(Schedule!$A:$N, MATCH(Joined!$G348, Schedule!$B:$B,0),14)</f>
        <v>15011</v>
      </c>
      <c r="G348" t="s">
        <v>243</v>
      </c>
      <c r="H348">
        <f>INDEX(VAV_Schedule_5_21[#All], MATCH(Joined!G348, VAV_Schedule_5_21[[#All],[UNIT TAG]], 0), 9)</f>
        <v>15</v>
      </c>
      <c r="I348" t="str">
        <f t="shared" si="26"/>
        <v>WPC.VAV-15W-40</v>
      </c>
      <c r="J348" t="str">
        <f t="shared" si="27"/>
        <v>15W</v>
      </c>
      <c r="L348">
        <f>INDEX(Schedule!$A:$J, MATCH(Joined!$G348, Schedule!$B:$B, 0), 5)</f>
        <v>820</v>
      </c>
      <c r="M348">
        <f>INDEX(Schedule!$A:$J, MATCH(Joined!$G348, Schedule!$B:$B, 0), 6)</f>
        <v>165</v>
      </c>
    </row>
    <row r="349" spans="1:13" x14ac:dyDescent="0.2">
      <c r="A349">
        <f>INDEX(PanelInstance!B:D, MATCH(Joined!J349, PanelInstance!D:D, FALSE), 2)</f>
        <v>154200</v>
      </c>
      <c r="B349" t="s">
        <v>291</v>
      </c>
      <c r="C349">
        <f>COUNTIF($D$3:D349, RIGHT(LEFT(A349,4),3))</f>
        <v>15</v>
      </c>
      <c r="D349" t="str">
        <f t="shared" si="28"/>
        <v>542</v>
      </c>
      <c r="E349">
        <f t="shared" si="29"/>
        <v>154215</v>
      </c>
      <c r="F349">
        <f>INDEX(Schedule!$A:$N, MATCH(Joined!$G349, Schedule!$B:$B,0),14)</f>
        <v>15010</v>
      </c>
      <c r="G349" t="s">
        <v>244</v>
      </c>
      <c r="H349">
        <f>INDEX(VAV_Schedule_5_21[#All], MATCH(Joined!G349, VAV_Schedule_5_21[[#All],[UNIT TAG]], 0), 9)</f>
        <v>15</v>
      </c>
      <c r="I349" t="str">
        <f t="shared" si="26"/>
        <v>WPC.VAV-15W-41</v>
      </c>
      <c r="J349" t="str">
        <f t="shared" si="27"/>
        <v>15W</v>
      </c>
      <c r="L349">
        <f>INDEX(Schedule!$A:$J, MATCH(Joined!$G349, Schedule!$B:$B, 0), 5)</f>
        <v>100</v>
      </c>
      <c r="M349">
        <f>INDEX(Schedule!$A:$J, MATCH(Joined!$G349, Schedule!$B:$B, 0), 6)</f>
        <v>20</v>
      </c>
    </row>
    <row r="350" spans="1:13" x14ac:dyDescent="0.2">
      <c r="A350">
        <f>INDEX(PanelInstance!B:D, MATCH(Joined!J350, PanelInstance!D:D, FALSE), 2)</f>
        <v>152400</v>
      </c>
      <c r="B350" t="s">
        <v>291</v>
      </c>
      <c r="C350">
        <f>COUNTIF($D$3:D350, RIGHT(LEFT(A350,4),3))</f>
        <v>1</v>
      </c>
      <c r="D350" t="str">
        <f t="shared" ref="D350:D413" si="30">RIGHT(LEFT(A350, 4),3)</f>
        <v>524</v>
      </c>
      <c r="E350">
        <f t="shared" ref="E350:E413" si="31">A350+C350</f>
        <v>152401</v>
      </c>
      <c r="F350">
        <f>INDEX(Schedule!$A:$N, MATCH(Joined!$G350, Schedule!$B:$B,0),14)</f>
        <v>15011</v>
      </c>
      <c r="G350" t="s">
        <v>986</v>
      </c>
      <c r="H350">
        <f>INDEX(VAV_Schedule_5_21[#All], MATCH(Joined!G350, VAV_Schedule_5_21[[#All],[UNIT TAG]], 0), 9)</f>
        <v>9</v>
      </c>
      <c r="I350" t="str">
        <f t="shared" si="26"/>
        <v>WPC.VAV-9W-1</v>
      </c>
      <c r="J350" t="str">
        <f t="shared" si="27"/>
        <v>9W</v>
      </c>
      <c r="L350">
        <f>INDEX(Schedule!$A:$J, MATCH(Joined!$G350, Schedule!$B:$B, 0), 5)</f>
        <v>640</v>
      </c>
      <c r="M350">
        <f>INDEX(Schedule!$A:$J, MATCH(Joined!$G350, Schedule!$B:$B, 0), 6)</f>
        <v>100</v>
      </c>
    </row>
    <row r="351" spans="1:13" x14ac:dyDescent="0.2">
      <c r="A351">
        <f>INDEX(PanelInstance!B:D, MATCH(Joined!J351, PanelInstance!D:D, FALSE), 2)</f>
        <v>152400</v>
      </c>
      <c r="B351" t="s">
        <v>291</v>
      </c>
      <c r="C351">
        <f>COUNTIF($D$3:D351, RIGHT(LEFT(A351,4),3))</f>
        <v>2</v>
      </c>
      <c r="D351" t="str">
        <f t="shared" si="30"/>
        <v>524</v>
      </c>
      <c r="E351">
        <f t="shared" si="31"/>
        <v>152402</v>
      </c>
      <c r="F351">
        <f>INDEX(Schedule!$A:$N, MATCH(Joined!$G351, Schedule!$B:$B,0),14)</f>
        <v>15011</v>
      </c>
      <c r="G351" t="s">
        <v>987</v>
      </c>
      <c r="H351">
        <f>INDEX(VAV_Schedule_5_21[#All], MATCH(Joined!G351, VAV_Schedule_5_21[[#All],[UNIT TAG]], 0), 9)</f>
        <v>9</v>
      </c>
      <c r="I351" t="str">
        <f t="shared" si="26"/>
        <v>WPC.VAV-9W-2</v>
      </c>
      <c r="J351" t="str">
        <f t="shared" si="27"/>
        <v>9W</v>
      </c>
      <c r="L351">
        <f>INDEX(Schedule!$A:$J, MATCH(Joined!$G351, Schedule!$B:$B, 0), 5)</f>
        <v>680</v>
      </c>
      <c r="M351">
        <f>INDEX(Schedule!$A:$J, MATCH(Joined!$G351, Schedule!$B:$B, 0), 6)</f>
        <v>105</v>
      </c>
    </row>
    <row r="352" spans="1:13" x14ac:dyDescent="0.2">
      <c r="A352">
        <f>INDEX(PanelInstance!B:D, MATCH(Joined!J352, PanelInstance!D:D, FALSE), 2)</f>
        <v>152400</v>
      </c>
      <c r="B352" t="s">
        <v>291</v>
      </c>
      <c r="C352">
        <f>COUNTIF($D$3:D352, RIGHT(LEFT(A352,4),3))</f>
        <v>3</v>
      </c>
      <c r="D352" t="str">
        <f t="shared" si="30"/>
        <v>524</v>
      </c>
      <c r="E352">
        <f t="shared" si="31"/>
        <v>152403</v>
      </c>
      <c r="F352">
        <f>INDEX(Schedule!$A:$N, MATCH(Joined!$G352, Schedule!$B:$B,0),14)</f>
        <v>15011</v>
      </c>
      <c r="G352" t="s">
        <v>988</v>
      </c>
      <c r="H352">
        <f>INDEX(VAV_Schedule_5_21[#All], MATCH(Joined!G352, VAV_Schedule_5_21[[#All],[UNIT TAG]], 0), 9)</f>
        <v>9</v>
      </c>
      <c r="I352" t="str">
        <f t="shared" si="26"/>
        <v>WPC.VAV-9W-3</v>
      </c>
      <c r="J352" t="str">
        <f t="shared" si="27"/>
        <v>9W</v>
      </c>
      <c r="L352">
        <f>INDEX(Schedule!$A:$J, MATCH(Joined!$G352, Schedule!$B:$B, 0), 5)</f>
        <v>600</v>
      </c>
      <c r="M352">
        <f>INDEX(Schedule!$A:$J, MATCH(Joined!$G352, Schedule!$B:$B, 0), 6)</f>
        <v>90</v>
      </c>
    </row>
    <row r="353" spans="1:13" x14ac:dyDescent="0.2">
      <c r="A353">
        <f>INDEX(PanelInstance!B:D, MATCH(Joined!J353, PanelInstance!D:D, FALSE), 2)</f>
        <v>152400</v>
      </c>
      <c r="B353" t="s">
        <v>291</v>
      </c>
      <c r="C353">
        <f>COUNTIF($D$3:D353, RIGHT(LEFT(A353,4),3))</f>
        <v>4</v>
      </c>
      <c r="D353" t="str">
        <f t="shared" si="30"/>
        <v>524</v>
      </c>
      <c r="E353">
        <f t="shared" si="31"/>
        <v>152404</v>
      </c>
      <c r="F353">
        <f>INDEX(Schedule!$A:$N, MATCH(Joined!$G353, Schedule!$B:$B,0),14)</f>
        <v>15011</v>
      </c>
      <c r="G353" t="s">
        <v>989</v>
      </c>
      <c r="H353">
        <f>INDEX(VAV_Schedule_5_21[#All], MATCH(Joined!G353, VAV_Schedule_5_21[[#All],[UNIT TAG]], 0), 9)</f>
        <v>9</v>
      </c>
      <c r="I353" t="str">
        <f t="shared" si="26"/>
        <v>WPC.VAV-9W-4</v>
      </c>
      <c r="J353" t="str">
        <f t="shared" si="27"/>
        <v>9W</v>
      </c>
      <c r="L353">
        <f>INDEX(Schedule!$A:$J, MATCH(Joined!$G353, Schedule!$B:$B, 0), 5)</f>
        <v>840</v>
      </c>
      <c r="M353">
        <f>INDEX(Schedule!$A:$J, MATCH(Joined!$G353, Schedule!$B:$B, 0), 6)</f>
        <v>130</v>
      </c>
    </row>
    <row r="354" spans="1:13" x14ac:dyDescent="0.2">
      <c r="A354">
        <f>INDEX(PanelInstance!B:D, MATCH(Joined!J354, PanelInstance!D:D, FALSE), 2)</f>
        <v>152200</v>
      </c>
      <c r="B354" t="s">
        <v>291</v>
      </c>
      <c r="C354">
        <f>COUNTIF($D$3:D354, RIGHT(LEFT(A354,4),3))</f>
        <v>1</v>
      </c>
      <c r="D354" t="str">
        <f t="shared" si="30"/>
        <v>522</v>
      </c>
      <c r="E354">
        <f t="shared" si="31"/>
        <v>152201</v>
      </c>
      <c r="F354">
        <f>INDEX(Schedule!$A:$N, MATCH(Joined!$G354, Schedule!$B:$B,0),14)</f>
        <v>15010</v>
      </c>
      <c r="G354" t="s">
        <v>990</v>
      </c>
      <c r="H354">
        <f>INDEX(VAV_Schedule_5_21[#All], MATCH(Joined!G354, VAV_Schedule_5_21[[#All],[UNIT TAG]], 0), 9)</f>
        <v>9</v>
      </c>
      <c r="I354" t="str">
        <f t="shared" si="26"/>
        <v>WPC.VAV-9N-5</v>
      </c>
      <c r="J354" t="str">
        <f t="shared" si="27"/>
        <v>9N</v>
      </c>
      <c r="L354">
        <f>INDEX(Schedule!$A:$J, MATCH(Joined!$G354, Schedule!$B:$B, 0), 5)</f>
        <v>1330</v>
      </c>
      <c r="M354">
        <f>INDEX(Schedule!$A:$J, MATCH(Joined!$G354, Schedule!$B:$B, 0), 6)</f>
        <v>200</v>
      </c>
    </row>
    <row r="355" spans="1:13" x14ac:dyDescent="0.2">
      <c r="A355">
        <f>INDEX(PanelInstance!B:D, MATCH(Joined!J355, PanelInstance!D:D, FALSE), 2)</f>
        <v>152200</v>
      </c>
      <c r="B355" t="s">
        <v>291</v>
      </c>
      <c r="C355">
        <f>COUNTIF($D$3:D355, RIGHT(LEFT(A355,4),3))</f>
        <v>2</v>
      </c>
      <c r="D355" t="str">
        <f t="shared" si="30"/>
        <v>522</v>
      </c>
      <c r="E355">
        <f t="shared" si="31"/>
        <v>152202</v>
      </c>
      <c r="F355">
        <f>INDEX(Schedule!$A:$N, MATCH(Joined!$G355, Schedule!$B:$B,0),14)</f>
        <v>15010</v>
      </c>
      <c r="G355" t="s">
        <v>991</v>
      </c>
      <c r="H355">
        <f>INDEX(VAV_Schedule_5_21[#All], MATCH(Joined!G355, VAV_Schedule_5_21[[#All],[UNIT TAG]], 0), 9)</f>
        <v>9</v>
      </c>
      <c r="I355" t="str">
        <f t="shared" si="26"/>
        <v>WPC.VAV-9N-6</v>
      </c>
      <c r="J355" t="str">
        <f t="shared" si="27"/>
        <v>9N</v>
      </c>
      <c r="L355">
        <f>INDEX(Schedule!$A:$J, MATCH(Joined!$G355, Schedule!$B:$B, 0), 5)</f>
        <v>1120</v>
      </c>
      <c r="M355">
        <f>INDEX(Schedule!$A:$J, MATCH(Joined!$G355, Schedule!$B:$B, 0), 6)</f>
        <v>170</v>
      </c>
    </row>
    <row r="356" spans="1:13" x14ac:dyDescent="0.2">
      <c r="A356">
        <f>INDEX(PanelInstance!B:D, MATCH(Joined!J356, PanelInstance!D:D, FALSE), 2)</f>
        <v>152200</v>
      </c>
      <c r="B356" t="s">
        <v>291</v>
      </c>
      <c r="C356">
        <f>COUNTIF($D$3:D356, RIGHT(LEFT(A356,4),3))</f>
        <v>3</v>
      </c>
      <c r="D356" t="str">
        <f t="shared" si="30"/>
        <v>522</v>
      </c>
      <c r="E356">
        <f t="shared" si="31"/>
        <v>152203</v>
      </c>
      <c r="F356">
        <f>INDEX(Schedule!$A:$N, MATCH(Joined!$G356, Schedule!$B:$B,0),14)</f>
        <v>15010</v>
      </c>
      <c r="G356" t="s">
        <v>992</v>
      </c>
      <c r="H356">
        <f>INDEX(VAV_Schedule_5_21[#All], MATCH(Joined!G356, VAV_Schedule_5_21[[#All],[UNIT TAG]], 0), 9)</f>
        <v>9</v>
      </c>
      <c r="I356" t="str">
        <f t="shared" si="26"/>
        <v>WPC.VAV-9N-7</v>
      </c>
      <c r="J356" t="str">
        <f t="shared" si="27"/>
        <v>9N</v>
      </c>
      <c r="L356">
        <f>INDEX(Schedule!$A:$J, MATCH(Joined!$G356, Schedule!$B:$B, 0), 5)</f>
        <v>600</v>
      </c>
      <c r="M356">
        <f>INDEX(Schedule!$A:$J, MATCH(Joined!$G356, Schedule!$B:$B, 0), 6)</f>
        <v>90</v>
      </c>
    </row>
    <row r="357" spans="1:13" x14ac:dyDescent="0.2">
      <c r="A357">
        <f>INDEX(PanelInstance!B:D, MATCH(Joined!J357, PanelInstance!D:D, FALSE), 2)</f>
        <v>152200</v>
      </c>
      <c r="B357" t="s">
        <v>291</v>
      </c>
      <c r="C357">
        <f>COUNTIF($D$3:D357, RIGHT(LEFT(A357,4),3))</f>
        <v>4</v>
      </c>
      <c r="D357" t="str">
        <f t="shared" si="30"/>
        <v>522</v>
      </c>
      <c r="E357">
        <f t="shared" si="31"/>
        <v>152204</v>
      </c>
      <c r="F357">
        <f>INDEX(Schedule!$A:$N, MATCH(Joined!$G357, Schedule!$B:$B,0),14)</f>
        <v>15010</v>
      </c>
      <c r="G357" t="s">
        <v>993</v>
      </c>
      <c r="H357">
        <f>INDEX(VAV_Schedule_5_21[#All], MATCH(Joined!G357, VAV_Schedule_5_21[[#All],[UNIT TAG]], 0), 9)</f>
        <v>9</v>
      </c>
      <c r="I357" t="str">
        <f t="shared" si="26"/>
        <v>WPC.VAV-9N-8</v>
      </c>
      <c r="J357" t="str">
        <f t="shared" si="27"/>
        <v>9N</v>
      </c>
      <c r="L357">
        <f>INDEX(Schedule!$A:$J, MATCH(Joined!$G357, Schedule!$B:$B, 0), 5)</f>
        <v>500</v>
      </c>
      <c r="M357">
        <f>INDEX(Schedule!$A:$J, MATCH(Joined!$G357, Schedule!$B:$B, 0), 6)</f>
        <v>75</v>
      </c>
    </row>
    <row r="358" spans="1:13" x14ac:dyDescent="0.2">
      <c r="A358">
        <f>INDEX(PanelInstance!B:D, MATCH(Joined!J358, PanelInstance!D:D, FALSE), 2)</f>
        <v>152200</v>
      </c>
      <c r="B358" t="s">
        <v>291</v>
      </c>
      <c r="C358">
        <f>COUNTIF($D$3:D358, RIGHT(LEFT(A358,4),3))</f>
        <v>5</v>
      </c>
      <c r="D358" t="str">
        <f t="shared" si="30"/>
        <v>522</v>
      </c>
      <c r="E358">
        <f t="shared" si="31"/>
        <v>152205</v>
      </c>
      <c r="F358">
        <f>INDEX(Schedule!$A:$N, MATCH(Joined!$G358, Schedule!$B:$B,0),14)</f>
        <v>15010</v>
      </c>
      <c r="G358" t="s">
        <v>994</v>
      </c>
      <c r="H358">
        <f>INDEX(VAV_Schedule_5_21[#All], MATCH(Joined!G358, VAV_Schedule_5_21[[#All],[UNIT TAG]], 0), 9)</f>
        <v>9</v>
      </c>
      <c r="I358" t="str">
        <f t="shared" si="26"/>
        <v>WPC.VAV-9N-9</v>
      </c>
      <c r="J358" t="str">
        <f t="shared" si="27"/>
        <v>9N</v>
      </c>
      <c r="L358">
        <f>INDEX(Schedule!$A:$J, MATCH(Joined!$G358, Schedule!$B:$B, 0), 5)</f>
        <v>1200</v>
      </c>
      <c r="M358">
        <f>INDEX(Schedule!$A:$J, MATCH(Joined!$G358, Schedule!$B:$B, 0), 6)</f>
        <v>180</v>
      </c>
    </row>
    <row r="359" spans="1:13" x14ac:dyDescent="0.2">
      <c r="A359">
        <f>INDEX(PanelInstance!B:D, MATCH(Joined!J359, PanelInstance!D:D, FALSE), 2)</f>
        <v>152200</v>
      </c>
      <c r="B359" t="s">
        <v>291</v>
      </c>
      <c r="C359">
        <f>COUNTIF($D$3:D359, RIGHT(LEFT(A359,4),3))</f>
        <v>6</v>
      </c>
      <c r="D359" t="str">
        <f t="shared" si="30"/>
        <v>522</v>
      </c>
      <c r="E359">
        <f t="shared" si="31"/>
        <v>152206</v>
      </c>
      <c r="F359">
        <f>INDEX(Schedule!$A:$N, MATCH(Joined!$G359, Schedule!$B:$B,0),14)</f>
        <v>15010</v>
      </c>
      <c r="G359" t="s">
        <v>995</v>
      </c>
      <c r="H359">
        <f>INDEX(VAV_Schedule_5_21[#All], MATCH(Joined!G359, VAV_Schedule_5_21[[#All],[UNIT TAG]], 0), 9)</f>
        <v>9</v>
      </c>
      <c r="I359" t="str">
        <f t="shared" si="26"/>
        <v>WPC.VAV-9N-9A</v>
      </c>
      <c r="J359" t="str">
        <f t="shared" si="27"/>
        <v>9N</v>
      </c>
      <c r="L359">
        <f>INDEX(Schedule!$A:$J, MATCH(Joined!$G359, Schedule!$B:$B, 0), 5)</f>
        <v>550</v>
      </c>
      <c r="M359">
        <f>INDEX(Schedule!$A:$J, MATCH(Joined!$G359, Schedule!$B:$B, 0), 6)</f>
        <v>85</v>
      </c>
    </row>
    <row r="360" spans="1:13" x14ac:dyDescent="0.2">
      <c r="A360">
        <f>INDEX(PanelInstance!B:D, MATCH(Joined!J360, PanelInstance!D:D, FALSE), 2)</f>
        <v>152200</v>
      </c>
      <c r="B360" t="s">
        <v>291</v>
      </c>
      <c r="C360">
        <f>COUNTIF($D$3:D360, RIGHT(LEFT(A360,4),3))</f>
        <v>7</v>
      </c>
      <c r="D360" t="str">
        <f t="shared" si="30"/>
        <v>522</v>
      </c>
      <c r="E360">
        <f t="shared" si="31"/>
        <v>152207</v>
      </c>
      <c r="F360">
        <f>INDEX(Schedule!$A:$N, MATCH(Joined!$G360, Schedule!$B:$B,0),14)</f>
        <v>15010</v>
      </c>
      <c r="G360" t="s">
        <v>996</v>
      </c>
      <c r="H360">
        <f>INDEX(VAV_Schedule_5_21[#All], MATCH(Joined!G360, VAV_Schedule_5_21[[#All],[UNIT TAG]], 0), 9)</f>
        <v>9</v>
      </c>
      <c r="I360" t="str">
        <f t="shared" si="26"/>
        <v>WPC.VAV-9N-10</v>
      </c>
      <c r="J360" t="str">
        <f t="shared" si="27"/>
        <v>9N</v>
      </c>
      <c r="L360">
        <f>INDEX(Schedule!$A:$J, MATCH(Joined!$G360, Schedule!$B:$B, 0), 5)</f>
        <v>410</v>
      </c>
      <c r="M360">
        <f>INDEX(Schedule!$A:$J, MATCH(Joined!$G360, Schedule!$B:$B, 0), 6)</f>
        <v>65</v>
      </c>
    </row>
    <row r="361" spans="1:13" x14ac:dyDescent="0.2">
      <c r="A361">
        <f>INDEX(PanelInstance!B:D, MATCH(Joined!J361, PanelInstance!D:D, FALSE), 2)</f>
        <v>152200</v>
      </c>
      <c r="B361" t="s">
        <v>291</v>
      </c>
      <c r="C361">
        <f>COUNTIF($D$3:D361, RIGHT(LEFT(A361,4),3))</f>
        <v>8</v>
      </c>
      <c r="D361" t="str">
        <f t="shared" si="30"/>
        <v>522</v>
      </c>
      <c r="E361">
        <f t="shared" si="31"/>
        <v>152208</v>
      </c>
      <c r="F361">
        <f>INDEX(Schedule!$A:$N, MATCH(Joined!$G361, Schedule!$B:$B,0),14)</f>
        <v>15010</v>
      </c>
      <c r="G361" t="s">
        <v>997</v>
      </c>
      <c r="H361">
        <f>INDEX(VAV_Schedule_5_21[#All], MATCH(Joined!G361, VAV_Schedule_5_21[[#All],[UNIT TAG]], 0), 9)</f>
        <v>9</v>
      </c>
      <c r="I361" t="str">
        <f t="shared" si="26"/>
        <v>WPC.VAV-9N-11</v>
      </c>
      <c r="J361" t="str">
        <f t="shared" si="27"/>
        <v>9N</v>
      </c>
      <c r="L361">
        <f>INDEX(Schedule!$A:$J, MATCH(Joined!$G361, Schedule!$B:$B, 0), 5)</f>
        <v>1380</v>
      </c>
      <c r="M361">
        <f>INDEX(Schedule!$A:$J, MATCH(Joined!$G361, Schedule!$B:$B, 0), 6)</f>
        <v>210</v>
      </c>
    </row>
    <row r="362" spans="1:13" x14ac:dyDescent="0.2">
      <c r="A362">
        <f>INDEX(PanelInstance!B:D, MATCH(Joined!J362, PanelInstance!D:D, FALSE), 2)</f>
        <v>152200</v>
      </c>
      <c r="B362" t="s">
        <v>291</v>
      </c>
      <c r="C362">
        <f>COUNTIF($D$3:D362, RIGHT(LEFT(A362,4),3))</f>
        <v>9</v>
      </c>
      <c r="D362" t="str">
        <f t="shared" si="30"/>
        <v>522</v>
      </c>
      <c r="E362">
        <f t="shared" si="31"/>
        <v>152209</v>
      </c>
      <c r="F362">
        <f>INDEX(Schedule!$A:$N, MATCH(Joined!$G362, Schedule!$B:$B,0),14)</f>
        <v>15010</v>
      </c>
      <c r="G362" t="s">
        <v>998</v>
      </c>
      <c r="H362">
        <f>INDEX(VAV_Schedule_5_21[#All], MATCH(Joined!G362, VAV_Schedule_5_21[[#All],[UNIT TAG]], 0), 9)</f>
        <v>9</v>
      </c>
      <c r="I362" t="str">
        <f t="shared" si="26"/>
        <v>WPC.VAV-9N-12</v>
      </c>
      <c r="J362" t="str">
        <f t="shared" si="27"/>
        <v>9N</v>
      </c>
      <c r="L362">
        <f>INDEX(Schedule!$A:$J, MATCH(Joined!$G362, Schedule!$B:$B, 0), 5)</f>
        <v>1385</v>
      </c>
      <c r="M362">
        <f>INDEX(Schedule!$A:$J, MATCH(Joined!$G362, Schedule!$B:$B, 0), 6)</f>
        <v>210</v>
      </c>
    </row>
    <row r="363" spans="1:13" x14ac:dyDescent="0.2">
      <c r="A363">
        <f>INDEX(PanelInstance!B:D, MATCH(Joined!J363, PanelInstance!D:D, FALSE), 2)</f>
        <v>152200</v>
      </c>
      <c r="B363" t="s">
        <v>291</v>
      </c>
      <c r="C363">
        <f>COUNTIF($D$3:D363, RIGHT(LEFT(A363,4),3))</f>
        <v>10</v>
      </c>
      <c r="D363" t="str">
        <f t="shared" si="30"/>
        <v>522</v>
      </c>
      <c r="E363">
        <f t="shared" si="31"/>
        <v>152210</v>
      </c>
      <c r="F363">
        <f>INDEX(Schedule!$A:$N, MATCH(Joined!$G363, Schedule!$B:$B,0),14)</f>
        <v>15010</v>
      </c>
      <c r="G363" t="s">
        <v>999</v>
      </c>
      <c r="H363">
        <f>INDEX(VAV_Schedule_5_21[#All], MATCH(Joined!G363, VAV_Schedule_5_21[[#All],[UNIT TAG]], 0), 9)</f>
        <v>9</v>
      </c>
      <c r="I363" t="str">
        <f t="shared" si="26"/>
        <v>WPC.VAV-9N-13</v>
      </c>
      <c r="J363" t="str">
        <f t="shared" si="27"/>
        <v>9N</v>
      </c>
      <c r="L363">
        <f>INDEX(Schedule!$A:$J, MATCH(Joined!$G363, Schedule!$B:$B, 0), 5)</f>
        <v>1120</v>
      </c>
      <c r="M363">
        <f>INDEX(Schedule!$A:$J, MATCH(Joined!$G363, Schedule!$B:$B, 0), 6)</f>
        <v>170</v>
      </c>
    </row>
    <row r="364" spans="1:13" x14ac:dyDescent="0.2">
      <c r="A364">
        <f>INDEX(PanelInstance!B:D, MATCH(Joined!J364, PanelInstance!D:D, FALSE), 2)</f>
        <v>152300</v>
      </c>
      <c r="B364" t="s">
        <v>291</v>
      </c>
      <c r="C364">
        <f>COUNTIF($D$3:D364, RIGHT(LEFT(A364,4),3))</f>
        <v>1</v>
      </c>
      <c r="D364" t="str">
        <f t="shared" si="30"/>
        <v>523</v>
      </c>
      <c r="E364">
        <f t="shared" si="31"/>
        <v>152301</v>
      </c>
      <c r="F364">
        <f>INDEX(Schedule!$A:$N, MATCH(Joined!$G364, Schedule!$B:$B,0),14)</f>
        <v>15011</v>
      </c>
      <c r="G364" t="s">
        <v>1000</v>
      </c>
      <c r="H364">
        <f>INDEX(VAV_Schedule_5_21[#All], MATCH(Joined!G364, VAV_Schedule_5_21[[#All],[UNIT TAG]], 0), 9)</f>
        <v>9</v>
      </c>
      <c r="I364" t="str">
        <f t="shared" si="26"/>
        <v>WPC.VAV-9E-14</v>
      </c>
      <c r="J364" t="str">
        <f t="shared" si="27"/>
        <v>9E</v>
      </c>
      <c r="L364">
        <f>INDEX(Schedule!$A:$J, MATCH(Joined!$G364, Schedule!$B:$B, 0), 5)</f>
        <v>840</v>
      </c>
      <c r="M364">
        <f>INDEX(Schedule!$A:$J, MATCH(Joined!$G364, Schedule!$B:$B, 0), 6)</f>
        <v>130</v>
      </c>
    </row>
    <row r="365" spans="1:13" x14ac:dyDescent="0.2">
      <c r="A365">
        <f>INDEX(PanelInstance!B:D, MATCH(Joined!J365, PanelInstance!D:D, FALSE), 2)</f>
        <v>152300</v>
      </c>
      <c r="B365" t="s">
        <v>291</v>
      </c>
      <c r="C365">
        <f>COUNTIF($D$3:D365, RIGHT(LEFT(A365,4),3))</f>
        <v>2</v>
      </c>
      <c r="D365" t="str">
        <f t="shared" si="30"/>
        <v>523</v>
      </c>
      <c r="E365">
        <f t="shared" si="31"/>
        <v>152302</v>
      </c>
      <c r="F365">
        <f>INDEX(Schedule!$A:$N, MATCH(Joined!$G365, Schedule!$B:$B,0),14)</f>
        <v>15011</v>
      </c>
      <c r="G365" t="s">
        <v>1001</v>
      </c>
      <c r="H365">
        <f>INDEX(VAV_Schedule_5_21[#All], MATCH(Joined!G365, VAV_Schedule_5_21[[#All],[UNIT TAG]], 0), 9)</f>
        <v>9</v>
      </c>
      <c r="I365" t="str">
        <f t="shared" si="26"/>
        <v>WPC.VAV-9E-15</v>
      </c>
      <c r="J365" t="str">
        <f t="shared" si="27"/>
        <v>9E</v>
      </c>
      <c r="L365">
        <f>INDEX(Schedule!$A:$J, MATCH(Joined!$G365, Schedule!$B:$B, 0), 5)</f>
        <v>640</v>
      </c>
      <c r="M365">
        <f>INDEX(Schedule!$A:$J, MATCH(Joined!$G365, Schedule!$B:$B, 0), 6)</f>
        <v>100</v>
      </c>
    </row>
    <row r="366" spans="1:13" x14ac:dyDescent="0.2">
      <c r="A366">
        <f>INDEX(PanelInstance!B:D, MATCH(Joined!J366, PanelInstance!D:D, FALSE), 2)</f>
        <v>152300</v>
      </c>
      <c r="B366" t="s">
        <v>291</v>
      </c>
      <c r="C366">
        <f>COUNTIF($D$3:D366, RIGHT(LEFT(A366,4),3))</f>
        <v>3</v>
      </c>
      <c r="D366" t="str">
        <f t="shared" si="30"/>
        <v>523</v>
      </c>
      <c r="E366">
        <f t="shared" si="31"/>
        <v>152303</v>
      </c>
      <c r="F366">
        <f>INDEX(Schedule!$A:$N, MATCH(Joined!$G366, Schedule!$B:$B,0),14)</f>
        <v>15011</v>
      </c>
      <c r="G366" t="s">
        <v>1002</v>
      </c>
      <c r="H366">
        <f>INDEX(VAV_Schedule_5_21[#All], MATCH(Joined!G366, VAV_Schedule_5_21[[#All],[UNIT TAG]], 0), 9)</f>
        <v>9</v>
      </c>
      <c r="I366" t="str">
        <f t="shared" si="26"/>
        <v>WPC.VAV-9E-16</v>
      </c>
      <c r="J366" t="str">
        <f t="shared" si="27"/>
        <v>9E</v>
      </c>
      <c r="L366">
        <f>INDEX(Schedule!$A:$J, MATCH(Joined!$G366, Schedule!$B:$B, 0), 5)</f>
        <v>685</v>
      </c>
      <c r="M366">
        <f>INDEX(Schedule!$A:$J, MATCH(Joined!$G366, Schedule!$B:$B, 0), 6)</f>
        <v>105</v>
      </c>
    </row>
    <row r="367" spans="1:13" x14ac:dyDescent="0.2">
      <c r="A367">
        <f>INDEX(PanelInstance!B:D, MATCH(Joined!J367, PanelInstance!D:D, FALSE), 2)</f>
        <v>152300</v>
      </c>
      <c r="B367" t="s">
        <v>291</v>
      </c>
      <c r="C367">
        <f>COUNTIF($D$3:D367, RIGHT(LEFT(A367,4),3))</f>
        <v>4</v>
      </c>
      <c r="D367" t="str">
        <f t="shared" si="30"/>
        <v>523</v>
      </c>
      <c r="E367">
        <f t="shared" si="31"/>
        <v>152304</v>
      </c>
      <c r="F367">
        <f>INDEX(Schedule!$A:$N, MATCH(Joined!$G367, Schedule!$B:$B,0),14)</f>
        <v>15011</v>
      </c>
      <c r="G367" t="s">
        <v>1003</v>
      </c>
      <c r="H367">
        <f>INDEX(VAV_Schedule_5_21[#All], MATCH(Joined!G367, VAV_Schedule_5_21[[#All],[UNIT TAG]], 0), 9)</f>
        <v>9</v>
      </c>
      <c r="I367" t="str">
        <f t="shared" si="26"/>
        <v>WPC.VAV-9E-17</v>
      </c>
      <c r="J367" t="str">
        <f t="shared" si="27"/>
        <v>9E</v>
      </c>
      <c r="L367">
        <f>INDEX(Schedule!$A:$J, MATCH(Joined!$G367, Schedule!$B:$B, 0), 5)</f>
        <v>600</v>
      </c>
      <c r="M367">
        <f>INDEX(Schedule!$A:$J, MATCH(Joined!$G367, Schedule!$B:$B, 0), 6)</f>
        <v>90</v>
      </c>
    </row>
    <row r="368" spans="1:13" x14ac:dyDescent="0.2">
      <c r="A368">
        <f>INDEX(PanelInstance!B:D, MATCH(Joined!J368, PanelInstance!D:D, FALSE), 2)</f>
        <v>152300</v>
      </c>
      <c r="B368" t="s">
        <v>291</v>
      </c>
      <c r="C368">
        <f>COUNTIF($D$3:D368, RIGHT(LEFT(A368,4),3))</f>
        <v>5</v>
      </c>
      <c r="D368" t="str">
        <f t="shared" si="30"/>
        <v>523</v>
      </c>
      <c r="E368">
        <f t="shared" si="31"/>
        <v>152305</v>
      </c>
      <c r="F368">
        <f>INDEX(Schedule!$A:$N, MATCH(Joined!$G368, Schedule!$B:$B,0),14)</f>
        <v>15010</v>
      </c>
      <c r="G368" t="s">
        <v>1004</v>
      </c>
      <c r="H368">
        <f>INDEX(VAV_Schedule_5_21[#All], MATCH(Joined!G368, VAV_Schedule_5_21[[#All],[UNIT TAG]], 0), 9)</f>
        <v>9</v>
      </c>
      <c r="I368" t="str">
        <f t="shared" si="26"/>
        <v>WPC.VAV-9E-18</v>
      </c>
      <c r="J368" t="str">
        <f t="shared" si="27"/>
        <v>9E</v>
      </c>
      <c r="L368">
        <f>INDEX(Schedule!$A:$J, MATCH(Joined!$G368, Schedule!$B:$B, 0), 5)</f>
        <v>200</v>
      </c>
      <c r="M368">
        <f>INDEX(Schedule!$A:$J, MATCH(Joined!$G368, Schedule!$B:$B, 0), 6)</f>
        <v>30</v>
      </c>
    </row>
    <row r="369" spans="1:13" x14ac:dyDescent="0.2">
      <c r="A369">
        <f>INDEX(PanelInstance!B:D, MATCH(Joined!J369, PanelInstance!D:D, FALSE), 2)</f>
        <v>152300</v>
      </c>
      <c r="B369" t="s">
        <v>291</v>
      </c>
      <c r="C369">
        <f>COUNTIF($D$3:D369, RIGHT(LEFT(A369,4),3))</f>
        <v>6</v>
      </c>
      <c r="D369" t="str">
        <f t="shared" si="30"/>
        <v>523</v>
      </c>
      <c r="E369">
        <f t="shared" si="31"/>
        <v>152306</v>
      </c>
      <c r="F369">
        <f>INDEX(Schedule!$A:$N, MATCH(Joined!$G369, Schedule!$B:$B,0),14)</f>
        <v>15010</v>
      </c>
      <c r="G369" t="s">
        <v>1005</v>
      </c>
      <c r="H369">
        <f>INDEX(VAV_Schedule_5_21[#All], MATCH(Joined!G369, VAV_Schedule_5_21[[#All],[UNIT TAG]], 0), 9)</f>
        <v>9</v>
      </c>
      <c r="I369" t="str">
        <f t="shared" si="26"/>
        <v>WPC.VAV-9E-19</v>
      </c>
      <c r="J369" t="str">
        <f t="shared" si="27"/>
        <v>9E</v>
      </c>
      <c r="L369">
        <f>INDEX(Schedule!$A:$J, MATCH(Joined!$G369, Schedule!$B:$B, 0), 5)</f>
        <v>680</v>
      </c>
      <c r="M369">
        <f>INDEX(Schedule!$A:$J, MATCH(Joined!$G369, Schedule!$B:$B, 0), 6)</f>
        <v>105</v>
      </c>
    </row>
    <row r="370" spans="1:13" x14ac:dyDescent="0.2">
      <c r="A370">
        <f>INDEX(PanelInstance!B:D, MATCH(Joined!J370, PanelInstance!D:D, FALSE), 2)</f>
        <v>152300</v>
      </c>
      <c r="B370" t="s">
        <v>291</v>
      </c>
      <c r="C370">
        <f>COUNTIF($D$3:D370, RIGHT(LEFT(A370,4),3))</f>
        <v>7</v>
      </c>
      <c r="D370" t="str">
        <f t="shared" si="30"/>
        <v>523</v>
      </c>
      <c r="E370">
        <f t="shared" si="31"/>
        <v>152307</v>
      </c>
      <c r="F370">
        <f>INDEX(Schedule!$A:$N, MATCH(Joined!$G370, Schedule!$B:$B,0),14)</f>
        <v>15011</v>
      </c>
      <c r="G370" t="s">
        <v>1006</v>
      </c>
      <c r="H370">
        <f>INDEX(VAV_Schedule_5_21[#All], MATCH(Joined!G370, VAV_Schedule_5_21[[#All],[UNIT TAG]], 0), 9)</f>
        <v>9</v>
      </c>
      <c r="I370" t="str">
        <f t="shared" si="26"/>
        <v>WPC.VAV-9E-20</v>
      </c>
      <c r="J370" t="str">
        <f t="shared" si="27"/>
        <v>9E</v>
      </c>
      <c r="L370">
        <f>INDEX(Schedule!$A:$J, MATCH(Joined!$G370, Schedule!$B:$B, 0), 5)</f>
        <v>1085</v>
      </c>
      <c r="M370">
        <f>INDEX(Schedule!$A:$J, MATCH(Joined!$G370, Schedule!$B:$B, 0), 6)</f>
        <v>165</v>
      </c>
    </row>
    <row r="371" spans="1:13" x14ac:dyDescent="0.2">
      <c r="A371">
        <f>INDEX(PanelInstance!B:D, MATCH(Joined!J371, PanelInstance!D:D, FALSE), 2)</f>
        <v>152300</v>
      </c>
      <c r="B371" t="s">
        <v>291</v>
      </c>
      <c r="C371">
        <f>COUNTIF($D$3:D371, RIGHT(LEFT(A371,4),3))</f>
        <v>8</v>
      </c>
      <c r="D371" t="str">
        <f t="shared" si="30"/>
        <v>523</v>
      </c>
      <c r="E371">
        <f t="shared" si="31"/>
        <v>152308</v>
      </c>
      <c r="F371">
        <f>INDEX(Schedule!$A:$N, MATCH(Joined!$G371, Schedule!$B:$B,0),14)</f>
        <v>15011</v>
      </c>
      <c r="G371" t="s">
        <v>1007</v>
      </c>
      <c r="H371">
        <f>INDEX(VAV_Schedule_5_21[#All], MATCH(Joined!G371, VAV_Schedule_5_21[[#All],[UNIT TAG]], 0), 9)</f>
        <v>9</v>
      </c>
      <c r="I371" t="str">
        <f t="shared" si="26"/>
        <v>WPC.VAV-9E-21</v>
      </c>
      <c r="J371" t="str">
        <f t="shared" si="27"/>
        <v>9E</v>
      </c>
      <c r="L371">
        <f>INDEX(Schedule!$A:$J, MATCH(Joined!$G371, Schedule!$B:$B, 0), 5)</f>
        <v>840</v>
      </c>
      <c r="M371">
        <f>INDEX(Schedule!$A:$J, MATCH(Joined!$G371, Schedule!$B:$B, 0), 6)</f>
        <v>130</v>
      </c>
    </row>
    <row r="372" spans="1:13" x14ac:dyDescent="0.2">
      <c r="A372">
        <f>INDEX(PanelInstance!B:D, MATCH(Joined!J372, PanelInstance!D:D, FALSE), 2)</f>
        <v>152300</v>
      </c>
      <c r="B372" t="s">
        <v>291</v>
      </c>
      <c r="C372">
        <f>COUNTIF($D$3:D372, RIGHT(LEFT(A372,4),3))</f>
        <v>9</v>
      </c>
      <c r="D372" t="str">
        <f t="shared" si="30"/>
        <v>523</v>
      </c>
      <c r="E372">
        <f t="shared" si="31"/>
        <v>152309</v>
      </c>
      <c r="F372">
        <f>INDEX(Schedule!$A:$N, MATCH(Joined!$G372, Schedule!$B:$B,0),14)</f>
        <v>15010</v>
      </c>
      <c r="G372" t="s">
        <v>1008</v>
      </c>
      <c r="H372">
        <f>INDEX(VAV_Schedule_5_21[#All], MATCH(Joined!G372, VAV_Schedule_5_21[[#All],[UNIT TAG]], 0), 9)</f>
        <v>9</v>
      </c>
      <c r="I372" t="str">
        <f t="shared" si="26"/>
        <v>WPC.VAV-9E-22</v>
      </c>
      <c r="J372" t="str">
        <f t="shared" si="27"/>
        <v>9E</v>
      </c>
      <c r="L372">
        <f>INDEX(Schedule!$A:$J, MATCH(Joined!$G372, Schedule!$B:$B, 0), 5)</f>
        <v>350</v>
      </c>
      <c r="M372">
        <f>INDEX(Schedule!$A:$J, MATCH(Joined!$G372, Schedule!$B:$B, 0), 6)</f>
        <v>55</v>
      </c>
    </row>
    <row r="373" spans="1:13" x14ac:dyDescent="0.2">
      <c r="A373">
        <f>INDEX(PanelInstance!B:D, MATCH(Joined!J373, PanelInstance!D:D, FALSE), 2)</f>
        <v>152300</v>
      </c>
      <c r="B373" t="s">
        <v>291</v>
      </c>
      <c r="C373">
        <f>COUNTIF($D$3:D373, RIGHT(LEFT(A373,4),3))</f>
        <v>10</v>
      </c>
      <c r="D373" t="str">
        <f t="shared" si="30"/>
        <v>523</v>
      </c>
      <c r="E373">
        <f t="shared" si="31"/>
        <v>152310</v>
      </c>
      <c r="F373">
        <f>INDEX(Schedule!$A:$N, MATCH(Joined!$G373, Schedule!$B:$B,0),14)</f>
        <v>15010</v>
      </c>
      <c r="G373" t="s">
        <v>1009</v>
      </c>
      <c r="H373">
        <f>INDEX(VAV_Schedule_5_21[#All], MATCH(Joined!G373, VAV_Schedule_5_21[[#All],[UNIT TAG]], 0), 9)</f>
        <v>9</v>
      </c>
      <c r="I373" t="str">
        <f t="shared" si="26"/>
        <v>WPC.VAV-9E-23</v>
      </c>
      <c r="J373" t="str">
        <f t="shared" si="27"/>
        <v>9E</v>
      </c>
      <c r="L373">
        <f>INDEX(Schedule!$A:$J, MATCH(Joined!$G373, Schedule!$B:$B, 0), 5)</f>
        <v>200</v>
      </c>
      <c r="M373">
        <f>INDEX(Schedule!$A:$J, MATCH(Joined!$G373, Schedule!$B:$B, 0), 6)</f>
        <v>30</v>
      </c>
    </row>
    <row r="374" spans="1:13" x14ac:dyDescent="0.2">
      <c r="A374">
        <f>INDEX(PanelInstance!B:D, MATCH(Joined!J374, PanelInstance!D:D, FALSE), 2)</f>
        <v>152300</v>
      </c>
      <c r="B374" t="s">
        <v>291</v>
      </c>
      <c r="C374">
        <f>COUNTIF($D$3:D374, RIGHT(LEFT(A374,4),3))</f>
        <v>11</v>
      </c>
      <c r="D374" t="str">
        <f t="shared" si="30"/>
        <v>523</v>
      </c>
      <c r="E374">
        <f t="shared" si="31"/>
        <v>152311</v>
      </c>
      <c r="F374">
        <f>INDEX(Schedule!$A:$N, MATCH(Joined!$G374, Schedule!$B:$B,0),14)</f>
        <v>15011</v>
      </c>
      <c r="G374" t="s">
        <v>1010</v>
      </c>
      <c r="H374">
        <f>INDEX(VAV_Schedule_5_21[#All], MATCH(Joined!G374, VAV_Schedule_5_21[[#All],[UNIT TAG]], 0), 9)</f>
        <v>9</v>
      </c>
      <c r="I374" t="str">
        <f t="shared" si="26"/>
        <v>WPC.VAV-9E-24</v>
      </c>
      <c r="J374" t="str">
        <f t="shared" si="27"/>
        <v>9E</v>
      </c>
      <c r="L374">
        <f>INDEX(Schedule!$A:$J, MATCH(Joined!$G374, Schedule!$B:$B, 0), 5)</f>
        <v>1050</v>
      </c>
      <c r="M374">
        <f>INDEX(Schedule!$A:$J, MATCH(Joined!$G374, Schedule!$B:$B, 0), 6)</f>
        <v>160</v>
      </c>
    </row>
    <row r="375" spans="1:13" x14ac:dyDescent="0.2">
      <c r="A375">
        <f>INDEX(PanelInstance!B:D, MATCH(Joined!J375, PanelInstance!D:D, FALSE), 2)</f>
        <v>152300</v>
      </c>
      <c r="B375" t="s">
        <v>291</v>
      </c>
      <c r="C375">
        <f>COUNTIF($D$3:D375, RIGHT(LEFT(A375,4),3))</f>
        <v>12</v>
      </c>
      <c r="D375" t="str">
        <f t="shared" si="30"/>
        <v>523</v>
      </c>
      <c r="E375">
        <f t="shared" si="31"/>
        <v>152312</v>
      </c>
      <c r="F375">
        <f>INDEX(Schedule!$A:$N, MATCH(Joined!$G375, Schedule!$B:$B,0),14)</f>
        <v>15011</v>
      </c>
      <c r="G375" t="s">
        <v>1011</v>
      </c>
      <c r="H375">
        <f>INDEX(VAV_Schedule_5_21[#All], MATCH(Joined!G375, VAV_Schedule_5_21[[#All],[UNIT TAG]], 0), 9)</f>
        <v>9</v>
      </c>
      <c r="I375" t="str">
        <f t="shared" si="26"/>
        <v>WPC.VAV-9E-25</v>
      </c>
      <c r="J375" t="str">
        <f t="shared" si="27"/>
        <v>9E</v>
      </c>
      <c r="L375">
        <f>INDEX(Schedule!$A:$J, MATCH(Joined!$G375, Schedule!$B:$B, 0), 5)</f>
        <v>640</v>
      </c>
      <c r="M375">
        <f>INDEX(Schedule!$A:$J, MATCH(Joined!$G375, Schedule!$B:$B, 0), 6)</f>
        <v>100</v>
      </c>
    </row>
    <row r="376" spans="1:13" x14ac:dyDescent="0.2">
      <c r="A376">
        <f>INDEX(PanelInstance!B:D, MATCH(Joined!J376, PanelInstance!D:D, FALSE), 2)</f>
        <v>152300</v>
      </c>
      <c r="B376" t="s">
        <v>291</v>
      </c>
      <c r="C376">
        <f>COUNTIF($D$3:D376, RIGHT(LEFT(A376,4),3))</f>
        <v>13</v>
      </c>
      <c r="D376" t="str">
        <f t="shared" si="30"/>
        <v>523</v>
      </c>
      <c r="E376">
        <f t="shared" si="31"/>
        <v>152313</v>
      </c>
      <c r="F376">
        <f>INDEX(Schedule!$A:$N, MATCH(Joined!$G376, Schedule!$B:$B,0),14)</f>
        <v>15011</v>
      </c>
      <c r="G376" t="s">
        <v>1012</v>
      </c>
      <c r="H376">
        <f>INDEX(VAV_Schedule_5_21[#All], MATCH(Joined!G376, VAV_Schedule_5_21[[#All],[UNIT TAG]], 0), 9)</f>
        <v>9</v>
      </c>
      <c r="I376" t="str">
        <f t="shared" si="26"/>
        <v>WPC.VAV-9E-26</v>
      </c>
      <c r="J376" t="str">
        <f t="shared" si="27"/>
        <v>9E</v>
      </c>
      <c r="L376">
        <f>INDEX(Schedule!$A:$J, MATCH(Joined!$G376, Schedule!$B:$B, 0), 5)</f>
        <v>860</v>
      </c>
      <c r="M376">
        <f>INDEX(Schedule!$A:$J, MATCH(Joined!$G376, Schedule!$B:$B, 0), 6)</f>
        <v>130</v>
      </c>
    </row>
    <row r="377" spans="1:13" x14ac:dyDescent="0.2">
      <c r="A377">
        <f>INDEX(PanelInstance!B:D, MATCH(Joined!J377, PanelInstance!D:D, FALSE), 2)</f>
        <v>152300</v>
      </c>
      <c r="B377" t="s">
        <v>291</v>
      </c>
      <c r="C377">
        <f>COUNTIF($D$3:D377, RIGHT(LEFT(A377,4),3))</f>
        <v>14</v>
      </c>
      <c r="D377" t="str">
        <f t="shared" si="30"/>
        <v>523</v>
      </c>
      <c r="E377">
        <f t="shared" si="31"/>
        <v>152314</v>
      </c>
      <c r="F377">
        <f>INDEX(Schedule!$A:$N, MATCH(Joined!$G377, Schedule!$B:$B,0),14)</f>
        <v>15011</v>
      </c>
      <c r="G377" t="s">
        <v>1013</v>
      </c>
      <c r="H377">
        <f>INDEX(VAV_Schedule_5_21[#All], MATCH(Joined!G377, VAV_Schedule_5_21[[#All],[UNIT TAG]], 0), 9)</f>
        <v>9</v>
      </c>
      <c r="I377" t="str">
        <f t="shared" si="26"/>
        <v>WPC.VAV-9E-27</v>
      </c>
      <c r="J377" t="str">
        <f t="shared" si="27"/>
        <v>9E</v>
      </c>
      <c r="L377">
        <f>INDEX(Schedule!$A:$J, MATCH(Joined!$G377, Schedule!$B:$B, 0), 5)</f>
        <v>690</v>
      </c>
      <c r="M377">
        <f>INDEX(Schedule!$A:$J, MATCH(Joined!$G377, Schedule!$B:$B, 0), 6)</f>
        <v>105</v>
      </c>
    </row>
    <row r="378" spans="1:13" x14ac:dyDescent="0.2">
      <c r="A378">
        <f>INDEX(PanelInstance!B:D, MATCH(Joined!J378, PanelInstance!D:D, FALSE), 2)</f>
        <v>152300</v>
      </c>
      <c r="B378" t="s">
        <v>291</v>
      </c>
      <c r="C378">
        <f>COUNTIF($D$3:D378, RIGHT(LEFT(A378,4),3))</f>
        <v>15</v>
      </c>
      <c r="D378" t="str">
        <f t="shared" si="30"/>
        <v>523</v>
      </c>
      <c r="E378">
        <f t="shared" si="31"/>
        <v>152315</v>
      </c>
      <c r="F378">
        <f>INDEX(Schedule!$A:$N, MATCH(Joined!$G378, Schedule!$B:$B,0),14)</f>
        <v>15010</v>
      </c>
      <c r="G378" t="s">
        <v>1014</v>
      </c>
      <c r="H378">
        <f>INDEX(VAV_Schedule_5_21[#All], MATCH(Joined!G378, VAV_Schedule_5_21[[#All],[UNIT TAG]], 0), 9)</f>
        <v>9</v>
      </c>
      <c r="I378" t="str">
        <f t="shared" si="26"/>
        <v>WPC.VAV-9E-28</v>
      </c>
      <c r="J378" t="str">
        <f t="shared" si="27"/>
        <v>9E</v>
      </c>
      <c r="L378">
        <f>INDEX(Schedule!$A:$J, MATCH(Joined!$G378, Schedule!$B:$B, 0), 5)</f>
        <v>1310</v>
      </c>
      <c r="M378">
        <f>INDEX(Schedule!$A:$J, MATCH(Joined!$G378, Schedule!$B:$B, 0), 6)</f>
        <v>200</v>
      </c>
    </row>
    <row r="379" spans="1:13" x14ac:dyDescent="0.2">
      <c r="A379">
        <f>INDEX(PanelInstance!B:D, MATCH(Joined!J379, PanelInstance!D:D, FALSE), 2)</f>
        <v>152300</v>
      </c>
      <c r="B379" t="s">
        <v>291</v>
      </c>
      <c r="C379">
        <f>COUNTIF($D$3:D379, RIGHT(LEFT(A379,4),3))</f>
        <v>16</v>
      </c>
      <c r="D379" t="str">
        <f t="shared" si="30"/>
        <v>523</v>
      </c>
      <c r="E379">
        <f t="shared" si="31"/>
        <v>152316</v>
      </c>
      <c r="F379">
        <f>INDEX(Schedule!$A:$N, MATCH(Joined!$G379, Schedule!$B:$B,0),14)</f>
        <v>15010</v>
      </c>
      <c r="G379" t="s">
        <v>1015</v>
      </c>
      <c r="H379">
        <f>INDEX(VAV_Schedule_5_21[#All], MATCH(Joined!G379, VAV_Schedule_5_21[[#All],[UNIT TAG]], 0), 9)</f>
        <v>9</v>
      </c>
      <c r="I379" t="str">
        <f t="shared" si="26"/>
        <v>WPC.VAV-9E-29</v>
      </c>
      <c r="J379" t="str">
        <f t="shared" si="27"/>
        <v>9E</v>
      </c>
      <c r="L379">
        <f>INDEX(Schedule!$A:$J, MATCH(Joined!$G379, Schedule!$B:$B, 0), 5)</f>
        <v>925</v>
      </c>
      <c r="M379">
        <f>INDEX(Schedule!$A:$J, MATCH(Joined!$G379, Schedule!$B:$B, 0), 6)</f>
        <v>140</v>
      </c>
    </row>
    <row r="380" spans="1:13" x14ac:dyDescent="0.2">
      <c r="A380">
        <f>INDEX(PanelInstance!B:D, MATCH(Joined!J380, PanelInstance!D:D, FALSE), 2)</f>
        <v>152300</v>
      </c>
      <c r="B380" t="s">
        <v>291</v>
      </c>
      <c r="C380">
        <f>COUNTIF($D$3:D380, RIGHT(LEFT(A380,4),3))</f>
        <v>17</v>
      </c>
      <c r="D380" t="str">
        <f t="shared" si="30"/>
        <v>523</v>
      </c>
      <c r="E380">
        <f t="shared" si="31"/>
        <v>152317</v>
      </c>
      <c r="F380">
        <f>INDEX(Schedule!$A:$N, MATCH(Joined!$G380, Schedule!$B:$B,0),14)</f>
        <v>15010</v>
      </c>
      <c r="G380" t="s">
        <v>1016</v>
      </c>
      <c r="H380">
        <f>INDEX(VAV_Schedule_5_21[#All], MATCH(Joined!G380, VAV_Schedule_5_21[[#All],[UNIT TAG]], 0), 9)</f>
        <v>9</v>
      </c>
      <c r="I380" t="str">
        <f t="shared" si="26"/>
        <v>WPC.VAV-9E-30</v>
      </c>
      <c r="J380" t="str">
        <f t="shared" si="27"/>
        <v>9E</v>
      </c>
      <c r="L380">
        <f>INDEX(Schedule!$A:$J, MATCH(Joined!$G380, Schedule!$B:$B, 0), 5)</f>
        <v>1510</v>
      </c>
      <c r="M380">
        <f>INDEX(Schedule!$A:$J, MATCH(Joined!$G380, Schedule!$B:$B, 0), 6)</f>
        <v>230</v>
      </c>
    </row>
    <row r="381" spans="1:13" x14ac:dyDescent="0.2">
      <c r="A381">
        <f>INDEX(PanelInstance!B:D, MATCH(Joined!J381, PanelInstance!D:D, FALSE), 2)</f>
        <v>152300</v>
      </c>
      <c r="B381" t="s">
        <v>291</v>
      </c>
      <c r="C381">
        <f>COUNTIF($D$3:D381, RIGHT(LEFT(A381,4),3))</f>
        <v>18</v>
      </c>
      <c r="D381" t="str">
        <f t="shared" si="30"/>
        <v>523</v>
      </c>
      <c r="E381">
        <f t="shared" si="31"/>
        <v>152318</v>
      </c>
      <c r="F381">
        <f>INDEX(Schedule!$A:$N, MATCH(Joined!$G381, Schedule!$B:$B,0),14)</f>
        <v>15011</v>
      </c>
      <c r="G381" t="s">
        <v>1017</v>
      </c>
      <c r="H381">
        <f>INDEX(VAV_Schedule_5_21[#All], MATCH(Joined!G381, VAV_Schedule_5_21[[#All],[UNIT TAG]], 0), 9)</f>
        <v>9</v>
      </c>
      <c r="I381" t="str">
        <f t="shared" si="26"/>
        <v>WPC.VAV-9E-31</v>
      </c>
      <c r="J381" t="str">
        <f t="shared" si="27"/>
        <v>9E</v>
      </c>
      <c r="L381">
        <f>INDEX(Schedule!$A:$J, MATCH(Joined!$G381, Schedule!$B:$B, 0), 5)</f>
        <v>800</v>
      </c>
      <c r="M381">
        <f>INDEX(Schedule!$A:$J, MATCH(Joined!$G381, Schedule!$B:$B, 0), 6)</f>
        <v>120</v>
      </c>
    </row>
    <row r="382" spans="1:13" x14ac:dyDescent="0.2">
      <c r="A382">
        <f>INDEX(PanelInstance!B:D, MATCH(Joined!J382, PanelInstance!D:D, FALSE), 2)</f>
        <v>152300</v>
      </c>
      <c r="B382" t="s">
        <v>291</v>
      </c>
      <c r="C382">
        <f>COUNTIF($D$3:D382, RIGHT(LEFT(A382,4),3))</f>
        <v>19</v>
      </c>
      <c r="D382" t="str">
        <f t="shared" si="30"/>
        <v>523</v>
      </c>
      <c r="E382">
        <f t="shared" si="31"/>
        <v>152319</v>
      </c>
      <c r="F382">
        <f>INDEX(Schedule!$A:$N, MATCH(Joined!$G382, Schedule!$B:$B,0),14)</f>
        <v>15011</v>
      </c>
      <c r="G382" t="s">
        <v>1018</v>
      </c>
      <c r="H382">
        <f>INDEX(VAV_Schedule_5_21[#All], MATCH(Joined!G382, VAV_Schedule_5_21[[#All],[UNIT TAG]], 0), 9)</f>
        <v>9</v>
      </c>
      <c r="I382" t="str">
        <f t="shared" si="26"/>
        <v>WPC.VAV-9E-32</v>
      </c>
      <c r="J382" t="str">
        <f t="shared" si="27"/>
        <v>9E</v>
      </c>
      <c r="L382">
        <f>INDEX(Schedule!$A:$J, MATCH(Joined!$G382, Schedule!$B:$B, 0), 5)</f>
        <v>1400</v>
      </c>
      <c r="M382">
        <f>INDEX(Schedule!$A:$J, MATCH(Joined!$G382, Schedule!$B:$B, 0), 6)</f>
        <v>210</v>
      </c>
    </row>
    <row r="383" spans="1:13" x14ac:dyDescent="0.2">
      <c r="A383">
        <f>INDEX(PanelInstance!B:D, MATCH(Joined!J383, PanelInstance!D:D, FALSE), 2)</f>
        <v>152400</v>
      </c>
      <c r="B383" t="s">
        <v>291</v>
      </c>
      <c r="C383">
        <f>COUNTIF($D$3:D383, RIGHT(LEFT(A383,4),3))</f>
        <v>5</v>
      </c>
      <c r="D383" t="str">
        <f t="shared" si="30"/>
        <v>524</v>
      </c>
      <c r="E383">
        <f t="shared" si="31"/>
        <v>152405</v>
      </c>
      <c r="F383">
        <f>INDEX(Schedule!$A:$N, MATCH(Joined!$G383, Schedule!$B:$B,0),14)</f>
        <v>15010</v>
      </c>
      <c r="G383" t="s">
        <v>1019</v>
      </c>
      <c r="H383">
        <f>INDEX(VAV_Schedule_5_21[#All], MATCH(Joined!G383, VAV_Schedule_5_21[[#All],[UNIT TAG]], 0), 9)</f>
        <v>9</v>
      </c>
      <c r="I383" t="str">
        <f t="shared" si="26"/>
        <v>WPC.VAV-9W-33</v>
      </c>
      <c r="J383" t="str">
        <f t="shared" si="27"/>
        <v>9W</v>
      </c>
      <c r="L383">
        <f>INDEX(Schedule!$A:$J, MATCH(Joined!$G383, Schedule!$B:$B, 0), 5)</f>
        <v>560</v>
      </c>
      <c r="M383">
        <f>INDEX(Schedule!$A:$J, MATCH(Joined!$G383, Schedule!$B:$B, 0), 6)</f>
        <v>85</v>
      </c>
    </row>
    <row r="384" spans="1:13" x14ac:dyDescent="0.2">
      <c r="A384">
        <f>INDEX(PanelInstance!B:D, MATCH(Joined!J384, PanelInstance!D:D, FALSE), 2)</f>
        <v>152400</v>
      </c>
      <c r="B384" t="s">
        <v>291</v>
      </c>
      <c r="C384">
        <f>COUNTIF($D$3:D384, RIGHT(LEFT(A384,4),3))</f>
        <v>6</v>
      </c>
      <c r="D384" t="str">
        <f t="shared" si="30"/>
        <v>524</v>
      </c>
      <c r="E384">
        <f t="shared" si="31"/>
        <v>152406</v>
      </c>
      <c r="F384">
        <f>INDEX(Schedule!$A:$N, MATCH(Joined!$G384, Schedule!$B:$B,0),14)</f>
        <v>15010</v>
      </c>
      <c r="G384" t="s">
        <v>1020</v>
      </c>
      <c r="H384">
        <f>INDEX(VAV_Schedule_5_21[#All], MATCH(Joined!G384, VAV_Schedule_5_21[[#All],[UNIT TAG]], 0), 9)</f>
        <v>9</v>
      </c>
      <c r="I384" t="str">
        <f t="shared" si="26"/>
        <v>WPC.VAV-9W-34</v>
      </c>
      <c r="J384" t="str">
        <f t="shared" si="27"/>
        <v>9W</v>
      </c>
      <c r="L384">
        <f>INDEX(Schedule!$A:$J, MATCH(Joined!$G384, Schedule!$B:$B, 0), 5)</f>
        <v>1200</v>
      </c>
      <c r="M384">
        <f>INDEX(Schedule!$A:$J, MATCH(Joined!$G384, Schedule!$B:$B, 0), 6)</f>
        <v>180</v>
      </c>
    </row>
    <row r="385" spans="1:13" x14ac:dyDescent="0.2">
      <c r="A385">
        <f>INDEX(PanelInstance!B:D, MATCH(Joined!J385, PanelInstance!D:D, FALSE), 2)</f>
        <v>152400</v>
      </c>
      <c r="B385" t="s">
        <v>291</v>
      </c>
      <c r="C385">
        <f>COUNTIF($D$3:D385, RIGHT(LEFT(A385,4),3))</f>
        <v>7</v>
      </c>
      <c r="D385" t="str">
        <f t="shared" si="30"/>
        <v>524</v>
      </c>
      <c r="E385">
        <f t="shared" si="31"/>
        <v>152407</v>
      </c>
      <c r="F385">
        <f>INDEX(Schedule!$A:$N, MATCH(Joined!$G385, Schedule!$B:$B,0),14)</f>
        <v>15010</v>
      </c>
      <c r="G385" t="s">
        <v>1021</v>
      </c>
      <c r="H385">
        <f>INDEX(VAV_Schedule_5_21[#All], MATCH(Joined!G385, VAV_Schedule_5_21[[#All],[UNIT TAG]], 0), 9)</f>
        <v>9</v>
      </c>
      <c r="I385" t="str">
        <f t="shared" si="26"/>
        <v>WPC.VAV-9W-35</v>
      </c>
      <c r="J385" t="str">
        <f t="shared" si="27"/>
        <v>9W</v>
      </c>
      <c r="L385">
        <f>INDEX(Schedule!$A:$J, MATCH(Joined!$G385, Schedule!$B:$B, 0), 5)</f>
        <v>1350</v>
      </c>
      <c r="M385">
        <f>INDEX(Schedule!$A:$J, MATCH(Joined!$G385, Schedule!$B:$B, 0), 6)</f>
        <v>205</v>
      </c>
    </row>
    <row r="386" spans="1:13" x14ac:dyDescent="0.2">
      <c r="A386">
        <f>INDEX(PanelInstance!B:D, MATCH(Joined!J386, PanelInstance!D:D, FALSE), 2)</f>
        <v>152400</v>
      </c>
      <c r="B386" t="s">
        <v>291</v>
      </c>
      <c r="C386">
        <f>COUNTIF($D$3:D386, RIGHT(LEFT(A386,4),3))</f>
        <v>8</v>
      </c>
      <c r="D386" t="str">
        <f t="shared" si="30"/>
        <v>524</v>
      </c>
      <c r="E386">
        <f t="shared" si="31"/>
        <v>152408</v>
      </c>
      <c r="F386">
        <f>INDEX(Schedule!$A:$N, MATCH(Joined!$G386, Schedule!$B:$B,0),14)</f>
        <v>15011</v>
      </c>
      <c r="G386" t="s">
        <v>1022</v>
      </c>
      <c r="H386">
        <f>INDEX(VAV_Schedule_5_21[#All], MATCH(Joined!G386, VAV_Schedule_5_21[[#All],[UNIT TAG]], 0), 9)</f>
        <v>9</v>
      </c>
      <c r="I386" t="str">
        <f t="shared" si="26"/>
        <v>WPC.VAV-9W-36</v>
      </c>
      <c r="J386" t="str">
        <f t="shared" si="27"/>
        <v>9W</v>
      </c>
      <c r="L386">
        <f>INDEX(Schedule!$A:$J, MATCH(Joined!$G386, Schedule!$B:$B, 0), 5)</f>
        <v>800</v>
      </c>
      <c r="M386">
        <f>INDEX(Schedule!$A:$J, MATCH(Joined!$G386, Schedule!$B:$B, 0), 6)</f>
        <v>120</v>
      </c>
    </row>
    <row r="387" spans="1:13" x14ac:dyDescent="0.2">
      <c r="A387">
        <f>INDEX(PanelInstance!B:D, MATCH(Joined!J387, PanelInstance!D:D, FALSE), 2)</f>
        <v>152400</v>
      </c>
      <c r="B387" t="s">
        <v>291</v>
      </c>
      <c r="C387">
        <f>COUNTIF($D$3:D387, RIGHT(LEFT(A387,4),3))</f>
        <v>9</v>
      </c>
      <c r="D387" t="str">
        <f t="shared" si="30"/>
        <v>524</v>
      </c>
      <c r="E387">
        <f t="shared" si="31"/>
        <v>152409</v>
      </c>
      <c r="F387">
        <f>INDEX(Schedule!$A:$N, MATCH(Joined!$G387, Schedule!$B:$B,0),14)</f>
        <v>15011</v>
      </c>
      <c r="G387" t="s">
        <v>1023</v>
      </c>
      <c r="H387">
        <f>INDEX(VAV_Schedule_5_21[#All], MATCH(Joined!G387, VAV_Schedule_5_21[[#All],[UNIT TAG]], 0), 9)</f>
        <v>9</v>
      </c>
      <c r="I387" t="str">
        <f t="shared" ref="I387:I450" si="32">"WPC." &amp; G387</f>
        <v>WPC.VAV-9W-37</v>
      </c>
      <c r="J387" t="str">
        <f t="shared" si="27"/>
        <v>9W</v>
      </c>
      <c r="L387">
        <f>INDEX(Schedule!$A:$J, MATCH(Joined!$G387, Schedule!$B:$B, 0), 5)</f>
        <v>640</v>
      </c>
      <c r="M387">
        <f>INDEX(Schedule!$A:$J, MATCH(Joined!$G387, Schedule!$B:$B, 0), 6)</f>
        <v>100</v>
      </c>
    </row>
    <row r="388" spans="1:13" x14ac:dyDescent="0.2">
      <c r="A388">
        <f>INDEX(PanelInstance!B:D, MATCH(Joined!J388, PanelInstance!D:D, FALSE), 2)</f>
        <v>152400</v>
      </c>
      <c r="B388" t="s">
        <v>291</v>
      </c>
      <c r="C388">
        <f>COUNTIF($D$3:D388, RIGHT(LEFT(A388,4),3))</f>
        <v>10</v>
      </c>
      <c r="D388" t="str">
        <f t="shared" si="30"/>
        <v>524</v>
      </c>
      <c r="E388">
        <f t="shared" si="31"/>
        <v>152410</v>
      </c>
      <c r="F388">
        <f>INDEX(Schedule!$A:$N, MATCH(Joined!$G388, Schedule!$B:$B,0),14)</f>
        <v>15011</v>
      </c>
      <c r="G388" t="s">
        <v>1024</v>
      </c>
      <c r="H388">
        <f>INDEX(VAV_Schedule_5_21[#All], MATCH(Joined!G388, VAV_Schedule_5_21[[#All],[UNIT TAG]], 0), 9)</f>
        <v>9</v>
      </c>
      <c r="I388" t="str">
        <f t="shared" si="32"/>
        <v>WPC.VAV-9W-38</v>
      </c>
      <c r="J388" t="str">
        <f t="shared" ref="J388:J451" si="33">LEFT(RIGHT($G388, LEN($G388) - FIND("-", $G388)), FIND("-", RIGHT($G388, LEN($G388) - FIND("-", $G388)))-1)</f>
        <v>9W</v>
      </c>
      <c r="L388">
        <f>INDEX(Schedule!$A:$J, MATCH(Joined!$G388, Schedule!$B:$B, 0), 5)</f>
        <v>860</v>
      </c>
      <c r="M388">
        <f>INDEX(Schedule!$A:$J, MATCH(Joined!$G388, Schedule!$B:$B, 0), 6)</f>
        <v>130</v>
      </c>
    </row>
    <row r="389" spans="1:13" x14ac:dyDescent="0.2">
      <c r="A389">
        <f>INDEX(PanelInstance!B:D, MATCH(Joined!J389, PanelInstance!D:D, FALSE), 2)</f>
        <v>152400</v>
      </c>
      <c r="B389" t="s">
        <v>291</v>
      </c>
      <c r="C389">
        <f>COUNTIF($D$3:D389, RIGHT(LEFT(A389,4),3))</f>
        <v>11</v>
      </c>
      <c r="D389" t="str">
        <f t="shared" si="30"/>
        <v>524</v>
      </c>
      <c r="E389">
        <f t="shared" si="31"/>
        <v>152411</v>
      </c>
      <c r="F389">
        <f>INDEX(Schedule!$A:$N, MATCH(Joined!$G389, Schedule!$B:$B,0),14)</f>
        <v>15011</v>
      </c>
      <c r="G389" t="s">
        <v>1025</v>
      </c>
      <c r="H389">
        <f>INDEX(VAV_Schedule_5_21[#All], MATCH(Joined!G389, VAV_Schedule_5_21[[#All],[UNIT TAG]], 0), 9)</f>
        <v>9</v>
      </c>
      <c r="I389" t="str">
        <f t="shared" si="32"/>
        <v>WPC.VAV-9W-39</v>
      </c>
      <c r="J389" t="str">
        <f t="shared" si="33"/>
        <v>9W</v>
      </c>
      <c r="L389">
        <f>INDEX(Schedule!$A:$J, MATCH(Joined!$G389, Schedule!$B:$B, 0), 5)</f>
        <v>700</v>
      </c>
      <c r="M389">
        <f>INDEX(Schedule!$A:$J, MATCH(Joined!$G389, Schedule!$B:$B, 0), 6)</f>
        <v>105</v>
      </c>
    </row>
    <row r="390" spans="1:13" x14ac:dyDescent="0.2">
      <c r="A390">
        <f>INDEX(PanelInstance!B:D, MATCH(Joined!J390, PanelInstance!D:D, FALSE), 2)</f>
        <v>152400</v>
      </c>
      <c r="B390" t="s">
        <v>291</v>
      </c>
      <c r="C390">
        <f>COUNTIF($D$3:D390, RIGHT(LEFT(A390,4),3))</f>
        <v>12</v>
      </c>
      <c r="D390" t="str">
        <f t="shared" si="30"/>
        <v>524</v>
      </c>
      <c r="E390">
        <f t="shared" si="31"/>
        <v>152412</v>
      </c>
      <c r="F390">
        <f>INDEX(Schedule!$A:$N, MATCH(Joined!$G390, Schedule!$B:$B,0),14)</f>
        <v>15010</v>
      </c>
      <c r="G390" t="s">
        <v>1026</v>
      </c>
      <c r="H390">
        <f>INDEX(VAV_Schedule_5_21[#All], MATCH(Joined!G390, VAV_Schedule_5_21[[#All],[UNIT TAG]], 0), 9)</f>
        <v>9</v>
      </c>
      <c r="I390" t="str">
        <f t="shared" si="32"/>
        <v>WPC.VAV-9W-40</v>
      </c>
      <c r="J390" t="str">
        <f t="shared" si="33"/>
        <v>9W</v>
      </c>
      <c r="L390">
        <f>INDEX(Schedule!$A:$J, MATCH(Joined!$G390, Schedule!$B:$B, 0), 5)</f>
        <v>835</v>
      </c>
      <c r="M390">
        <f>INDEX(Schedule!$A:$J, MATCH(Joined!$G390, Schedule!$B:$B, 0), 6)</f>
        <v>130</v>
      </c>
    </row>
    <row r="391" spans="1:13" x14ac:dyDescent="0.2">
      <c r="A391">
        <f>INDEX(PanelInstance!B:D, MATCH(Joined!J391, PanelInstance!D:D, FALSE), 2)</f>
        <v>152400</v>
      </c>
      <c r="B391" t="s">
        <v>291</v>
      </c>
      <c r="C391">
        <f>COUNTIF($D$3:D391, RIGHT(LEFT(A391,4),3))</f>
        <v>13</v>
      </c>
      <c r="D391" t="str">
        <f t="shared" si="30"/>
        <v>524</v>
      </c>
      <c r="E391">
        <f t="shared" si="31"/>
        <v>152413</v>
      </c>
      <c r="F391">
        <f>INDEX(Schedule!$A:$N, MATCH(Joined!$G391, Schedule!$B:$B,0),14)</f>
        <v>15010</v>
      </c>
      <c r="G391" t="s">
        <v>1027</v>
      </c>
      <c r="H391">
        <f>INDEX(VAV_Schedule_5_21[#All], MATCH(Joined!G391, VAV_Schedule_5_21[[#All],[UNIT TAG]], 0), 9)</f>
        <v>9</v>
      </c>
      <c r="I391" t="str">
        <f t="shared" si="32"/>
        <v>WPC.VAV-9W-41</v>
      </c>
      <c r="J391" t="str">
        <f t="shared" si="33"/>
        <v>9W</v>
      </c>
      <c r="L391">
        <f>INDEX(Schedule!$A:$J, MATCH(Joined!$G391, Schedule!$B:$B, 0), 5)</f>
        <v>185</v>
      </c>
      <c r="M391">
        <f>INDEX(Schedule!$A:$J, MATCH(Joined!$G391, Schedule!$B:$B, 0), 6)</f>
        <v>30</v>
      </c>
    </row>
    <row r="392" spans="1:13" x14ac:dyDescent="0.2">
      <c r="A392">
        <f>INDEX(PanelInstance!B:D, MATCH(Joined!J392, PanelInstance!D:D, FALSE), 2)</f>
        <v>152400</v>
      </c>
      <c r="B392" t="s">
        <v>291</v>
      </c>
      <c r="C392">
        <f>COUNTIF($D$3:D392, RIGHT(LEFT(A392,4),3))</f>
        <v>14</v>
      </c>
      <c r="D392" t="str">
        <f t="shared" si="30"/>
        <v>524</v>
      </c>
      <c r="E392">
        <f t="shared" si="31"/>
        <v>152414</v>
      </c>
      <c r="F392">
        <f>INDEX(Schedule!$A:$N, MATCH(Joined!$G392, Schedule!$B:$B,0),14)</f>
        <v>15011</v>
      </c>
      <c r="G392" t="s">
        <v>1028</v>
      </c>
      <c r="H392">
        <f>INDEX(VAV_Schedule_5_21[#All], MATCH(Joined!G392, VAV_Schedule_5_21[[#All],[UNIT TAG]], 0), 9)</f>
        <v>9</v>
      </c>
      <c r="I392" t="str">
        <f t="shared" si="32"/>
        <v>WPC.VAV-9W-42</v>
      </c>
      <c r="J392" t="str">
        <f t="shared" si="33"/>
        <v>9W</v>
      </c>
      <c r="L392">
        <f>INDEX(Schedule!$A:$J, MATCH(Joined!$G392, Schedule!$B:$B, 0), 5)</f>
        <v>1220</v>
      </c>
      <c r="M392">
        <f>INDEX(Schedule!$A:$J, MATCH(Joined!$G392, Schedule!$B:$B, 0), 6)</f>
        <v>185</v>
      </c>
    </row>
    <row r="393" spans="1:13" x14ac:dyDescent="0.2">
      <c r="A393">
        <f>INDEX(PanelInstance!B:D, MATCH(Joined!J393, PanelInstance!D:D, FALSE), 2)</f>
        <v>152400</v>
      </c>
      <c r="B393" t="s">
        <v>291</v>
      </c>
      <c r="C393">
        <f>COUNTIF($D$3:D393, RIGHT(LEFT(A393,4),3))</f>
        <v>15</v>
      </c>
      <c r="D393" t="str">
        <f t="shared" si="30"/>
        <v>524</v>
      </c>
      <c r="E393">
        <f t="shared" si="31"/>
        <v>152415</v>
      </c>
      <c r="F393">
        <f>INDEX(Schedule!$A:$N, MATCH(Joined!$G393, Schedule!$B:$B,0),14)</f>
        <v>15011</v>
      </c>
      <c r="G393" t="s">
        <v>1029</v>
      </c>
      <c r="H393">
        <f>INDEX(VAV_Schedule_5_21[#All], MATCH(Joined!G393, VAV_Schedule_5_21[[#All],[UNIT TAG]], 0), 9)</f>
        <v>9</v>
      </c>
      <c r="I393" t="str">
        <f t="shared" si="32"/>
        <v>WPC.VAV-9W-43</v>
      </c>
      <c r="J393" t="str">
        <f t="shared" si="33"/>
        <v>9W</v>
      </c>
      <c r="L393">
        <f>INDEX(Schedule!$A:$J, MATCH(Joined!$G393, Schedule!$B:$B, 0), 5)</f>
        <v>960</v>
      </c>
      <c r="M393">
        <f>INDEX(Schedule!$A:$J, MATCH(Joined!$G393, Schedule!$B:$B, 0), 6)</f>
        <v>145</v>
      </c>
    </row>
    <row r="394" spans="1:13" x14ac:dyDescent="0.2">
      <c r="A394">
        <f>INDEX(PanelInstance!B:D, MATCH(Joined!J394, PanelInstance!D:D, FALSE), 2)</f>
        <v>152400</v>
      </c>
      <c r="B394" t="s">
        <v>291</v>
      </c>
      <c r="C394">
        <f>COUNTIF($D$3:D394, RIGHT(LEFT(A394,4),3))</f>
        <v>16</v>
      </c>
      <c r="D394" t="str">
        <f t="shared" si="30"/>
        <v>524</v>
      </c>
      <c r="E394">
        <f t="shared" si="31"/>
        <v>152416</v>
      </c>
      <c r="F394">
        <f>INDEX(Schedule!$A:$N, MATCH(Joined!$G394, Schedule!$B:$B,0),14)</f>
        <v>15011</v>
      </c>
      <c r="G394" t="s">
        <v>1030</v>
      </c>
      <c r="H394">
        <f>INDEX(VAV_Schedule_5_21[#All], MATCH(Joined!G394, VAV_Schedule_5_21[[#All],[UNIT TAG]], 0), 9)</f>
        <v>9</v>
      </c>
      <c r="I394" t="str">
        <f t="shared" si="32"/>
        <v>WPC.VAV-9W-44</v>
      </c>
      <c r="J394" t="str">
        <f t="shared" si="33"/>
        <v>9W</v>
      </c>
      <c r="L394">
        <f>INDEX(Schedule!$A:$J, MATCH(Joined!$G394, Schedule!$B:$B, 0), 5)</f>
        <v>1220</v>
      </c>
      <c r="M394">
        <f>INDEX(Schedule!$A:$J, MATCH(Joined!$G394, Schedule!$B:$B, 0), 6)</f>
        <v>185</v>
      </c>
    </row>
    <row r="395" spans="1:13" x14ac:dyDescent="0.2">
      <c r="A395">
        <f>INDEX(PanelInstance!B:D, MATCH(Joined!J395, PanelInstance!D:D, FALSE), 2)</f>
        <v>152400</v>
      </c>
      <c r="B395" t="s">
        <v>291</v>
      </c>
      <c r="C395">
        <f>COUNTIF($D$3:D395, RIGHT(LEFT(A395,4),3))</f>
        <v>17</v>
      </c>
      <c r="D395" t="str">
        <f t="shared" si="30"/>
        <v>524</v>
      </c>
      <c r="E395">
        <f t="shared" si="31"/>
        <v>152417</v>
      </c>
      <c r="F395">
        <f>INDEX(Schedule!$A:$N, MATCH(Joined!$G395, Schedule!$B:$B,0),14)</f>
        <v>15010</v>
      </c>
      <c r="G395" t="s">
        <v>1031</v>
      </c>
      <c r="H395">
        <f>INDEX(VAV_Schedule_5_21[#All], MATCH(Joined!G395, VAV_Schedule_5_21[[#All],[UNIT TAG]], 0), 9)</f>
        <v>9</v>
      </c>
      <c r="I395" t="str">
        <f t="shared" si="32"/>
        <v>WPC.VAV-9W-45</v>
      </c>
      <c r="J395" t="str">
        <f t="shared" si="33"/>
        <v>9W</v>
      </c>
      <c r="L395">
        <f>INDEX(Schedule!$A:$J, MATCH(Joined!$G395, Schedule!$B:$B, 0), 5)</f>
        <v>200</v>
      </c>
      <c r="M395">
        <f>INDEX(Schedule!$A:$J, MATCH(Joined!$G395, Schedule!$B:$B, 0), 6)</f>
        <v>30</v>
      </c>
    </row>
    <row r="396" spans="1:13" x14ac:dyDescent="0.2">
      <c r="A396">
        <f>INDEX(PanelInstance!B:D, MATCH(Joined!J396, PanelInstance!D:D, FALSE), 2)</f>
        <v>152700</v>
      </c>
      <c r="B396" t="s">
        <v>291</v>
      </c>
      <c r="C396">
        <f>COUNTIF($D$3:D396, RIGHT(LEFT(A396,4),3))</f>
        <v>1</v>
      </c>
      <c r="D396" t="str">
        <f t="shared" si="30"/>
        <v>527</v>
      </c>
      <c r="E396">
        <f t="shared" si="31"/>
        <v>152701</v>
      </c>
      <c r="F396">
        <f>INDEX(Schedule!$A:$N, MATCH(Joined!$G396, Schedule!$B:$B,0),14)</f>
        <v>15011</v>
      </c>
      <c r="G396" t="s">
        <v>1032</v>
      </c>
      <c r="H396">
        <f>INDEX(VAV_Schedule_5_21[#All], MATCH(Joined!G396, VAV_Schedule_5_21[[#All],[UNIT TAG]], 0), 9)</f>
        <v>10</v>
      </c>
      <c r="I396" t="str">
        <f t="shared" si="32"/>
        <v>WPC.VAV-10W-1</v>
      </c>
      <c r="J396" t="str">
        <f t="shared" si="33"/>
        <v>10W</v>
      </c>
      <c r="L396">
        <f>INDEX(Schedule!$A:$J, MATCH(Joined!$G396, Schedule!$B:$B, 0), 5)</f>
        <v>640</v>
      </c>
      <c r="M396">
        <f>INDEX(Schedule!$A:$J, MATCH(Joined!$G396, Schedule!$B:$B, 0), 6)</f>
        <v>100</v>
      </c>
    </row>
    <row r="397" spans="1:13" x14ac:dyDescent="0.2">
      <c r="A397">
        <f>INDEX(PanelInstance!B:D, MATCH(Joined!J397, PanelInstance!D:D, FALSE), 2)</f>
        <v>152700</v>
      </c>
      <c r="B397" t="s">
        <v>291</v>
      </c>
      <c r="C397">
        <f>COUNTIF($D$3:D397, RIGHT(LEFT(A397,4),3))</f>
        <v>2</v>
      </c>
      <c r="D397" t="str">
        <f t="shared" si="30"/>
        <v>527</v>
      </c>
      <c r="E397">
        <f t="shared" si="31"/>
        <v>152702</v>
      </c>
      <c r="F397">
        <f>INDEX(Schedule!$A:$N, MATCH(Joined!$G397, Schedule!$B:$B,0),14)</f>
        <v>15011</v>
      </c>
      <c r="G397" t="s">
        <v>1033</v>
      </c>
      <c r="H397">
        <f>INDEX(VAV_Schedule_5_21[#All], MATCH(Joined!G397, VAV_Schedule_5_21[[#All],[UNIT TAG]], 0), 9)</f>
        <v>10</v>
      </c>
      <c r="I397" t="str">
        <f t="shared" si="32"/>
        <v>WPC.VAV-10W-2</v>
      </c>
      <c r="J397" t="str">
        <f t="shared" si="33"/>
        <v>10W</v>
      </c>
      <c r="L397">
        <f>INDEX(Schedule!$A:$J, MATCH(Joined!$G397, Schedule!$B:$B, 0), 5)</f>
        <v>680</v>
      </c>
      <c r="M397">
        <f>INDEX(Schedule!$A:$J, MATCH(Joined!$G397, Schedule!$B:$B, 0), 6)</f>
        <v>105</v>
      </c>
    </row>
    <row r="398" spans="1:13" x14ac:dyDescent="0.2">
      <c r="A398">
        <f>INDEX(PanelInstance!B:D, MATCH(Joined!J398, PanelInstance!D:D, FALSE), 2)</f>
        <v>152700</v>
      </c>
      <c r="B398" t="s">
        <v>291</v>
      </c>
      <c r="C398">
        <f>COUNTIF($D$3:D398, RIGHT(LEFT(A398,4),3))</f>
        <v>3</v>
      </c>
      <c r="D398" t="str">
        <f t="shared" si="30"/>
        <v>527</v>
      </c>
      <c r="E398">
        <f t="shared" si="31"/>
        <v>152703</v>
      </c>
      <c r="F398">
        <f>INDEX(Schedule!$A:$N, MATCH(Joined!$G398, Schedule!$B:$B,0),14)</f>
        <v>15011</v>
      </c>
      <c r="G398" t="s">
        <v>1034</v>
      </c>
      <c r="H398">
        <f>INDEX(VAV_Schedule_5_21[#All], MATCH(Joined!G398, VAV_Schedule_5_21[[#All],[UNIT TAG]], 0), 9)</f>
        <v>10</v>
      </c>
      <c r="I398" t="str">
        <f t="shared" si="32"/>
        <v>WPC.VAV-10W-3</v>
      </c>
      <c r="J398" t="str">
        <f t="shared" si="33"/>
        <v>10W</v>
      </c>
      <c r="L398">
        <f>INDEX(Schedule!$A:$J, MATCH(Joined!$G398, Schedule!$B:$B, 0), 5)</f>
        <v>600</v>
      </c>
      <c r="M398">
        <f>INDEX(Schedule!$A:$J, MATCH(Joined!$G398, Schedule!$B:$B, 0), 6)</f>
        <v>90</v>
      </c>
    </row>
    <row r="399" spans="1:13" x14ac:dyDescent="0.2">
      <c r="A399">
        <f>INDEX(PanelInstance!B:D, MATCH(Joined!J399, PanelInstance!D:D, FALSE), 2)</f>
        <v>152700</v>
      </c>
      <c r="B399" t="s">
        <v>291</v>
      </c>
      <c r="C399">
        <f>COUNTIF($D$3:D399, RIGHT(LEFT(A399,4),3))</f>
        <v>4</v>
      </c>
      <c r="D399" t="str">
        <f t="shared" si="30"/>
        <v>527</v>
      </c>
      <c r="E399">
        <f t="shared" si="31"/>
        <v>152704</v>
      </c>
      <c r="F399">
        <f>INDEX(Schedule!$A:$N, MATCH(Joined!$G399, Schedule!$B:$B,0),14)</f>
        <v>15011</v>
      </c>
      <c r="G399" t="s">
        <v>1035</v>
      </c>
      <c r="H399">
        <f>INDEX(VAV_Schedule_5_21[#All], MATCH(Joined!G399, VAV_Schedule_5_21[[#All],[UNIT TAG]], 0), 9)</f>
        <v>10</v>
      </c>
      <c r="I399" t="str">
        <f t="shared" si="32"/>
        <v>WPC.VAV-10W-4</v>
      </c>
      <c r="J399" t="str">
        <f t="shared" si="33"/>
        <v>10W</v>
      </c>
      <c r="L399">
        <f>INDEX(Schedule!$A:$J, MATCH(Joined!$G399, Schedule!$B:$B, 0), 5)</f>
        <v>840</v>
      </c>
      <c r="M399">
        <f>INDEX(Schedule!$A:$J, MATCH(Joined!$G399, Schedule!$B:$B, 0), 6)</f>
        <v>130</v>
      </c>
    </row>
    <row r="400" spans="1:13" x14ac:dyDescent="0.2">
      <c r="A400">
        <f>INDEX(PanelInstance!B:D, MATCH(Joined!J400, PanelInstance!D:D, FALSE), 2)</f>
        <v>152500</v>
      </c>
      <c r="B400" t="s">
        <v>291</v>
      </c>
      <c r="C400">
        <f>COUNTIF($D$3:D400, RIGHT(LEFT(A400,4),3))</f>
        <v>1</v>
      </c>
      <c r="D400" t="str">
        <f t="shared" si="30"/>
        <v>525</v>
      </c>
      <c r="E400">
        <f t="shared" si="31"/>
        <v>152501</v>
      </c>
      <c r="F400">
        <f>INDEX(Schedule!$A:$N, MATCH(Joined!$G400, Schedule!$B:$B,0),14)</f>
        <v>15010</v>
      </c>
      <c r="G400" t="s">
        <v>1036</v>
      </c>
      <c r="H400">
        <f>INDEX(VAV_Schedule_5_21[#All], MATCH(Joined!G400, VAV_Schedule_5_21[[#All],[UNIT TAG]], 0), 9)</f>
        <v>10</v>
      </c>
      <c r="I400" t="str">
        <f t="shared" si="32"/>
        <v>WPC.VAV-10N-5</v>
      </c>
      <c r="J400" t="str">
        <f t="shared" si="33"/>
        <v>10N</v>
      </c>
      <c r="L400">
        <f>INDEX(Schedule!$A:$J, MATCH(Joined!$G400, Schedule!$B:$B, 0), 5)</f>
        <v>1330</v>
      </c>
      <c r="M400">
        <f>INDEX(Schedule!$A:$J, MATCH(Joined!$G400, Schedule!$B:$B, 0), 6)</f>
        <v>200</v>
      </c>
    </row>
    <row r="401" spans="1:13" x14ac:dyDescent="0.2">
      <c r="A401">
        <f>INDEX(PanelInstance!B:D, MATCH(Joined!J401, PanelInstance!D:D, FALSE), 2)</f>
        <v>152500</v>
      </c>
      <c r="B401" t="s">
        <v>291</v>
      </c>
      <c r="C401">
        <f>COUNTIF($D$3:D401, RIGHT(LEFT(A401,4),3))</f>
        <v>2</v>
      </c>
      <c r="D401" t="str">
        <f t="shared" si="30"/>
        <v>525</v>
      </c>
      <c r="E401">
        <f t="shared" si="31"/>
        <v>152502</v>
      </c>
      <c r="F401">
        <f>INDEX(Schedule!$A:$N, MATCH(Joined!$G401, Schedule!$B:$B,0),14)</f>
        <v>15010</v>
      </c>
      <c r="G401" t="s">
        <v>1037</v>
      </c>
      <c r="H401">
        <f>INDEX(VAV_Schedule_5_21[#All], MATCH(Joined!G401, VAV_Schedule_5_21[[#All],[UNIT TAG]], 0), 9)</f>
        <v>10</v>
      </c>
      <c r="I401" t="str">
        <f t="shared" si="32"/>
        <v>WPC.VAV-10N-6</v>
      </c>
      <c r="J401" t="str">
        <f t="shared" si="33"/>
        <v>10N</v>
      </c>
      <c r="L401">
        <f>INDEX(Schedule!$A:$J, MATCH(Joined!$G401, Schedule!$B:$B, 0), 5)</f>
        <v>1120</v>
      </c>
      <c r="M401">
        <f>INDEX(Schedule!$A:$J, MATCH(Joined!$G401, Schedule!$B:$B, 0), 6)</f>
        <v>170</v>
      </c>
    </row>
    <row r="402" spans="1:13" x14ac:dyDescent="0.2">
      <c r="A402">
        <f>INDEX(PanelInstance!B:D, MATCH(Joined!J402, PanelInstance!D:D, FALSE), 2)</f>
        <v>152500</v>
      </c>
      <c r="B402" t="s">
        <v>291</v>
      </c>
      <c r="C402">
        <f>COUNTIF($D$3:D402, RIGHT(LEFT(A402,4),3))</f>
        <v>3</v>
      </c>
      <c r="D402" t="str">
        <f t="shared" si="30"/>
        <v>525</v>
      </c>
      <c r="E402">
        <f t="shared" si="31"/>
        <v>152503</v>
      </c>
      <c r="F402">
        <f>INDEX(Schedule!$A:$N, MATCH(Joined!$G402, Schedule!$B:$B,0),14)</f>
        <v>15010</v>
      </c>
      <c r="G402" t="s">
        <v>1038</v>
      </c>
      <c r="H402">
        <f>INDEX(VAV_Schedule_5_21[#All], MATCH(Joined!G402, VAV_Schedule_5_21[[#All],[UNIT TAG]], 0), 9)</f>
        <v>10</v>
      </c>
      <c r="I402" t="str">
        <f t="shared" si="32"/>
        <v>WPC.VAV-10N-7</v>
      </c>
      <c r="J402" t="str">
        <f t="shared" si="33"/>
        <v>10N</v>
      </c>
      <c r="L402">
        <f>INDEX(Schedule!$A:$J, MATCH(Joined!$G402, Schedule!$B:$B, 0), 5)</f>
        <v>600</v>
      </c>
      <c r="M402">
        <f>INDEX(Schedule!$A:$J, MATCH(Joined!$G402, Schedule!$B:$B, 0), 6)</f>
        <v>90</v>
      </c>
    </row>
    <row r="403" spans="1:13" x14ac:dyDescent="0.2">
      <c r="A403">
        <f>INDEX(PanelInstance!B:D, MATCH(Joined!J403, PanelInstance!D:D, FALSE), 2)</f>
        <v>152500</v>
      </c>
      <c r="B403" t="s">
        <v>291</v>
      </c>
      <c r="C403">
        <f>COUNTIF($D$3:D403, RIGHT(LEFT(A403,4),3))</f>
        <v>4</v>
      </c>
      <c r="D403" t="str">
        <f t="shared" si="30"/>
        <v>525</v>
      </c>
      <c r="E403">
        <f t="shared" si="31"/>
        <v>152504</v>
      </c>
      <c r="F403">
        <f>INDEX(Schedule!$A:$N, MATCH(Joined!$G403, Schedule!$B:$B,0),14)</f>
        <v>15010</v>
      </c>
      <c r="G403" t="s">
        <v>1039</v>
      </c>
      <c r="H403">
        <f>INDEX(VAV_Schedule_5_21[#All], MATCH(Joined!G403, VAV_Schedule_5_21[[#All],[UNIT TAG]], 0), 9)</f>
        <v>10</v>
      </c>
      <c r="I403" t="str">
        <f t="shared" si="32"/>
        <v>WPC.VAV-10N-8</v>
      </c>
      <c r="J403" t="str">
        <f t="shared" si="33"/>
        <v>10N</v>
      </c>
      <c r="L403">
        <f>INDEX(Schedule!$A:$J, MATCH(Joined!$G403, Schedule!$B:$B, 0), 5)</f>
        <v>500</v>
      </c>
      <c r="M403">
        <f>INDEX(Schedule!$A:$J, MATCH(Joined!$G403, Schedule!$B:$B, 0), 6)</f>
        <v>75</v>
      </c>
    </row>
    <row r="404" spans="1:13" x14ac:dyDescent="0.2">
      <c r="A404">
        <f>INDEX(PanelInstance!B:D, MATCH(Joined!J404, PanelInstance!D:D, FALSE), 2)</f>
        <v>152500</v>
      </c>
      <c r="B404" t="s">
        <v>291</v>
      </c>
      <c r="C404">
        <f>COUNTIF($D$3:D404, RIGHT(LEFT(A404,4),3))</f>
        <v>5</v>
      </c>
      <c r="D404" t="str">
        <f t="shared" si="30"/>
        <v>525</v>
      </c>
      <c r="E404">
        <f t="shared" si="31"/>
        <v>152505</v>
      </c>
      <c r="F404">
        <f>INDEX(Schedule!$A:$N, MATCH(Joined!$G404, Schedule!$B:$B,0),14)</f>
        <v>15010</v>
      </c>
      <c r="G404" t="s">
        <v>1040</v>
      </c>
      <c r="H404">
        <f>INDEX(VAV_Schedule_5_21[#All], MATCH(Joined!G404, VAV_Schedule_5_21[[#All],[UNIT TAG]], 0), 9)</f>
        <v>10</v>
      </c>
      <c r="I404" t="str">
        <f t="shared" si="32"/>
        <v>WPC.VAV-10N-9</v>
      </c>
      <c r="J404" t="str">
        <f t="shared" si="33"/>
        <v>10N</v>
      </c>
      <c r="L404">
        <f>INDEX(Schedule!$A:$J, MATCH(Joined!$G404, Schedule!$B:$B, 0), 5)</f>
        <v>1200</v>
      </c>
      <c r="M404">
        <f>INDEX(Schedule!$A:$J, MATCH(Joined!$G404, Schedule!$B:$B, 0), 6)</f>
        <v>180</v>
      </c>
    </row>
    <row r="405" spans="1:13" x14ac:dyDescent="0.2">
      <c r="A405">
        <f>INDEX(PanelInstance!B:D, MATCH(Joined!J405, PanelInstance!D:D, FALSE), 2)</f>
        <v>152500</v>
      </c>
      <c r="B405" t="s">
        <v>291</v>
      </c>
      <c r="C405">
        <f>COUNTIF($D$3:D405, RIGHT(LEFT(A405,4),3))</f>
        <v>6</v>
      </c>
      <c r="D405" t="str">
        <f t="shared" si="30"/>
        <v>525</v>
      </c>
      <c r="E405">
        <f t="shared" si="31"/>
        <v>152506</v>
      </c>
      <c r="F405">
        <f>INDEX(Schedule!$A:$N, MATCH(Joined!$G405, Schedule!$B:$B,0),14)</f>
        <v>15010</v>
      </c>
      <c r="G405" t="s">
        <v>1041</v>
      </c>
      <c r="H405">
        <f>INDEX(VAV_Schedule_5_21[#All], MATCH(Joined!G405, VAV_Schedule_5_21[[#All],[UNIT TAG]], 0), 9)</f>
        <v>10</v>
      </c>
      <c r="I405" t="str">
        <f t="shared" si="32"/>
        <v>WPC.VAV-10N-9A</v>
      </c>
      <c r="J405" t="str">
        <f t="shared" si="33"/>
        <v>10N</v>
      </c>
      <c r="L405">
        <f>INDEX(Schedule!$A:$J, MATCH(Joined!$G405, Schedule!$B:$B, 0), 5)</f>
        <v>550</v>
      </c>
      <c r="M405">
        <f>INDEX(Schedule!$A:$J, MATCH(Joined!$G405, Schedule!$B:$B, 0), 6)</f>
        <v>85</v>
      </c>
    </row>
    <row r="406" spans="1:13" x14ac:dyDescent="0.2">
      <c r="A406">
        <f>INDEX(PanelInstance!B:D, MATCH(Joined!J406, PanelInstance!D:D, FALSE), 2)</f>
        <v>152500</v>
      </c>
      <c r="B406" t="s">
        <v>291</v>
      </c>
      <c r="C406">
        <f>COUNTIF($D$3:D406, RIGHT(LEFT(A406,4),3))</f>
        <v>7</v>
      </c>
      <c r="D406" t="str">
        <f t="shared" si="30"/>
        <v>525</v>
      </c>
      <c r="E406">
        <f t="shared" si="31"/>
        <v>152507</v>
      </c>
      <c r="F406">
        <f>INDEX(Schedule!$A:$N, MATCH(Joined!$G406, Schedule!$B:$B,0),14)</f>
        <v>15010</v>
      </c>
      <c r="G406" t="s">
        <v>1042</v>
      </c>
      <c r="H406">
        <f>INDEX(VAV_Schedule_5_21[#All], MATCH(Joined!G406, VAV_Schedule_5_21[[#All],[UNIT TAG]], 0), 9)</f>
        <v>10</v>
      </c>
      <c r="I406" t="str">
        <f t="shared" si="32"/>
        <v>WPC.VAV-10N-10</v>
      </c>
      <c r="J406" t="str">
        <f t="shared" si="33"/>
        <v>10N</v>
      </c>
      <c r="L406">
        <f>INDEX(Schedule!$A:$J, MATCH(Joined!$G406, Schedule!$B:$B, 0), 5)</f>
        <v>485</v>
      </c>
      <c r="M406">
        <f>INDEX(Schedule!$A:$J, MATCH(Joined!$G406, Schedule!$B:$B, 0), 6)</f>
        <v>75</v>
      </c>
    </row>
    <row r="407" spans="1:13" x14ac:dyDescent="0.2">
      <c r="A407">
        <f>INDEX(PanelInstance!B:D, MATCH(Joined!J407, PanelInstance!D:D, FALSE), 2)</f>
        <v>152500</v>
      </c>
      <c r="B407" t="s">
        <v>291</v>
      </c>
      <c r="C407">
        <f>COUNTIF($D$3:D407, RIGHT(LEFT(A407,4),3))</f>
        <v>8</v>
      </c>
      <c r="D407" t="str">
        <f t="shared" si="30"/>
        <v>525</v>
      </c>
      <c r="E407">
        <f t="shared" si="31"/>
        <v>152508</v>
      </c>
      <c r="F407">
        <f>INDEX(Schedule!$A:$N, MATCH(Joined!$G407, Schedule!$B:$B,0),14)</f>
        <v>15010</v>
      </c>
      <c r="G407" t="s">
        <v>1043</v>
      </c>
      <c r="H407">
        <f>INDEX(VAV_Schedule_5_21[#All], MATCH(Joined!G407, VAV_Schedule_5_21[[#All],[UNIT TAG]], 0), 9)</f>
        <v>10</v>
      </c>
      <c r="I407" t="str">
        <f t="shared" si="32"/>
        <v>WPC.VAV-10N-11</v>
      </c>
      <c r="J407" t="str">
        <f t="shared" si="33"/>
        <v>10N</v>
      </c>
      <c r="L407">
        <f>INDEX(Schedule!$A:$J, MATCH(Joined!$G407, Schedule!$B:$B, 0), 5)</f>
        <v>1220</v>
      </c>
      <c r="M407">
        <f>INDEX(Schedule!$A:$J, MATCH(Joined!$G407, Schedule!$B:$B, 0), 6)</f>
        <v>185</v>
      </c>
    </row>
    <row r="408" spans="1:13" x14ac:dyDescent="0.2">
      <c r="A408">
        <f>INDEX(PanelInstance!B:D, MATCH(Joined!J408, PanelInstance!D:D, FALSE), 2)</f>
        <v>152500</v>
      </c>
      <c r="B408" t="s">
        <v>291</v>
      </c>
      <c r="C408">
        <f>COUNTIF($D$3:D408, RIGHT(LEFT(A408,4),3))</f>
        <v>9</v>
      </c>
      <c r="D408" t="str">
        <f t="shared" si="30"/>
        <v>525</v>
      </c>
      <c r="E408">
        <f t="shared" si="31"/>
        <v>152509</v>
      </c>
      <c r="F408">
        <f>INDEX(Schedule!$A:$N, MATCH(Joined!$G408, Schedule!$B:$B,0),14)</f>
        <v>15010</v>
      </c>
      <c r="G408" t="s">
        <v>1044</v>
      </c>
      <c r="H408">
        <f>INDEX(VAV_Schedule_5_21[#All], MATCH(Joined!G408, VAV_Schedule_5_21[[#All],[UNIT TAG]], 0), 9)</f>
        <v>10</v>
      </c>
      <c r="I408" t="str">
        <f t="shared" si="32"/>
        <v>WPC.VAV-10N-12</v>
      </c>
      <c r="J408" t="str">
        <f t="shared" si="33"/>
        <v>10N</v>
      </c>
      <c r="L408">
        <f>INDEX(Schedule!$A:$J, MATCH(Joined!$G408, Schedule!$B:$B, 0), 5)</f>
        <v>1385</v>
      </c>
      <c r="M408">
        <f>INDEX(Schedule!$A:$J, MATCH(Joined!$G408, Schedule!$B:$B, 0), 6)</f>
        <v>210</v>
      </c>
    </row>
    <row r="409" spans="1:13" x14ac:dyDescent="0.2">
      <c r="A409">
        <f>INDEX(PanelInstance!B:D, MATCH(Joined!J409, PanelInstance!D:D, FALSE), 2)</f>
        <v>152500</v>
      </c>
      <c r="B409" t="s">
        <v>291</v>
      </c>
      <c r="C409">
        <f>COUNTIF($D$3:D409, RIGHT(LEFT(A409,4),3))</f>
        <v>10</v>
      </c>
      <c r="D409" t="str">
        <f t="shared" si="30"/>
        <v>525</v>
      </c>
      <c r="E409">
        <f t="shared" si="31"/>
        <v>152510</v>
      </c>
      <c r="F409">
        <f>INDEX(Schedule!$A:$N, MATCH(Joined!$G409, Schedule!$B:$B,0),14)</f>
        <v>15010</v>
      </c>
      <c r="G409" t="s">
        <v>1045</v>
      </c>
      <c r="H409">
        <f>INDEX(VAV_Schedule_5_21[#All], MATCH(Joined!G409, VAV_Schedule_5_21[[#All],[UNIT TAG]], 0), 9)</f>
        <v>10</v>
      </c>
      <c r="I409" t="str">
        <f t="shared" si="32"/>
        <v>WPC.VAV-10N-13</v>
      </c>
      <c r="J409" t="str">
        <f t="shared" si="33"/>
        <v>10N</v>
      </c>
      <c r="L409">
        <f>INDEX(Schedule!$A:$J, MATCH(Joined!$G409, Schedule!$B:$B, 0), 5)</f>
        <v>1120</v>
      </c>
      <c r="M409">
        <f>INDEX(Schedule!$A:$J, MATCH(Joined!$G409, Schedule!$B:$B, 0), 6)</f>
        <v>170</v>
      </c>
    </row>
    <row r="410" spans="1:13" x14ac:dyDescent="0.2">
      <c r="A410">
        <f>INDEX(PanelInstance!B:D, MATCH(Joined!J410, PanelInstance!D:D, FALSE), 2)</f>
        <v>152600</v>
      </c>
      <c r="B410" t="s">
        <v>291</v>
      </c>
      <c r="C410">
        <f>COUNTIF($D$3:D410, RIGHT(LEFT(A410,4),3))</f>
        <v>1</v>
      </c>
      <c r="D410" t="str">
        <f t="shared" si="30"/>
        <v>526</v>
      </c>
      <c r="E410">
        <f t="shared" si="31"/>
        <v>152601</v>
      </c>
      <c r="F410">
        <f>INDEX(Schedule!$A:$N, MATCH(Joined!$G410, Schedule!$B:$B,0),14)</f>
        <v>15011</v>
      </c>
      <c r="G410" t="s">
        <v>1046</v>
      </c>
      <c r="H410">
        <f>INDEX(VAV_Schedule_5_21[#All], MATCH(Joined!G410, VAV_Schedule_5_21[[#All],[UNIT TAG]], 0), 9)</f>
        <v>10</v>
      </c>
      <c r="I410" t="str">
        <f t="shared" si="32"/>
        <v>WPC.VAV-10E-14</v>
      </c>
      <c r="J410" t="str">
        <f t="shared" si="33"/>
        <v>10E</v>
      </c>
      <c r="L410">
        <f>INDEX(Schedule!$A:$J, MATCH(Joined!$G410, Schedule!$B:$B, 0), 5)</f>
        <v>840</v>
      </c>
      <c r="M410">
        <f>INDEX(Schedule!$A:$J, MATCH(Joined!$G410, Schedule!$B:$B, 0), 6)</f>
        <v>130</v>
      </c>
    </row>
    <row r="411" spans="1:13" x14ac:dyDescent="0.2">
      <c r="A411">
        <f>INDEX(PanelInstance!B:D, MATCH(Joined!J411, PanelInstance!D:D, FALSE), 2)</f>
        <v>152600</v>
      </c>
      <c r="B411" t="s">
        <v>291</v>
      </c>
      <c r="C411">
        <f>COUNTIF($D$3:D411, RIGHT(LEFT(A411,4),3))</f>
        <v>2</v>
      </c>
      <c r="D411" t="str">
        <f t="shared" si="30"/>
        <v>526</v>
      </c>
      <c r="E411">
        <f t="shared" si="31"/>
        <v>152602</v>
      </c>
      <c r="F411">
        <f>INDEX(Schedule!$A:$N, MATCH(Joined!$G411, Schedule!$B:$B,0),14)</f>
        <v>15011</v>
      </c>
      <c r="G411" t="s">
        <v>1047</v>
      </c>
      <c r="H411">
        <f>INDEX(VAV_Schedule_5_21[#All], MATCH(Joined!G411, VAV_Schedule_5_21[[#All],[UNIT TAG]], 0), 9)</f>
        <v>10</v>
      </c>
      <c r="I411" t="str">
        <f t="shared" si="32"/>
        <v>WPC.VAV-10E-15</v>
      </c>
      <c r="J411" t="str">
        <f t="shared" si="33"/>
        <v>10E</v>
      </c>
      <c r="L411">
        <f>INDEX(Schedule!$A:$J, MATCH(Joined!$G411, Schedule!$B:$B, 0), 5)</f>
        <v>640</v>
      </c>
      <c r="M411">
        <f>INDEX(Schedule!$A:$J, MATCH(Joined!$G411, Schedule!$B:$B, 0), 6)</f>
        <v>100</v>
      </c>
    </row>
    <row r="412" spans="1:13" x14ac:dyDescent="0.2">
      <c r="A412">
        <f>INDEX(PanelInstance!B:D, MATCH(Joined!J412, PanelInstance!D:D, FALSE), 2)</f>
        <v>152600</v>
      </c>
      <c r="B412" t="s">
        <v>291</v>
      </c>
      <c r="C412">
        <f>COUNTIF($D$3:D412, RIGHT(LEFT(A412,4),3))</f>
        <v>3</v>
      </c>
      <c r="D412" t="str">
        <f t="shared" si="30"/>
        <v>526</v>
      </c>
      <c r="E412">
        <f t="shared" si="31"/>
        <v>152603</v>
      </c>
      <c r="F412">
        <f>INDEX(Schedule!$A:$N, MATCH(Joined!$G412, Schedule!$B:$B,0),14)</f>
        <v>15011</v>
      </c>
      <c r="G412" t="s">
        <v>1048</v>
      </c>
      <c r="H412">
        <f>INDEX(VAV_Schedule_5_21[#All], MATCH(Joined!G412, VAV_Schedule_5_21[[#All],[UNIT TAG]], 0), 9)</f>
        <v>10</v>
      </c>
      <c r="I412" t="str">
        <f t="shared" si="32"/>
        <v>WPC.VAV-10E-16</v>
      </c>
      <c r="J412" t="str">
        <f t="shared" si="33"/>
        <v>10E</v>
      </c>
      <c r="L412">
        <f>INDEX(Schedule!$A:$J, MATCH(Joined!$G412, Schedule!$B:$B, 0), 5)</f>
        <v>685</v>
      </c>
      <c r="M412">
        <f>INDEX(Schedule!$A:$J, MATCH(Joined!$G412, Schedule!$B:$B, 0), 6)</f>
        <v>105</v>
      </c>
    </row>
    <row r="413" spans="1:13" x14ac:dyDescent="0.2">
      <c r="A413">
        <f>INDEX(PanelInstance!B:D, MATCH(Joined!J413, PanelInstance!D:D, FALSE), 2)</f>
        <v>152600</v>
      </c>
      <c r="B413" t="s">
        <v>291</v>
      </c>
      <c r="C413">
        <f>COUNTIF($D$3:D413, RIGHT(LEFT(A413,4),3))</f>
        <v>4</v>
      </c>
      <c r="D413" t="str">
        <f t="shared" si="30"/>
        <v>526</v>
      </c>
      <c r="E413">
        <f t="shared" si="31"/>
        <v>152604</v>
      </c>
      <c r="F413">
        <f>INDEX(Schedule!$A:$N, MATCH(Joined!$G413, Schedule!$B:$B,0),14)</f>
        <v>15011</v>
      </c>
      <c r="G413" t="s">
        <v>1049</v>
      </c>
      <c r="H413">
        <f>INDEX(VAV_Schedule_5_21[#All], MATCH(Joined!G413, VAV_Schedule_5_21[[#All],[UNIT TAG]], 0), 9)</f>
        <v>10</v>
      </c>
      <c r="I413" t="str">
        <f t="shared" si="32"/>
        <v>WPC.VAV-10E-17</v>
      </c>
      <c r="J413" t="str">
        <f t="shared" si="33"/>
        <v>10E</v>
      </c>
      <c r="L413">
        <f>INDEX(Schedule!$A:$J, MATCH(Joined!$G413, Schedule!$B:$B, 0), 5)</f>
        <v>600</v>
      </c>
      <c r="M413">
        <f>INDEX(Schedule!$A:$J, MATCH(Joined!$G413, Schedule!$B:$B, 0), 6)</f>
        <v>90</v>
      </c>
    </row>
    <row r="414" spans="1:13" x14ac:dyDescent="0.2">
      <c r="A414">
        <f>INDEX(PanelInstance!B:D, MATCH(Joined!J414, PanelInstance!D:D, FALSE), 2)</f>
        <v>152600</v>
      </c>
      <c r="B414" t="s">
        <v>291</v>
      </c>
      <c r="C414">
        <f>COUNTIF($D$3:D414, RIGHT(LEFT(A414,4),3))</f>
        <v>5</v>
      </c>
      <c r="D414" t="str">
        <f t="shared" ref="D414:D477" si="34">RIGHT(LEFT(A414, 4),3)</f>
        <v>526</v>
      </c>
      <c r="E414">
        <f t="shared" ref="E414:E477" si="35">A414+C414</f>
        <v>152605</v>
      </c>
      <c r="F414">
        <f>INDEX(Schedule!$A:$N, MATCH(Joined!$G414, Schedule!$B:$B,0),14)</f>
        <v>15010</v>
      </c>
      <c r="G414" t="s">
        <v>1050</v>
      </c>
      <c r="H414">
        <f>INDEX(VAV_Schedule_5_21[#All], MATCH(Joined!G414, VAV_Schedule_5_21[[#All],[UNIT TAG]], 0), 9)</f>
        <v>10</v>
      </c>
      <c r="I414" t="str">
        <f t="shared" si="32"/>
        <v>WPC.VAV-10E-18</v>
      </c>
      <c r="J414" t="str">
        <f t="shared" si="33"/>
        <v>10E</v>
      </c>
      <c r="L414">
        <f>INDEX(Schedule!$A:$J, MATCH(Joined!$G414, Schedule!$B:$B, 0), 5)</f>
        <v>200</v>
      </c>
      <c r="M414">
        <f>INDEX(Schedule!$A:$J, MATCH(Joined!$G414, Schedule!$B:$B, 0), 6)</f>
        <v>30</v>
      </c>
    </row>
    <row r="415" spans="1:13" x14ac:dyDescent="0.2">
      <c r="A415">
        <f>INDEX(PanelInstance!B:D, MATCH(Joined!J415, PanelInstance!D:D, FALSE), 2)</f>
        <v>152600</v>
      </c>
      <c r="B415" t="s">
        <v>291</v>
      </c>
      <c r="C415">
        <f>COUNTIF($D$3:D415, RIGHT(LEFT(A415,4),3))</f>
        <v>6</v>
      </c>
      <c r="D415" t="str">
        <f t="shared" si="34"/>
        <v>526</v>
      </c>
      <c r="E415">
        <f t="shared" si="35"/>
        <v>152606</v>
      </c>
      <c r="F415">
        <f>INDEX(Schedule!$A:$N, MATCH(Joined!$G415, Schedule!$B:$B,0),14)</f>
        <v>15010</v>
      </c>
      <c r="G415" t="s">
        <v>1051</v>
      </c>
      <c r="H415">
        <f>INDEX(VAV_Schedule_5_21[#All], MATCH(Joined!G415, VAV_Schedule_5_21[[#All],[UNIT TAG]], 0), 9)</f>
        <v>10</v>
      </c>
      <c r="I415" t="str">
        <f t="shared" si="32"/>
        <v>WPC.VAV-10E-19</v>
      </c>
      <c r="J415" t="str">
        <f t="shared" si="33"/>
        <v>10E</v>
      </c>
      <c r="L415">
        <f>INDEX(Schedule!$A:$J, MATCH(Joined!$G415, Schedule!$B:$B, 0), 5)</f>
        <v>680</v>
      </c>
      <c r="M415">
        <f>INDEX(Schedule!$A:$J, MATCH(Joined!$G415, Schedule!$B:$B, 0), 6)</f>
        <v>105</v>
      </c>
    </row>
    <row r="416" spans="1:13" x14ac:dyDescent="0.2">
      <c r="A416">
        <f>INDEX(PanelInstance!B:D, MATCH(Joined!J416, PanelInstance!D:D, FALSE), 2)</f>
        <v>152600</v>
      </c>
      <c r="B416" t="s">
        <v>291</v>
      </c>
      <c r="C416">
        <f>COUNTIF($D$3:D416, RIGHT(LEFT(A416,4),3))</f>
        <v>7</v>
      </c>
      <c r="D416" t="str">
        <f t="shared" si="34"/>
        <v>526</v>
      </c>
      <c r="E416">
        <f t="shared" si="35"/>
        <v>152607</v>
      </c>
      <c r="F416">
        <f>INDEX(Schedule!$A:$N, MATCH(Joined!$G416, Schedule!$B:$B,0),14)</f>
        <v>15011</v>
      </c>
      <c r="G416" t="s">
        <v>1052</v>
      </c>
      <c r="H416">
        <f>INDEX(VAV_Schedule_5_21[#All], MATCH(Joined!G416, VAV_Schedule_5_21[[#All],[UNIT TAG]], 0), 9)</f>
        <v>10</v>
      </c>
      <c r="I416" t="str">
        <f t="shared" si="32"/>
        <v>WPC.VAV-10E-20</v>
      </c>
      <c r="J416" t="str">
        <f t="shared" si="33"/>
        <v>10E</v>
      </c>
      <c r="L416">
        <f>INDEX(Schedule!$A:$J, MATCH(Joined!$G416, Schedule!$B:$B, 0), 5)</f>
        <v>1085</v>
      </c>
      <c r="M416">
        <f>INDEX(Schedule!$A:$J, MATCH(Joined!$G416, Schedule!$B:$B, 0), 6)</f>
        <v>165</v>
      </c>
    </row>
    <row r="417" spans="1:13" x14ac:dyDescent="0.2">
      <c r="A417">
        <f>INDEX(PanelInstance!B:D, MATCH(Joined!J417, PanelInstance!D:D, FALSE), 2)</f>
        <v>152600</v>
      </c>
      <c r="B417" t="s">
        <v>291</v>
      </c>
      <c r="C417">
        <f>COUNTIF($D$3:D417, RIGHT(LEFT(A417,4),3))</f>
        <v>8</v>
      </c>
      <c r="D417" t="str">
        <f t="shared" si="34"/>
        <v>526</v>
      </c>
      <c r="E417">
        <f t="shared" si="35"/>
        <v>152608</v>
      </c>
      <c r="F417">
        <f>INDEX(Schedule!$A:$N, MATCH(Joined!$G417, Schedule!$B:$B,0),14)</f>
        <v>15011</v>
      </c>
      <c r="G417" t="s">
        <v>1053</v>
      </c>
      <c r="H417">
        <f>INDEX(VAV_Schedule_5_21[#All], MATCH(Joined!G417, VAV_Schedule_5_21[[#All],[UNIT TAG]], 0), 9)</f>
        <v>10</v>
      </c>
      <c r="I417" t="str">
        <f t="shared" si="32"/>
        <v>WPC.VAV-10E-21</v>
      </c>
      <c r="J417" t="str">
        <f t="shared" si="33"/>
        <v>10E</v>
      </c>
      <c r="L417">
        <f>INDEX(Schedule!$A:$J, MATCH(Joined!$G417, Schedule!$B:$B, 0), 5)</f>
        <v>840</v>
      </c>
      <c r="M417">
        <f>INDEX(Schedule!$A:$J, MATCH(Joined!$G417, Schedule!$B:$B, 0), 6)</f>
        <v>130</v>
      </c>
    </row>
    <row r="418" spans="1:13" x14ac:dyDescent="0.2">
      <c r="A418">
        <f>INDEX(PanelInstance!B:D, MATCH(Joined!J418, PanelInstance!D:D, FALSE), 2)</f>
        <v>152600</v>
      </c>
      <c r="B418" t="s">
        <v>291</v>
      </c>
      <c r="C418">
        <f>COUNTIF($D$3:D418, RIGHT(LEFT(A418,4),3))</f>
        <v>9</v>
      </c>
      <c r="D418" t="str">
        <f t="shared" si="34"/>
        <v>526</v>
      </c>
      <c r="E418">
        <f t="shared" si="35"/>
        <v>152609</v>
      </c>
      <c r="F418">
        <f>INDEX(Schedule!$A:$N, MATCH(Joined!$G418, Schedule!$B:$B,0),14)</f>
        <v>15010</v>
      </c>
      <c r="G418" t="s">
        <v>1054</v>
      </c>
      <c r="H418">
        <f>INDEX(VAV_Schedule_5_21[#All], MATCH(Joined!G418, VAV_Schedule_5_21[[#All],[UNIT TAG]], 0), 9)</f>
        <v>10</v>
      </c>
      <c r="I418" t="str">
        <f t="shared" si="32"/>
        <v>WPC.VAV-10E-22</v>
      </c>
      <c r="J418" t="str">
        <f t="shared" si="33"/>
        <v>10E</v>
      </c>
      <c r="L418">
        <f>INDEX(Schedule!$A:$J, MATCH(Joined!$G418, Schedule!$B:$B, 0), 5)</f>
        <v>185</v>
      </c>
      <c r="M418">
        <f>INDEX(Schedule!$A:$J, MATCH(Joined!$G418, Schedule!$B:$B, 0), 6)</f>
        <v>30</v>
      </c>
    </row>
    <row r="419" spans="1:13" x14ac:dyDescent="0.2">
      <c r="A419">
        <f>INDEX(PanelInstance!B:D, MATCH(Joined!J419, PanelInstance!D:D, FALSE), 2)</f>
        <v>152600</v>
      </c>
      <c r="B419" t="s">
        <v>291</v>
      </c>
      <c r="C419">
        <f>COUNTIF($D$3:D419, RIGHT(LEFT(A419,4),3))</f>
        <v>10</v>
      </c>
      <c r="D419" t="str">
        <f t="shared" si="34"/>
        <v>526</v>
      </c>
      <c r="E419">
        <f t="shared" si="35"/>
        <v>152610</v>
      </c>
      <c r="F419">
        <f>INDEX(Schedule!$A:$N, MATCH(Joined!$G419, Schedule!$B:$B,0),14)</f>
        <v>15011</v>
      </c>
      <c r="G419" t="s">
        <v>1055</v>
      </c>
      <c r="H419">
        <f>INDEX(VAV_Schedule_5_21[#All], MATCH(Joined!G419, VAV_Schedule_5_21[[#All],[UNIT TAG]], 0), 9)</f>
        <v>10</v>
      </c>
      <c r="I419" t="str">
        <f t="shared" si="32"/>
        <v>WPC.VAV-10E-23</v>
      </c>
      <c r="J419" t="str">
        <f t="shared" si="33"/>
        <v>10E</v>
      </c>
      <c r="L419">
        <f>INDEX(Schedule!$A:$J, MATCH(Joined!$G419, Schedule!$B:$B, 0), 5)</f>
        <v>1050</v>
      </c>
      <c r="M419">
        <f>INDEX(Schedule!$A:$J, MATCH(Joined!$G419, Schedule!$B:$B, 0), 6)</f>
        <v>160</v>
      </c>
    </row>
    <row r="420" spans="1:13" x14ac:dyDescent="0.2">
      <c r="A420">
        <f>INDEX(PanelInstance!B:D, MATCH(Joined!J420, PanelInstance!D:D, FALSE), 2)</f>
        <v>152600</v>
      </c>
      <c r="B420" t="s">
        <v>291</v>
      </c>
      <c r="C420">
        <f>COUNTIF($D$3:D420, RIGHT(LEFT(A420,4),3))</f>
        <v>11</v>
      </c>
      <c r="D420" t="str">
        <f t="shared" si="34"/>
        <v>526</v>
      </c>
      <c r="E420">
        <f t="shared" si="35"/>
        <v>152611</v>
      </c>
      <c r="F420">
        <f>INDEX(Schedule!$A:$N, MATCH(Joined!$G420, Schedule!$B:$B,0),14)</f>
        <v>15011</v>
      </c>
      <c r="G420" t="s">
        <v>1056</v>
      </c>
      <c r="H420">
        <f>INDEX(VAV_Schedule_5_21[#All], MATCH(Joined!G420, VAV_Schedule_5_21[[#All],[UNIT TAG]], 0), 9)</f>
        <v>10</v>
      </c>
      <c r="I420" t="str">
        <f t="shared" si="32"/>
        <v>WPC.VAV-10E-24</v>
      </c>
      <c r="J420" t="str">
        <f t="shared" si="33"/>
        <v>10E</v>
      </c>
      <c r="L420">
        <f>INDEX(Schedule!$A:$J, MATCH(Joined!$G420, Schedule!$B:$B, 0), 5)</f>
        <v>640</v>
      </c>
      <c r="M420">
        <f>INDEX(Schedule!$A:$J, MATCH(Joined!$G420, Schedule!$B:$B, 0), 6)</f>
        <v>100</v>
      </c>
    </row>
    <row r="421" spans="1:13" x14ac:dyDescent="0.2">
      <c r="A421">
        <f>INDEX(PanelInstance!B:D, MATCH(Joined!J421, PanelInstance!D:D, FALSE), 2)</f>
        <v>152600</v>
      </c>
      <c r="B421" t="s">
        <v>291</v>
      </c>
      <c r="C421">
        <f>COUNTIF($D$3:D421, RIGHT(LEFT(A421,4),3))</f>
        <v>12</v>
      </c>
      <c r="D421" t="str">
        <f t="shared" si="34"/>
        <v>526</v>
      </c>
      <c r="E421">
        <f t="shared" si="35"/>
        <v>152612</v>
      </c>
      <c r="F421">
        <f>INDEX(Schedule!$A:$N, MATCH(Joined!$G421, Schedule!$B:$B,0),14)</f>
        <v>15011</v>
      </c>
      <c r="G421" t="s">
        <v>1057</v>
      </c>
      <c r="H421">
        <f>INDEX(VAV_Schedule_5_21[#All], MATCH(Joined!G421, VAV_Schedule_5_21[[#All],[UNIT TAG]], 0), 9)</f>
        <v>10</v>
      </c>
      <c r="I421" t="str">
        <f t="shared" si="32"/>
        <v>WPC.VAV-10E-25</v>
      </c>
      <c r="J421" t="str">
        <f t="shared" si="33"/>
        <v>10E</v>
      </c>
      <c r="L421">
        <f>INDEX(Schedule!$A:$J, MATCH(Joined!$G421, Schedule!$B:$B, 0), 5)</f>
        <v>860</v>
      </c>
      <c r="M421">
        <f>INDEX(Schedule!$A:$J, MATCH(Joined!$G421, Schedule!$B:$B, 0), 6)</f>
        <v>130</v>
      </c>
    </row>
    <row r="422" spans="1:13" x14ac:dyDescent="0.2">
      <c r="A422">
        <f>INDEX(PanelInstance!B:D, MATCH(Joined!J422, PanelInstance!D:D, FALSE), 2)</f>
        <v>152600</v>
      </c>
      <c r="B422" t="s">
        <v>291</v>
      </c>
      <c r="C422">
        <f>COUNTIF($D$3:D422, RIGHT(LEFT(A422,4),3))</f>
        <v>13</v>
      </c>
      <c r="D422" t="str">
        <f t="shared" si="34"/>
        <v>526</v>
      </c>
      <c r="E422">
        <f t="shared" si="35"/>
        <v>152613</v>
      </c>
      <c r="F422">
        <f>INDEX(Schedule!$A:$N, MATCH(Joined!$G422, Schedule!$B:$B,0),14)</f>
        <v>15011</v>
      </c>
      <c r="G422" t="s">
        <v>1058</v>
      </c>
      <c r="H422">
        <f>INDEX(VAV_Schedule_5_21[#All], MATCH(Joined!G422, VAV_Schedule_5_21[[#All],[UNIT TAG]], 0), 9)</f>
        <v>10</v>
      </c>
      <c r="I422" t="str">
        <f t="shared" si="32"/>
        <v>WPC.VAV-10E-26</v>
      </c>
      <c r="J422" t="str">
        <f t="shared" si="33"/>
        <v>10E</v>
      </c>
      <c r="L422">
        <f>INDEX(Schedule!$A:$J, MATCH(Joined!$G422, Schedule!$B:$B, 0), 5)</f>
        <v>690</v>
      </c>
      <c r="M422">
        <f>INDEX(Schedule!$A:$J, MATCH(Joined!$G422, Schedule!$B:$B, 0), 6)</f>
        <v>105</v>
      </c>
    </row>
    <row r="423" spans="1:13" x14ac:dyDescent="0.2">
      <c r="A423">
        <f>INDEX(PanelInstance!B:D, MATCH(Joined!J423, PanelInstance!D:D, FALSE), 2)</f>
        <v>152600</v>
      </c>
      <c r="B423" t="s">
        <v>291</v>
      </c>
      <c r="C423">
        <f>COUNTIF($D$3:D423, RIGHT(LEFT(A423,4),3))</f>
        <v>14</v>
      </c>
      <c r="D423" t="str">
        <f t="shared" si="34"/>
        <v>526</v>
      </c>
      <c r="E423">
        <f t="shared" si="35"/>
        <v>152614</v>
      </c>
      <c r="F423">
        <f>INDEX(Schedule!$A:$N, MATCH(Joined!$G423, Schedule!$B:$B,0),14)</f>
        <v>15010</v>
      </c>
      <c r="G423" t="s">
        <v>1059</v>
      </c>
      <c r="H423">
        <f>INDEX(VAV_Schedule_5_21[#All], MATCH(Joined!G423, VAV_Schedule_5_21[[#All],[UNIT TAG]], 0), 9)</f>
        <v>10</v>
      </c>
      <c r="I423" t="str">
        <f t="shared" si="32"/>
        <v>WPC.VAV-10E-27</v>
      </c>
      <c r="J423" t="str">
        <f t="shared" si="33"/>
        <v>10E</v>
      </c>
      <c r="L423">
        <f>INDEX(Schedule!$A:$J, MATCH(Joined!$G423, Schedule!$B:$B, 0), 5)</f>
        <v>1310</v>
      </c>
      <c r="M423">
        <f>INDEX(Schedule!$A:$J, MATCH(Joined!$G423, Schedule!$B:$B, 0), 6)</f>
        <v>200</v>
      </c>
    </row>
    <row r="424" spans="1:13" x14ac:dyDescent="0.2">
      <c r="A424">
        <f>INDEX(PanelInstance!B:D, MATCH(Joined!J424, PanelInstance!D:D, FALSE), 2)</f>
        <v>152600</v>
      </c>
      <c r="B424" t="s">
        <v>291</v>
      </c>
      <c r="C424">
        <f>COUNTIF($D$3:D424, RIGHT(LEFT(A424,4),3))</f>
        <v>15</v>
      </c>
      <c r="D424" t="str">
        <f t="shared" si="34"/>
        <v>526</v>
      </c>
      <c r="E424">
        <f t="shared" si="35"/>
        <v>152615</v>
      </c>
      <c r="F424">
        <f>INDEX(Schedule!$A:$N, MATCH(Joined!$G424, Schedule!$B:$B,0),14)</f>
        <v>15010</v>
      </c>
      <c r="G424" t="s">
        <v>1060</v>
      </c>
      <c r="H424">
        <f>INDEX(VAV_Schedule_5_21[#All], MATCH(Joined!G424, VAV_Schedule_5_21[[#All],[UNIT TAG]], 0), 9)</f>
        <v>10</v>
      </c>
      <c r="I424" t="str">
        <f t="shared" si="32"/>
        <v>WPC.VAV-10E-28</v>
      </c>
      <c r="J424" t="str">
        <f t="shared" si="33"/>
        <v>10E</v>
      </c>
      <c r="L424">
        <f>INDEX(Schedule!$A:$J, MATCH(Joined!$G424, Schedule!$B:$B, 0), 5)</f>
        <v>680</v>
      </c>
      <c r="M424">
        <f>INDEX(Schedule!$A:$J, MATCH(Joined!$G424, Schedule!$B:$B, 0), 6)</f>
        <v>105</v>
      </c>
    </row>
    <row r="425" spans="1:13" x14ac:dyDescent="0.2">
      <c r="A425">
        <f>INDEX(PanelInstance!B:D, MATCH(Joined!J425, PanelInstance!D:D, FALSE), 2)</f>
        <v>152600</v>
      </c>
      <c r="B425" t="s">
        <v>291</v>
      </c>
      <c r="C425">
        <f>COUNTIF($D$3:D425, RIGHT(LEFT(A425,4),3))</f>
        <v>16</v>
      </c>
      <c r="D425" t="str">
        <f t="shared" si="34"/>
        <v>526</v>
      </c>
      <c r="E425">
        <f t="shared" si="35"/>
        <v>152616</v>
      </c>
      <c r="F425">
        <f>INDEX(Schedule!$A:$N, MATCH(Joined!$G425, Schedule!$B:$B,0),14)</f>
        <v>15010</v>
      </c>
      <c r="G425" t="s">
        <v>1061</v>
      </c>
      <c r="H425">
        <f>INDEX(VAV_Schedule_5_21[#All], MATCH(Joined!G425, VAV_Schedule_5_21[[#All],[UNIT TAG]], 0), 9)</f>
        <v>10</v>
      </c>
      <c r="I425" t="str">
        <f t="shared" si="32"/>
        <v>WPC.VAV-10E-29</v>
      </c>
      <c r="J425" t="str">
        <f t="shared" si="33"/>
        <v>10E</v>
      </c>
      <c r="L425">
        <f>INDEX(Schedule!$A:$J, MATCH(Joined!$G425, Schedule!$B:$B, 0), 5)</f>
        <v>1510</v>
      </c>
      <c r="M425">
        <f>INDEX(Schedule!$A:$J, MATCH(Joined!$G425, Schedule!$B:$B, 0), 6)</f>
        <v>230</v>
      </c>
    </row>
    <row r="426" spans="1:13" x14ac:dyDescent="0.2">
      <c r="A426">
        <f>INDEX(PanelInstance!B:D, MATCH(Joined!J426, PanelInstance!D:D, FALSE), 2)</f>
        <v>152600</v>
      </c>
      <c r="B426" t="s">
        <v>291</v>
      </c>
      <c r="C426">
        <f>COUNTIF($D$3:D426, RIGHT(LEFT(A426,4),3))</f>
        <v>17</v>
      </c>
      <c r="D426" t="str">
        <f t="shared" si="34"/>
        <v>526</v>
      </c>
      <c r="E426">
        <f t="shared" si="35"/>
        <v>152617</v>
      </c>
      <c r="F426">
        <f>INDEX(Schedule!$A:$N, MATCH(Joined!$G426, Schedule!$B:$B,0),14)</f>
        <v>15011</v>
      </c>
      <c r="G426" t="s">
        <v>1062</v>
      </c>
      <c r="H426">
        <f>INDEX(VAV_Schedule_5_21[#All], MATCH(Joined!G426, VAV_Schedule_5_21[[#All],[UNIT TAG]], 0), 9)</f>
        <v>10</v>
      </c>
      <c r="I426" t="str">
        <f t="shared" si="32"/>
        <v>WPC.VAV-10E-30</v>
      </c>
      <c r="J426" t="str">
        <f t="shared" si="33"/>
        <v>10E</v>
      </c>
      <c r="L426">
        <f>INDEX(Schedule!$A:$J, MATCH(Joined!$G426, Schedule!$B:$B, 0), 5)</f>
        <v>800</v>
      </c>
      <c r="M426">
        <f>INDEX(Schedule!$A:$J, MATCH(Joined!$G426, Schedule!$B:$B, 0), 6)</f>
        <v>120</v>
      </c>
    </row>
    <row r="427" spans="1:13" x14ac:dyDescent="0.2">
      <c r="A427">
        <f>INDEX(PanelInstance!B:D, MATCH(Joined!J427, PanelInstance!D:D, FALSE), 2)</f>
        <v>152600</v>
      </c>
      <c r="B427" t="s">
        <v>291</v>
      </c>
      <c r="C427">
        <f>COUNTIF($D$3:D427, RIGHT(LEFT(A427,4),3))</f>
        <v>18</v>
      </c>
      <c r="D427" t="str">
        <f t="shared" si="34"/>
        <v>526</v>
      </c>
      <c r="E427">
        <f t="shared" si="35"/>
        <v>152618</v>
      </c>
      <c r="F427">
        <f>INDEX(Schedule!$A:$N, MATCH(Joined!$G427, Schedule!$B:$B,0),14)</f>
        <v>15011</v>
      </c>
      <c r="G427" t="s">
        <v>1063</v>
      </c>
      <c r="H427">
        <f>INDEX(VAV_Schedule_5_21[#All], MATCH(Joined!G427, VAV_Schedule_5_21[[#All],[UNIT TAG]], 0), 9)</f>
        <v>10</v>
      </c>
      <c r="I427" t="str">
        <f t="shared" si="32"/>
        <v>WPC.VAV-10E-31</v>
      </c>
      <c r="J427" t="str">
        <f t="shared" si="33"/>
        <v>10E</v>
      </c>
      <c r="L427">
        <f>INDEX(Schedule!$A:$J, MATCH(Joined!$G427, Schedule!$B:$B, 0), 5)</f>
        <v>1400</v>
      </c>
      <c r="M427">
        <f>INDEX(Schedule!$A:$J, MATCH(Joined!$G427, Schedule!$B:$B, 0), 6)</f>
        <v>210</v>
      </c>
    </row>
    <row r="428" spans="1:13" x14ac:dyDescent="0.2">
      <c r="A428">
        <f>INDEX(PanelInstance!B:D, MATCH(Joined!J428, PanelInstance!D:D, FALSE), 2)</f>
        <v>152700</v>
      </c>
      <c r="B428" t="s">
        <v>291</v>
      </c>
      <c r="C428">
        <f>COUNTIF($D$3:D428, RIGHT(LEFT(A428,4),3))</f>
        <v>5</v>
      </c>
      <c r="D428" t="str">
        <f t="shared" si="34"/>
        <v>527</v>
      </c>
      <c r="E428">
        <f t="shared" si="35"/>
        <v>152705</v>
      </c>
      <c r="F428">
        <f>INDEX(Schedule!$A:$N, MATCH(Joined!$G428, Schedule!$B:$B,0),14)</f>
        <v>15010</v>
      </c>
      <c r="G428" t="s">
        <v>1064</v>
      </c>
      <c r="H428">
        <f>INDEX(VAV_Schedule_5_21[#All], MATCH(Joined!G428, VAV_Schedule_5_21[[#All],[UNIT TAG]], 0), 9)</f>
        <v>10</v>
      </c>
      <c r="I428" t="str">
        <f t="shared" si="32"/>
        <v>WPC.VAV-10W-32</v>
      </c>
      <c r="J428" t="str">
        <f t="shared" si="33"/>
        <v>10W</v>
      </c>
      <c r="L428">
        <f>INDEX(Schedule!$A:$J, MATCH(Joined!$G428, Schedule!$B:$B, 0), 5)</f>
        <v>595</v>
      </c>
      <c r="M428">
        <f>INDEX(Schedule!$A:$J, MATCH(Joined!$G428, Schedule!$B:$B, 0), 6)</f>
        <v>90</v>
      </c>
    </row>
    <row r="429" spans="1:13" x14ac:dyDescent="0.2">
      <c r="A429">
        <f>INDEX(PanelInstance!B:D, MATCH(Joined!J429, PanelInstance!D:D, FALSE), 2)</f>
        <v>152700</v>
      </c>
      <c r="B429" t="s">
        <v>291</v>
      </c>
      <c r="C429">
        <f>COUNTIF($D$3:D429, RIGHT(LEFT(A429,4),3))</f>
        <v>6</v>
      </c>
      <c r="D429" t="str">
        <f t="shared" si="34"/>
        <v>527</v>
      </c>
      <c r="E429">
        <f t="shared" si="35"/>
        <v>152706</v>
      </c>
      <c r="F429">
        <f>INDEX(Schedule!$A:$N, MATCH(Joined!$G429, Schedule!$B:$B,0),14)</f>
        <v>15010</v>
      </c>
      <c r="G429" t="s">
        <v>1065</v>
      </c>
      <c r="H429">
        <f>INDEX(VAV_Schedule_5_21[#All], MATCH(Joined!G429, VAV_Schedule_5_21[[#All],[UNIT TAG]], 0), 9)</f>
        <v>10</v>
      </c>
      <c r="I429" t="str">
        <f t="shared" si="32"/>
        <v>WPC.VAV-10W-33</v>
      </c>
      <c r="J429" t="str">
        <f t="shared" si="33"/>
        <v>10W</v>
      </c>
      <c r="L429">
        <f>INDEX(Schedule!$A:$J, MATCH(Joined!$G429, Schedule!$B:$B, 0), 5)</f>
        <v>1350</v>
      </c>
      <c r="M429">
        <f>INDEX(Schedule!$A:$J, MATCH(Joined!$G429, Schedule!$B:$B, 0), 6)</f>
        <v>205</v>
      </c>
    </row>
    <row r="430" spans="1:13" x14ac:dyDescent="0.2">
      <c r="A430">
        <f>INDEX(PanelInstance!B:D, MATCH(Joined!J430, PanelInstance!D:D, FALSE), 2)</f>
        <v>152700</v>
      </c>
      <c r="B430" t="s">
        <v>291</v>
      </c>
      <c r="C430">
        <f>COUNTIF($D$3:D430, RIGHT(LEFT(A430,4),3))</f>
        <v>7</v>
      </c>
      <c r="D430" t="str">
        <f t="shared" si="34"/>
        <v>527</v>
      </c>
      <c r="E430">
        <f t="shared" si="35"/>
        <v>152707</v>
      </c>
      <c r="F430">
        <f>INDEX(Schedule!$A:$N, MATCH(Joined!$G430, Schedule!$B:$B,0),14)</f>
        <v>15010</v>
      </c>
      <c r="G430" t="s">
        <v>1066</v>
      </c>
      <c r="H430">
        <f>INDEX(VAV_Schedule_5_21[#All], MATCH(Joined!G430, VAV_Schedule_5_21[[#All],[UNIT TAG]], 0), 9)</f>
        <v>10</v>
      </c>
      <c r="I430" t="str">
        <f t="shared" si="32"/>
        <v>WPC.VAV-10W-34</v>
      </c>
      <c r="J430" t="str">
        <f t="shared" si="33"/>
        <v>10W</v>
      </c>
      <c r="L430">
        <f>INDEX(Schedule!$A:$J, MATCH(Joined!$G430, Schedule!$B:$B, 0), 5)</f>
        <v>1200</v>
      </c>
      <c r="M430">
        <f>INDEX(Schedule!$A:$J, MATCH(Joined!$G430, Schedule!$B:$B, 0), 6)</f>
        <v>180</v>
      </c>
    </row>
    <row r="431" spans="1:13" x14ac:dyDescent="0.2">
      <c r="A431">
        <f>INDEX(PanelInstance!B:D, MATCH(Joined!J431, PanelInstance!D:D, FALSE), 2)</f>
        <v>152700</v>
      </c>
      <c r="B431" t="s">
        <v>291</v>
      </c>
      <c r="C431">
        <f>COUNTIF($D$3:D431, RIGHT(LEFT(A431,4),3))</f>
        <v>8</v>
      </c>
      <c r="D431" t="str">
        <f t="shared" si="34"/>
        <v>527</v>
      </c>
      <c r="E431">
        <f t="shared" si="35"/>
        <v>152708</v>
      </c>
      <c r="F431">
        <f>INDEX(Schedule!$A:$N, MATCH(Joined!$G431, Schedule!$B:$B,0),14)</f>
        <v>15011</v>
      </c>
      <c r="G431" t="s">
        <v>1067</v>
      </c>
      <c r="H431">
        <f>INDEX(VAV_Schedule_5_21[#All], MATCH(Joined!G431, VAV_Schedule_5_21[[#All],[UNIT TAG]], 0), 9)</f>
        <v>10</v>
      </c>
      <c r="I431" t="str">
        <f t="shared" si="32"/>
        <v>WPC.VAV-10W-35</v>
      </c>
      <c r="J431" t="str">
        <f t="shared" si="33"/>
        <v>10W</v>
      </c>
      <c r="L431">
        <f>INDEX(Schedule!$A:$J, MATCH(Joined!$G431, Schedule!$B:$B, 0), 5)</f>
        <v>800</v>
      </c>
      <c r="M431">
        <f>INDEX(Schedule!$A:$J, MATCH(Joined!$G431, Schedule!$B:$B, 0), 6)</f>
        <v>120</v>
      </c>
    </row>
    <row r="432" spans="1:13" x14ac:dyDescent="0.2">
      <c r="A432">
        <f>INDEX(PanelInstance!B:D, MATCH(Joined!J432, PanelInstance!D:D, FALSE), 2)</f>
        <v>152700</v>
      </c>
      <c r="B432" t="s">
        <v>291</v>
      </c>
      <c r="C432">
        <f>COUNTIF($D$3:D432, RIGHT(LEFT(A432,4),3))</f>
        <v>9</v>
      </c>
      <c r="D432" t="str">
        <f t="shared" si="34"/>
        <v>527</v>
      </c>
      <c r="E432">
        <f t="shared" si="35"/>
        <v>152709</v>
      </c>
      <c r="F432">
        <f>INDEX(Schedule!$A:$N, MATCH(Joined!$G432, Schedule!$B:$B,0),14)</f>
        <v>15011</v>
      </c>
      <c r="G432" t="s">
        <v>1068</v>
      </c>
      <c r="H432">
        <f>INDEX(VAV_Schedule_5_21[#All], MATCH(Joined!G432, VAV_Schedule_5_21[[#All],[UNIT TAG]], 0), 9)</f>
        <v>10</v>
      </c>
      <c r="I432" t="str">
        <f t="shared" si="32"/>
        <v>WPC.VAV-10W-36</v>
      </c>
      <c r="J432" t="str">
        <f t="shared" si="33"/>
        <v>10W</v>
      </c>
      <c r="L432">
        <f>INDEX(Schedule!$A:$J, MATCH(Joined!$G432, Schedule!$B:$B, 0), 5)</f>
        <v>640</v>
      </c>
      <c r="M432">
        <f>INDEX(Schedule!$A:$J, MATCH(Joined!$G432, Schedule!$B:$B, 0), 6)</f>
        <v>100</v>
      </c>
    </row>
    <row r="433" spans="1:13" x14ac:dyDescent="0.2">
      <c r="A433">
        <f>INDEX(PanelInstance!B:D, MATCH(Joined!J433, PanelInstance!D:D, FALSE), 2)</f>
        <v>152700</v>
      </c>
      <c r="B433" t="s">
        <v>291</v>
      </c>
      <c r="C433">
        <f>COUNTIF($D$3:D433, RIGHT(LEFT(A433,4),3))</f>
        <v>10</v>
      </c>
      <c r="D433" t="str">
        <f t="shared" si="34"/>
        <v>527</v>
      </c>
      <c r="E433">
        <f t="shared" si="35"/>
        <v>152710</v>
      </c>
      <c r="F433">
        <f>INDEX(Schedule!$A:$N, MATCH(Joined!$G433, Schedule!$B:$B,0),14)</f>
        <v>15011</v>
      </c>
      <c r="G433" t="s">
        <v>1069</v>
      </c>
      <c r="H433">
        <f>INDEX(VAV_Schedule_5_21[#All], MATCH(Joined!G433, VAV_Schedule_5_21[[#All],[UNIT TAG]], 0), 9)</f>
        <v>10</v>
      </c>
      <c r="I433" t="str">
        <f t="shared" si="32"/>
        <v>WPC.VAV-10W-37</v>
      </c>
      <c r="J433" t="str">
        <f t="shared" si="33"/>
        <v>10W</v>
      </c>
      <c r="L433">
        <f>INDEX(Schedule!$A:$J, MATCH(Joined!$G433, Schedule!$B:$B, 0), 5)</f>
        <v>860</v>
      </c>
      <c r="M433">
        <f>INDEX(Schedule!$A:$J, MATCH(Joined!$G433, Schedule!$B:$B, 0), 6)</f>
        <v>130</v>
      </c>
    </row>
    <row r="434" spans="1:13" x14ac:dyDescent="0.2">
      <c r="A434">
        <f>INDEX(PanelInstance!B:D, MATCH(Joined!J434, PanelInstance!D:D, FALSE), 2)</f>
        <v>152700</v>
      </c>
      <c r="B434" t="s">
        <v>291</v>
      </c>
      <c r="C434">
        <f>COUNTIF($D$3:D434, RIGHT(LEFT(A434,4),3))</f>
        <v>11</v>
      </c>
      <c r="D434" t="str">
        <f t="shared" si="34"/>
        <v>527</v>
      </c>
      <c r="E434">
        <f t="shared" si="35"/>
        <v>152711</v>
      </c>
      <c r="F434">
        <f>INDEX(Schedule!$A:$N, MATCH(Joined!$G434, Schedule!$B:$B,0),14)</f>
        <v>15011</v>
      </c>
      <c r="G434" t="s">
        <v>1070</v>
      </c>
      <c r="H434">
        <f>INDEX(VAV_Schedule_5_21[#All], MATCH(Joined!G434, VAV_Schedule_5_21[[#All],[UNIT TAG]], 0), 9)</f>
        <v>10</v>
      </c>
      <c r="I434" t="str">
        <f t="shared" si="32"/>
        <v>WPC.VAV-10W-38</v>
      </c>
      <c r="J434" t="str">
        <f t="shared" si="33"/>
        <v>10W</v>
      </c>
      <c r="L434">
        <f>INDEX(Schedule!$A:$J, MATCH(Joined!$G434, Schedule!$B:$B, 0), 5)</f>
        <v>700</v>
      </c>
      <c r="M434">
        <f>INDEX(Schedule!$A:$J, MATCH(Joined!$G434, Schedule!$B:$B, 0), 6)</f>
        <v>105</v>
      </c>
    </row>
    <row r="435" spans="1:13" x14ac:dyDescent="0.2">
      <c r="A435">
        <f>INDEX(PanelInstance!B:D, MATCH(Joined!J435, PanelInstance!D:D, FALSE), 2)</f>
        <v>152700</v>
      </c>
      <c r="B435" t="s">
        <v>291</v>
      </c>
      <c r="C435">
        <f>COUNTIF($D$3:D435, RIGHT(LEFT(A435,4),3))</f>
        <v>12</v>
      </c>
      <c r="D435" t="str">
        <f t="shared" si="34"/>
        <v>527</v>
      </c>
      <c r="E435">
        <f t="shared" si="35"/>
        <v>152712</v>
      </c>
      <c r="F435">
        <f>INDEX(Schedule!$A:$N, MATCH(Joined!$G435, Schedule!$B:$B,0),14)</f>
        <v>15010</v>
      </c>
      <c r="G435" t="s">
        <v>1071</v>
      </c>
      <c r="H435">
        <f>INDEX(VAV_Schedule_5_21[#All], MATCH(Joined!G435, VAV_Schedule_5_21[[#All],[UNIT TAG]], 0), 9)</f>
        <v>10</v>
      </c>
      <c r="I435" t="str">
        <f t="shared" si="32"/>
        <v>WPC.VAV-10W-39</v>
      </c>
      <c r="J435" t="str">
        <f t="shared" si="33"/>
        <v>10W</v>
      </c>
      <c r="L435">
        <f>INDEX(Schedule!$A:$J, MATCH(Joined!$G435, Schedule!$B:$B, 0), 5)</f>
        <v>835</v>
      </c>
      <c r="M435">
        <f>INDEX(Schedule!$A:$J, MATCH(Joined!$G435, Schedule!$B:$B, 0), 6)</f>
        <v>130</v>
      </c>
    </row>
    <row r="436" spans="1:13" x14ac:dyDescent="0.2">
      <c r="A436">
        <f>INDEX(PanelInstance!B:D, MATCH(Joined!J436, PanelInstance!D:D, FALSE), 2)</f>
        <v>152700</v>
      </c>
      <c r="B436" t="s">
        <v>291</v>
      </c>
      <c r="C436">
        <f>COUNTIF($D$3:D436, RIGHT(LEFT(A436,4),3))</f>
        <v>13</v>
      </c>
      <c r="D436" t="str">
        <f t="shared" si="34"/>
        <v>527</v>
      </c>
      <c r="E436">
        <f t="shared" si="35"/>
        <v>152713</v>
      </c>
      <c r="F436">
        <f>INDEX(Schedule!$A:$N, MATCH(Joined!$G436, Schedule!$B:$B,0),14)</f>
        <v>15010</v>
      </c>
      <c r="G436" t="s">
        <v>1072</v>
      </c>
      <c r="H436">
        <f>INDEX(VAV_Schedule_5_21[#All], MATCH(Joined!G436, VAV_Schedule_5_21[[#All],[UNIT TAG]], 0), 9)</f>
        <v>10</v>
      </c>
      <c r="I436" t="str">
        <f t="shared" si="32"/>
        <v>WPC.VAV-10W-40</v>
      </c>
      <c r="J436" t="str">
        <f t="shared" si="33"/>
        <v>10W</v>
      </c>
      <c r="L436">
        <f>INDEX(Schedule!$A:$J, MATCH(Joined!$G436, Schedule!$B:$B, 0), 5)</f>
        <v>185</v>
      </c>
      <c r="M436">
        <f>INDEX(Schedule!$A:$J, MATCH(Joined!$G436, Schedule!$B:$B, 0), 6)</f>
        <v>30</v>
      </c>
    </row>
    <row r="437" spans="1:13" x14ac:dyDescent="0.2">
      <c r="A437">
        <f>INDEX(PanelInstance!B:D, MATCH(Joined!J437, PanelInstance!D:D, FALSE), 2)</f>
        <v>152700</v>
      </c>
      <c r="B437" t="s">
        <v>291</v>
      </c>
      <c r="C437">
        <f>COUNTIF($D$3:D437, RIGHT(LEFT(A437,4),3))</f>
        <v>14</v>
      </c>
      <c r="D437" t="str">
        <f t="shared" si="34"/>
        <v>527</v>
      </c>
      <c r="E437">
        <f t="shared" si="35"/>
        <v>152714</v>
      </c>
      <c r="F437">
        <f>INDEX(Schedule!$A:$N, MATCH(Joined!$G437, Schedule!$B:$B,0),14)</f>
        <v>15011</v>
      </c>
      <c r="G437" t="s">
        <v>1073</v>
      </c>
      <c r="H437">
        <f>INDEX(VAV_Schedule_5_21[#All], MATCH(Joined!G437, VAV_Schedule_5_21[[#All],[UNIT TAG]], 0), 9)</f>
        <v>10</v>
      </c>
      <c r="I437" t="str">
        <f t="shared" si="32"/>
        <v>WPC.VAV-10W-41</v>
      </c>
      <c r="J437" t="str">
        <f t="shared" si="33"/>
        <v>10W</v>
      </c>
      <c r="L437">
        <f>INDEX(Schedule!$A:$J, MATCH(Joined!$G437, Schedule!$B:$B, 0), 5)</f>
        <v>1220</v>
      </c>
      <c r="M437">
        <f>INDEX(Schedule!$A:$J, MATCH(Joined!$G437, Schedule!$B:$B, 0), 6)</f>
        <v>185</v>
      </c>
    </row>
    <row r="438" spans="1:13" x14ac:dyDescent="0.2">
      <c r="A438">
        <f>INDEX(PanelInstance!B:D, MATCH(Joined!J438, PanelInstance!D:D, FALSE), 2)</f>
        <v>152700</v>
      </c>
      <c r="B438" t="s">
        <v>291</v>
      </c>
      <c r="C438">
        <f>COUNTIF($D$3:D438, RIGHT(LEFT(A438,4),3))</f>
        <v>15</v>
      </c>
      <c r="D438" t="str">
        <f t="shared" si="34"/>
        <v>527</v>
      </c>
      <c r="E438">
        <f t="shared" si="35"/>
        <v>152715</v>
      </c>
      <c r="F438">
        <f>INDEX(Schedule!$A:$N, MATCH(Joined!$G438, Schedule!$B:$B,0),14)</f>
        <v>15011</v>
      </c>
      <c r="G438" t="s">
        <v>1074</v>
      </c>
      <c r="H438">
        <f>INDEX(VAV_Schedule_5_21[#All], MATCH(Joined!G438, VAV_Schedule_5_21[[#All],[UNIT TAG]], 0), 9)</f>
        <v>10</v>
      </c>
      <c r="I438" t="str">
        <f t="shared" si="32"/>
        <v>WPC.VAV-10W-42</v>
      </c>
      <c r="J438" t="str">
        <f t="shared" si="33"/>
        <v>10W</v>
      </c>
      <c r="L438">
        <f>INDEX(Schedule!$A:$J, MATCH(Joined!$G438, Schedule!$B:$B, 0), 5)</f>
        <v>960</v>
      </c>
      <c r="M438">
        <f>INDEX(Schedule!$A:$J, MATCH(Joined!$G438, Schedule!$B:$B, 0), 6)</f>
        <v>145</v>
      </c>
    </row>
    <row r="439" spans="1:13" x14ac:dyDescent="0.2">
      <c r="A439">
        <f>INDEX(PanelInstance!B:D, MATCH(Joined!J439, PanelInstance!D:D, FALSE), 2)</f>
        <v>152700</v>
      </c>
      <c r="B439" t="s">
        <v>291</v>
      </c>
      <c r="C439">
        <f>COUNTIF($D$3:D439, RIGHT(LEFT(A439,4),3))</f>
        <v>16</v>
      </c>
      <c r="D439" t="str">
        <f t="shared" si="34"/>
        <v>527</v>
      </c>
      <c r="E439">
        <f t="shared" si="35"/>
        <v>152716</v>
      </c>
      <c r="F439">
        <f>INDEX(Schedule!$A:$N, MATCH(Joined!$G439, Schedule!$B:$B,0),14)</f>
        <v>15011</v>
      </c>
      <c r="G439" t="s">
        <v>1075</v>
      </c>
      <c r="H439">
        <f>INDEX(VAV_Schedule_5_21[#All], MATCH(Joined!G439, VAV_Schedule_5_21[[#All],[UNIT TAG]], 0), 9)</f>
        <v>10</v>
      </c>
      <c r="I439" t="str">
        <f t="shared" si="32"/>
        <v>WPC.VAV-10W-43</v>
      </c>
      <c r="J439" t="str">
        <f t="shared" si="33"/>
        <v>10W</v>
      </c>
      <c r="L439">
        <f>INDEX(Schedule!$A:$J, MATCH(Joined!$G439, Schedule!$B:$B, 0), 5)</f>
        <v>1220</v>
      </c>
      <c r="M439">
        <f>INDEX(Schedule!$A:$J, MATCH(Joined!$G439, Schedule!$B:$B, 0), 6)</f>
        <v>185</v>
      </c>
    </row>
    <row r="440" spans="1:13" x14ac:dyDescent="0.2">
      <c r="A440">
        <f>INDEX(PanelInstance!B:D, MATCH(Joined!J440, PanelInstance!D:D, FALSE), 2)</f>
        <v>152700</v>
      </c>
      <c r="B440" t="s">
        <v>291</v>
      </c>
      <c r="C440">
        <f>COUNTIF($D$3:D440, RIGHT(LEFT(A440,4),3))</f>
        <v>17</v>
      </c>
      <c r="D440" t="str">
        <f t="shared" si="34"/>
        <v>527</v>
      </c>
      <c r="E440">
        <f t="shared" si="35"/>
        <v>152717</v>
      </c>
      <c r="F440">
        <f>INDEX(Schedule!$A:$N, MATCH(Joined!$G440, Schedule!$B:$B,0),14)</f>
        <v>15010</v>
      </c>
      <c r="G440" t="s">
        <v>1076</v>
      </c>
      <c r="H440">
        <f>INDEX(VAV_Schedule_5_21[#All], MATCH(Joined!G440, VAV_Schedule_5_21[[#All],[UNIT TAG]], 0), 9)</f>
        <v>10</v>
      </c>
      <c r="I440" t="str">
        <f t="shared" si="32"/>
        <v>WPC.VAV-10W-44</v>
      </c>
      <c r="J440" t="str">
        <f t="shared" si="33"/>
        <v>10W</v>
      </c>
      <c r="L440">
        <f>INDEX(Schedule!$A:$J, MATCH(Joined!$G440, Schedule!$B:$B, 0), 5)</f>
        <v>200</v>
      </c>
      <c r="M440">
        <f>INDEX(Schedule!$A:$J, MATCH(Joined!$G440, Schedule!$B:$B, 0), 6)</f>
        <v>30</v>
      </c>
    </row>
    <row r="441" spans="1:13" x14ac:dyDescent="0.2">
      <c r="A441">
        <f>INDEX(PanelInstance!B:D, MATCH(Joined!J441, PanelInstance!D:D, FALSE), 2)</f>
        <v>153000</v>
      </c>
      <c r="B441" t="s">
        <v>291</v>
      </c>
      <c r="C441">
        <f>COUNTIF($D$3:D441, RIGHT(LEFT(A441,4),3))</f>
        <v>1</v>
      </c>
      <c r="D441" t="str">
        <f t="shared" si="34"/>
        <v>530</v>
      </c>
      <c r="E441">
        <f t="shared" si="35"/>
        <v>153001</v>
      </c>
      <c r="F441">
        <f>INDEX(Schedule!$A:$N, MATCH(Joined!$G441, Schedule!$B:$B,0),14)</f>
        <v>15011</v>
      </c>
      <c r="G441" t="s">
        <v>1077</v>
      </c>
      <c r="H441">
        <f>INDEX(VAV_Schedule_5_21[#All], MATCH(Joined!G441, VAV_Schedule_5_21[[#All],[UNIT TAG]], 0), 9)</f>
        <v>11</v>
      </c>
      <c r="I441" t="str">
        <f t="shared" si="32"/>
        <v>WPC.VAV-11W-1</v>
      </c>
      <c r="J441" t="str">
        <f t="shared" si="33"/>
        <v>11W</v>
      </c>
      <c r="L441">
        <f>INDEX(Schedule!$A:$J, MATCH(Joined!$G441, Schedule!$B:$B, 0), 5)</f>
        <v>640</v>
      </c>
      <c r="M441">
        <f>INDEX(Schedule!$A:$J, MATCH(Joined!$G441, Schedule!$B:$B, 0), 6)</f>
        <v>100</v>
      </c>
    </row>
    <row r="442" spans="1:13" x14ac:dyDescent="0.2">
      <c r="A442">
        <f>INDEX(PanelInstance!B:D, MATCH(Joined!J442, PanelInstance!D:D, FALSE), 2)</f>
        <v>153000</v>
      </c>
      <c r="B442" t="s">
        <v>291</v>
      </c>
      <c r="C442">
        <f>COUNTIF($D$3:D442, RIGHT(LEFT(A442,4),3))</f>
        <v>2</v>
      </c>
      <c r="D442" t="str">
        <f t="shared" si="34"/>
        <v>530</v>
      </c>
      <c r="E442">
        <f t="shared" si="35"/>
        <v>153002</v>
      </c>
      <c r="F442">
        <f>INDEX(Schedule!$A:$N, MATCH(Joined!$G442, Schedule!$B:$B,0),14)</f>
        <v>15011</v>
      </c>
      <c r="G442" t="s">
        <v>1078</v>
      </c>
      <c r="H442">
        <f>INDEX(VAV_Schedule_5_21[#All], MATCH(Joined!G442, VAV_Schedule_5_21[[#All],[UNIT TAG]], 0), 9)</f>
        <v>11</v>
      </c>
      <c r="I442" t="str">
        <f t="shared" si="32"/>
        <v>WPC.VAV-11W-2</v>
      </c>
      <c r="J442" t="str">
        <f t="shared" si="33"/>
        <v>11W</v>
      </c>
      <c r="L442">
        <f>INDEX(Schedule!$A:$J, MATCH(Joined!$G442, Schedule!$B:$B, 0), 5)</f>
        <v>680</v>
      </c>
      <c r="M442">
        <f>INDEX(Schedule!$A:$J, MATCH(Joined!$G442, Schedule!$B:$B, 0), 6)</f>
        <v>105</v>
      </c>
    </row>
    <row r="443" spans="1:13" x14ac:dyDescent="0.2">
      <c r="A443">
        <f>INDEX(PanelInstance!B:D, MATCH(Joined!J443, PanelInstance!D:D, FALSE), 2)</f>
        <v>153000</v>
      </c>
      <c r="B443" t="s">
        <v>291</v>
      </c>
      <c r="C443">
        <f>COUNTIF($D$3:D443, RIGHT(LEFT(A443,4),3))</f>
        <v>3</v>
      </c>
      <c r="D443" t="str">
        <f t="shared" si="34"/>
        <v>530</v>
      </c>
      <c r="E443">
        <f t="shared" si="35"/>
        <v>153003</v>
      </c>
      <c r="F443">
        <f>INDEX(Schedule!$A:$N, MATCH(Joined!$G443, Schedule!$B:$B,0),14)</f>
        <v>15011</v>
      </c>
      <c r="G443" t="s">
        <v>1079</v>
      </c>
      <c r="H443">
        <f>INDEX(VAV_Schedule_5_21[#All], MATCH(Joined!G443, VAV_Schedule_5_21[[#All],[UNIT TAG]], 0), 9)</f>
        <v>11</v>
      </c>
      <c r="I443" t="str">
        <f t="shared" si="32"/>
        <v>WPC.VAV-11W-3</v>
      </c>
      <c r="J443" t="str">
        <f t="shared" si="33"/>
        <v>11W</v>
      </c>
      <c r="L443">
        <f>INDEX(Schedule!$A:$J, MATCH(Joined!$G443, Schedule!$B:$B, 0), 5)</f>
        <v>600</v>
      </c>
      <c r="M443">
        <f>INDEX(Schedule!$A:$J, MATCH(Joined!$G443, Schedule!$B:$B, 0), 6)</f>
        <v>90</v>
      </c>
    </row>
    <row r="444" spans="1:13" x14ac:dyDescent="0.2">
      <c r="A444">
        <f>INDEX(PanelInstance!B:D, MATCH(Joined!J444, PanelInstance!D:D, FALSE), 2)</f>
        <v>153000</v>
      </c>
      <c r="B444" t="s">
        <v>291</v>
      </c>
      <c r="C444">
        <f>COUNTIF($D$3:D444, RIGHT(LEFT(A444,4),3))</f>
        <v>4</v>
      </c>
      <c r="D444" t="str">
        <f t="shared" si="34"/>
        <v>530</v>
      </c>
      <c r="E444">
        <f t="shared" si="35"/>
        <v>153004</v>
      </c>
      <c r="F444">
        <f>INDEX(Schedule!$A:$N, MATCH(Joined!$G444, Schedule!$B:$B,0),14)</f>
        <v>15011</v>
      </c>
      <c r="G444" t="s">
        <v>1080</v>
      </c>
      <c r="H444">
        <f>INDEX(VAV_Schedule_5_21[#All], MATCH(Joined!G444, VAV_Schedule_5_21[[#All],[UNIT TAG]], 0), 9)</f>
        <v>11</v>
      </c>
      <c r="I444" t="str">
        <f t="shared" si="32"/>
        <v>WPC.VAV-11W-4</v>
      </c>
      <c r="J444" t="str">
        <f t="shared" si="33"/>
        <v>11W</v>
      </c>
      <c r="L444">
        <f>INDEX(Schedule!$A:$J, MATCH(Joined!$G444, Schedule!$B:$B, 0), 5)</f>
        <v>840</v>
      </c>
      <c r="M444">
        <f>INDEX(Schedule!$A:$J, MATCH(Joined!$G444, Schedule!$B:$B, 0), 6)</f>
        <v>130</v>
      </c>
    </row>
    <row r="445" spans="1:13" x14ac:dyDescent="0.2">
      <c r="A445">
        <f>INDEX(PanelInstance!B:D, MATCH(Joined!J445, PanelInstance!D:D, FALSE), 2)</f>
        <v>152800</v>
      </c>
      <c r="B445" t="s">
        <v>291</v>
      </c>
      <c r="C445">
        <f>COUNTIF($D$3:D445, RIGHT(LEFT(A445,4),3))</f>
        <v>1</v>
      </c>
      <c r="D445" t="str">
        <f t="shared" si="34"/>
        <v>528</v>
      </c>
      <c r="E445">
        <f t="shared" si="35"/>
        <v>152801</v>
      </c>
      <c r="F445">
        <f>INDEX(Schedule!$A:$N, MATCH(Joined!$G445, Schedule!$B:$B,0),14)</f>
        <v>15010</v>
      </c>
      <c r="G445" t="s">
        <v>1081</v>
      </c>
      <c r="H445">
        <f>INDEX(VAV_Schedule_5_21[#All], MATCH(Joined!G445, VAV_Schedule_5_21[[#All],[UNIT TAG]], 0), 9)</f>
        <v>11</v>
      </c>
      <c r="I445" t="str">
        <f t="shared" si="32"/>
        <v>WPC.VAV-11N-5</v>
      </c>
      <c r="J445" t="str">
        <f t="shared" si="33"/>
        <v>11N</v>
      </c>
      <c r="L445">
        <f>INDEX(Schedule!$A:$J, MATCH(Joined!$G445, Schedule!$B:$B, 0), 5)</f>
        <v>1330</v>
      </c>
      <c r="M445">
        <f>INDEX(Schedule!$A:$J, MATCH(Joined!$G445, Schedule!$B:$B, 0), 6)</f>
        <v>200</v>
      </c>
    </row>
    <row r="446" spans="1:13" x14ac:dyDescent="0.2">
      <c r="A446">
        <f>INDEX(PanelInstance!B:D, MATCH(Joined!J446, PanelInstance!D:D, FALSE), 2)</f>
        <v>152800</v>
      </c>
      <c r="B446" t="s">
        <v>291</v>
      </c>
      <c r="C446">
        <f>COUNTIF($D$3:D446, RIGHT(LEFT(A446,4),3))</f>
        <v>2</v>
      </c>
      <c r="D446" t="str">
        <f t="shared" si="34"/>
        <v>528</v>
      </c>
      <c r="E446">
        <f t="shared" si="35"/>
        <v>152802</v>
      </c>
      <c r="F446">
        <f>INDEX(Schedule!$A:$N, MATCH(Joined!$G446, Schedule!$B:$B,0),14)</f>
        <v>15010</v>
      </c>
      <c r="G446" t="s">
        <v>1082</v>
      </c>
      <c r="H446">
        <f>INDEX(VAV_Schedule_5_21[#All], MATCH(Joined!G446, VAV_Schedule_5_21[[#All],[UNIT TAG]], 0), 9)</f>
        <v>11</v>
      </c>
      <c r="I446" t="str">
        <f t="shared" si="32"/>
        <v>WPC.VAV-11N-6</v>
      </c>
      <c r="J446" t="str">
        <f t="shared" si="33"/>
        <v>11N</v>
      </c>
      <c r="L446">
        <f>INDEX(Schedule!$A:$J, MATCH(Joined!$G446, Schedule!$B:$B, 0), 5)</f>
        <v>1120</v>
      </c>
      <c r="M446">
        <f>INDEX(Schedule!$A:$J, MATCH(Joined!$G446, Schedule!$B:$B, 0), 6)</f>
        <v>170</v>
      </c>
    </row>
    <row r="447" spans="1:13" x14ac:dyDescent="0.2">
      <c r="A447">
        <f>INDEX(PanelInstance!B:D, MATCH(Joined!J447, PanelInstance!D:D, FALSE), 2)</f>
        <v>152800</v>
      </c>
      <c r="B447" t="s">
        <v>291</v>
      </c>
      <c r="C447">
        <f>COUNTIF($D$3:D447, RIGHT(LEFT(A447,4),3))</f>
        <v>3</v>
      </c>
      <c r="D447" t="str">
        <f t="shared" si="34"/>
        <v>528</v>
      </c>
      <c r="E447">
        <f t="shared" si="35"/>
        <v>152803</v>
      </c>
      <c r="F447">
        <f>INDEX(Schedule!$A:$N, MATCH(Joined!$G447, Schedule!$B:$B,0),14)</f>
        <v>15010</v>
      </c>
      <c r="G447" t="s">
        <v>1083</v>
      </c>
      <c r="H447">
        <f>INDEX(VAV_Schedule_5_21[#All], MATCH(Joined!G447, VAV_Schedule_5_21[[#All],[UNIT TAG]], 0), 9)</f>
        <v>11</v>
      </c>
      <c r="I447" t="str">
        <f t="shared" si="32"/>
        <v>WPC.VAV-11N-7</v>
      </c>
      <c r="J447" t="str">
        <f t="shared" si="33"/>
        <v>11N</v>
      </c>
      <c r="L447">
        <f>INDEX(Schedule!$A:$J, MATCH(Joined!$G447, Schedule!$B:$B, 0), 5)</f>
        <v>600</v>
      </c>
      <c r="M447">
        <f>INDEX(Schedule!$A:$J, MATCH(Joined!$G447, Schedule!$B:$B, 0), 6)</f>
        <v>90</v>
      </c>
    </row>
    <row r="448" spans="1:13" x14ac:dyDescent="0.2">
      <c r="A448">
        <f>INDEX(PanelInstance!B:D, MATCH(Joined!J448, PanelInstance!D:D, FALSE), 2)</f>
        <v>152800</v>
      </c>
      <c r="B448" t="s">
        <v>291</v>
      </c>
      <c r="C448">
        <f>COUNTIF($D$3:D448, RIGHT(LEFT(A448,4),3))</f>
        <v>4</v>
      </c>
      <c r="D448" t="str">
        <f t="shared" si="34"/>
        <v>528</v>
      </c>
      <c r="E448">
        <f t="shared" si="35"/>
        <v>152804</v>
      </c>
      <c r="F448">
        <f>INDEX(Schedule!$A:$N, MATCH(Joined!$G448, Schedule!$B:$B,0),14)</f>
        <v>15010</v>
      </c>
      <c r="G448" t="s">
        <v>1084</v>
      </c>
      <c r="H448">
        <f>INDEX(VAV_Schedule_5_21[#All], MATCH(Joined!G448, VAV_Schedule_5_21[[#All],[UNIT TAG]], 0), 9)</f>
        <v>11</v>
      </c>
      <c r="I448" t="str">
        <f t="shared" si="32"/>
        <v>WPC.VAV-11N-8</v>
      </c>
      <c r="J448" t="str">
        <f t="shared" si="33"/>
        <v>11N</v>
      </c>
      <c r="L448">
        <f>INDEX(Schedule!$A:$J, MATCH(Joined!$G448, Schedule!$B:$B, 0), 5)</f>
        <v>500</v>
      </c>
      <c r="M448">
        <f>INDEX(Schedule!$A:$J, MATCH(Joined!$G448, Schedule!$B:$B, 0), 6)</f>
        <v>75</v>
      </c>
    </row>
    <row r="449" spans="1:13" x14ac:dyDescent="0.2">
      <c r="A449">
        <f>INDEX(PanelInstance!B:D, MATCH(Joined!J449, PanelInstance!D:D, FALSE), 2)</f>
        <v>152800</v>
      </c>
      <c r="B449" t="s">
        <v>291</v>
      </c>
      <c r="C449">
        <f>COUNTIF($D$3:D449, RIGHT(LEFT(A449,4),3))</f>
        <v>5</v>
      </c>
      <c r="D449" t="str">
        <f t="shared" si="34"/>
        <v>528</v>
      </c>
      <c r="E449">
        <f t="shared" si="35"/>
        <v>152805</v>
      </c>
      <c r="F449">
        <f>INDEX(Schedule!$A:$N, MATCH(Joined!$G449, Schedule!$B:$B,0),14)</f>
        <v>15010</v>
      </c>
      <c r="G449" t="s">
        <v>1085</v>
      </c>
      <c r="H449">
        <f>INDEX(VAV_Schedule_5_21[#All], MATCH(Joined!G449, VAV_Schedule_5_21[[#All],[UNIT TAG]], 0), 9)</f>
        <v>11</v>
      </c>
      <c r="I449" t="str">
        <f t="shared" si="32"/>
        <v>WPC.VAV-11N-9</v>
      </c>
      <c r="J449" t="str">
        <f t="shared" si="33"/>
        <v>11N</v>
      </c>
      <c r="L449">
        <f>INDEX(Schedule!$A:$J, MATCH(Joined!$G449, Schedule!$B:$B, 0), 5)</f>
        <v>1200</v>
      </c>
      <c r="M449">
        <f>INDEX(Schedule!$A:$J, MATCH(Joined!$G449, Schedule!$B:$B, 0), 6)</f>
        <v>180</v>
      </c>
    </row>
    <row r="450" spans="1:13" x14ac:dyDescent="0.2">
      <c r="A450">
        <f>INDEX(PanelInstance!B:D, MATCH(Joined!J450, PanelInstance!D:D, FALSE), 2)</f>
        <v>152800</v>
      </c>
      <c r="B450" t="s">
        <v>291</v>
      </c>
      <c r="C450">
        <f>COUNTIF($D$3:D450, RIGHT(LEFT(A450,4),3))</f>
        <v>6</v>
      </c>
      <c r="D450" t="str">
        <f t="shared" si="34"/>
        <v>528</v>
      </c>
      <c r="E450">
        <f t="shared" si="35"/>
        <v>152806</v>
      </c>
      <c r="F450">
        <f>INDEX(Schedule!$A:$N, MATCH(Joined!$G450, Schedule!$B:$B,0),14)</f>
        <v>15010</v>
      </c>
      <c r="G450" t="s">
        <v>1086</v>
      </c>
      <c r="H450">
        <f>INDEX(VAV_Schedule_5_21[#All], MATCH(Joined!G450, VAV_Schedule_5_21[[#All],[UNIT TAG]], 0), 9)</f>
        <v>11</v>
      </c>
      <c r="I450" t="str">
        <f t="shared" si="32"/>
        <v>WPC.VAV-11N-9A</v>
      </c>
      <c r="J450" t="str">
        <f t="shared" si="33"/>
        <v>11N</v>
      </c>
      <c r="L450">
        <f>INDEX(Schedule!$A:$J, MATCH(Joined!$G450, Schedule!$B:$B, 0), 5)</f>
        <v>550</v>
      </c>
      <c r="M450">
        <f>INDEX(Schedule!$A:$J, MATCH(Joined!$G450, Schedule!$B:$B, 0), 6)</f>
        <v>85</v>
      </c>
    </row>
    <row r="451" spans="1:13" x14ac:dyDescent="0.2">
      <c r="A451">
        <f>INDEX(PanelInstance!B:D, MATCH(Joined!J451, PanelInstance!D:D, FALSE), 2)</f>
        <v>152800</v>
      </c>
      <c r="B451" t="s">
        <v>291</v>
      </c>
      <c r="C451">
        <f>COUNTIF($D$3:D451, RIGHT(LEFT(A451,4),3))</f>
        <v>7</v>
      </c>
      <c r="D451" t="str">
        <f t="shared" si="34"/>
        <v>528</v>
      </c>
      <c r="E451">
        <f t="shared" si="35"/>
        <v>152807</v>
      </c>
      <c r="F451">
        <f>INDEX(Schedule!$A:$N, MATCH(Joined!$G451, Schedule!$B:$B,0),14)</f>
        <v>15010</v>
      </c>
      <c r="G451" t="s">
        <v>1087</v>
      </c>
      <c r="H451">
        <f>INDEX(VAV_Schedule_5_21[#All], MATCH(Joined!G451, VAV_Schedule_5_21[[#All],[UNIT TAG]], 0), 9)</f>
        <v>11</v>
      </c>
      <c r="I451" t="str">
        <f t="shared" ref="I451:I514" si="36">"WPC." &amp; G451</f>
        <v>WPC.VAV-11N-10</v>
      </c>
      <c r="J451" t="str">
        <f t="shared" si="33"/>
        <v>11N</v>
      </c>
      <c r="L451">
        <f>INDEX(Schedule!$A:$J, MATCH(Joined!$G451, Schedule!$B:$B, 0), 5)</f>
        <v>410</v>
      </c>
      <c r="M451">
        <f>INDEX(Schedule!$A:$J, MATCH(Joined!$G451, Schedule!$B:$B, 0), 6)</f>
        <v>65</v>
      </c>
    </row>
    <row r="452" spans="1:13" x14ac:dyDescent="0.2">
      <c r="A452">
        <f>INDEX(PanelInstance!B:D, MATCH(Joined!J452, PanelInstance!D:D, FALSE), 2)</f>
        <v>152800</v>
      </c>
      <c r="B452" t="s">
        <v>291</v>
      </c>
      <c r="C452">
        <f>COUNTIF($D$3:D452, RIGHT(LEFT(A452,4),3))</f>
        <v>8</v>
      </c>
      <c r="D452" t="str">
        <f t="shared" si="34"/>
        <v>528</v>
      </c>
      <c r="E452">
        <f t="shared" si="35"/>
        <v>152808</v>
      </c>
      <c r="F452">
        <f>INDEX(Schedule!$A:$N, MATCH(Joined!$G452, Schedule!$B:$B,0),14)</f>
        <v>15010</v>
      </c>
      <c r="G452" t="s">
        <v>1088</v>
      </c>
      <c r="H452">
        <f>INDEX(VAV_Schedule_5_21[#All], MATCH(Joined!G452, VAV_Schedule_5_21[[#All],[UNIT TAG]], 0), 9)</f>
        <v>11</v>
      </c>
      <c r="I452" t="str">
        <f t="shared" si="36"/>
        <v>WPC.VAV-11N-11</v>
      </c>
      <c r="J452" t="str">
        <f t="shared" ref="J452:J515" si="37">LEFT(RIGHT($G452, LEN($G452) - FIND("-", $G452)), FIND("-", RIGHT($G452, LEN($G452) - FIND("-", $G452)))-1)</f>
        <v>11N</v>
      </c>
      <c r="L452">
        <f>INDEX(Schedule!$A:$J, MATCH(Joined!$G452, Schedule!$B:$B, 0), 5)</f>
        <v>1380</v>
      </c>
      <c r="M452">
        <f>INDEX(Schedule!$A:$J, MATCH(Joined!$G452, Schedule!$B:$B, 0), 6)</f>
        <v>210</v>
      </c>
    </row>
    <row r="453" spans="1:13" x14ac:dyDescent="0.2">
      <c r="A453">
        <f>INDEX(PanelInstance!B:D, MATCH(Joined!J453, PanelInstance!D:D, FALSE), 2)</f>
        <v>152800</v>
      </c>
      <c r="B453" t="s">
        <v>291</v>
      </c>
      <c r="C453">
        <f>COUNTIF($D$3:D453, RIGHT(LEFT(A453,4),3))</f>
        <v>9</v>
      </c>
      <c r="D453" t="str">
        <f t="shared" si="34"/>
        <v>528</v>
      </c>
      <c r="E453">
        <f t="shared" si="35"/>
        <v>152809</v>
      </c>
      <c r="F453">
        <f>INDEX(Schedule!$A:$N, MATCH(Joined!$G453, Schedule!$B:$B,0),14)</f>
        <v>15010</v>
      </c>
      <c r="G453" t="s">
        <v>1089</v>
      </c>
      <c r="H453">
        <f>INDEX(VAV_Schedule_5_21[#All], MATCH(Joined!G453, VAV_Schedule_5_21[[#All],[UNIT TAG]], 0), 9)</f>
        <v>11</v>
      </c>
      <c r="I453" t="str">
        <f t="shared" si="36"/>
        <v>WPC.VAV-11N-12</v>
      </c>
      <c r="J453" t="str">
        <f t="shared" si="37"/>
        <v>11N</v>
      </c>
      <c r="L453">
        <f>INDEX(Schedule!$A:$J, MATCH(Joined!$G453, Schedule!$B:$B, 0), 5)</f>
        <v>1120</v>
      </c>
      <c r="M453">
        <f>INDEX(Schedule!$A:$J, MATCH(Joined!$G453, Schedule!$B:$B, 0), 6)</f>
        <v>170</v>
      </c>
    </row>
    <row r="454" spans="1:13" x14ac:dyDescent="0.2">
      <c r="A454">
        <f>INDEX(PanelInstance!B:D, MATCH(Joined!J454, PanelInstance!D:D, FALSE), 2)</f>
        <v>152800</v>
      </c>
      <c r="B454" t="s">
        <v>291</v>
      </c>
      <c r="C454">
        <f>COUNTIF($D$3:D454, RIGHT(LEFT(A454,4),3))</f>
        <v>10</v>
      </c>
      <c r="D454" t="str">
        <f t="shared" si="34"/>
        <v>528</v>
      </c>
      <c r="E454">
        <f t="shared" si="35"/>
        <v>152810</v>
      </c>
      <c r="F454">
        <f>INDEX(Schedule!$A:$N, MATCH(Joined!$G454, Schedule!$B:$B,0),14)</f>
        <v>15010</v>
      </c>
      <c r="G454" t="s">
        <v>1090</v>
      </c>
      <c r="H454">
        <f>INDEX(VAV_Schedule_5_21[#All], MATCH(Joined!G454, VAV_Schedule_5_21[[#All],[UNIT TAG]], 0), 9)</f>
        <v>11</v>
      </c>
      <c r="I454" t="str">
        <f t="shared" si="36"/>
        <v>WPC.VAV-11N-13</v>
      </c>
      <c r="J454" t="str">
        <f t="shared" si="37"/>
        <v>11N</v>
      </c>
      <c r="L454">
        <f>INDEX(Schedule!$A:$J, MATCH(Joined!$G454, Schedule!$B:$B, 0), 5)</f>
        <v>1385</v>
      </c>
      <c r="M454">
        <f>INDEX(Schedule!$A:$J, MATCH(Joined!$G454, Schedule!$B:$B, 0), 6)</f>
        <v>210</v>
      </c>
    </row>
    <row r="455" spans="1:13" x14ac:dyDescent="0.2">
      <c r="A455">
        <f>INDEX(PanelInstance!B:D, MATCH(Joined!J455, PanelInstance!D:D, FALSE), 2)</f>
        <v>152900</v>
      </c>
      <c r="B455" t="s">
        <v>291</v>
      </c>
      <c r="C455">
        <f>COUNTIF($D$3:D455, RIGHT(LEFT(A455,4),3))</f>
        <v>1</v>
      </c>
      <c r="D455" t="str">
        <f t="shared" si="34"/>
        <v>529</v>
      </c>
      <c r="E455">
        <f t="shared" si="35"/>
        <v>152901</v>
      </c>
      <c r="F455">
        <f>INDEX(Schedule!$A:$N, MATCH(Joined!$G455, Schedule!$B:$B,0),14)</f>
        <v>15011</v>
      </c>
      <c r="G455" t="s">
        <v>1091</v>
      </c>
      <c r="H455">
        <f>INDEX(VAV_Schedule_5_21[#All], MATCH(Joined!G455, VAV_Schedule_5_21[[#All],[UNIT TAG]], 0), 9)</f>
        <v>11</v>
      </c>
      <c r="I455" t="str">
        <f t="shared" si="36"/>
        <v>WPC.VAV-11E-14</v>
      </c>
      <c r="J455" t="str">
        <f t="shared" si="37"/>
        <v>11E</v>
      </c>
      <c r="L455">
        <f>INDEX(Schedule!$A:$J, MATCH(Joined!$G455, Schedule!$B:$B, 0), 5)</f>
        <v>840</v>
      </c>
      <c r="M455">
        <f>INDEX(Schedule!$A:$J, MATCH(Joined!$G455, Schedule!$B:$B, 0), 6)</f>
        <v>130</v>
      </c>
    </row>
    <row r="456" spans="1:13" x14ac:dyDescent="0.2">
      <c r="A456">
        <f>INDEX(PanelInstance!B:D, MATCH(Joined!J456, PanelInstance!D:D, FALSE), 2)</f>
        <v>152900</v>
      </c>
      <c r="B456" t="s">
        <v>291</v>
      </c>
      <c r="C456">
        <f>COUNTIF($D$3:D456, RIGHT(LEFT(A456,4),3))</f>
        <v>2</v>
      </c>
      <c r="D456" t="str">
        <f t="shared" si="34"/>
        <v>529</v>
      </c>
      <c r="E456">
        <f t="shared" si="35"/>
        <v>152902</v>
      </c>
      <c r="F456">
        <f>INDEX(Schedule!$A:$N, MATCH(Joined!$G456, Schedule!$B:$B,0),14)</f>
        <v>15011</v>
      </c>
      <c r="G456" t="s">
        <v>1092</v>
      </c>
      <c r="H456">
        <f>INDEX(VAV_Schedule_5_21[#All], MATCH(Joined!G456, VAV_Schedule_5_21[[#All],[UNIT TAG]], 0), 9)</f>
        <v>11</v>
      </c>
      <c r="I456" t="str">
        <f t="shared" si="36"/>
        <v>WPC.VAV-11E-15</v>
      </c>
      <c r="J456" t="str">
        <f t="shared" si="37"/>
        <v>11E</v>
      </c>
      <c r="L456">
        <f>INDEX(Schedule!$A:$J, MATCH(Joined!$G456, Schedule!$B:$B, 0), 5)</f>
        <v>640</v>
      </c>
      <c r="M456">
        <f>INDEX(Schedule!$A:$J, MATCH(Joined!$G456, Schedule!$B:$B, 0), 6)</f>
        <v>100</v>
      </c>
    </row>
    <row r="457" spans="1:13" x14ac:dyDescent="0.2">
      <c r="A457">
        <f>INDEX(PanelInstance!B:D, MATCH(Joined!J457, PanelInstance!D:D, FALSE), 2)</f>
        <v>152900</v>
      </c>
      <c r="B457" t="s">
        <v>291</v>
      </c>
      <c r="C457">
        <f>COUNTIF($D$3:D457, RIGHT(LEFT(A457,4),3))</f>
        <v>3</v>
      </c>
      <c r="D457" t="str">
        <f t="shared" si="34"/>
        <v>529</v>
      </c>
      <c r="E457">
        <f t="shared" si="35"/>
        <v>152903</v>
      </c>
      <c r="F457">
        <f>INDEX(Schedule!$A:$N, MATCH(Joined!$G457, Schedule!$B:$B,0),14)</f>
        <v>15011</v>
      </c>
      <c r="G457" t="s">
        <v>1093</v>
      </c>
      <c r="H457">
        <f>INDEX(VAV_Schedule_5_21[#All], MATCH(Joined!G457, VAV_Schedule_5_21[[#All],[UNIT TAG]], 0), 9)</f>
        <v>11</v>
      </c>
      <c r="I457" t="str">
        <f t="shared" si="36"/>
        <v>WPC.VAV-11E-16</v>
      </c>
      <c r="J457" t="str">
        <f t="shared" si="37"/>
        <v>11E</v>
      </c>
      <c r="L457">
        <f>INDEX(Schedule!$A:$J, MATCH(Joined!$G457, Schedule!$B:$B, 0), 5)</f>
        <v>685</v>
      </c>
      <c r="M457">
        <f>INDEX(Schedule!$A:$J, MATCH(Joined!$G457, Schedule!$B:$B, 0), 6)</f>
        <v>105</v>
      </c>
    </row>
    <row r="458" spans="1:13" x14ac:dyDescent="0.2">
      <c r="A458">
        <f>INDEX(PanelInstance!B:D, MATCH(Joined!J458, PanelInstance!D:D, FALSE), 2)</f>
        <v>152900</v>
      </c>
      <c r="B458" t="s">
        <v>291</v>
      </c>
      <c r="C458">
        <f>COUNTIF($D$3:D458, RIGHT(LEFT(A458,4),3))</f>
        <v>4</v>
      </c>
      <c r="D458" t="str">
        <f t="shared" si="34"/>
        <v>529</v>
      </c>
      <c r="E458">
        <f t="shared" si="35"/>
        <v>152904</v>
      </c>
      <c r="F458">
        <f>INDEX(Schedule!$A:$N, MATCH(Joined!$G458, Schedule!$B:$B,0),14)</f>
        <v>15011</v>
      </c>
      <c r="G458" t="s">
        <v>1094</v>
      </c>
      <c r="H458">
        <f>INDEX(VAV_Schedule_5_21[#All], MATCH(Joined!G458, VAV_Schedule_5_21[[#All],[UNIT TAG]], 0), 9)</f>
        <v>11</v>
      </c>
      <c r="I458" t="str">
        <f t="shared" si="36"/>
        <v>WPC.VAV-11E-17</v>
      </c>
      <c r="J458" t="str">
        <f t="shared" si="37"/>
        <v>11E</v>
      </c>
      <c r="L458">
        <f>INDEX(Schedule!$A:$J, MATCH(Joined!$G458, Schedule!$B:$B, 0), 5)</f>
        <v>600</v>
      </c>
      <c r="M458">
        <f>INDEX(Schedule!$A:$J, MATCH(Joined!$G458, Schedule!$B:$B, 0), 6)</f>
        <v>90</v>
      </c>
    </row>
    <row r="459" spans="1:13" x14ac:dyDescent="0.2">
      <c r="A459">
        <f>INDEX(PanelInstance!B:D, MATCH(Joined!J459, PanelInstance!D:D, FALSE), 2)</f>
        <v>152900</v>
      </c>
      <c r="B459" t="s">
        <v>291</v>
      </c>
      <c r="C459">
        <f>COUNTIF($D$3:D459, RIGHT(LEFT(A459,4),3))</f>
        <v>5</v>
      </c>
      <c r="D459" t="str">
        <f t="shared" si="34"/>
        <v>529</v>
      </c>
      <c r="E459">
        <f t="shared" si="35"/>
        <v>152905</v>
      </c>
      <c r="F459">
        <f>INDEX(Schedule!$A:$N, MATCH(Joined!$G459, Schedule!$B:$B,0),14)</f>
        <v>15010</v>
      </c>
      <c r="G459" t="s">
        <v>1095</v>
      </c>
      <c r="H459">
        <f>INDEX(VAV_Schedule_5_21[#All], MATCH(Joined!G459, VAV_Schedule_5_21[[#All],[UNIT TAG]], 0), 9)</f>
        <v>11</v>
      </c>
      <c r="I459" t="str">
        <f t="shared" si="36"/>
        <v>WPC.VAV-11E-18</v>
      </c>
      <c r="J459" t="str">
        <f t="shared" si="37"/>
        <v>11E</v>
      </c>
      <c r="L459">
        <f>INDEX(Schedule!$A:$J, MATCH(Joined!$G459, Schedule!$B:$B, 0), 5)</f>
        <v>200</v>
      </c>
      <c r="M459">
        <f>INDEX(Schedule!$A:$J, MATCH(Joined!$G459, Schedule!$B:$B, 0), 6)</f>
        <v>30</v>
      </c>
    </row>
    <row r="460" spans="1:13" x14ac:dyDescent="0.2">
      <c r="A460">
        <f>INDEX(PanelInstance!B:D, MATCH(Joined!J460, PanelInstance!D:D, FALSE), 2)</f>
        <v>152900</v>
      </c>
      <c r="B460" t="s">
        <v>291</v>
      </c>
      <c r="C460">
        <f>COUNTIF($D$3:D460, RIGHT(LEFT(A460,4),3))</f>
        <v>6</v>
      </c>
      <c r="D460" t="str">
        <f t="shared" si="34"/>
        <v>529</v>
      </c>
      <c r="E460">
        <f t="shared" si="35"/>
        <v>152906</v>
      </c>
      <c r="F460">
        <f>INDEX(Schedule!$A:$N, MATCH(Joined!$G460, Schedule!$B:$B,0),14)</f>
        <v>15010</v>
      </c>
      <c r="G460" t="s">
        <v>1096</v>
      </c>
      <c r="H460">
        <f>INDEX(VAV_Schedule_5_21[#All], MATCH(Joined!G460, VAV_Schedule_5_21[[#All],[UNIT TAG]], 0), 9)</f>
        <v>11</v>
      </c>
      <c r="I460" t="str">
        <f t="shared" si="36"/>
        <v>WPC.VAV-11E-19</v>
      </c>
      <c r="J460" t="str">
        <f t="shared" si="37"/>
        <v>11E</v>
      </c>
      <c r="L460">
        <f>INDEX(Schedule!$A:$J, MATCH(Joined!$G460, Schedule!$B:$B, 0), 5)</f>
        <v>680</v>
      </c>
      <c r="M460">
        <f>INDEX(Schedule!$A:$J, MATCH(Joined!$G460, Schedule!$B:$B, 0), 6)</f>
        <v>105</v>
      </c>
    </row>
    <row r="461" spans="1:13" x14ac:dyDescent="0.2">
      <c r="A461">
        <f>INDEX(PanelInstance!B:D, MATCH(Joined!J461, PanelInstance!D:D, FALSE), 2)</f>
        <v>152900</v>
      </c>
      <c r="B461" t="s">
        <v>291</v>
      </c>
      <c r="C461">
        <f>COUNTIF($D$3:D461, RIGHT(LEFT(A461,4),3))</f>
        <v>7</v>
      </c>
      <c r="D461" t="str">
        <f t="shared" si="34"/>
        <v>529</v>
      </c>
      <c r="E461">
        <f t="shared" si="35"/>
        <v>152907</v>
      </c>
      <c r="F461">
        <f>INDEX(Schedule!$A:$N, MATCH(Joined!$G461, Schedule!$B:$B,0),14)</f>
        <v>15011</v>
      </c>
      <c r="G461" t="s">
        <v>1097</v>
      </c>
      <c r="H461">
        <f>INDEX(VAV_Schedule_5_21[#All], MATCH(Joined!G461, VAV_Schedule_5_21[[#All],[UNIT TAG]], 0), 9)</f>
        <v>11</v>
      </c>
      <c r="I461" t="str">
        <f t="shared" si="36"/>
        <v>WPC.VAV-11E-20</v>
      </c>
      <c r="J461" t="str">
        <f t="shared" si="37"/>
        <v>11E</v>
      </c>
      <c r="L461">
        <f>INDEX(Schedule!$A:$J, MATCH(Joined!$G461, Schedule!$B:$B, 0), 5)</f>
        <v>1085</v>
      </c>
      <c r="M461">
        <f>INDEX(Schedule!$A:$J, MATCH(Joined!$G461, Schedule!$B:$B, 0), 6)</f>
        <v>165</v>
      </c>
    </row>
    <row r="462" spans="1:13" x14ac:dyDescent="0.2">
      <c r="A462">
        <f>INDEX(PanelInstance!B:D, MATCH(Joined!J462, PanelInstance!D:D, FALSE), 2)</f>
        <v>152900</v>
      </c>
      <c r="B462" t="s">
        <v>291</v>
      </c>
      <c r="C462">
        <f>COUNTIF($D$3:D462, RIGHT(LEFT(A462,4),3))</f>
        <v>8</v>
      </c>
      <c r="D462" t="str">
        <f t="shared" si="34"/>
        <v>529</v>
      </c>
      <c r="E462">
        <f t="shared" si="35"/>
        <v>152908</v>
      </c>
      <c r="F462">
        <f>INDEX(Schedule!$A:$N, MATCH(Joined!$G462, Schedule!$B:$B,0),14)</f>
        <v>15011</v>
      </c>
      <c r="G462" t="s">
        <v>1098</v>
      </c>
      <c r="H462">
        <f>INDEX(VAV_Schedule_5_21[#All], MATCH(Joined!G462, VAV_Schedule_5_21[[#All],[UNIT TAG]], 0), 9)</f>
        <v>11</v>
      </c>
      <c r="I462" t="str">
        <f t="shared" si="36"/>
        <v>WPC.VAV-11E-21</v>
      </c>
      <c r="J462" t="str">
        <f t="shared" si="37"/>
        <v>11E</v>
      </c>
      <c r="L462">
        <f>INDEX(Schedule!$A:$J, MATCH(Joined!$G462, Schedule!$B:$B, 0), 5)</f>
        <v>840</v>
      </c>
      <c r="M462">
        <f>INDEX(Schedule!$A:$J, MATCH(Joined!$G462, Schedule!$B:$B, 0), 6)</f>
        <v>130</v>
      </c>
    </row>
    <row r="463" spans="1:13" x14ac:dyDescent="0.2">
      <c r="A463">
        <f>INDEX(PanelInstance!B:D, MATCH(Joined!J463, PanelInstance!D:D, FALSE), 2)</f>
        <v>152900</v>
      </c>
      <c r="B463" t="s">
        <v>291</v>
      </c>
      <c r="C463">
        <f>COUNTIF($D$3:D463, RIGHT(LEFT(A463,4),3))</f>
        <v>9</v>
      </c>
      <c r="D463" t="str">
        <f t="shared" si="34"/>
        <v>529</v>
      </c>
      <c r="E463">
        <f t="shared" si="35"/>
        <v>152909</v>
      </c>
      <c r="F463">
        <f>INDEX(Schedule!$A:$N, MATCH(Joined!$G463, Schedule!$B:$B,0),14)</f>
        <v>15011</v>
      </c>
      <c r="G463" t="s">
        <v>1099</v>
      </c>
      <c r="H463">
        <f>INDEX(VAV_Schedule_5_21[#All], MATCH(Joined!G463, VAV_Schedule_5_21[[#All],[UNIT TAG]], 0), 9)</f>
        <v>11</v>
      </c>
      <c r="I463" t="str">
        <f t="shared" si="36"/>
        <v>WPC.VAV-11E-22</v>
      </c>
      <c r="J463" t="str">
        <f t="shared" si="37"/>
        <v>11E</v>
      </c>
      <c r="L463">
        <f>INDEX(Schedule!$A:$J, MATCH(Joined!$G463, Schedule!$B:$B, 0), 5)</f>
        <v>1050</v>
      </c>
      <c r="M463">
        <f>INDEX(Schedule!$A:$J, MATCH(Joined!$G463, Schedule!$B:$B, 0), 6)</f>
        <v>160</v>
      </c>
    </row>
    <row r="464" spans="1:13" x14ac:dyDescent="0.2">
      <c r="A464">
        <f>INDEX(PanelInstance!B:D, MATCH(Joined!J464, PanelInstance!D:D, FALSE), 2)</f>
        <v>152900</v>
      </c>
      <c r="B464" t="s">
        <v>291</v>
      </c>
      <c r="C464">
        <f>COUNTIF($D$3:D464, RIGHT(LEFT(A464,4),3))</f>
        <v>10</v>
      </c>
      <c r="D464" t="str">
        <f t="shared" si="34"/>
        <v>529</v>
      </c>
      <c r="E464">
        <f t="shared" si="35"/>
        <v>152910</v>
      </c>
      <c r="F464">
        <f>INDEX(Schedule!$A:$N, MATCH(Joined!$G464, Schedule!$B:$B,0),14)</f>
        <v>15010</v>
      </c>
      <c r="G464" t="s">
        <v>1100</v>
      </c>
      <c r="H464">
        <f>INDEX(VAV_Schedule_5_21[#All], MATCH(Joined!G464, VAV_Schedule_5_21[[#All],[UNIT TAG]], 0), 9)</f>
        <v>11</v>
      </c>
      <c r="I464" t="str">
        <f t="shared" si="36"/>
        <v>WPC.VAV-11E-23</v>
      </c>
      <c r="J464" t="str">
        <f t="shared" si="37"/>
        <v>11E</v>
      </c>
      <c r="L464">
        <f>INDEX(Schedule!$A:$J, MATCH(Joined!$G464, Schedule!$B:$B, 0), 5)</f>
        <v>185</v>
      </c>
      <c r="M464">
        <f>INDEX(Schedule!$A:$J, MATCH(Joined!$G464, Schedule!$B:$B, 0), 6)</f>
        <v>30</v>
      </c>
    </row>
    <row r="465" spans="1:13" x14ac:dyDescent="0.2">
      <c r="A465">
        <f>INDEX(PanelInstance!B:D, MATCH(Joined!J465, PanelInstance!D:D, FALSE), 2)</f>
        <v>152900</v>
      </c>
      <c r="B465" t="s">
        <v>291</v>
      </c>
      <c r="C465">
        <f>COUNTIF($D$3:D465, RIGHT(LEFT(A465,4),3))</f>
        <v>11</v>
      </c>
      <c r="D465" t="str">
        <f t="shared" si="34"/>
        <v>529</v>
      </c>
      <c r="E465">
        <f t="shared" si="35"/>
        <v>152911</v>
      </c>
      <c r="F465">
        <f>INDEX(Schedule!$A:$N, MATCH(Joined!$G465, Schedule!$B:$B,0),14)</f>
        <v>15011</v>
      </c>
      <c r="G465" t="s">
        <v>1101</v>
      </c>
      <c r="H465">
        <f>INDEX(VAV_Schedule_5_21[#All], MATCH(Joined!G465, VAV_Schedule_5_21[[#All],[UNIT TAG]], 0), 9)</f>
        <v>11</v>
      </c>
      <c r="I465" t="str">
        <f t="shared" si="36"/>
        <v>WPC.VAV-11E-24</v>
      </c>
      <c r="J465" t="str">
        <f t="shared" si="37"/>
        <v>11E</v>
      </c>
      <c r="L465">
        <f>INDEX(Schedule!$A:$J, MATCH(Joined!$G465, Schedule!$B:$B, 0), 5)</f>
        <v>640</v>
      </c>
      <c r="M465">
        <f>INDEX(Schedule!$A:$J, MATCH(Joined!$G465, Schedule!$B:$B, 0), 6)</f>
        <v>100</v>
      </c>
    </row>
    <row r="466" spans="1:13" x14ac:dyDescent="0.2">
      <c r="A466">
        <f>INDEX(PanelInstance!B:D, MATCH(Joined!J466, PanelInstance!D:D, FALSE), 2)</f>
        <v>152900</v>
      </c>
      <c r="B466" t="s">
        <v>291</v>
      </c>
      <c r="C466">
        <f>COUNTIF($D$3:D466, RIGHT(LEFT(A466,4),3))</f>
        <v>12</v>
      </c>
      <c r="D466" t="str">
        <f t="shared" si="34"/>
        <v>529</v>
      </c>
      <c r="E466">
        <f t="shared" si="35"/>
        <v>152912</v>
      </c>
      <c r="F466">
        <f>INDEX(Schedule!$A:$N, MATCH(Joined!$G466, Schedule!$B:$B,0),14)</f>
        <v>15011</v>
      </c>
      <c r="G466" t="s">
        <v>1102</v>
      </c>
      <c r="H466">
        <f>INDEX(VAV_Schedule_5_21[#All], MATCH(Joined!G466, VAV_Schedule_5_21[[#All],[UNIT TAG]], 0), 9)</f>
        <v>11</v>
      </c>
      <c r="I466" t="str">
        <f t="shared" si="36"/>
        <v>WPC.VAV-11E-25</v>
      </c>
      <c r="J466" t="str">
        <f t="shared" si="37"/>
        <v>11E</v>
      </c>
      <c r="L466">
        <f>INDEX(Schedule!$A:$J, MATCH(Joined!$G466, Schedule!$B:$B, 0), 5)</f>
        <v>860</v>
      </c>
      <c r="M466">
        <f>INDEX(Schedule!$A:$J, MATCH(Joined!$G466, Schedule!$B:$B, 0), 6)</f>
        <v>130</v>
      </c>
    </row>
    <row r="467" spans="1:13" x14ac:dyDescent="0.2">
      <c r="A467">
        <f>INDEX(PanelInstance!B:D, MATCH(Joined!J467, PanelInstance!D:D, FALSE), 2)</f>
        <v>152900</v>
      </c>
      <c r="B467" t="s">
        <v>291</v>
      </c>
      <c r="C467">
        <f>COUNTIF($D$3:D467, RIGHT(LEFT(A467,4),3))</f>
        <v>13</v>
      </c>
      <c r="D467" t="str">
        <f t="shared" si="34"/>
        <v>529</v>
      </c>
      <c r="E467">
        <f t="shared" si="35"/>
        <v>152913</v>
      </c>
      <c r="F467">
        <f>INDEX(Schedule!$A:$N, MATCH(Joined!$G467, Schedule!$B:$B,0),14)</f>
        <v>15011</v>
      </c>
      <c r="G467" t="s">
        <v>1103</v>
      </c>
      <c r="H467">
        <f>INDEX(VAV_Schedule_5_21[#All], MATCH(Joined!G467, VAV_Schedule_5_21[[#All],[UNIT TAG]], 0), 9)</f>
        <v>11</v>
      </c>
      <c r="I467" t="str">
        <f t="shared" si="36"/>
        <v>WPC.VAV-11E-26</v>
      </c>
      <c r="J467" t="str">
        <f t="shared" si="37"/>
        <v>11E</v>
      </c>
      <c r="L467">
        <f>INDEX(Schedule!$A:$J, MATCH(Joined!$G467, Schedule!$B:$B, 0), 5)</f>
        <v>690</v>
      </c>
      <c r="M467">
        <f>INDEX(Schedule!$A:$J, MATCH(Joined!$G467, Schedule!$B:$B, 0), 6)</f>
        <v>105</v>
      </c>
    </row>
    <row r="468" spans="1:13" x14ac:dyDescent="0.2">
      <c r="A468">
        <f>INDEX(PanelInstance!B:D, MATCH(Joined!J468, PanelInstance!D:D, FALSE), 2)</f>
        <v>152900</v>
      </c>
      <c r="B468" t="s">
        <v>291</v>
      </c>
      <c r="C468">
        <f>COUNTIF($D$3:D468, RIGHT(LEFT(A468,4),3))</f>
        <v>14</v>
      </c>
      <c r="D468" t="str">
        <f t="shared" si="34"/>
        <v>529</v>
      </c>
      <c r="E468">
        <f t="shared" si="35"/>
        <v>152914</v>
      </c>
      <c r="F468">
        <f>INDEX(Schedule!$A:$N, MATCH(Joined!$G468, Schedule!$B:$B,0),14)</f>
        <v>15010</v>
      </c>
      <c r="G468" t="s">
        <v>1104</v>
      </c>
      <c r="H468">
        <f>INDEX(VAV_Schedule_5_21[#All], MATCH(Joined!G468, VAV_Schedule_5_21[[#All],[UNIT TAG]], 0), 9)</f>
        <v>11</v>
      </c>
      <c r="I468" t="str">
        <f t="shared" si="36"/>
        <v>WPC.VAV-11E-27</v>
      </c>
      <c r="J468" t="str">
        <f t="shared" si="37"/>
        <v>11E</v>
      </c>
      <c r="L468">
        <f>INDEX(Schedule!$A:$J, MATCH(Joined!$G468, Schedule!$B:$B, 0), 5)</f>
        <v>1310</v>
      </c>
      <c r="M468">
        <f>INDEX(Schedule!$A:$J, MATCH(Joined!$G468, Schedule!$B:$B, 0), 6)</f>
        <v>200</v>
      </c>
    </row>
    <row r="469" spans="1:13" x14ac:dyDescent="0.2">
      <c r="A469">
        <f>INDEX(PanelInstance!B:D, MATCH(Joined!J469, PanelInstance!D:D, FALSE), 2)</f>
        <v>152900</v>
      </c>
      <c r="B469" t="s">
        <v>291</v>
      </c>
      <c r="C469">
        <f>COUNTIF($D$3:D469, RIGHT(LEFT(A469,4),3))</f>
        <v>15</v>
      </c>
      <c r="D469" t="str">
        <f t="shared" si="34"/>
        <v>529</v>
      </c>
      <c r="E469">
        <f t="shared" si="35"/>
        <v>152915</v>
      </c>
      <c r="F469">
        <f>INDEX(Schedule!$A:$N, MATCH(Joined!$G469, Schedule!$B:$B,0),14)</f>
        <v>15010</v>
      </c>
      <c r="G469" t="s">
        <v>1105</v>
      </c>
      <c r="H469">
        <f>INDEX(VAV_Schedule_5_21[#All], MATCH(Joined!G469, VAV_Schedule_5_21[[#All],[UNIT TAG]], 0), 9)</f>
        <v>11</v>
      </c>
      <c r="I469" t="str">
        <f t="shared" si="36"/>
        <v>WPC.VAV-11E-28</v>
      </c>
      <c r="J469" t="str">
        <f t="shared" si="37"/>
        <v>11E</v>
      </c>
      <c r="L469">
        <f>INDEX(Schedule!$A:$J, MATCH(Joined!$G469, Schedule!$B:$B, 0), 5)</f>
        <v>680</v>
      </c>
      <c r="M469">
        <f>INDEX(Schedule!$A:$J, MATCH(Joined!$G469, Schedule!$B:$B, 0), 6)</f>
        <v>105</v>
      </c>
    </row>
    <row r="470" spans="1:13" x14ac:dyDescent="0.2">
      <c r="A470">
        <f>INDEX(PanelInstance!B:D, MATCH(Joined!J470, PanelInstance!D:D, FALSE), 2)</f>
        <v>152900</v>
      </c>
      <c r="B470" t="s">
        <v>291</v>
      </c>
      <c r="C470">
        <f>COUNTIF($D$3:D470, RIGHT(LEFT(A470,4),3))</f>
        <v>16</v>
      </c>
      <c r="D470" t="str">
        <f t="shared" si="34"/>
        <v>529</v>
      </c>
      <c r="E470">
        <f t="shared" si="35"/>
        <v>152916</v>
      </c>
      <c r="F470">
        <f>INDEX(Schedule!$A:$N, MATCH(Joined!$G470, Schedule!$B:$B,0),14)</f>
        <v>15010</v>
      </c>
      <c r="G470" t="s">
        <v>1106</v>
      </c>
      <c r="H470">
        <f>INDEX(VAV_Schedule_5_21[#All], MATCH(Joined!G470, VAV_Schedule_5_21[[#All],[UNIT TAG]], 0), 9)</f>
        <v>11</v>
      </c>
      <c r="I470" t="str">
        <f t="shared" si="36"/>
        <v>WPC.VAV-11E-29</v>
      </c>
      <c r="J470" t="str">
        <f t="shared" si="37"/>
        <v>11E</v>
      </c>
      <c r="L470">
        <f>INDEX(Schedule!$A:$J, MATCH(Joined!$G470, Schedule!$B:$B, 0), 5)</f>
        <v>1510</v>
      </c>
      <c r="M470">
        <f>INDEX(Schedule!$A:$J, MATCH(Joined!$G470, Schedule!$B:$B, 0), 6)</f>
        <v>230</v>
      </c>
    </row>
    <row r="471" spans="1:13" x14ac:dyDescent="0.2">
      <c r="A471">
        <f>INDEX(PanelInstance!B:D, MATCH(Joined!J471, PanelInstance!D:D, FALSE), 2)</f>
        <v>152900</v>
      </c>
      <c r="B471" t="s">
        <v>291</v>
      </c>
      <c r="C471">
        <f>COUNTIF($D$3:D471, RIGHT(LEFT(A471,4),3))</f>
        <v>17</v>
      </c>
      <c r="D471" t="str">
        <f t="shared" si="34"/>
        <v>529</v>
      </c>
      <c r="E471">
        <f t="shared" si="35"/>
        <v>152917</v>
      </c>
      <c r="F471">
        <f>INDEX(Schedule!$A:$N, MATCH(Joined!$G471, Schedule!$B:$B,0),14)</f>
        <v>15011</v>
      </c>
      <c r="G471" t="s">
        <v>1107</v>
      </c>
      <c r="H471">
        <f>INDEX(VAV_Schedule_5_21[#All], MATCH(Joined!G471, VAV_Schedule_5_21[[#All],[UNIT TAG]], 0), 9)</f>
        <v>11</v>
      </c>
      <c r="I471" t="str">
        <f t="shared" si="36"/>
        <v>WPC.VAV-11E-30</v>
      </c>
      <c r="J471" t="str">
        <f t="shared" si="37"/>
        <v>11E</v>
      </c>
      <c r="L471">
        <f>INDEX(Schedule!$A:$J, MATCH(Joined!$G471, Schedule!$B:$B, 0), 5)</f>
        <v>800</v>
      </c>
      <c r="M471">
        <f>INDEX(Schedule!$A:$J, MATCH(Joined!$G471, Schedule!$B:$B, 0), 6)</f>
        <v>120</v>
      </c>
    </row>
    <row r="472" spans="1:13" x14ac:dyDescent="0.2">
      <c r="A472">
        <f>INDEX(PanelInstance!B:D, MATCH(Joined!J472, PanelInstance!D:D, FALSE), 2)</f>
        <v>152900</v>
      </c>
      <c r="B472" t="s">
        <v>291</v>
      </c>
      <c r="C472">
        <f>COUNTIF($D$3:D472, RIGHT(LEFT(A472,4),3))</f>
        <v>18</v>
      </c>
      <c r="D472" t="str">
        <f t="shared" si="34"/>
        <v>529</v>
      </c>
      <c r="E472">
        <f t="shared" si="35"/>
        <v>152918</v>
      </c>
      <c r="F472">
        <f>INDEX(Schedule!$A:$N, MATCH(Joined!$G472, Schedule!$B:$B,0),14)</f>
        <v>15011</v>
      </c>
      <c r="G472" t="s">
        <v>1108</v>
      </c>
      <c r="H472">
        <f>INDEX(VAV_Schedule_5_21[#All], MATCH(Joined!G472, VAV_Schedule_5_21[[#All],[UNIT TAG]], 0), 9)</f>
        <v>11</v>
      </c>
      <c r="I472" t="str">
        <f t="shared" si="36"/>
        <v>WPC.VAV-11E-31</v>
      </c>
      <c r="J472" t="str">
        <f t="shared" si="37"/>
        <v>11E</v>
      </c>
      <c r="L472">
        <f>INDEX(Schedule!$A:$J, MATCH(Joined!$G472, Schedule!$B:$B, 0), 5)</f>
        <v>1400</v>
      </c>
      <c r="M472">
        <f>INDEX(Schedule!$A:$J, MATCH(Joined!$G472, Schedule!$B:$B, 0), 6)</f>
        <v>210</v>
      </c>
    </row>
    <row r="473" spans="1:13" x14ac:dyDescent="0.2">
      <c r="A473">
        <f>INDEX(PanelInstance!B:D, MATCH(Joined!J473, PanelInstance!D:D, FALSE), 2)</f>
        <v>153000</v>
      </c>
      <c r="B473" t="s">
        <v>291</v>
      </c>
      <c r="C473">
        <f>COUNTIF($D$3:D473, RIGHT(LEFT(A473,4),3))</f>
        <v>5</v>
      </c>
      <c r="D473" t="str">
        <f t="shared" si="34"/>
        <v>530</v>
      </c>
      <c r="E473">
        <f t="shared" si="35"/>
        <v>153005</v>
      </c>
      <c r="F473">
        <f>INDEX(Schedule!$A:$N, MATCH(Joined!$G473, Schedule!$B:$B,0),14)</f>
        <v>15010</v>
      </c>
      <c r="G473" t="s">
        <v>1109</v>
      </c>
      <c r="H473">
        <f>INDEX(VAV_Schedule_5_21[#All], MATCH(Joined!G473, VAV_Schedule_5_21[[#All],[UNIT TAG]], 0), 9)</f>
        <v>11</v>
      </c>
      <c r="I473" t="str">
        <f t="shared" si="36"/>
        <v>WPC.VAV-11W-32</v>
      </c>
      <c r="J473" t="str">
        <f t="shared" si="37"/>
        <v>11W</v>
      </c>
      <c r="L473">
        <f>INDEX(Schedule!$A:$J, MATCH(Joined!$G473, Schedule!$B:$B, 0), 5)</f>
        <v>595</v>
      </c>
      <c r="M473">
        <f>INDEX(Schedule!$A:$J, MATCH(Joined!$G473, Schedule!$B:$B, 0), 6)</f>
        <v>90</v>
      </c>
    </row>
    <row r="474" spans="1:13" x14ac:dyDescent="0.2">
      <c r="A474">
        <f>INDEX(PanelInstance!B:D, MATCH(Joined!J474, PanelInstance!D:D, FALSE), 2)</f>
        <v>153000</v>
      </c>
      <c r="B474" t="s">
        <v>291</v>
      </c>
      <c r="C474">
        <f>COUNTIF($D$3:D474, RIGHT(LEFT(A474,4),3))</f>
        <v>6</v>
      </c>
      <c r="D474" t="str">
        <f t="shared" si="34"/>
        <v>530</v>
      </c>
      <c r="E474">
        <f t="shared" si="35"/>
        <v>153006</v>
      </c>
      <c r="F474">
        <f>INDEX(Schedule!$A:$N, MATCH(Joined!$G474, Schedule!$B:$B,0),14)</f>
        <v>15010</v>
      </c>
      <c r="G474" t="s">
        <v>1110</v>
      </c>
      <c r="H474">
        <f>INDEX(VAV_Schedule_5_21[#All], MATCH(Joined!G474, VAV_Schedule_5_21[[#All],[UNIT TAG]], 0), 9)</f>
        <v>11</v>
      </c>
      <c r="I474" t="str">
        <f t="shared" si="36"/>
        <v>WPC.VAV-11W-33</v>
      </c>
      <c r="J474" t="str">
        <f t="shared" si="37"/>
        <v>11W</v>
      </c>
      <c r="L474">
        <f>INDEX(Schedule!$A:$J, MATCH(Joined!$G474, Schedule!$B:$B, 0), 5)</f>
        <v>1350</v>
      </c>
      <c r="M474">
        <f>INDEX(Schedule!$A:$J, MATCH(Joined!$G474, Schedule!$B:$B, 0), 6)</f>
        <v>205</v>
      </c>
    </row>
    <row r="475" spans="1:13" x14ac:dyDescent="0.2">
      <c r="A475">
        <f>INDEX(PanelInstance!B:D, MATCH(Joined!J475, PanelInstance!D:D, FALSE), 2)</f>
        <v>153000</v>
      </c>
      <c r="B475" t="s">
        <v>291</v>
      </c>
      <c r="C475">
        <f>COUNTIF($D$3:D475, RIGHT(LEFT(A475,4),3))</f>
        <v>7</v>
      </c>
      <c r="D475" t="str">
        <f t="shared" si="34"/>
        <v>530</v>
      </c>
      <c r="E475">
        <f t="shared" si="35"/>
        <v>153007</v>
      </c>
      <c r="F475">
        <f>INDEX(Schedule!$A:$N, MATCH(Joined!$G475, Schedule!$B:$B,0),14)</f>
        <v>15010</v>
      </c>
      <c r="G475" t="s">
        <v>1111</v>
      </c>
      <c r="H475">
        <f>INDEX(VAV_Schedule_5_21[#All], MATCH(Joined!G475, VAV_Schedule_5_21[[#All],[UNIT TAG]], 0), 9)</f>
        <v>11</v>
      </c>
      <c r="I475" t="str">
        <f t="shared" si="36"/>
        <v>WPC.VAV-11W-34</v>
      </c>
      <c r="J475" t="str">
        <f t="shared" si="37"/>
        <v>11W</v>
      </c>
      <c r="L475">
        <f>INDEX(Schedule!$A:$J, MATCH(Joined!$G475, Schedule!$B:$B, 0), 5)</f>
        <v>1200</v>
      </c>
      <c r="M475">
        <f>INDEX(Schedule!$A:$J, MATCH(Joined!$G475, Schedule!$B:$B, 0), 6)</f>
        <v>180</v>
      </c>
    </row>
    <row r="476" spans="1:13" x14ac:dyDescent="0.2">
      <c r="A476">
        <f>INDEX(PanelInstance!B:D, MATCH(Joined!J476, PanelInstance!D:D, FALSE), 2)</f>
        <v>153000</v>
      </c>
      <c r="B476" t="s">
        <v>291</v>
      </c>
      <c r="C476">
        <f>COUNTIF($D$3:D476, RIGHT(LEFT(A476,4),3))</f>
        <v>8</v>
      </c>
      <c r="D476" t="str">
        <f t="shared" si="34"/>
        <v>530</v>
      </c>
      <c r="E476">
        <f t="shared" si="35"/>
        <v>153008</v>
      </c>
      <c r="F476">
        <f>INDEX(Schedule!$A:$N, MATCH(Joined!$G476, Schedule!$B:$B,0),14)</f>
        <v>15011</v>
      </c>
      <c r="G476" t="s">
        <v>1112</v>
      </c>
      <c r="H476">
        <f>INDEX(VAV_Schedule_5_21[#All], MATCH(Joined!G476, VAV_Schedule_5_21[[#All],[UNIT TAG]], 0), 9)</f>
        <v>11</v>
      </c>
      <c r="I476" t="str">
        <f t="shared" si="36"/>
        <v>WPC.VAV-11W-35</v>
      </c>
      <c r="J476" t="str">
        <f t="shared" si="37"/>
        <v>11W</v>
      </c>
      <c r="L476">
        <f>INDEX(Schedule!$A:$J, MATCH(Joined!$G476, Schedule!$B:$B, 0), 5)</f>
        <v>800</v>
      </c>
      <c r="M476">
        <f>INDEX(Schedule!$A:$J, MATCH(Joined!$G476, Schedule!$B:$B, 0), 6)</f>
        <v>120</v>
      </c>
    </row>
    <row r="477" spans="1:13" x14ac:dyDescent="0.2">
      <c r="A477">
        <f>INDEX(PanelInstance!B:D, MATCH(Joined!J477, PanelInstance!D:D, FALSE), 2)</f>
        <v>153000</v>
      </c>
      <c r="B477" t="s">
        <v>291</v>
      </c>
      <c r="C477">
        <f>COUNTIF($D$3:D477, RIGHT(LEFT(A477,4),3))</f>
        <v>9</v>
      </c>
      <c r="D477" t="str">
        <f t="shared" si="34"/>
        <v>530</v>
      </c>
      <c r="E477">
        <f t="shared" si="35"/>
        <v>153009</v>
      </c>
      <c r="F477">
        <f>INDEX(Schedule!$A:$N, MATCH(Joined!$G477, Schedule!$B:$B,0),14)</f>
        <v>15011</v>
      </c>
      <c r="G477" t="s">
        <v>1113</v>
      </c>
      <c r="H477">
        <f>INDEX(VAV_Schedule_5_21[#All], MATCH(Joined!G477, VAV_Schedule_5_21[[#All],[UNIT TAG]], 0), 9)</f>
        <v>11</v>
      </c>
      <c r="I477" t="str">
        <f t="shared" si="36"/>
        <v>WPC.VAV-11W-36</v>
      </c>
      <c r="J477" t="str">
        <f t="shared" si="37"/>
        <v>11W</v>
      </c>
      <c r="L477">
        <f>INDEX(Schedule!$A:$J, MATCH(Joined!$G477, Schedule!$B:$B, 0), 5)</f>
        <v>640</v>
      </c>
      <c r="M477">
        <f>INDEX(Schedule!$A:$J, MATCH(Joined!$G477, Schedule!$B:$B, 0), 6)</f>
        <v>100</v>
      </c>
    </row>
    <row r="478" spans="1:13" x14ac:dyDescent="0.2">
      <c r="A478">
        <f>INDEX(PanelInstance!B:D, MATCH(Joined!J478, PanelInstance!D:D, FALSE), 2)</f>
        <v>153000</v>
      </c>
      <c r="B478" t="s">
        <v>291</v>
      </c>
      <c r="C478">
        <f>COUNTIF($D$3:D478, RIGHT(LEFT(A478,4),3))</f>
        <v>10</v>
      </c>
      <c r="D478" t="str">
        <f t="shared" ref="D478:D541" si="38">RIGHT(LEFT(A478, 4),3)</f>
        <v>530</v>
      </c>
      <c r="E478">
        <f t="shared" ref="E478:E541" si="39">A478+C478</f>
        <v>153010</v>
      </c>
      <c r="F478">
        <f>INDEX(Schedule!$A:$N, MATCH(Joined!$G478, Schedule!$B:$B,0),14)</f>
        <v>15011</v>
      </c>
      <c r="G478" t="s">
        <v>1114</v>
      </c>
      <c r="H478">
        <f>INDEX(VAV_Schedule_5_21[#All], MATCH(Joined!G478, VAV_Schedule_5_21[[#All],[UNIT TAG]], 0), 9)</f>
        <v>11</v>
      </c>
      <c r="I478" t="str">
        <f t="shared" si="36"/>
        <v>WPC.VAV-11W-37</v>
      </c>
      <c r="J478" t="str">
        <f t="shared" si="37"/>
        <v>11W</v>
      </c>
      <c r="L478">
        <f>INDEX(Schedule!$A:$J, MATCH(Joined!$G478, Schedule!$B:$B, 0), 5)</f>
        <v>860</v>
      </c>
      <c r="M478">
        <f>INDEX(Schedule!$A:$J, MATCH(Joined!$G478, Schedule!$B:$B, 0), 6)</f>
        <v>130</v>
      </c>
    </row>
    <row r="479" spans="1:13" x14ac:dyDescent="0.2">
      <c r="A479">
        <f>INDEX(PanelInstance!B:D, MATCH(Joined!J479, PanelInstance!D:D, FALSE), 2)</f>
        <v>153000</v>
      </c>
      <c r="B479" t="s">
        <v>291</v>
      </c>
      <c r="C479">
        <f>COUNTIF($D$3:D479, RIGHT(LEFT(A479,4),3))</f>
        <v>11</v>
      </c>
      <c r="D479" t="str">
        <f t="shared" si="38"/>
        <v>530</v>
      </c>
      <c r="E479">
        <f t="shared" si="39"/>
        <v>153011</v>
      </c>
      <c r="F479">
        <f>INDEX(Schedule!$A:$N, MATCH(Joined!$G479, Schedule!$B:$B,0),14)</f>
        <v>15011</v>
      </c>
      <c r="G479" t="s">
        <v>1115</v>
      </c>
      <c r="H479">
        <f>INDEX(VAV_Schedule_5_21[#All], MATCH(Joined!G479, VAV_Schedule_5_21[[#All],[UNIT TAG]], 0), 9)</f>
        <v>11</v>
      </c>
      <c r="I479" t="str">
        <f t="shared" si="36"/>
        <v>WPC.VAV-11W-38</v>
      </c>
      <c r="J479" t="str">
        <f t="shared" si="37"/>
        <v>11W</v>
      </c>
      <c r="L479">
        <f>INDEX(Schedule!$A:$J, MATCH(Joined!$G479, Schedule!$B:$B, 0), 5)</f>
        <v>700</v>
      </c>
      <c r="M479">
        <f>INDEX(Schedule!$A:$J, MATCH(Joined!$G479, Schedule!$B:$B, 0), 6)</f>
        <v>105</v>
      </c>
    </row>
    <row r="480" spans="1:13" x14ac:dyDescent="0.2">
      <c r="A480">
        <f>INDEX(PanelInstance!B:D, MATCH(Joined!J480, PanelInstance!D:D, FALSE), 2)</f>
        <v>153000</v>
      </c>
      <c r="B480" t="s">
        <v>291</v>
      </c>
      <c r="C480">
        <f>COUNTIF($D$3:D480, RIGHT(LEFT(A480,4),3))</f>
        <v>12</v>
      </c>
      <c r="D480" t="str">
        <f t="shared" si="38"/>
        <v>530</v>
      </c>
      <c r="E480">
        <f t="shared" si="39"/>
        <v>153012</v>
      </c>
      <c r="F480">
        <f>INDEX(Schedule!$A:$N, MATCH(Joined!$G480, Schedule!$B:$B,0),14)</f>
        <v>15010</v>
      </c>
      <c r="G480" t="s">
        <v>1116</v>
      </c>
      <c r="H480">
        <f>INDEX(VAV_Schedule_5_21[#All], MATCH(Joined!G480, VAV_Schedule_5_21[[#All],[UNIT TAG]], 0), 9)</f>
        <v>11</v>
      </c>
      <c r="I480" t="str">
        <f t="shared" si="36"/>
        <v>WPC.VAV-11W-39</v>
      </c>
      <c r="J480" t="str">
        <f t="shared" si="37"/>
        <v>11W</v>
      </c>
      <c r="L480">
        <f>INDEX(Schedule!$A:$J, MATCH(Joined!$G480, Schedule!$B:$B, 0), 5)</f>
        <v>835</v>
      </c>
      <c r="M480">
        <f>INDEX(Schedule!$A:$J, MATCH(Joined!$G480, Schedule!$B:$B, 0), 6)</f>
        <v>130</v>
      </c>
    </row>
    <row r="481" spans="1:13" x14ac:dyDescent="0.2">
      <c r="A481">
        <f>INDEX(PanelInstance!B:D, MATCH(Joined!J481, PanelInstance!D:D, FALSE), 2)</f>
        <v>153000</v>
      </c>
      <c r="B481" t="s">
        <v>291</v>
      </c>
      <c r="C481">
        <f>COUNTIF($D$3:D481, RIGHT(LEFT(A481,4),3))</f>
        <v>13</v>
      </c>
      <c r="D481" t="str">
        <f t="shared" si="38"/>
        <v>530</v>
      </c>
      <c r="E481">
        <f t="shared" si="39"/>
        <v>153013</v>
      </c>
      <c r="F481">
        <f>INDEX(Schedule!$A:$N, MATCH(Joined!$G481, Schedule!$B:$B,0),14)</f>
        <v>15010</v>
      </c>
      <c r="G481" t="s">
        <v>1117</v>
      </c>
      <c r="H481">
        <f>INDEX(VAV_Schedule_5_21[#All], MATCH(Joined!G481, VAV_Schedule_5_21[[#All],[UNIT TAG]], 0), 9)</f>
        <v>11</v>
      </c>
      <c r="I481" t="str">
        <f t="shared" si="36"/>
        <v>WPC.VAV-11W-40</v>
      </c>
      <c r="J481" t="str">
        <f t="shared" si="37"/>
        <v>11W</v>
      </c>
      <c r="L481">
        <f>INDEX(Schedule!$A:$J, MATCH(Joined!$G481, Schedule!$B:$B, 0), 5)</f>
        <v>185</v>
      </c>
      <c r="M481">
        <f>INDEX(Schedule!$A:$J, MATCH(Joined!$G481, Schedule!$B:$B, 0), 6)</f>
        <v>30</v>
      </c>
    </row>
    <row r="482" spans="1:13" x14ac:dyDescent="0.2">
      <c r="A482">
        <f>INDEX(PanelInstance!B:D, MATCH(Joined!J482, PanelInstance!D:D, FALSE), 2)</f>
        <v>153000</v>
      </c>
      <c r="B482" t="s">
        <v>291</v>
      </c>
      <c r="C482">
        <f>COUNTIF($D$3:D482, RIGHT(LEFT(A482,4),3))</f>
        <v>14</v>
      </c>
      <c r="D482" t="str">
        <f t="shared" si="38"/>
        <v>530</v>
      </c>
      <c r="E482">
        <f t="shared" si="39"/>
        <v>153014</v>
      </c>
      <c r="F482">
        <f>INDEX(Schedule!$A:$N, MATCH(Joined!$G482, Schedule!$B:$B,0),14)</f>
        <v>15011</v>
      </c>
      <c r="G482" t="s">
        <v>1118</v>
      </c>
      <c r="H482">
        <f>INDEX(VAV_Schedule_5_21[#All], MATCH(Joined!G482, VAV_Schedule_5_21[[#All],[UNIT TAG]], 0), 9)</f>
        <v>11</v>
      </c>
      <c r="I482" t="str">
        <f t="shared" si="36"/>
        <v>WPC.VAV-11W-41</v>
      </c>
      <c r="J482" t="str">
        <f t="shared" si="37"/>
        <v>11W</v>
      </c>
      <c r="L482">
        <f>INDEX(Schedule!$A:$J, MATCH(Joined!$G482, Schedule!$B:$B, 0), 5)</f>
        <v>1220</v>
      </c>
      <c r="M482">
        <f>INDEX(Schedule!$A:$J, MATCH(Joined!$G482, Schedule!$B:$B, 0), 6)</f>
        <v>185</v>
      </c>
    </row>
    <row r="483" spans="1:13" x14ac:dyDescent="0.2">
      <c r="A483">
        <f>INDEX(PanelInstance!B:D, MATCH(Joined!J483, PanelInstance!D:D, FALSE), 2)</f>
        <v>153000</v>
      </c>
      <c r="B483" t="s">
        <v>291</v>
      </c>
      <c r="C483">
        <f>COUNTIF($D$3:D483, RIGHT(LEFT(A483,4),3))</f>
        <v>15</v>
      </c>
      <c r="D483" t="str">
        <f t="shared" si="38"/>
        <v>530</v>
      </c>
      <c r="E483">
        <f t="shared" si="39"/>
        <v>153015</v>
      </c>
      <c r="F483">
        <f>INDEX(Schedule!$A:$N, MATCH(Joined!$G483, Schedule!$B:$B,0),14)</f>
        <v>15011</v>
      </c>
      <c r="G483" t="s">
        <v>1119</v>
      </c>
      <c r="H483">
        <f>INDEX(VAV_Schedule_5_21[#All], MATCH(Joined!G483, VAV_Schedule_5_21[[#All],[UNIT TAG]], 0), 9)</f>
        <v>11</v>
      </c>
      <c r="I483" t="str">
        <f t="shared" si="36"/>
        <v>WPC.VAV-11W-42</v>
      </c>
      <c r="J483" t="str">
        <f t="shared" si="37"/>
        <v>11W</v>
      </c>
      <c r="L483">
        <f>INDEX(Schedule!$A:$J, MATCH(Joined!$G483, Schedule!$B:$B, 0), 5)</f>
        <v>960</v>
      </c>
      <c r="M483">
        <f>INDEX(Schedule!$A:$J, MATCH(Joined!$G483, Schedule!$B:$B, 0), 6)</f>
        <v>145</v>
      </c>
    </row>
    <row r="484" spans="1:13" x14ac:dyDescent="0.2">
      <c r="A484">
        <f>INDEX(PanelInstance!B:D, MATCH(Joined!J484, PanelInstance!D:D, FALSE), 2)</f>
        <v>153000</v>
      </c>
      <c r="B484" t="s">
        <v>291</v>
      </c>
      <c r="C484">
        <f>COUNTIF($D$3:D484, RIGHT(LEFT(A484,4),3))</f>
        <v>16</v>
      </c>
      <c r="D484" t="str">
        <f t="shared" si="38"/>
        <v>530</v>
      </c>
      <c r="E484">
        <f t="shared" si="39"/>
        <v>153016</v>
      </c>
      <c r="F484">
        <f>INDEX(Schedule!$A:$N, MATCH(Joined!$G484, Schedule!$B:$B,0),14)</f>
        <v>15011</v>
      </c>
      <c r="G484" t="s">
        <v>1120</v>
      </c>
      <c r="H484">
        <f>INDEX(VAV_Schedule_5_21[#All], MATCH(Joined!G484, VAV_Schedule_5_21[[#All],[UNIT TAG]], 0), 9)</f>
        <v>11</v>
      </c>
      <c r="I484" t="str">
        <f t="shared" si="36"/>
        <v>WPC.VAV-11W-43</v>
      </c>
      <c r="J484" t="str">
        <f t="shared" si="37"/>
        <v>11W</v>
      </c>
      <c r="L484">
        <f>INDEX(Schedule!$A:$J, MATCH(Joined!$G484, Schedule!$B:$B, 0), 5)</f>
        <v>1220</v>
      </c>
      <c r="M484">
        <f>INDEX(Schedule!$A:$J, MATCH(Joined!$G484, Schedule!$B:$B, 0), 6)</f>
        <v>185</v>
      </c>
    </row>
    <row r="485" spans="1:13" x14ac:dyDescent="0.2">
      <c r="A485">
        <f>INDEX(PanelInstance!B:D, MATCH(Joined!J485, PanelInstance!D:D, FALSE), 2)</f>
        <v>153000</v>
      </c>
      <c r="B485" t="s">
        <v>291</v>
      </c>
      <c r="C485">
        <f>COUNTIF($D$3:D485, RIGHT(LEFT(A485,4),3))</f>
        <v>17</v>
      </c>
      <c r="D485" t="str">
        <f t="shared" si="38"/>
        <v>530</v>
      </c>
      <c r="E485">
        <f t="shared" si="39"/>
        <v>153017</v>
      </c>
      <c r="F485">
        <f>INDEX(Schedule!$A:$N, MATCH(Joined!$G485, Schedule!$B:$B,0),14)</f>
        <v>15010</v>
      </c>
      <c r="G485" t="s">
        <v>1121</v>
      </c>
      <c r="H485">
        <f>INDEX(VAV_Schedule_5_21[#All], MATCH(Joined!G485, VAV_Schedule_5_21[[#All],[UNIT TAG]], 0), 9)</f>
        <v>11</v>
      </c>
      <c r="I485" t="str">
        <f t="shared" si="36"/>
        <v>WPC.VAV-11W-44</v>
      </c>
      <c r="J485" t="str">
        <f t="shared" si="37"/>
        <v>11W</v>
      </c>
      <c r="L485">
        <f>INDEX(Schedule!$A:$J, MATCH(Joined!$G485, Schedule!$B:$B, 0), 5)</f>
        <v>200</v>
      </c>
      <c r="M485">
        <f>INDEX(Schedule!$A:$J, MATCH(Joined!$G485, Schedule!$B:$B, 0), 6)</f>
        <v>30</v>
      </c>
    </row>
    <row r="486" spans="1:13" x14ac:dyDescent="0.2">
      <c r="A486">
        <f>INDEX(PanelInstance!B:D, MATCH(Joined!J486, PanelInstance!D:D, FALSE), 2)</f>
        <v>153300</v>
      </c>
      <c r="B486" t="s">
        <v>291</v>
      </c>
      <c r="C486">
        <f>COUNTIF($D$3:D486, RIGHT(LEFT(A486,4),3))</f>
        <v>1</v>
      </c>
      <c r="D486" t="str">
        <f t="shared" si="38"/>
        <v>533</v>
      </c>
      <c r="E486">
        <f t="shared" si="39"/>
        <v>153301</v>
      </c>
      <c r="F486">
        <f>INDEX(Schedule!$A:$N, MATCH(Joined!$G486, Schedule!$B:$B,0),14)</f>
        <v>15011</v>
      </c>
      <c r="G486" t="s">
        <v>1122</v>
      </c>
      <c r="H486">
        <f>INDEX(VAV_Schedule_5_21[#All], MATCH(Joined!G486, VAV_Schedule_5_21[[#All],[UNIT TAG]], 0), 9)</f>
        <v>12</v>
      </c>
      <c r="I486" t="str">
        <f t="shared" si="36"/>
        <v>WPC.VAV-12W-1</v>
      </c>
      <c r="J486" t="str">
        <f t="shared" si="37"/>
        <v>12W</v>
      </c>
      <c r="L486">
        <f>INDEX(Schedule!$A:$J, MATCH(Joined!$G486, Schedule!$B:$B, 0), 5)</f>
        <v>990</v>
      </c>
      <c r="M486">
        <f>INDEX(Schedule!$A:$J, MATCH(Joined!$G486, Schedule!$B:$B, 0), 6)</f>
        <v>150</v>
      </c>
    </row>
    <row r="487" spans="1:13" x14ac:dyDescent="0.2">
      <c r="A487">
        <f>INDEX(PanelInstance!B:D, MATCH(Joined!J487, PanelInstance!D:D, FALSE), 2)</f>
        <v>153300</v>
      </c>
      <c r="B487" t="s">
        <v>291</v>
      </c>
      <c r="C487">
        <f>COUNTIF($D$3:D487, RIGHT(LEFT(A487,4),3))</f>
        <v>2</v>
      </c>
      <c r="D487" t="str">
        <f t="shared" si="38"/>
        <v>533</v>
      </c>
      <c r="E487">
        <f t="shared" si="39"/>
        <v>153302</v>
      </c>
      <c r="F487">
        <f>INDEX(Schedule!$A:$N, MATCH(Joined!$G487, Schedule!$B:$B,0),14)</f>
        <v>15011</v>
      </c>
      <c r="G487" t="s">
        <v>1124</v>
      </c>
      <c r="H487">
        <f>INDEX(VAV_Schedule_5_21[#All], MATCH(Joined!G487, VAV_Schedule_5_21[[#All],[UNIT TAG]], 0), 9)</f>
        <v>12</v>
      </c>
      <c r="I487" t="str">
        <f t="shared" si="36"/>
        <v>WPC.VAV-12W-2</v>
      </c>
      <c r="J487" t="str">
        <f t="shared" si="37"/>
        <v>12W</v>
      </c>
      <c r="L487">
        <f>INDEX(Schedule!$A:$J, MATCH(Joined!$G487, Schedule!$B:$B, 0), 5)</f>
        <v>600</v>
      </c>
      <c r="M487">
        <f>INDEX(Schedule!$A:$J, MATCH(Joined!$G487, Schedule!$B:$B, 0), 6)</f>
        <v>90</v>
      </c>
    </row>
    <row r="488" spans="1:13" x14ac:dyDescent="0.2">
      <c r="A488">
        <f>INDEX(PanelInstance!B:D, MATCH(Joined!J488, PanelInstance!D:D, FALSE), 2)</f>
        <v>153300</v>
      </c>
      <c r="B488" t="s">
        <v>291</v>
      </c>
      <c r="C488">
        <f>COUNTIF($D$3:D488, RIGHT(LEFT(A488,4),3))</f>
        <v>3</v>
      </c>
      <c r="D488" t="str">
        <f t="shared" si="38"/>
        <v>533</v>
      </c>
      <c r="E488">
        <f t="shared" si="39"/>
        <v>153303</v>
      </c>
      <c r="F488">
        <f>INDEX(Schedule!$A:$N, MATCH(Joined!$G488, Schedule!$B:$B,0),14)</f>
        <v>15011</v>
      </c>
      <c r="G488" t="s">
        <v>1125</v>
      </c>
      <c r="H488">
        <f>INDEX(VAV_Schedule_5_21[#All], MATCH(Joined!G488, VAV_Schedule_5_21[[#All],[UNIT TAG]], 0), 9)</f>
        <v>12</v>
      </c>
      <c r="I488" t="str">
        <f t="shared" si="36"/>
        <v>WPC.VAV-12W-3</v>
      </c>
      <c r="J488" t="str">
        <f t="shared" si="37"/>
        <v>12W</v>
      </c>
      <c r="L488">
        <f>INDEX(Schedule!$A:$J, MATCH(Joined!$G488, Schedule!$B:$B, 0), 5)</f>
        <v>840</v>
      </c>
      <c r="M488">
        <f>INDEX(Schedule!$A:$J, MATCH(Joined!$G488, Schedule!$B:$B, 0), 6)</f>
        <v>130</v>
      </c>
    </row>
    <row r="489" spans="1:13" x14ac:dyDescent="0.2">
      <c r="A489">
        <f>INDEX(PanelInstance!B:D, MATCH(Joined!J489, PanelInstance!D:D, FALSE), 2)</f>
        <v>153100</v>
      </c>
      <c r="B489" t="s">
        <v>291</v>
      </c>
      <c r="C489">
        <f>COUNTIF($D$3:D489, RIGHT(LEFT(A489,4),3))</f>
        <v>1</v>
      </c>
      <c r="D489" t="str">
        <f t="shared" si="38"/>
        <v>531</v>
      </c>
      <c r="E489">
        <f t="shared" si="39"/>
        <v>153101</v>
      </c>
      <c r="F489">
        <f>INDEX(Schedule!$A:$N, MATCH(Joined!$G489, Schedule!$B:$B,0),14)</f>
        <v>15010</v>
      </c>
      <c r="G489" t="s">
        <v>1126</v>
      </c>
      <c r="H489">
        <f>INDEX(VAV_Schedule_5_21[#All], MATCH(Joined!G489, VAV_Schedule_5_21[[#All],[UNIT TAG]], 0), 9)</f>
        <v>12</v>
      </c>
      <c r="I489" t="str">
        <f t="shared" si="36"/>
        <v>WPC.VAV-12N-4</v>
      </c>
      <c r="J489" t="str">
        <f t="shared" si="37"/>
        <v>12N</v>
      </c>
      <c r="L489">
        <f>INDEX(Schedule!$A:$J, MATCH(Joined!$G489, Schedule!$B:$B, 0), 5)</f>
        <v>1370</v>
      </c>
      <c r="M489">
        <f>INDEX(Schedule!$A:$J, MATCH(Joined!$G489, Schedule!$B:$B, 0), 6)</f>
        <v>210</v>
      </c>
    </row>
    <row r="490" spans="1:13" x14ac:dyDescent="0.2">
      <c r="A490">
        <f>INDEX(PanelInstance!B:D, MATCH(Joined!J490, PanelInstance!D:D, FALSE), 2)</f>
        <v>153100</v>
      </c>
      <c r="B490" t="s">
        <v>291</v>
      </c>
      <c r="C490">
        <f>COUNTIF($D$3:D490, RIGHT(LEFT(A490,4),3))</f>
        <v>2</v>
      </c>
      <c r="D490" t="str">
        <f t="shared" si="38"/>
        <v>531</v>
      </c>
      <c r="E490">
        <f t="shared" si="39"/>
        <v>153102</v>
      </c>
      <c r="F490">
        <f>INDEX(Schedule!$A:$N, MATCH(Joined!$G490, Schedule!$B:$B,0),14)</f>
        <v>15010</v>
      </c>
      <c r="G490" t="s">
        <v>1127</v>
      </c>
      <c r="H490">
        <f>INDEX(VAV_Schedule_5_21[#All], MATCH(Joined!G490, VAV_Schedule_5_21[[#All],[UNIT TAG]], 0), 9)</f>
        <v>12</v>
      </c>
      <c r="I490" t="str">
        <f t="shared" si="36"/>
        <v>WPC.VAV-12N-5</v>
      </c>
      <c r="J490" t="str">
        <f t="shared" si="37"/>
        <v>12N</v>
      </c>
      <c r="L490">
        <f>INDEX(Schedule!$A:$J, MATCH(Joined!$G490, Schedule!$B:$B, 0), 5)</f>
        <v>1075</v>
      </c>
      <c r="M490">
        <f>INDEX(Schedule!$A:$J, MATCH(Joined!$G490, Schedule!$B:$B, 0), 6)</f>
        <v>165</v>
      </c>
    </row>
    <row r="491" spans="1:13" x14ac:dyDescent="0.2">
      <c r="A491">
        <f>INDEX(PanelInstance!B:D, MATCH(Joined!J491, PanelInstance!D:D, FALSE), 2)</f>
        <v>153100</v>
      </c>
      <c r="B491" t="s">
        <v>291</v>
      </c>
      <c r="C491">
        <f>COUNTIF($D$3:D491, RIGHT(LEFT(A491,4),3))</f>
        <v>3</v>
      </c>
      <c r="D491" t="str">
        <f t="shared" si="38"/>
        <v>531</v>
      </c>
      <c r="E491">
        <f t="shared" si="39"/>
        <v>153103</v>
      </c>
      <c r="F491">
        <f>INDEX(Schedule!$A:$N, MATCH(Joined!$G491, Schedule!$B:$B,0),14)</f>
        <v>15010</v>
      </c>
      <c r="G491" t="s">
        <v>1128</v>
      </c>
      <c r="H491">
        <f>INDEX(VAV_Schedule_5_21[#All], MATCH(Joined!G491, VAV_Schedule_5_21[[#All],[UNIT TAG]], 0), 9)</f>
        <v>12</v>
      </c>
      <c r="I491" t="str">
        <f t="shared" si="36"/>
        <v>WPC.VAV-12N-6</v>
      </c>
      <c r="J491" t="str">
        <f t="shared" si="37"/>
        <v>12N</v>
      </c>
      <c r="L491">
        <f>INDEX(Schedule!$A:$J, MATCH(Joined!$G491, Schedule!$B:$B, 0), 5)</f>
        <v>600</v>
      </c>
      <c r="M491">
        <f>INDEX(Schedule!$A:$J, MATCH(Joined!$G491, Schedule!$B:$B, 0), 6)</f>
        <v>90</v>
      </c>
    </row>
    <row r="492" spans="1:13" x14ac:dyDescent="0.2">
      <c r="A492">
        <f>INDEX(PanelInstance!B:D, MATCH(Joined!J492, PanelInstance!D:D, FALSE), 2)</f>
        <v>153100</v>
      </c>
      <c r="B492" t="s">
        <v>291</v>
      </c>
      <c r="C492">
        <f>COUNTIF($D$3:D492, RIGHT(LEFT(A492,4),3))</f>
        <v>4</v>
      </c>
      <c r="D492" t="str">
        <f t="shared" si="38"/>
        <v>531</v>
      </c>
      <c r="E492">
        <f t="shared" si="39"/>
        <v>153104</v>
      </c>
      <c r="F492">
        <f>INDEX(Schedule!$A:$N, MATCH(Joined!$G492, Schedule!$B:$B,0),14)</f>
        <v>15010</v>
      </c>
      <c r="G492" t="s">
        <v>1129</v>
      </c>
      <c r="H492">
        <f>INDEX(VAV_Schedule_5_21[#All], MATCH(Joined!G492, VAV_Schedule_5_21[[#All],[UNIT TAG]], 0), 9)</f>
        <v>12</v>
      </c>
      <c r="I492" t="str">
        <f t="shared" si="36"/>
        <v>WPC.VAV-12N-7</v>
      </c>
      <c r="J492" t="str">
        <f t="shared" si="37"/>
        <v>12N</v>
      </c>
      <c r="L492">
        <f>INDEX(Schedule!$A:$J, MATCH(Joined!$G492, Schedule!$B:$B, 0), 5)</f>
        <v>600</v>
      </c>
      <c r="M492">
        <f>INDEX(Schedule!$A:$J, MATCH(Joined!$G492, Schedule!$B:$B, 0), 6)</f>
        <v>90</v>
      </c>
    </row>
    <row r="493" spans="1:13" x14ac:dyDescent="0.2">
      <c r="A493">
        <f>INDEX(PanelInstance!B:D, MATCH(Joined!J493, PanelInstance!D:D, FALSE), 2)</f>
        <v>153100</v>
      </c>
      <c r="B493" t="s">
        <v>291</v>
      </c>
      <c r="C493">
        <f>COUNTIF($D$3:D493, RIGHT(LEFT(A493,4),3))</f>
        <v>5</v>
      </c>
      <c r="D493" t="str">
        <f t="shared" si="38"/>
        <v>531</v>
      </c>
      <c r="E493">
        <f t="shared" si="39"/>
        <v>153105</v>
      </c>
      <c r="F493">
        <f>INDEX(Schedule!$A:$N, MATCH(Joined!$G493, Schedule!$B:$B,0),14)</f>
        <v>15010</v>
      </c>
      <c r="G493" t="s">
        <v>1130</v>
      </c>
      <c r="H493">
        <f>INDEX(VAV_Schedule_5_21[#All], MATCH(Joined!G493, VAV_Schedule_5_21[[#All],[UNIT TAG]], 0), 9)</f>
        <v>12</v>
      </c>
      <c r="I493" t="str">
        <f t="shared" si="36"/>
        <v>WPC.VAV-12N-8</v>
      </c>
      <c r="J493" t="str">
        <f t="shared" si="37"/>
        <v>12N</v>
      </c>
      <c r="L493">
        <f>INDEX(Schedule!$A:$J, MATCH(Joined!$G493, Schedule!$B:$B, 0), 5)</f>
        <v>1200</v>
      </c>
      <c r="M493">
        <f>INDEX(Schedule!$A:$J, MATCH(Joined!$G493, Schedule!$B:$B, 0), 6)</f>
        <v>180</v>
      </c>
    </row>
    <row r="494" spans="1:13" x14ac:dyDescent="0.2">
      <c r="A494">
        <f>INDEX(PanelInstance!B:D, MATCH(Joined!J494, PanelInstance!D:D, FALSE), 2)</f>
        <v>153100</v>
      </c>
      <c r="B494" t="s">
        <v>291</v>
      </c>
      <c r="C494">
        <f>COUNTIF($D$3:D494, RIGHT(LEFT(A494,4),3))</f>
        <v>6</v>
      </c>
      <c r="D494" t="str">
        <f t="shared" si="38"/>
        <v>531</v>
      </c>
      <c r="E494">
        <f t="shared" si="39"/>
        <v>153106</v>
      </c>
      <c r="F494">
        <f>INDEX(Schedule!$A:$N, MATCH(Joined!$G494, Schedule!$B:$B,0),14)</f>
        <v>15010</v>
      </c>
      <c r="G494" t="s">
        <v>1131</v>
      </c>
      <c r="H494">
        <f>INDEX(VAV_Schedule_5_21[#All], MATCH(Joined!G494, VAV_Schedule_5_21[[#All],[UNIT TAG]], 0), 9)</f>
        <v>12</v>
      </c>
      <c r="I494" t="str">
        <f t="shared" si="36"/>
        <v>WPC.VAV-12N-8A</v>
      </c>
      <c r="J494" t="str">
        <f t="shared" si="37"/>
        <v>12N</v>
      </c>
      <c r="L494">
        <f>INDEX(Schedule!$A:$J, MATCH(Joined!$G494, Schedule!$B:$B, 0), 5)</f>
        <v>550</v>
      </c>
      <c r="M494">
        <f>INDEX(Schedule!$A:$J, MATCH(Joined!$G494, Schedule!$B:$B, 0), 6)</f>
        <v>85</v>
      </c>
    </row>
    <row r="495" spans="1:13" x14ac:dyDescent="0.2">
      <c r="A495">
        <f>INDEX(PanelInstance!B:D, MATCH(Joined!J495, PanelInstance!D:D, FALSE), 2)</f>
        <v>153100</v>
      </c>
      <c r="B495" t="s">
        <v>291</v>
      </c>
      <c r="C495">
        <f>COUNTIF($D$3:D495, RIGHT(LEFT(A495,4),3))</f>
        <v>7</v>
      </c>
      <c r="D495" t="str">
        <f t="shared" si="38"/>
        <v>531</v>
      </c>
      <c r="E495">
        <f t="shared" si="39"/>
        <v>153107</v>
      </c>
      <c r="F495">
        <f>INDEX(Schedule!$A:$N, MATCH(Joined!$G495, Schedule!$B:$B,0),14)</f>
        <v>15010</v>
      </c>
      <c r="G495" t="s">
        <v>1132</v>
      </c>
      <c r="H495">
        <f>INDEX(VAV_Schedule_5_21[#All], MATCH(Joined!G495, VAV_Schedule_5_21[[#All],[UNIT TAG]], 0), 9)</f>
        <v>12</v>
      </c>
      <c r="I495" t="str">
        <f t="shared" si="36"/>
        <v>WPC.VAV-12N-9</v>
      </c>
      <c r="J495" t="str">
        <f t="shared" si="37"/>
        <v>12N</v>
      </c>
      <c r="L495">
        <f>INDEX(Schedule!$A:$J, MATCH(Joined!$G495, Schedule!$B:$B, 0), 5)</f>
        <v>500</v>
      </c>
      <c r="M495">
        <f>INDEX(Schedule!$A:$J, MATCH(Joined!$G495, Schedule!$B:$B, 0), 6)</f>
        <v>75</v>
      </c>
    </row>
    <row r="496" spans="1:13" x14ac:dyDescent="0.2">
      <c r="A496">
        <f>INDEX(PanelInstance!B:D, MATCH(Joined!J496, PanelInstance!D:D, FALSE), 2)</f>
        <v>153100</v>
      </c>
      <c r="B496" t="s">
        <v>291</v>
      </c>
      <c r="C496">
        <f>COUNTIF($D$3:D496, RIGHT(LEFT(A496,4),3))</f>
        <v>8</v>
      </c>
      <c r="D496" t="str">
        <f t="shared" si="38"/>
        <v>531</v>
      </c>
      <c r="E496">
        <f t="shared" si="39"/>
        <v>153108</v>
      </c>
      <c r="F496">
        <f>INDEX(Schedule!$A:$N, MATCH(Joined!$G496, Schedule!$B:$B,0),14)</f>
        <v>15010</v>
      </c>
      <c r="G496" t="s">
        <v>1133</v>
      </c>
      <c r="H496">
        <f>INDEX(VAV_Schedule_5_21[#All], MATCH(Joined!G496, VAV_Schedule_5_21[[#All],[UNIT TAG]], 0), 9)</f>
        <v>12</v>
      </c>
      <c r="I496" t="str">
        <f t="shared" si="36"/>
        <v>WPC.VAV-12N-10</v>
      </c>
      <c r="J496" t="str">
        <f t="shared" si="37"/>
        <v>12N</v>
      </c>
      <c r="L496">
        <f>INDEX(Schedule!$A:$J, MATCH(Joined!$G496, Schedule!$B:$B, 0), 5)</f>
        <v>1340</v>
      </c>
      <c r="M496">
        <f>INDEX(Schedule!$A:$J, MATCH(Joined!$G496, Schedule!$B:$B, 0), 6)</f>
        <v>205</v>
      </c>
    </row>
    <row r="497" spans="1:13" x14ac:dyDescent="0.2">
      <c r="A497">
        <f>INDEX(PanelInstance!B:D, MATCH(Joined!J497, PanelInstance!D:D, FALSE), 2)</f>
        <v>153100</v>
      </c>
      <c r="B497" t="s">
        <v>291</v>
      </c>
      <c r="C497">
        <f>COUNTIF($D$3:D497, RIGHT(LEFT(A497,4),3))</f>
        <v>9</v>
      </c>
      <c r="D497" t="str">
        <f t="shared" si="38"/>
        <v>531</v>
      </c>
      <c r="E497">
        <f t="shared" si="39"/>
        <v>153109</v>
      </c>
      <c r="F497">
        <f>INDEX(Schedule!$A:$N, MATCH(Joined!$G497, Schedule!$B:$B,0),14)</f>
        <v>15010</v>
      </c>
      <c r="G497" t="s">
        <v>1134</v>
      </c>
      <c r="H497">
        <f>INDEX(VAV_Schedule_5_21[#All], MATCH(Joined!G497, VAV_Schedule_5_21[[#All],[UNIT TAG]], 0), 9)</f>
        <v>12</v>
      </c>
      <c r="I497" t="str">
        <f t="shared" si="36"/>
        <v>WPC.VAV-12N-11</v>
      </c>
      <c r="J497" t="str">
        <f t="shared" si="37"/>
        <v>12N</v>
      </c>
      <c r="L497">
        <f>INDEX(Schedule!$A:$J, MATCH(Joined!$G497, Schedule!$B:$B, 0), 5)</f>
        <v>1070</v>
      </c>
      <c r="M497">
        <f>INDEX(Schedule!$A:$J, MATCH(Joined!$G497, Schedule!$B:$B, 0), 6)</f>
        <v>165</v>
      </c>
    </row>
    <row r="498" spans="1:13" x14ac:dyDescent="0.2">
      <c r="A498">
        <f>INDEX(PanelInstance!B:D, MATCH(Joined!J498, PanelInstance!D:D, FALSE), 2)</f>
        <v>153100</v>
      </c>
      <c r="B498" t="s">
        <v>291</v>
      </c>
      <c r="C498">
        <f>COUNTIF($D$3:D498, RIGHT(LEFT(A498,4),3))</f>
        <v>10</v>
      </c>
      <c r="D498" t="str">
        <f t="shared" si="38"/>
        <v>531</v>
      </c>
      <c r="E498">
        <f t="shared" si="39"/>
        <v>153110</v>
      </c>
      <c r="F498">
        <f>INDEX(Schedule!$A:$N, MATCH(Joined!$G498, Schedule!$B:$B,0),14)</f>
        <v>15010</v>
      </c>
      <c r="G498" t="s">
        <v>1135</v>
      </c>
      <c r="H498">
        <f>INDEX(VAV_Schedule_5_21[#All], MATCH(Joined!G498, VAV_Schedule_5_21[[#All],[UNIT TAG]], 0), 9)</f>
        <v>12</v>
      </c>
      <c r="I498" t="str">
        <f t="shared" si="36"/>
        <v>WPC.VAV-12N-12</v>
      </c>
      <c r="J498" t="str">
        <f t="shared" si="37"/>
        <v>12N</v>
      </c>
      <c r="L498">
        <f>INDEX(Schedule!$A:$J, MATCH(Joined!$G498, Schedule!$B:$B, 0), 5)</f>
        <v>1350</v>
      </c>
      <c r="M498">
        <f>INDEX(Schedule!$A:$J, MATCH(Joined!$G498, Schedule!$B:$B, 0), 6)</f>
        <v>205</v>
      </c>
    </row>
    <row r="499" spans="1:13" x14ac:dyDescent="0.2">
      <c r="A499">
        <f>INDEX(PanelInstance!B:D, MATCH(Joined!J499, PanelInstance!D:D, FALSE), 2)</f>
        <v>153200</v>
      </c>
      <c r="B499" t="s">
        <v>291</v>
      </c>
      <c r="C499">
        <f>COUNTIF($D$3:D499, RIGHT(LEFT(A499,4),3))</f>
        <v>1</v>
      </c>
      <c r="D499" t="str">
        <f t="shared" si="38"/>
        <v>532</v>
      </c>
      <c r="E499">
        <f t="shared" si="39"/>
        <v>153201</v>
      </c>
      <c r="F499">
        <f>INDEX(Schedule!$A:$N, MATCH(Joined!$G499, Schedule!$B:$B,0),14)</f>
        <v>15011</v>
      </c>
      <c r="G499" t="s">
        <v>1136</v>
      </c>
      <c r="H499">
        <f>INDEX(VAV_Schedule_5_21[#All], MATCH(Joined!G499, VAV_Schedule_5_21[[#All],[UNIT TAG]], 0), 9)</f>
        <v>12</v>
      </c>
      <c r="I499" t="str">
        <f t="shared" si="36"/>
        <v>WPC.VAV-12E-13</v>
      </c>
      <c r="J499" t="str">
        <f t="shared" si="37"/>
        <v>12E</v>
      </c>
      <c r="L499">
        <f>INDEX(Schedule!$A:$J, MATCH(Joined!$G499, Schedule!$B:$B, 0), 5)</f>
        <v>840</v>
      </c>
      <c r="M499">
        <f>INDEX(Schedule!$A:$J, MATCH(Joined!$G499, Schedule!$B:$B, 0), 6)</f>
        <v>130</v>
      </c>
    </row>
    <row r="500" spans="1:13" x14ac:dyDescent="0.2">
      <c r="A500">
        <f>INDEX(PanelInstance!B:D, MATCH(Joined!J500, PanelInstance!D:D, FALSE), 2)</f>
        <v>153200</v>
      </c>
      <c r="B500" t="s">
        <v>291</v>
      </c>
      <c r="C500">
        <f>COUNTIF($D$3:D500, RIGHT(LEFT(A500,4),3))</f>
        <v>2</v>
      </c>
      <c r="D500" t="str">
        <f t="shared" si="38"/>
        <v>532</v>
      </c>
      <c r="E500">
        <f t="shared" si="39"/>
        <v>153202</v>
      </c>
      <c r="F500">
        <f>INDEX(Schedule!$A:$N, MATCH(Joined!$G500, Schedule!$B:$B,0),14)</f>
        <v>15011</v>
      </c>
      <c r="G500" t="s">
        <v>1137</v>
      </c>
      <c r="H500">
        <f>INDEX(VAV_Schedule_5_21[#All], MATCH(Joined!G500, VAV_Schedule_5_21[[#All],[UNIT TAG]], 0), 9)</f>
        <v>12</v>
      </c>
      <c r="I500" t="str">
        <f t="shared" si="36"/>
        <v>WPC.VAV-12E-14</v>
      </c>
      <c r="J500" t="str">
        <f t="shared" si="37"/>
        <v>12E</v>
      </c>
      <c r="L500">
        <f>INDEX(Schedule!$A:$J, MATCH(Joined!$G500, Schedule!$B:$B, 0), 5)</f>
        <v>640</v>
      </c>
      <c r="M500">
        <f>INDEX(Schedule!$A:$J, MATCH(Joined!$G500, Schedule!$B:$B, 0), 6)</f>
        <v>100</v>
      </c>
    </row>
    <row r="501" spans="1:13" x14ac:dyDescent="0.2">
      <c r="A501">
        <f>INDEX(PanelInstance!B:D, MATCH(Joined!J501, PanelInstance!D:D, FALSE), 2)</f>
        <v>153200</v>
      </c>
      <c r="B501" t="s">
        <v>291</v>
      </c>
      <c r="C501">
        <f>COUNTIF($D$3:D501, RIGHT(LEFT(A501,4),3))</f>
        <v>3</v>
      </c>
      <c r="D501" t="str">
        <f t="shared" si="38"/>
        <v>532</v>
      </c>
      <c r="E501">
        <f t="shared" si="39"/>
        <v>153203</v>
      </c>
      <c r="F501">
        <f>INDEX(Schedule!$A:$N, MATCH(Joined!$G501, Schedule!$B:$B,0),14)</f>
        <v>15011</v>
      </c>
      <c r="G501" t="s">
        <v>1138</v>
      </c>
      <c r="H501">
        <f>INDEX(VAV_Schedule_5_21[#All], MATCH(Joined!G501, VAV_Schedule_5_21[[#All],[UNIT TAG]], 0), 9)</f>
        <v>12</v>
      </c>
      <c r="I501" t="str">
        <f t="shared" si="36"/>
        <v>WPC.VAV-12E-15</v>
      </c>
      <c r="J501" t="str">
        <f t="shared" si="37"/>
        <v>12E</v>
      </c>
      <c r="L501">
        <f>INDEX(Schedule!$A:$J, MATCH(Joined!$G501, Schedule!$B:$B, 0), 5)</f>
        <v>1100</v>
      </c>
      <c r="M501">
        <f>INDEX(Schedule!$A:$J, MATCH(Joined!$G501, Schedule!$B:$B, 0), 6)</f>
        <v>165</v>
      </c>
    </row>
    <row r="502" spans="1:13" x14ac:dyDescent="0.2">
      <c r="A502">
        <f>INDEX(PanelInstance!B:D, MATCH(Joined!J502, PanelInstance!D:D, FALSE), 2)</f>
        <v>153200</v>
      </c>
      <c r="B502" t="s">
        <v>291</v>
      </c>
      <c r="C502">
        <f>COUNTIF($D$3:D502, RIGHT(LEFT(A502,4),3))</f>
        <v>4</v>
      </c>
      <c r="D502" t="str">
        <f t="shared" si="38"/>
        <v>532</v>
      </c>
      <c r="E502">
        <f t="shared" si="39"/>
        <v>153204</v>
      </c>
      <c r="F502">
        <f>INDEX(Schedule!$A:$N, MATCH(Joined!$G502, Schedule!$B:$B,0),14)</f>
        <v>15011</v>
      </c>
      <c r="G502" t="s">
        <v>1139</v>
      </c>
      <c r="H502">
        <f>INDEX(VAV_Schedule_5_21[#All], MATCH(Joined!G502, VAV_Schedule_5_21[[#All],[UNIT TAG]], 0), 9)</f>
        <v>12</v>
      </c>
      <c r="I502" t="str">
        <f t="shared" si="36"/>
        <v>WPC.VAV-12E-16</v>
      </c>
      <c r="J502" t="str">
        <f t="shared" si="37"/>
        <v>12E</v>
      </c>
      <c r="L502">
        <f>INDEX(Schedule!$A:$J, MATCH(Joined!$G502, Schedule!$B:$B, 0), 5)</f>
        <v>600</v>
      </c>
      <c r="M502">
        <f>INDEX(Schedule!$A:$J, MATCH(Joined!$G502, Schedule!$B:$B, 0), 6)</f>
        <v>90</v>
      </c>
    </row>
    <row r="503" spans="1:13" x14ac:dyDescent="0.2">
      <c r="A503">
        <f>INDEX(PanelInstance!B:D, MATCH(Joined!J503, PanelInstance!D:D, FALSE), 2)</f>
        <v>153200</v>
      </c>
      <c r="B503" t="s">
        <v>291</v>
      </c>
      <c r="C503">
        <f>COUNTIF($D$3:D503, RIGHT(LEFT(A503,4),3))</f>
        <v>5</v>
      </c>
      <c r="D503" t="str">
        <f t="shared" si="38"/>
        <v>532</v>
      </c>
      <c r="E503">
        <f t="shared" si="39"/>
        <v>153205</v>
      </c>
      <c r="F503">
        <f>INDEX(Schedule!$A:$N, MATCH(Joined!$G503, Schedule!$B:$B,0),14)</f>
        <v>15010</v>
      </c>
      <c r="G503" t="s">
        <v>1140</v>
      </c>
      <c r="H503">
        <f>INDEX(VAV_Schedule_5_21[#All], MATCH(Joined!G503, VAV_Schedule_5_21[[#All],[UNIT TAG]], 0), 9)</f>
        <v>12</v>
      </c>
      <c r="I503" t="str">
        <f t="shared" si="36"/>
        <v>WPC.VAV-12E-17</v>
      </c>
      <c r="J503" t="str">
        <f t="shared" si="37"/>
        <v>12E</v>
      </c>
      <c r="L503">
        <f>INDEX(Schedule!$A:$J, MATCH(Joined!$G503, Schedule!$B:$B, 0), 5)</f>
        <v>200</v>
      </c>
      <c r="M503">
        <f>INDEX(Schedule!$A:$J, MATCH(Joined!$G503, Schedule!$B:$B, 0), 6)</f>
        <v>30</v>
      </c>
    </row>
    <row r="504" spans="1:13" x14ac:dyDescent="0.2">
      <c r="A504">
        <f>INDEX(PanelInstance!B:D, MATCH(Joined!J504, PanelInstance!D:D, FALSE), 2)</f>
        <v>153200</v>
      </c>
      <c r="B504" t="s">
        <v>291</v>
      </c>
      <c r="C504">
        <f>COUNTIF($D$3:D504, RIGHT(LEFT(A504,4),3))</f>
        <v>6</v>
      </c>
      <c r="D504" t="str">
        <f t="shared" si="38"/>
        <v>532</v>
      </c>
      <c r="E504">
        <f t="shared" si="39"/>
        <v>153206</v>
      </c>
      <c r="F504">
        <f>INDEX(Schedule!$A:$N, MATCH(Joined!$G504, Schedule!$B:$B,0),14)</f>
        <v>15010</v>
      </c>
      <c r="G504" t="s">
        <v>1141</v>
      </c>
      <c r="H504">
        <f>INDEX(VAV_Schedule_5_21[#All], MATCH(Joined!G504, VAV_Schedule_5_21[[#All],[UNIT TAG]], 0), 9)</f>
        <v>12</v>
      </c>
      <c r="I504" t="str">
        <f t="shared" si="36"/>
        <v>WPC.VAV-12E-18</v>
      </c>
      <c r="J504" t="str">
        <f t="shared" si="37"/>
        <v>12E</v>
      </c>
      <c r="L504">
        <f>INDEX(Schedule!$A:$J, MATCH(Joined!$G504, Schedule!$B:$B, 0), 5)</f>
        <v>700</v>
      </c>
      <c r="M504">
        <f>INDEX(Schedule!$A:$J, MATCH(Joined!$G504, Schedule!$B:$B, 0), 6)</f>
        <v>105</v>
      </c>
    </row>
    <row r="505" spans="1:13" x14ac:dyDescent="0.2">
      <c r="A505">
        <f>INDEX(PanelInstance!B:D, MATCH(Joined!J505, PanelInstance!D:D, FALSE), 2)</f>
        <v>153200</v>
      </c>
      <c r="B505" t="s">
        <v>291</v>
      </c>
      <c r="C505">
        <f>COUNTIF($D$3:D505, RIGHT(LEFT(A505,4),3))</f>
        <v>7</v>
      </c>
      <c r="D505" t="str">
        <f t="shared" si="38"/>
        <v>532</v>
      </c>
      <c r="E505">
        <f t="shared" si="39"/>
        <v>153207</v>
      </c>
      <c r="F505">
        <f>INDEX(Schedule!$A:$N, MATCH(Joined!$G505, Schedule!$B:$B,0),14)</f>
        <v>15011</v>
      </c>
      <c r="G505" t="s">
        <v>1142</v>
      </c>
      <c r="H505">
        <f>INDEX(VAV_Schedule_5_21[#All], MATCH(Joined!G505, VAV_Schedule_5_21[[#All],[UNIT TAG]], 0), 9)</f>
        <v>12</v>
      </c>
      <c r="I505" t="str">
        <f t="shared" si="36"/>
        <v>WPC.VAV-12E-19</v>
      </c>
      <c r="J505" t="str">
        <f t="shared" si="37"/>
        <v>12E</v>
      </c>
      <c r="L505">
        <f>INDEX(Schedule!$A:$J, MATCH(Joined!$G505, Schedule!$B:$B, 0), 5)</f>
        <v>700</v>
      </c>
      <c r="M505">
        <f>INDEX(Schedule!$A:$J, MATCH(Joined!$G505, Schedule!$B:$B, 0), 6)</f>
        <v>105</v>
      </c>
    </row>
    <row r="506" spans="1:13" x14ac:dyDescent="0.2">
      <c r="A506">
        <f>INDEX(PanelInstance!B:D, MATCH(Joined!J506, PanelInstance!D:D, FALSE), 2)</f>
        <v>153200</v>
      </c>
      <c r="B506" t="s">
        <v>291</v>
      </c>
      <c r="C506">
        <f>COUNTIF($D$3:D506, RIGHT(LEFT(A506,4),3))</f>
        <v>8</v>
      </c>
      <c r="D506" t="str">
        <f t="shared" si="38"/>
        <v>532</v>
      </c>
      <c r="E506">
        <f t="shared" si="39"/>
        <v>153208</v>
      </c>
      <c r="F506">
        <f>INDEX(Schedule!$A:$N, MATCH(Joined!$G506, Schedule!$B:$B,0),14)</f>
        <v>15011</v>
      </c>
      <c r="G506" t="s">
        <v>1143</v>
      </c>
      <c r="H506">
        <f>INDEX(VAV_Schedule_5_21[#All], MATCH(Joined!G506, VAV_Schedule_5_21[[#All],[UNIT TAG]], 0), 9)</f>
        <v>12</v>
      </c>
      <c r="I506" t="str">
        <f t="shared" si="36"/>
        <v>WPC.VAV-12E-20</v>
      </c>
      <c r="J506" t="str">
        <f t="shared" si="37"/>
        <v>12E</v>
      </c>
      <c r="L506">
        <f>INDEX(Schedule!$A:$J, MATCH(Joined!$G506, Schedule!$B:$B, 0), 5)</f>
        <v>840</v>
      </c>
      <c r="M506">
        <f>INDEX(Schedule!$A:$J, MATCH(Joined!$G506, Schedule!$B:$B, 0), 6)</f>
        <v>130</v>
      </c>
    </row>
    <row r="507" spans="1:13" x14ac:dyDescent="0.2">
      <c r="A507">
        <f>INDEX(PanelInstance!B:D, MATCH(Joined!J507, PanelInstance!D:D, FALSE), 2)</f>
        <v>153200</v>
      </c>
      <c r="B507" t="s">
        <v>291</v>
      </c>
      <c r="C507">
        <f>COUNTIF($D$3:D507, RIGHT(LEFT(A507,4),3))</f>
        <v>9</v>
      </c>
      <c r="D507" t="str">
        <f t="shared" si="38"/>
        <v>532</v>
      </c>
      <c r="E507">
        <f t="shared" si="39"/>
        <v>153209</v>
      </c>
      <c r="F507">
        <f>INDEX(Schedule!$A:$N, MATCH(Joined!$G507, Schedule!$B:$B,0),14)</f>
        <v>15010</v>
      </c>
      <c r="G507" t="s">
        <v>1144</v>
      </c>
      <c r="H507">
        <f>INDEX(VAV_Schedule_5_21[#All], MATCH(Joined!G507, VAV_Schedule_5_21[[#All],[UNIT TAG]], 0), 9)</f>
        <v>12</v>
      </c>
      <c r="I507" t="str">
        <f t="shared" si="36"/>
        <v>WPC.VAV-12E-21</v>
      </c>
      <c r="J507" t="str">
        <f t="shared" si="37"/>
        <v>12E</v>
      </c>
      <c r="L507">
        <f>INDEX(Schedule!$A:$J, MATCH(Joined!$G507, Schedule!$B:$B, 0), 5)</f>
        <v>350</v>
      </c>
      <c r="M507">
        <f>INDEX(Schedule!$A:$J, MATCH(Joined!$G507, Schedule!$B:$B, 0), 6)</f>
        <v>55</v>
      </c>
    </row>
    <row r="508" spans="1:13" x14ac:dyDescent="0.2">
      <c r="A508">
        <f>INDEX(PanelInstance!B:D, MATCH(Joined!J508, PanelInstance!D:D, FALSE), 2)</f>
        <v>153200</v>
      </c>
      <c r="B508" t="s">
        <v>291</v>
      </c>
      <c r="C508">
        <f>COUNTIF($D$3:D508, RIGHT(LEFT(A508,4),3))</f>
        <v>10</v>
      </c>
      <c r="D508" t="str">
        <f t="shared" si="38"/>
        <v>532</v>
      </c>
      <c r="E508">
        <f t="shared" si="39"/>
        <v>153210</v>
      </c>
      <c r="F508">
        <f>INDEX(Schedule!$A:$N, MATCH(Joined!$G508, Schedule!$B:$B,0),14)</f>
        <v>15010</v>
      </c>
      <c r="G508" t="s">
        <v>1145</v>
      </c>
      <c r="H508">
        <f>INDEX(VAV_Schedule_5_21[#All], MATCH(Joined!G508, VAV_Schedule_5_21[[#All],[UNIT TAG]], 0), 9)</f>
        <v>12</v>
      </c>
      <c r="I508" t="str">
        <f t="shared" si="36"/>
        <v>WPC.VAV-12E-22</v>
      </c>
      <c r="J508" t="str">
        <f t="shared" si="37"/>
        <v>12E</v>
      </c>
      <c r="L508">
        <f>INDEX(Schedule!$A:$J, MATCH(Joined!$G508, Schedule!$B:$B, 0), 5)</f>
        <v>185</v>
      </c>
      <c r="M508">
        <f>INDEX(Schedule!$A:$J, MATCH(Joined!$G508, Schedule!$B:$B, 0), 6)</f>
        <v>30</v>
      </c>
    </row>
    <row r="509" spans="1:13" x14ac:dyDescent="0.2">
      <c r="A509">
        <f>INDEX(PanelInstance!B:D, MATCH(Joined!J509, PanelInstance!D:D, FALSE), 2)</f>
        <v>153200</v>
      </c>
      <c r="B509" t="s">
        <v>291</v>
      </c>
      <c r="C509">
        <f>COUNTIF($D$3:D509, RIGHT(LEFT(A509,4),3))</f>
        <v>11</v>
      </c>
      <c r="D509" t="str">
        <f t="shared" si="38"/>
        <v>532</v>
      </c>
      <c r="E509">
        <f t="shared" si="39"/>
        <v>153211</v>
      </c>
      <c r="F509">
        <f>INDEX(Schedule!$A:$N, MATCH(Joined!$G509, Schedule!$B:$B,0),14)</f>
        <v>15011</v>
      </c>
      <c r="G509" t="s">
        <v>1146</v>
      </c>
      <c r="H509">
        <f>INDEX(VAV_Schedule_5_21[#All], MATCH(Joined!G509, VAV_Schedule_5_21[[#All],[UNIT TAG]], 0), 9)</f>
        <v>12</v>
      </c>
      <c r="I509" t="str">
        <f t="shared" si="36"/>
        <v>WPC.VAV-12E-23</v>
      </c>
      <c r="J509" t="str">
        <f t="shared" si="37"/>
        <v>12E</v>
      </c>
      <c r="L509">
        <f>INDEX(Schedule!$A:$J, MATCH(Joined!$G509, Schedule!$B:$B, 0), 5)</f>
        <v>630</v>
      </c>
      <c r="M509">
        <f>INDEX(Schedule!$A:$J, MATCH(Joined!$G509, Schedule!$B:$B, 0), 6)</f>
        <v>95</v>
      </c>
    </row>
    <row r="510" spans="1:13" x14ac:dyDescent="0.2">
      <c r="A510">
        <f>INDEX(PanelInstance!B:D, MATCH(Joined!J510, PanelInstance!D:D, FALSE), 2)</f>
        <v>153200</v>
      </c>
      <c r="B510" t="s">
        <v>291</v>
      </c>
      <c r="C510">
        <f>COUNTIF($D$3:D510, RIGHT(LEFT(A510,4),3))</f>
        <v>12</v>
      </c>
      <c r="D510" t="str">
        <f t="shared" si="38"/>
        <v>532</v>
      </c>
      <c r="E510">
        <f t="shared" si="39"/>
        <v>153212</v>
      </c>
      <c r="F510">
        <f>INDEX(Schedule!$A:$N, MATCH(Joined!$G510, Schedule!$B:$B,0),14)</f>
        <v>15011</v>
      </c>
      <c r="G510" t="s">
        <v>1147</v>
      </c>
      <c r="H510">
        <f>INDEX(VAV_Schedule_5_21[#All], MATCH(Joined!G510, VAV_Schedule_5_21[[#All],[UNIT TAG]], 0), 9)</f>
        <v>12</v>
      </c>
      <c r="I510" t="str">
        <f t="shared" si="36"/>
        <v>WPC.VAV-12E-24</v>
      </c>
      <c r="J510" t="str">
        <f t="shared" si="37"/>
        <v>12E</v>
      </c>
      <c r="L510">
        <f>INDEX(Schedule!$A:$J, MATCH(Joined!$G510, Schedule!$B:$B, 0), 5)</f>
        <v>700</v>
      </c>
      <c r="M510">
        <f>INDEX(Schedule!$A:$J, MATCH(Joined!$G510, Schedule!$B:$B, 0), 6)</f>
        <v>105</v>
      </c>
    </row>
    <row r="511" spans="1:13" x14ac:dyDescent="0.2">
      <c r="A511">
        <f>INDEX(PanelInstance!B:D, MATCH(Joined!J511, PanelInstance!D:D, FALSE), 2)</f>
        <v>153200</v>
      </c>
      <c r="B511" t="s">
        <v>291</v>
      </c>
      <c r="C511">
        <f>COUNTIF($D$3:D511, RIGHT(LEFT(A511,4),3))</f>
        <v>13</v>
      </c>
      <c r="D511" t="str">
        <f t="shared" si="38"/>
        <v>532</v>
      </c>
      <c r="E511">
        <f t="shared" si="39"/>
        <v>153213</v>
      </c>
      <c r="F511">
        <f>INDEX(Schedule!$A:$N, MATCH(Joined!$G511, Schedule!$B:$B,0),14)</f>
        <v>15011</v>
      </c>
      <c r="G511" t="s">
        <v>1148</v>
      </c>
      <c r="H511">
        <f>INDEX(VAV_Schedule_5_21[#All], MATCH(Joined!G511, VAV_Schedule_5_21[[#All],[UNIT TAG]], 0), 9)</f>
        <v>12</v>
      </c>
      <c r="I511" t="str">
        <f t="shared" si="36"/>
        <v>WPC.VAV-12E-25</v>
      </c>
      <c r="J511" t="str">
        <f t="shared" si="37"/>
        <v>12E</v>
      </c>
      <c r="L511">
        <f>INDEX(Schedule!$A:$J, MATCH(Joined!$G511, Schedule!$B:$B, 0), 5)</f>
        <v>1100</v>
      </c>
      <c r="M511">
        <f>INDEX(Schedule!$A:$J, MATCH(Joined!$G511, Schedule!$B:$B, 0), 6)</f>
        <v>165</v>
      </c>
    </row>
    <row r="512" spans="1:13" x14ac:dyDescent="0.2">
      <c r="A512">
        <f>INDEX(PanelInstance!B:D, MATCH(Joined!J512, PanelInstance!D:D, FALSE), 2)</f>
        <v>153200</v>
      </c>
      <c r="B512" t="s">
        <v>291</v>
      </c>
      <c r="C512">
        <f>COUNTIF($D$3:D512, RIGHT(LEFT(A512,4),3))</f>
        <v>14</v>
      </c>
      <c r="D512" t="str">
        <f t="shared" si="38"/>
        <v>532</v>
      </c>
      <c r="E512">
        <f t="shared" si="39"/>
        <v>153214</v>
      </c>
      <c r="F512">
        <f>INDEX(Schedule!$A:$N, MATCH(Joined!$G512, Schedule!$B:$B,0),14)</f>
        <v>15011</v>
      </c>
      <c r="G512" t="s">
        <v>1149</v>
      </c>
      <c r="H512">
        <f>INDEX(VAV_Schedule_5_21[#All], MATCH(Joined!G512, VAV_Schedule_5_21[[#All],[UNIT TAG]], 0), 9)</f>
        <v>12</v>
      </c>
      <c r="I512" t="str">
        <f t="shared" si="36"/>
        <v>WPC.VAV-12E-26</v>
      </c>
      <c r="J512" t="str">
        <f t="shared" si="37"/>
        <v>12E</v>
      </c>
      <c r="L512">
        <f>INDEX(Schedule!$A:$J, MATCH(Joined!$G512, Schedule!$B:$B, 0), 5)</f>
        <v>700</v>
      </c>
      <c r="M512">
        <f>INDEX(Schedule!$A:$J, MATCH(Joined!$G512, Schedule!$B:$B, 0), 6)</f>
        <v>105</v>
      </c>
    </row>
    <row r="513" spans="1:13" x14ac:dyDescent="0.2">
      <c r="A513">
        <f>INDEX(PanelInstance!B:D, MATCH(Joined!J513, PanelInstance!D:D, FALSE), 2)</f>
        <v>153200</v>
      </c>
      <c r="B513" t="s">
        <v>291</v>
      </c>
      <c r="C513">
        <f>COUNTIF($D$3:D513, RIGHT(LEFT(A513,4),3))</f>
        <v>15</v>
      </c>
      <c r="D513" t="str">
        <f t="shared" si="38"/>
        <v>532</v>
      </c>
      <c r="E513">
        <f t="shared" si="39"/>
        <v>153215</v>
      </c>
      <c r="F513">
        <f>INDEX(Schedule!$A:$N, MATCH(Joined!$G513, Schedule!$B:$B,0),14)</f>
        <v>15010</v>
      </c>
      <c r="G513" t="s">
        <v>1150</v>
      </c>
      <c r="H513">
        <f>INDEX(VAV_Schedule_5_21[#All], MATCH(Joined!G513, VAV_Schedule_5_21[[#All],[UNIT TAG]], 0), 9)</f>
        <v>12</v>
      </c>
      <c r="I513" t="str">
        <f t="shared" si="36"/>
        <v>WPC.VAV-12E-27</v>
      </c>
      <c r="J513" t="str">
        <f t="shared" si="37"/>
        <v>12E</v>
      </c>
      <c r="L513">
        <f>INDEX(Schedule!$A:$J, MATCH(Joined!$G513, Schedule!$B:$B, 0), 5)</f>
        <v>1300</v>
      </c>
      <c r="M513">
        <f>INDEX(Schedule!$A:$J, MATCH(Joined!$G513, Schedule!$B:$B, 0), 6)</f>
        <v>195</v>
      </c>
    </row>
    <row r="514" spans="1:13" x14ac:dyDescent="0.2">
      <c r="A514">
        <f>INDEX(PanelInstance!B:D, MATCH(Joined!J514, PanelInstance!D:D, FALSE), 2)</f>
        <v>153200</v>
      </c>
      <c r="B514" t="s">
        <v>291</v>
      </c>
      <c r="C514">
        <f>COUNTIF($D$3:D514, RIGHT(LEFT(A514,4),3))</f>
        <v>16</v>
      </c>
      <c r="D514" t="str">
        <f t="shared" si="38"/>
        <v>532</v>
      </c>
      <c r="E514">
        <f t="shared" si="39"/>
        <v>153216</v>
      </c>
      <c r="F514">
        <f>INDEX(Schedule!$A:$N, MATCH(Joined!$G514, Schedule!$B:$B,0),14)</f>
        <v>15010</v>
      </c>
      <c r="G514" t="s">
        <v>1151</v>
      </c>
      <c r="H514">
        <f>INDEX(VAV_Schedule_5_21[#All], MATCH(Joined!G514, VAV_Schedule_5_21[[#All],[UNIT TAG]], 0), 9)</f>
        <v>12</v>
      </c>
      <c r="I514" t="str">
        <f t="shared" si="36"/>
        <v>WPC.VAV-12E-28</v>
      </c>
      <c r="J514" t="str">
        <f t="shared" si="37"/>
        <v>12E</v>
      </c>
      <c r="L514">
        <f>INDEX(Schedule!$A:$J, MATCH(Joined!$G514, Schedule!$B:$B, 0), 5)</f>
        <v>1100</v>
      </c>
      <c r="M514">
        <f>INDEX(Schedule!$A:$J, MATCH(Joined!$G514, Schedule!$B:$B, 0), 6)</f>
        <v>165</v>
      </c>
    </row>
    <row r="515" spans="1:13" x14ac:dyDescent="0.2">
      <c r="A515">
        <f>INDEX(PanelInstance!B:D, MATCH(Joined!J515, PanelInstance!D:D, FALSE), 2)</f>
        <v>153200</v>
      </c>
      <c r="B515" t="s">
        <v>291</v>
      </c>
      <c r="C515">
        <f>COUNTIF($D$3:D515, RIGHT(LEFT(A515,4),3))</f>
        <v>17</v>
      </c>
      <c r="D515" t="str">
        <f t="shared" si="38"/>
        <v>532</v>
      </c>
      <c r="E515">
        <f t="shared" si="39"/>
        <v>153217</v>
      </c>
      <c r="F515">
        <f>INDEX(Schedule!$A:$N, MATCH(Joined!$G515, Schedule!$B:$B,0),14)</f>
        <v>15010</v>
      </c>
      <c r="G515" t="s">
        <v>1152</v>
      </c>
      <c r="H515">
        <f>INDEX(VAV_Schedule_5_21[#All], MATCH(Joined!G515, VAV_Schedule_5_21[[#All],[UNIT TAG]], 0), 9)</f>
        <v>12</v>
      </c>
      <c r="I515" t="str">
        <f t="shared" ref="I515:I572" si="40">"WPC." &amp; G515</f>
        <v>WPC.VAV-12E-29</v>
      </c>
      <c r="J515" t="str">
        <f t="shared" si="37"/>
        <v>12E</v>
      </c>
      <c r="L515">
        <f>INDEX(Schedule!$A:$J, MATCH(Joined!$G515, Schedule!$B:$B, 0), 5)</f>
        <v>1600</v>
      </c>
      <c r="M515">
        <f>INDEX(Schedule!$A:$J, MATCH(Joined!$G515, Schedule!$B:$B, 0), 6)</f>
        <v>240</v>
      </c>
    </row>
    <row r="516" spans="1:13" x14ac:dyDescent="0.2">
      <c r="A516">
        <f>INDEX(PanelInstance!B:D, MATCH(Joined!J516, PanelInstance!D:D, FALSE), 2)</f>
        <v>153200</v>
      </c>
      <c r="B516" t="s">
        <v>291</v>
      </c>
      <c r="C516">
        <f>COUNTIF($D$3:D516, RIGHT(LEFT(A516,4),3))</f>
        <v>18</v>
      </c>
      <c r="D516" t="str">
        <f t="shared" si="38"/>
        <v>532</v>
      </c>
      <c r="E516">
        <f t="shared" si="39"/>
        <v>153218</v>
      </c>
      <c r="F516">
        <f>INDEX(Schedule!$A:$N, MATCH(Joined!$G516, Schedule!$B:$B,0),14)</f>
        <v>15011</v>
      </c>
      <c r="G516" t="s">
        <v>1153</v>
      </c>
      <c r="H516">
        <f>INDEX(VAV_Schedule_5_21[#All], MATCH(Joined!G516, VAV_Schedule_5_21[[#All],[UNIT TAG]], 0), 9)</f>
        <v>12</v>
      </c>
      <c r="I516" t="str">
        <f t="shared" si="40"/>
        <v>WPC.VAV-12E-30</v>
      </c>
      <c r="J516" t="str">
        <f t="shared" ref="J516:J572" si="41">LEFT(RIGHT($G516, LEN($G516) - FIND("-", $G516)), FIND("-", RIGHT($G516, LEN($G516) - FIND("-", $G516)))-1)</f>
        <v>12E</v>
      </c>
      <c r="L516">
        <f>INDEX(Schedule!$A:$J, MATCH(Joined!$G516, Schedule!$B:$B, 0), 5)</f>
        <v>800</v>
      </c>
      <c r="M516">
        <f>INDEX(Schedule!$A:$J, MATCH(Joined!$G516, Schedule!$B:$B, 0), 6)</f>
        <v>120</v>
      </c>
    </row>
    <row r="517" spans="1:13" x14ac:dyDescent="0.2">
      <c r="A517">
        <f>INDEX(PanelInstance!B:D, MATCH(Joined!J517, PanelInstance!D:D, FALSE), 2)</f>
        <v>153200</v>
      </c>
      <c r="B517" t="s">
        <v>291</v>
      </c>
      <c r="C517">
        <f>COUNTIF($D$3:D517, RIGHT(LEFT(A517,4),3))</f>
        <v>19</v>
      </c>
      <c r="D517" t="str">
        <f t="shared" si="38"/>
        <v>532</v>
      </c>
      <c r="E517">
        <f t="shared" si="39"/>
        <v>153219</v>
      </c>
      <c r="F517">
        <f>INDEX(Schedule!$A:$N, MATCH(Joined!$G517, Schedule!$B:$B,0),14)</f>
        <v>15011</v>
      </c>
      <c r="G517" t="s">
        <v>1154</v>
      </c>
      <c r="H517">
        <f>INDEX(VAV_Schedule_5_21[#All], MATCH(Joined!G517, VAV_Schedule_5_21[[#All],[UNIT TAG]], 0), 9)</f>
        <v>12</v>
      </c>
      <c r="I517" t="str">
        <f t="shared" si="40"/>
        <v>WPC.VAV-12E-31</v>
      </c>
      <c r="J517" t="str">
        <f t="shared" si="41"/>
        <v>12E</v>
      </c>
      <c r="L517">
        <f>INDEX(Schedule!$A:$J, MATCH(Joined!$G517, Schedule!$B:$B, 0), 5)</f>
        <v>1400</v>
      </c>
      <c r="M517">
        <f>INDEX(Schedule!$A:$J, MATCH(Joined!$G517, Schedule!$B:$B, 0), 6)</f>
        <v>210</v>
      </c>
    </row>
    <row r="518" spans="1:13" x14ac:dyDescent="0.2">
      <c r="A518">
        <f>INDEX(PanelInstance!B:D, MATCH(Joined!J518, PanelInstance!D:D, FALSE), 2)</f>
        <v>153300</v>
      </c>
      <c r="B518" t="s">
        <v>291</v>
      </c>
      <c r="C518">
        <f>COUNTIF($D$3:D518, RIGHT(LEFT(A518,4),3))</f>
        <v>4</v>
      </c>
      <c r="D518" t="str">
        <f t="shared" si="38"/>
        <v>533</v>
      </c>
      <c r="E518">
        <f t="shared" si="39"/>
        <v>153304</v>
      </c>
      <c r="F518">
        <f>INDEX(Schedule!$A:$N, MATCH(Joined!$G518, Schedule!$B:$B,0),14)</f>
        <v>15010</v>
      </c>
      <c r="G518" t="s">
        <v>1155</v>
      </c>
      <c r="H518">
        <f>INDEX(VAV_Schedule_5_21[#All], MATCH(Joined!G518, VAV_Schedule_5_21[[#All],[UNIT TAG]], 0), 9)</f>
        <v>12</v>
      </c>
      <c r="I518" t="str">
        <f t="shared" si="40"/>
        <v>WPC.VAV-12W-32</v>
      </c>
      <c r="J518" t="str">
        <f t="shared" si="41"/>
        <v>12W</v>
      </c>
      <c r="L518">
        <f>INDEX(Schedule!$A:$J, MATCH(Joined!$G518, Schedule!$B:$B, 0), 5)</f>
        <v>645</v>
      </c>
      <c r="M518">
        <f>INDEX(Schedule!$A:$J, MATCH(Joined!$G518, Schedule!$B:$B, 0), 6)</f>
        <v>100</v>
      </c>
    </row>
    <row r="519" spans="1:13" x14ac:dyDescent="0.2">
      <c r="A519">
        <f>INDEX(PanelInstance!B:D, MATCH(Joined!J519, PanelInstance!D:D, FALSE), 2)</f>
        <v>153300</v>
      </c>
      <c r="B519" t="s">
        <v>291</v>
      </c>
      <c r="C519">
        <f>COUNTIF($D$3:D519, RIGHT(LEFT(A519,4),3))</f>
        <v>5</v>
      </c>
      <c r="D519" t="str">
        <f t="shared" si="38"/>
        <v>533</v>
      </c>
      <c r="E519">
        <f t="shared" si="39"/>
        <v>153305</v>
      </c>
      <c r="F519">
        <f>INDEX(Schedule!$A:$N, MATCH(Joined!$G519, Schedule!$B:$B,0),14)</f>
        <v>15010</v>
      </c>
      <c r="G519" t="s">
        <v>1156</v>
      </c>
      <c r="H519">
        <f>INDEX(VAV_Schedule_5_21[#All], MATCH(Joined!G519, VAV_Schedule_5_21[[#All],[UNIT TAG]], 0), 9)</f>
        <v>12</v>
      </c>
      <c r="I519" t="str">
        <f t="shared" si="40"/>
        <v>WPC.VAV-12W-33</v>
      </c>
      <c r="J519" t="str">
        <f t="shared" si="41"/>
        <v>12W</v>
      </c>
      <c r="L519">
        <f>INDEX(Schedule!$A:$J, MATCH(Joined!$G519, Schedule!$B:$B, 0), 5)</f>
        <v>1600</v>
      </c>
      <c r="M519">
        <f>INDEX(Schedule!$A:$J, MATCH(Joined!$G519, Schedule!$B:$B, 0), 6)</f>
        <v>240</v>
      </c>
    </row>
    <row r="520" spans="1:13" x14ac:dyDescent="0.2">
      <c r="A520">
        <f>INDEX(PanelInstance!B:D, MATCH(Joined!J520, PanelInstance!D:D, FALSE), 2)</f>
        <v>153300</v>
      </c>
      <c r="B520" t="s">
        <v>291</v>
      </c>
      <c r="C520">
        <f>COUNTIF($D$3:D520, RIGHT(LEFT(A520,4),3))</f>
        <v>6</v>
      </c>
      <c r="D520" t="str">
        <f t="shared" si="38"/>
        <v>533</v>
      </c>
      <c r="E520">
        <f t="shared" si="39"/>
        <v>153306</v>
      </c>
      <c r="F520">
        <f>INDEX(Schedule!$A:$N, MATCH(Joined!$G520, Schedule!$B:$B,0),14)</f>
        <v>15010</v>
      </c>
      <c r="G520" t="s">
        <v>1157</v>
      </c>
      <c r="H520">
        <f>INDEX(VAV_Schedule_5_21[#All], MATCH(Joined!G520, VAV_Schedule_5_21[[#All],[UNIT TAG]], 0), 9)</f>
        <v>12</v>
      </c>
      <c r="I520" t="str">
        <f t="shared" si="40"/>
        <v>WPC.VAV-12W-34</v>
      </c>
      <c r="J520" t="str">
        <f t="shared" si="41"/>
        <v>12W</v>
      </c>
      <c r="L520">
        <f>INDEX(Schedule!$A:$J, MATCH(Joined!$G520, Schedule!$B:$B, 0), 5)</f>
        <v>1200</v>
      </c>
      <c r="M520">
        <f>INDEX(Schedule!$A:$J, MATCH(Joined!$G520, Schedule!$B:$B, 0), 6)</f>
        <v>180</v>
      </c>
    </row>
    <row r="521" spans="1:13" x14ac:dyDescent="0.2">
      <c r="A521">
        <f>INDEX(PanelInstance!B:D, MATCH(Joined!J521, PanelInstance!D:D, FALSE), 2)</f>
        <v>153300</v>
      </c>
      <c r="B521" t="s">
        <v>291</v>
      </c>
      <c r="C521">
        <f>COUNTIF($D$3:D521, RIGHT(LEFT(A521,4),3))</f>
        <v>7</v>
      </c>
      <c r="D521" t="str">
        <f t="shared" si="38"/>
        <v>533</v>
      </c>
      <c r="E521">
        <f t="shared" si="39"/>
        <v>153307</v>
      </c>
      <c r="F521">
        <f>INDEX(Schedule!$A:$N, MATCH(Joined!$G521, Schedule!$B:$B,0),14)</f>
        <v>15011</v>
      </c>
      <c r="G521" t="s">
        <v>1158</v>
      </c>
      <c r="H521">
        <f>INDEX(VAV_Schedule_5_21[#All], MATCH(Joined!G521, VAV_Schedule_5_21[[#All],[UNIT TAG]], 0), 9)</f>
        <v>12</v>
      </c>
      <c r="I521" t="str">
        <f t="shared" si="40"/>
        <v>WPC.VAV-12W-35</v>
      </c>
      <c r="J521" t="str">
        <f t="shared" si="41"/>
        <v>12W</v>
      </c>
      <c r="L521">
        <f>INDEX(Schedule!$A:$J, MATCH(Joined!$G521, Schedule!$B:$B, 0), 5)</f>
        <v>800</v>
      </c>
      <c r="M521">
        <f>INDEX(Schedule!$A:$J, MATCH(Joined!$G521, Schedule!$B:$B, 0), 6)</f>
        <v>120</v>
      </c>
    </row>
    <row r="522" spans="1:13" x14ac:dyDescent="0.2">
      <c r="A522">
        <f>INDEX(PanelInstance!B:D, MATCH(Joined!J522, PanelInstance!D:D, FALSE), 2)</f>
        <v>153300</v>
      </c>
      <c r="B522" t="s">
        <v>291</v>
      </c>
      <c r="C522">
        <f>COUNTIF($D$3:D522, RIGHT(LEFT(A522,4),3))</f>
        <v>8</v>
      </c>
      <c r="D522" t="str">
        <f t="shared" si="38"/>
        <v>533</v>
      </c>
      <c r="E522">
        <f t="shared" si="39"/>
        <v>153308</v>
      </c>
      <c r="F522">
        <f>INDEX(Schedule!$A:$N, MATCH(Joined!$G522, Schedule!$B:$B,0),14)</f>
        <v>15011</v>
      </c>
      <c r="G522" t="s">
        <v>1159</v>
      </c>
      <c r="H522">
        <f>INDEX(VAV_Schedule_5_21[#All], MATCH(Joined!G522, VAV_Schedule_5_21[[#All],[UNIT TAG]], 0), 9)</f>
        <v>12</v>
      </c>
      <c r="I522" t="str">
        <f t="shared" si="40"/>
        <v>WPC.VAV-12W-36</v>
      </c>
      <c r="J522" t="str">
        <f t="shared" si="41"/>
        <v>12W</v>
      </c>
      <c r="L522">
        <f>INDEX(Schedule!$A:$J, MATCH(Joined!$G522, Schedule!$B:$B, 0), 5)</f>
        <v>640</v>
      </c>
      <c r="M522">
        <f>INDEX(Schedule!$A:$J, MATCH(Joined!$G522, Schedule!$B:$B, 0), 6)</f>
        <v>100</v>
      </c>
    </row>
    <row r="523" spans="1:13" x14ac:dyDescent="0.2">
      <c r="A523">
        <f>INDEX(PanelInstance!B:D, MATCH(Joined!J523, PanelInstance!D:D, FALSE), 2)</f>
        <v>153300</v>
      </c>
      <c r="B523" t="s">
        <v>291</v>
      </c>
      <c r="C523">
        <f>COUNTIF($D$3:D523, RIGHT(LEFT(A523,4),3))</f>
        <v>9</v>
      </c>
      <c r="D523" t="str">
        <f t="shared" si="38"/>
        <v>533</v>
      </c>
      <c r="E523">
        <f t="shared" si="39"/>
        <v>153309</v>
      </c>
      <c r="F523">
        <f>INDEX(Schedule!$A:$N, MATCH(Joined!$G523, Schedule!$B:$B,0),14)</f>
        <v>15011</v>
      </c>
      <c r="G523" t="s">
        <v>1160</v>
      </c>
      <c r="H523">
        <f>INDEX(VAV_Schedule_5_21[#All], MATCH(Joined!G523, VAV_Schedule_5_21[[#All],[UNIT TAG]], 0), 9)</f>
        <v>12</v>
      </c>
      <c r="I523" t="str">
        <f t="shared" si="40"/>
        <v>WPC.VAV-12W-37</v>
      </c>
      <c r="J523" t="str">
        <f t="shared" si="41"/>
        <v>12W</v>
      </c>
      <c r="L523">
        <f>INDEX(Schedule!$A:$J, MATCH(Joined!$G523, Schedule!$B:$B, 0), 5)</f>
        <v>1140</v>
      </c>
      <c r="M523">
        <f>INDEX(Schedule!$A:$J, MATCH(Joined!$G523, Schedule!$B:$B, 0), 6)</f>
        <v>175</v>
      </c>
    </row>
    <row r="524" spans="1:13" x14ac:dyDescent="0.2">
      <c r="A524">
        <f>INDEX(PanelInstance!B:D, MATCH(Joined!J524, PanelInstance!D:D, FALSE), 2)</f>
        <v>153300</v>
      </c>
      <c r="B524" t="s">
        <v>291</v>
      </c>
      <c r="C524">
        <f>COUNTIF($D$3:D524, RIGHT(LEFT(A524,4),3))</f>
        <v>10</v>
      </c>
      <c r="D524" t="str">
        <f t="shared" si="38"/>
        <v>533</v>
      </c>
      <c r="E524">
        <f t="shared" si="39"/>
        <v>153310</v>
      </c>
      <c r="F524">
        <f>INDEX(Schedule!$A:$N, MATCH(Joined!$G524, Schedule!$B:$B,0),14)</f>
        <v>15011</v>
      </c>
      <c r="G524" t="s">
        <v>1161</v>
      </c>
      <c r="H524">
        <f>INDEX(VAV_Schedule_5_21[#All], MATCH(Joined!G524, VAV_Schedule_5_21[[#All],[UNIT TAG]], 0), 9)</f>
        <v>12</v>
      </c>
      <c r="I524" t="str">
        <f t="shared" si="40"/>
        <v>WPC.VAV-12W-38</v>
      </c>
      <c r="J524" t="str">
        <f t="shared" si="41"/>
        <v>12W</v>
      </c>
      <c r="L524">
        <f>INDEX(Schedule!$A:$J, MATCH(Joined!$G524, Schedule!$B:$B, 0), 5)</f>
        <v>700</v>
      </c>
      <c r="M524">
        <f>INDEX(Schedule!$A:$J, MATCH(Joined!$G524, Schedule!$B:$B, 0), 6)</f>
        <v>105</v>
      </c>
    </row>
    <row r="525" spans="1:13" x14ac:dyDescent="0.2">
      <c r="A525">
        <f>INDEX(PanelInstance!B:D, MATCH(Joined!J525, PanelInstance!D:D, FALSE), 2)</f>
        <v>153300</v>
      </c>
      <c r="B525" t="s">
        <v>291</v>
      </c>
      <c r="C525">
        <f>COUNTIF($D$3:D525, RIGHT(LEFT(A525,4),3))</f>
        <v>11</v>
      </c>
      <c r="D525" t="str">
        <f t="shared" si="38"/>
        <v>533</v>
      </c>
      <c r="E525">
        <f t="shared" si="39"/>
        <v>153311</v>
      </c>
      <c r="F525">
        <f>INDEX(Schedule!$A:$N, MATCH(Joined!$G525, Schedule!$B:$B,0),14)</f>
        <v>15010</v>
      </c>
      <c r="G525" t="s">
        <v>1162</v>
      </c>
      <c r="H525">
        <f>INDEX(VAV_Schedule_5_21[#All], MATCH(Joined!G525, VAV_Schedule_5_21[[#All],[UNIT TAG]], 0), 9)</f>
        <v>12</v>
      </c>
      <c r="I525" t="str">
        <f t="shared" si="40"/>
        <v>WPC.VAV-12W-39</v>
      </c>
      <c r="J525" t="str">
        <f t="shared" si="41"/>
        <v>12W</v>
      </c>
      <c r="L525">
        <f>INDEX(Schedule!$A:$J, MATCH(Joined!$G525, Schedule!$B:$B, 0), 5)</f>
        <v>730</v>
      </c>
      <c r="M525">
        <f>INDEX(Schedule!$A:$J, MATCH(Joined!$G525, Schedule!$B:$B, 0), 6)</f>
        <v>110</v>
      </c>
    </row>
    <row r="526" spans="1:13" x14ac:dyDescent="0.2">
      <c r="A526">
        <f>INDEX(PanelInstance!B:D, MATCH(Joined!J526, PanelInstance!D:D, FALSE), 2)</f>
        <v>153300</v>
      </c>
      <c r="B526" t="s">
        <v>291</v>
      </c>
      <c r="C526">
        <f>COUNTIF($D$3:D526, RIGHT(LEFT(A526,4),3))</f>
        <v>12</v>
      </c>
      <c r="D526" t="str">
        <f t="shared" si="38"/>
        <v>533</v>
      </c>
      <c r="E526">
        <f t="shared" si="39"/>
        <v>153312</v>
      </c>
      <c r="F526">
        <f>INDEX(Schedule!$A:$N, MATCH(Joined!$G526, Schedule!$B:$B,0),14)</f>
        <v>15011</v>
      </c>
      <c r="G526" t="s">
        <v>1163</v>
      </c>
      <c r="H526">
        <f>INDEX(VAV_Schedule_5_21[#All], MATCH(Joined!G526, VAV_Schedule_5_21[[#All],[UNIT TAG]], 0), 9)</f>
        <v>12</v>
      </c>
      <c r="I526" t="str">
        <f t="shared" si="40"/>
        <v>WPC.VAV-12W-40</v>
      </c>
      <c r="J526" t="str">
        <f t="shared" si="41"/>
        <v>12W</v>
      </c>
      <c r="L526">
        <f>INDEX(Schedule!$A:$J, MATCH(Joined!$G526, Schedule!$B:$B, 0), 5)</f>
        <v>920</v>
      </c>
      <c r="M526">
        <f>INDEX(Schedule!$A:$J, MATCH(Joined!$G526, Schedule!$B:$B, 0), 6)</f>
        <v>140</v>
      </c>
    </row>
    <row r="527" spans="1:13" x14ac:dyDescent="0.2">
      <c r="A527">
        <f>INDEX(PanelInstance!B:D, MATCH(Joined!J527, PanelInstance!D:D, FALSE), 2)</f>
        <v>153300</v>
      </c>
      <c r="B527" t="s">
        <v>291</v>
      </c>
      <c r="C527">
        <f>COUNTIF($D$3:D527, RIGHT(LEFT(A527,4),3))</f>
        <v>13</v>
      </c>
      <c r="D527" t="str">
        <f t="shared" si="38"/>
        <v>533</v>
      </c>
      <c r="E527">
        <f t="shared" si="39"/>
        <v>153313</v>
      </c>
      <c r="F527">
        <f>INDEX(Schedule!$A:$N, MATCH(Joined!$G527, Schedule!$B:$B,0),14)</f>
        <v>15011</v>
      </c>
      <c r="G527" t="s">
        <v>1164</v>
      </c>
      <c r="H527">
        <f>INDEX(VAV_Schedule_5_21[#All], MATCH(Joined!G527, VAV_Schedule_5_21[[#All],[UNIT TAG]], 0), 9)</f>
        <v>12</v>
      </c>
      <c r="I527" t="str">
        <f t="shared" si="40"/>
        <v>WPC.VAV-12W-41</v>
      </c>
      <c r="J527" t="str">
        <f t="shared" si="41"/>
        <v>12W</v>
      </c>
      <c r="L527">
        <f>INDEX(Schedule!$A:$J, MATCH(Joined!$G527, Schedule!$B:$B, 0), 5)</f>
        <v>960</v>
      </c>
      <c r="M527">
        <f>INDEX(Schedule!$A:$J, MATCH(Joined!$G527, Schedule!$B:$B, 0), 6)</f>
        <v>145</v>
      </c>
    </row>
    <row r="528" spans="1:13" x14ac:dyDescent="0.2">
      <c r="A528">
        <f>INDEX(PanelInstance!B:D, MATCH(Joined!J528, PanelInstance!D:D, FALSE), 2)</f>
        <v>153300</v>
      </c>
      <c r="B528" t="s">
        <v>291</v>
      </c>
      <c r="C528">
        <f>COUNTIF($D$3:D528, RIGHT(LEFT(A528,4),3))</f>
        <v>14</v>
      </c>
      <c r="D528" t="str">
        <f t="shared" si="38"/>
        <v>533</v>
      </c>
      <c r="E528">
        <f t="shared" si="39"/>
        <v>153314</v>
      </c>
      <c r="F528">
        <f>INDEX(Schedule!$A:$N, MATCH(Joined!$G528, Schedule!$B:$B,0),14)</f>
        <v>15011</v>
      </c>
      <c r="G528" t="s">
        <v>1165</v>
      </c>
      <c r="H528">
        <f>INDEX(VAV_Schedule_5_21[#All], MATCH(Joined!G528, VAV_Schedule_5_21[[#All],[UNIT TAG]], 0), 9)</f>
        <v>12</v>
      </c>
      <c r="I528" t="str">
        <f t="shared" si="40"/>
        <v>WPC.VAV-12W-42</v>
      </c>
      <c r="J528" t="str">
        <f t="shared" si="41"/>
        <v>12W</v>
      </c>
      <c r="L528">
        <f>INDEX(Schedule!$A:$J, MATCH(Joined!$G528, Schedule!$B:$B, 0), 5)</f>
        <v>920</v>
      </c>
      <c r="M528">
        <f>INDEX(Schedule!$A:$J, MATCH(Joined!$G528, Schedule!$B:$B, 0), 6)</f>
        <v>140</v>
      </c>
    </row>
    <row r="529" spans="1:13" x14ac:dyDescent="0.2">
      <c r="A529">
        <f>INDEX(PanelInstance!B:D, MATCH(Joined!J529, PanelInstance!D:D, FALSE), 2)</f>
        <v>153300</v>
      </c>
      <c r="B529" t="s">
        <v>291</v>
      </c>
      <c r="C529">
        <f>COUNTIF($D$3:D529, RIGHT(LEFT(A529,4),3))</f>
        <v>15</v>
      </c>
      <c r="D529" t="str">
        <f t="shared" si="38"/>
        <v>533</v>
      </c>
      <c r="E529">
        <f t="shared" si="39"/>
        <v>153315</v>
      </c>
      <c r="F529">
        <f>INDEX(Schedule!$A:$N, MATCH(Joined!$G529, Schedule!$B:$B,0),14)</f>
        <v>15011</v>
      </c>
      <c r="G529" t="s">
        <v>1166</v>
      </c>
      <c r="H529">
        <f>INDEX(VAV_Schedule_5_21[#All], MATCH(Joined!G529, VAV_Schedule_5_21[[#All],[UNIT TAG]], 0), 9)</f>
        <v>12</v>
      </c>
      <c r="I529" t="str">
        <f t="shared" si="40"/>
        <v>WPC.VAV-12W-43</v>
      </c>
      <c r="J529" t="str">
        <f t="shared" si="41"/>
        <v>12W</v>
      </c>
      <c r="L529">
        <f>INDEX(Schedule!$A:$J, MATCH(Joined!$G529, Schedule!$B:$B, 0), 5)</f>
        <v>660</v>
      </c>
      <c r="M529">
        <f>INDEX(Schedule!$A:$J, MATCH(Joined!$G529, Schedule!$B:$B, 0), 6)</f>
        <v>100</v>
      </c>
    </row>
    <row r="530" spans="1:13" x14ac:dyDescent="0.2">
      <c r="A530">
        <f>INDEX(PanelInstance!B:D, MATCH(Joined!J530, PanelInstance!D:D, FALSE), 2)</f>
        <v>153900</v>
      </c>
      <c r="B530" t="s">
        <v>291</v>
      </c>
      <c r="C530">
        <f>COUNTIF($D$3:D530, RIGHT(LEFT(A530,4),3))</f>
        <v>1</v>
      </c>
      <c r="D530" t="str">
        <f t="shared" si="38"/>
        <v>539</v>
      </c>
      <c r="E530">
        <f t="shared" si="39"/>
        <v>153901</v>
      </c>
      <c r="F530">
        <f>INDEX(Schedule!$A:$N, MATCH(Joined!$G530, Schedule!$B:$B,0),14)</f>
        <v>15011</v>
      </c>
      <c r="G530" t="s">
        <v>1167</v>
      </c>
      <c r="H530">
        <f>INDEX(VAV_Schedule_5_21[#All], MATCH(Joined!G530, VAV_Schedule_5_21[[#All],[UNIT TAG]], 0), 9)</f>
        <v>14</v>
      </c>
      <c r="I530" t="str">
        <f t="shared" si="40"/>
        <v>WPC.VAV-14W-1</v>
      </c>
      <c r="J530" t="str">
        <f t="shared" si="41"/>
        <v>14W</v>
      </c>
      <c r="L530">
        <f>INDEX(Schedule!$A:$J, MATCH(Joined!$G530, Schedule!$B:$B, 0), 5)</f>
        <v>1050</v>
      </c>
      <c r="M530">
        <f>INDEX(Schedule!$A:$J, MATCH(Joined!$G530, Schedule!$B:$B, 0), 6)</f>
        <v>160</v>
      </c>
    </row>
    <row r="531" spans="1:13" x14ac:dyDescent="0.2">
      <c r="A531">
        <f>INDEX(PanelInstance!B:D, MATCH(Joined!J531, PanelInstance!D:D, FALSE), 2)</f>
        <v>153900</v>
      </c>
      <c r="B531" t="s">
        <v>291</v>
      </c>
      <c r="C531">
        <f>COUNTIF($D$3:D531, RIGHT(LEFT(A531,4),3))</f>
        <v>2</v>
      </c>
      <c r="D531" t="str">
        <f t="shared" si="38"/>
        <v>539</v>
      </c>
      <c r="E531">
        <f t="shared" si="39"/>
        <v>153902</v>
      </c>
      <c r="F531">
        <f>INDEX(Schedule!$A:$N, MATCH(Joined!$G531, Schedule!$B:$B,0),14)</f>
        <v>15011</v>
      </c>
      <c r="G531" t="s">
        <v>1168</v>
      </c>
      <c r="H531">
        <f>INDEX(VAV_Schedule_5_21[#All], MATCH(Joined!G531, VAV_Schedule_5_21[[#All],[UNIT TAG]], 0), 9)</f>
        <v>14</v>
      </c>
      <c r="I531" t="str">
        <f t="shared" si="40"/>
        <v>WPC.VAV-14W-2</v>
      </c>
      <c r="J531" t="str">
        <f t="shared" si="41"/>
        <v>14W</v>
      </c>
      <c r="L531">
        <f>INDEX(Schedule!$A:$J, MATCH(Joined!$G531, Schedule!$B:$B, 0), 5)</f>
        <v>640</v>
      </c>
      <c r="M531">
        <f>INDEX(Schedule!$A:$J, MATCH(Joined!$G531, Schedule!$B:$B, 0), 6)</f>
        <v>100</v>
      </c>
    </row>
    <row r="532" spans="1:13" x14ac:dyDescent="0.2">
      <c r="A532">
        <f>INDEX(PanelInstance!B:D, MATCH(Joined!J532, PanelInstance!D:D, FALSE), 2)</f>
        <v>153900</v>
      </c>
      <c r="B532" t="s">
        <v>291</v>
      </c>
      <c r="C532">
        <f>COUNTIF($D$3:D532, RIGHT(LEFT(A532,4),3))</f>
        <v>3</v>
      </c>
      <c r="D532" t="str">
        <f t="shared" si="38"/>
        <v>539</v>
      </c>
      <c r="E532">
        <f t="shared" si="39"/>
        <v>153903</v>
      </c>
      <c r="F532">
        <f>INDEX(Schedule!$A:$N, MATCH(Joined!$G532, Schedule!$B:$B,0),14)</f>
        <v>15011</v>
      </c>
      <c r="G532" t="s">
        <v>1169</v>
      </c>
      <c r="H532">
        <f>INDEX(VAV_Schedule_5_21[#All], MATCH(Joined!G532, VAV_Schedule_5_21[[#All],[UNIT TAG]], 0), 9)</f>
        <v>14</v>
      </c>
      <c r="I532" t="str">
        <f t="shared" si="40"/>
        <v>WPC.VAV-14W-3</v>
      </c>
      <c r="J532" t="str">
        <f t="shared" si="41"/>
        <v>14W</v>
      </c>
      <c r="L532">
        <f>INDEX(Schedule!$A:$J, MATCH(Joined!$G532, Schedule!$B:$B, 0), 5)</f>
        <v>640</v>
      </c>
      <c r="M532">
        <f>INDEX(Schedule!$A:$J, MATCH(Joined!$G532, Schedule!$B:$B, 0), 6)</f>
        <v>100</v>
      </c>
    </row>
    <row r="533" spans="1:13" x14ac:dyDescent="0.2">
      <c r="A533">
        <f>INDEX(PanelInstance!B:D, MATCH(Joined!J533, PanelInstance!D:D, FALSE), 2)</f>
        <v>153900</v>
      </c>
      <c r="B533" t="s">
        <v>291</v>
      </c>
      <c r="C533">
        <f>COUNTIF($D$3:D533, RIGHT(LEFT(A533,4),3))</f>
        <v>4</v>
      </c>
      <c r="D533" t="str">
        <f t="shared" si="38"/>
        <v>539</v>
      </c>
      <c r="E533">
        <f t="shared" si="39"/>
        <v>153904</v>
      </c>
      <c r="F533">
        <f>INDEX(Schedule!$A:$N, MATCH(Joined!$G533, Schedule!$B:$B,0),14)</f>
        <v>15011</v>
      </c>
      <c r="G533" t="s">
        <v>1170</v>
      </c>
      <c r="H533">
        <f>INDEX(VAV_Schedule_5_21[#All], MATCH(Joined!G533, VAV_Schedule_5_21[[#All],[UNIT TAG]], 0), 9)</f>
        <v>14</v>
      </c>
      <c r="I533" t="str">
        <f t="shared" si="40"/>
        <v>WPC.VAV-14W-4</v>
      </c>
      <c r="J533" t="str">
        <f t="shared" si="41"/>
        <v>14W</v>
      </c>
      <c r="L533">
        <f>INDEX(Schedule!$A:$J, MATCH(Joined!$G533, Schedule!$B:$B, 0), 5)</f>
        <v>840</v>
      </c>
      <c r="M533">
        <f>INDEX(Schedule!$A:$J, MATCH(Joined!$G533, Schedule!$B:$B, 0), 6)</f>
        <v>130</v>
      </c>
    </row>
    <row r="534" spans="1:13" x14ac:dyDescent="0.2">
      <c r="A534">
        <f>INDEX(PanelInstance!B:D, MATCH(Joined!J534, PanelInstance!D:D, FALSE), 2)</f>
        <v>153700</v>
      </c>
      <c r="B534" t="s">
        <v>291</v>
      </c>
      <c r="C534">
        <f>COUNTIF($D$3:D534, RIGHT(LEFT(A534,4),3))</f>
        <v>1</v>
      </c>
      <c r="D534" t="str">
        <f t="shared" si="38"/>
        <v>537</v>
      </c>
      <c r="E534">
        <f t="shared" si="39"/>
        <v>153701</v>
      </c>
      <c r="F534">
        <f>INDEX(Schedule!$A:$N, MATCH(Joined!$G534, Schedule!$B:$B,0),14)</f>
        <v>15010</v>
      </c>
      <c r="G534" t="s">
        <v>1171</v>
      </c>
      <c r="H534">
        <f>INDEX(VAV_Schedule_5_21[#All], MATCH(Joined!G534, VAV_Schedule_5_21[[#All],[UNIT TAG]], 0), 9)</f>
        <v>14</v>
      </c>
      <c r="I534" t="str">
        <f t="shared" si="40"/>
        <v>WPC.VAV-14N-5</v>
      </c>
      <c r="J534" t="str">
        <f t="shared" si="41"/>
        <v>14N</v>
      </c>
      <c r="L534">
        <f>INDEX(Schedule!$A:$J, MATCH(Joined!$G534, Schedule!$B:$B, 0), 5)</f>
        <v>1200</v>
      </c>
      <c r="M534">
        <f>INDEX(Schedule!$A:$J, MATCH(Joined!$G534, Schedule!$B:$B, 0), 6)</f>
        <v>180</v>
      </c>
    </row>
    <row r="535" spans="1:13" x14ac:dyDescent="0.2">
      <c r="A535">
        <f>INDEX(PanelInstance!B:D, MATCH(Joined!J535, PanelInstance!D:D, FALSE), 2)</f>
        <v>153700</v>
      </c>
      <c r="B535" t="s">
        <v>291</v>
      </c>
      <c r="C535">
        <f>COUNTIF($D$3:D535, RIGHT(LEFT(A535,4),3))</f>
        <v>2</v>
      </c>
      <c r="D535" t="str">
        <f t="shared" si="38"/>
        <v>537</v>
      </c>
      <c r="E535">
        <f t="shared" si="39"/>
        <v>153702</v>
      </c>
      <c r="F535">
        <f>INDEX(Schedule!$A:$N, MATCH(Joined!$G535, Schedule!$B:$B,0),14)</f>
        <v>15010</v>
      </c>
      <c r="G535" t="s">
        <v>1172</v>
      </c>
      <c r="H535">
        <f>INDEX(VAV_Schedule_5_21[#All], MATCH(Joined!G535, VAV_Schedule_5_21[[#All],[UNIT TAG]], 0), 9)</f>
        <v>14</v>
      </c>
      <c r="I535" t="str">
        <f t="shared" si="40"/>
        <v>WPC.VAV-14N-6</v>
      </c>
      <c r="J535" t="str">
        <f t="shared" si="41"/>
        <v>14N</v>
      </c>
      <c r="L535">
        <f>INDEX(Schedule!$A:$J, MATCH(Joined!$G535, Schedule!$B:$B, 0), 5)</f>
        <v>1120</v>
      </c>
      <c r="M535">
        <f>INDEX(Schedule!$A:$J, MATCH(Joined!$G535, Schedule!$B:$B, 0), 6)</f>
        <v>170</v>
      </c>
    </row>
    <row r="536" spans="1:13" x14ac:dyDescent="0.2">
      <c r="A536">
        <f>INDEX(PanelInstance!B:D, MATCH(Joined!J536, PanelInstance!D:D, FALSE), 2)</f>
        <v>153700</v>
      </c>
      <c r="B536" t="s">
        <v>291</v>
      </c>
      <c r="C536">
        <f>COUNTIF($D$3:D536, RIGHT(LEFT(A536,4),3))</f>
        <v>3</v>
      </c>
      <c r="D536" t="str">
        <f t="shared" si="38"/>
        <v>537</v>
      </c>
      <c r="E536">
        <f t="shared" si="39"/>
        <v>153703</v>
      </c>
      <c r="F536">
        <f>INDEX(Schedule!$A:$N, MATCH(Joined!$G536, Schedule!$B:$B,0),14)</f>
        <v>15010</v>
      </c>
      <c r="G536" t="s">
        <v>1173</v>
      </c>
      <c r="H536">
        <f>INDEX(VAV_Schedule_5_21[#All], MATCH(Joined!G536, VAV_Schedule_5_21[[#All],[UNIT TAG]], 0), 9)</f>
        <v>14</v>
      </c>
      <c r="I536" t="str">
        <f t="shared" si="40"/>
        <v>WPC.VAV-14N-7</v>
      </c>
      <c r="J536" t="str">
        <f t="shared" si="41"/>
        <v>14N</v>
      </c>
      <c r="L536">
        <f>INDEX(Schedule!$A:$J, MATCH(Joined!$G536, Schedule!$B:$B, 0), 5)</f>
        <v>600</v>
      </c>
      <c r="M536">
        <f>INDEX(Schedule!$A:$J, MATCH(Joined!$G536, Schedule!$B:$B, 0), 6)</f>
        <v>90</v>
      </c>
    </row>
    <row r="537" spans="1:13" x14ac:dyDescent="0.2">
      <c r="A537">
        <f>INDEX(PanelInstance!B:D, MATCH(Joined!J537, PanelInstance!D:D, FALSE), 2)</f>
        <v>153700</v>
      </c>
      <c r="B537" t="s">
        <v>291</v>
      </c>
      <c r="C537">
        <f>COUNTIF($D$3:D537, RIGHT(LEFT(A537,4),3))</f>
        <v>4</v>
      </c>
      <c r="D537" t="str">
        <f t="shared" si="38"/>
        <v>537</v>
      </c>
      <c r="E537">
        <f t="shared" si="39"/>
        <v>153704</v>
      </c>
      <c r="F537">
        <f>INDEX(Schedule!$A:$N, MATCH(Joined!$G537, Schedule!$B:$B,0),14)</f>
        <v>15010</v>
      </c>
      <c r="G537" t="s">
        <v>1174</v>
      </c>
      <c r="H537">
        <f>INDEX(VAV_Schedule_5_21[#All], MATCH(Joined!G537, VAV_Schedule_5_21[[#All],[UNIT TAG]], 0), 9)</f>
        <v>14</v>
      </c>
      <c r="I537" t="str">
        <f t="shared" si="40"/>
        <v>WPC.VAV-14N-8</v>
      </c>
      <c r="J537" t="str">
        <f t="shared" si="41"/>
        <v>14N</v>
      </c>
      <c r="L537">
        <f>INDEX(Schedule!$A:$J, MATCH(Joined!$G537, Schedule!$B:$B, 0), 5)</f>
        <v>1370</v>
      </c>
      <c r="M537">
        <f>INDEX(Schedule!$A:$J, MATCH(Joined!$G537, Schedule!$B:$B, 0), 6)</f>
        <v>210</v>
      </c>
    </row>
    <row r="538" spans="1:13" x14ac:dyDescent="0.2">
      <c r="A538">
        <f>INDEX(PanelInstance!B:D, MATCH(Joined!J538, PanelInstance!D:D, FALSE), 2)</f>
        <v>153700</v>
      </c>
      <c r="B538" t="s">
        <v>291</v>
      </c>
      <c r="C538">
        <f>COUNTIF($D$3:D538, RIGHT(LEFT(A538,4),3))</f>
        <v>5</v>
      </c>
      <c r="D538" t="str">
        <f t="shared" si="38"/>
        <v>537</v>
      </c>
      <c r="E538">
        <f t="shared" si="39"/>
        <v>153705</v>
      </c>
      <c r="F538">
        <f>INDEX(Schedule!$A:$N, MATCH(Joined!$G538, Schedule!$B:$B,0),14)</f>
        <v>15010</v>
      </c>
      <c r="G538" t="s">
        <v>1175</v>
      </c>
      <c r="H538">
        <f>INDEX(VAV_Schedule_5_21[#All], MATCH(Joined!G538, VAV_Schedule_5_21[[#All],[UNIT TAG]], 0), 9)</f>
        <v>14</v>
      </c>
      <c r="I538" t="str">
        <f t="shared" si="40"/>
        <v>WPC.VAV-14N-8A</v>
      </c>
      <c r="J538" t="str">
        <f t="shared" si="41"/>
        <v>14N</v>
      </c>
      <c r="L538">
        <f>INDEX(Schedule!$A:$J, MATCH(Joined!$G538, Schedule!$B:$B, 0), 5)</f>
        <v>550</v>
      </c>
      <c r="M538">
        <f>INDEX(Schedule!$A:$J, MATCH(Joined!$G538, Schedule!$B:$B, 0), 6)</f>
        <v>85</v>
      </c>
    </row>
    <row r="539" spans="1:13" x14ac:dyDescent="0.2">
      <c r="A539">
        <f>INDEX(PanelInstance!B:D, MATCH(Joined!J539, PanelInstance!D:D, FALSE), 2)</f>
        <v>153700</v>
      </c>
      <c r="B539" t="s">
        <v>291</v>
      </c>
      <c r="C539">
        <f>COUNTIF($D$3:D539, RIGHT(LEFT(A539,4),3))</f>
        <v>6</v>
      </c>
      <c r="D539" t="str">
        <f t="shared" si="38"/>
        <v>537</v>
      </c>
      <c r="E539">
        <f t="shared" si="39"/>
        <v>153706</v>
      </c>
      <c r="F539">
        <f>INDEX(Schedule!$A:$N, MATCH(Joined!$G539, Schedule!$B:$B,0),14)</f>
        <v>15010</v>
      </c>
      <c r="G539" t="s">
        <v>1176</v>
      </c>
      <c r="H539">
        <f>INDEX(VAV_Schedule_5_21[#All], MATCH(Joined!G539, VAV_Schedule_5_21[[#All],[UNIT TAG]], 0), 9)</f>
        <v>14</v>
      </c>
      <c r="I539" t="str">
        <f t="shared" si="40"/>
        <v>WPC.VAV-14N-9</v>
      </c>
      <c r="J539" t="str">
        <f t="shared" si="41"/>
        <v>14N</v>
      </c>
      <c r="L539">
        <f>INDEX(Schedule!$A:$J, MATCH(Joined!$G539, Schedule!$B:$B, 0), 5)</f>
        <v>750</v>
      </c>
      <c r="M539">
        <f>INDEX(Schedule!$A:$J, MATCH(Joined!$G539, Schedule!$B:$B, 0), 6)</f>
        <v>115</v>
      </c>
    </row>
    <row r="540" spans="1:13" x14ac:dyDescent="0.2">
      <c r="A540">
        <f>INDEX(PanelInstance!B:D, MATCH(Joined!J540, PanelInstance!D:D, FALSE), 2)</f>
        <v>153700</v>
      </c>
      <c r="B540" t="s">
        <v>291</v>
      </c>
      <c r="C540">
        <f>COUNTIF($D$3:D540, RIGHT(LEFT(A540,4),3))</f>
        <v>7</v>
      </c>
      <c r="D540" t="str">
        <f t="shared" si="38"/>
        <v>537</v>
      </c>
      <c r="E540">
        <f t="shared" si="39"/>
        <v>153707</v>
      </c>
      <c r="F540">
        <f>INDEX(Schedule!$A:$N, MATCH(Joined!$G540, Schedule!$B:$B,0),14)</f>
        <v>15010</v>
      </c>
      <c r="G540" t="s">
        <v>1177</v>
      </c>
      <c r="H540">
        <f>INDEX(VAV_Schedule_5_21[#All], MATCH(Joined!G540, VAV_Schedule_5_21[[#All],[UNIT TAG]], 0), 9)</f>
        <v>14</v>
      </c>
      <c r="I540" t="str">
        <f t="shared" si="40"/>
        <v>WPC.VAV-14N-10</v>
      </c>
      <c r="J540" t="str">
        <f t="shared" si="41"/>
        <v>14N</v>
      </c>
      <c r="L540">
        <f>INDEX(Schedule!$A:$J, MATCH(Joined!$G540, Schedule!$B:$B, 0), 5)</f>
        <v>1200</v>
      </c>
      <c r="M540">
        <f>INDEX(Schedule!$A:$J, MATCH(Joined!$G540, Schedule!$B:$B, 0), 6)</f>
        <v>180</v>
      </c>
    </row>
    <row r="541" spans="1:13" x14ac:dyDescent="0.2">
      <c r="A541">
        <f>INDEX(PanelInstance!B:D, MATCH(Joined!J541, PanelInstance!D:D, FALSE), 2)</f>
        <v>153700</v>
      </c>
      <c r="B541" t="s">
        <v>291</v>
      </c>
      <c r="C541">
        <f>COUNTIF($D$3:D541, RIGHT(LEFT(A541,4),3))</f>
        <v>8</v>
      </c>
      <c r="D541" t="str">
        <f t="shared" si="38"/>
        <v>537</v>
      </c>
      <c r="E541">
        <f t="shared" si="39"/>
        <v>153708</v>
      </c>
      <c r="F541">
        <f>INDEX(Schedule!$A:$N, MATCH(Joined!$G541, Schedule!$B:$B,0),14)</f>
        <v>15010</v>
      </c>
      <c r="G541" t="s">
        <v>1178</v>
      </c>
      <c r="H541">
        <f>INDEX(VAV_Schedule_5_21[#All], MATCH(Joined!G541, VAV_Schedule_5_21[[#All],[UNIT TAG]], 0), 9)</f>
        <v>14</v>
      </c>
      <c r="I541" t="str">
        <f t="shared" si="40"/>
        <v>WPC.VAV-14N-11</v>
      </c>
      <c r="J541" t="str">
        <f t="shared" si="41"/>
        <v>14N</v>
      </c>
      <c r="L541">
        <f>INDEX(Schedule!$A:$J, MATCH(Joined!$G541, Schedule!$B:$B, 0), 5)</f>
        <v>240</v>
      </c>
      <c r="M541">
        <f>INDEX(Schedule!$A:$J, MATCH(Joined!$G541, Schedule!$B:$B, 0), 6)</f>
        <v>40</v>
      </c>
    </row>
    <row r="542" spans="1:13" x14ac:dyDescent="0.2">
      <c r="A542">
        <f>INDEX(PanelInstance!B:D, MATCH(Joined!J542, PanelInstance!D:D, FALSE), 2)</f>
        <v>153700</v>
      </c>
      <c r="B542" t="s">
        <v>291</v>
      </c>
      <c r="C542">
        <f>COUNTIF($D$3:D542, RIGHT(LEFT(A542,4),3))</f>
        <v>9</v>
      </c>
      <c r="D542" t="str">
        <f t="shared" ref="D542:D572" si="42">RIGHT(LEFT(A542, 4),3)</f>
        <v>537</v>
      </c>
      <c r="E542">
        <f t="shared" ref="E542:E572" si="43">A542+C542</f>
        <v>153709</v>
      </c>
      <c r="F542">
        <f>INDEX(Schedule!$A:$N, MATCH(Joined!$G542, Schedule!$B:$B,0),14)</f>
        <v>15010</v>
      </c>
      <c r="G542" t="s">
        <v>1179</v>
      </c>
      <c r="H542">
        <f>INDEX(VAV_Schedule_5_21[#All], MATCH(Joined!G542, VAV_Schedule_5_21[[#All],[UNIT TAG]], 0), 9)</f>
        <v>14</v>
      </c>
      <c r="I542" t="str">
        <f t="shared" si="40"/>
        <v>WPC.VAV-14N-12</v>
      </c>
      <c r="J542" t="str">
        <f t="shared" si="41"/>
        <v>14N</v>
      </c>
      <c r="L542">
        <f>INDEX(Schedule!$A:$J, MATCH(Joined!$G542, Schedule!$B:$B, 0), 5)</f>
        <v>1360</v>
      </c>
      <c r="M542">
        <f>INDEX(Schedule!$A:$J, MATCH(Joined!$G542, Schedule!$B:$B, 0), 6)</f>
        <v>205</v>
      </c>
    </row>
    <row r="543" spans="1:13" x14ac:dyDescent="0.2">
      <c r="A543">
        <f>INDEX(PanelInstance!B:D, MATCH(Joined!J543, PanelInstance!D:D, FALSE), 2)</f>
        <v>153700</v>
      </c>
      <c r="B543" t="s">
        <v>291</v>
      </c>
      <c r="C543">
        <f>COUNTIF($D$3:D543, RIGHT(LEFT(A543,4),3))</f>
        <v>10</v>
      </c>
      <c r="D543" t="str">
        <f t="shared" si="42"/>
        <v>537</v>
      </c>
      <c r="E543">
        <f t="shared" si="43"/>
        <v>153710</v>
      </c>
      <c r="F543">
        <f>INDEX(Schedule!$A:$N, MATCH(Joined!$G543, Schedule!$B:$B,0),14)</f>
        <v>15010</v>
      </c>
      <c r="G543" t="s">
        <v>1180</v>
      </c>
      <c r="H543">
        <f>INDEX(VAV_Schedule_5_21[#All], MATCH(Joined!G543, VAV_Schedule_5_21[[#All],[UNIT TAG]], 0), 9)</f>
        <v>14</v>
      </c>
      <c r="I543" t="str">
        <f t="shared" si="40"/>
        <v>WPC.VAV-14N-13</v>
      </c>
      <c r="J543" t="str">
        <f t="shared" si="41"/>
        <v>14N</v>
      </c>
      <c r="L543">
        <f>INDEX(Schedule!$A:$J, MATCH(Joined!$G543, Schedule!$B:$B, 0), 5)</f>
        <v>240</v>
      </c>
      <c r="M543">
        <f>INDEX(Schedule!$A:$J, MATCH(Joined!$G543, Schedule!$B:$B, 0), 6)</f>
        <v>40</v>
      </c>
    </row>
    <row r="544" spans="1:13" x14ac:dyDescent="0.2">
      <c r="A544">
        <f>INDEX(PanelInstance!B:D, MATCH(Joined!J544, PanelInstance!D:D, FALSE), 2)</f>
        <v>153700</v>
      </c>
      <c r="B544" t="s">
        <v>291</v>
      </c>
      <c r="C544">
        <f>COUNTIF($D$3:D544, RIGHT(LEFT(A544,4),3))</f>
        <v>11</v>
      </c>
      <c r="D544" t="str">
        <f t="shared" si="42"/>
        <v>537</v>
      </c>
      <c r="E544">
        <f t="shared" si="43"/>
        <v>153711</v>
      </c>
      <c r="F544">
        <f>INDEX(Schedule!$A:$N, MATCH(Joined!$G544, Schedule!$B:$B,0),14)</f>
        <v>15010</v>
      </c>
      <c r="G544" t="s">
        <v>1181</v>
      </c>
      <c r="H544">
        <f>INDEX(VAV_Schedule_5_21[#All], MATCH(Joined!G544, VAV_Schedule_5_21[[#All],[UNIT TAG]], 0), 9)</f>
        <v>14</v>
      </c>
      <c r="I544" t="str">
        <f t="shared" si="40"/>
        <v>WPC.VAV-14N-14</v>
      </c>
      <c r="J544" t="str">
        <f t="shared" si="41"/>
        <v>14N</v>
      </c>
      <c r="L544">
        <f>INDEX(Schedule!$A:$J, MATCH(Joined!$G544, Schedule!$B:$B, 0), 5)</f>
        <v>1200</v>
      </c>
      <c r="M544">
        <f>INDEX(Schedule!$A:$J, MATCH(Joined!$G544, Schedule!$B:$B, 0), 6)</f>
        <v>180</v>
      </c>
    </row>
    <row r="545" spans="1:13" x14ac:dyDescent="0.2">
      <c r="A545">
        <f>INDEX(PanelInstance!B:D, MATCH(Joined!J545, PanelInstance!D:D, FALSE), 2)</f>
        <v>153800</v>
      </c>
      <c r="B545" t="s">
        <v>291</v>
      </c>
      <c r="C545">
        <f>COUNTIF($D$3:D545, RIGHT(LEFT(A545,4),3))</f>
        <v>1</v>
      </c>
      <c r="D545" t="str">
        <f t="shared" si="42"/>
        <v>538</v>
      </c>
      <c r="E545">
        <f t="shared" si="43"/>
        <v>153801</v>
      </c>
      <c r="F545">
        <f>INDEX(Schedule!$A:$N, MATCH(Joined!$G545, Schedule!$B:$B,0),14)</f>
        <v>15011</v>
      </c>
      <c r="G545" t="s">
        <v>1182</v>
      </c>
      <c r="H545">
        <f>INDEX(VAV_Schedule_5_21[#All], MATCH(Joined!G545, VAV_Schedule_5_21[[#All],[UNIT TAG]], 0), 9)</f>
        <v>14</v>
      </c>
      <c r="I545" t="str">
        <f t="shared" si="40"/>
        <v>WPC.VAV-14E-15</v>
      </c>
      <c r="J545" t="str">
        <f t="shared" si="41"/>
        <v>14E</v>
      </c>
      <c r="L545">
        <f>INDEX(Schedule!$A:$J, MATCH(Joined!$G545, Schedule!$B:$B, 0), 5)</f>
        <v>840</v>
      </c>
      <c r="M545">
        <f>INDEX(Schedule!$A:$J, MATCH(Joined!$G545, Schedule!$B:$B, 0), 6)</f>
        <v>130</v>
      </c>
    </row>
    <row r="546" spans="1:13" x14ac:dyDescent="0.2">
      <c r="A546">
        <f>INDEX(PanelInstance!B:D, MATCH(Joined!J546, PanelInstance!D:D, FALSE), 2)</f>
        <v>153800</v>
      </c>
      <c r="B546" t="s">
        <v>291</v>
      </c>
      <c r="C546">
        <f>COUNTIF($D$3:D546, RIGHT(LEFT(A546,4),3))</f>
        <v>2</v>
      </c>
      <c r="D546" t="str">
        <f t="shared" si="42"/>
        <v>538</v>
      </c>
      <c r="E546">
        <f t="shared" si="43"/>
        <v>153802</v>
      </c>
      <c r="F546">
        <f>INDEX(Schedule!$A:$N, MATCH(Joined!$G546, Schedule!$B:$B,0),14)</f>
        <v>15011</v>
      </c>
      <c r="G546" t="s">
        <v>1183</v>
      </c>
      <c r="H546">
        <f>INDEX(VAV_Schedule_5_21[#All], MATCH(Joined!G546, VAV_Schedule_5_21[[#All],[UNIT TAG]], 0), 9)</f>
        <v>14</v>
      </c>
      <c r="I546" t="str">
        <f t="shared" si="40"/>
        <v>WPC.VAV-14E-16</v>
      </c>
      <c r="J546" t="str">
        <f t="shared" si="41"/>
        <v>14E</v>
      </c>
      <c r="L546">
        <f>INDEX(Schedule!$A:$J, MATCH(Joined!$G546, Schedule!$B:$B, 0), 5)</f>
        <v>640</v>
      </c>
      <c r="M546">
        <f>INDEX(Schedule!$A:$J, MATCH(Joined!$G546, Schedule!$B:$B, 0), 6)</f>
        <v>100</v>
      </c>
    </row>
    <row r="547" spans="1:13" x14ac:dyDescent="0.2">
      <c r="A547">
        <f>INDEX(PanelInstance!B:D, MATCH(Joined!J547, PanelInstance!D:D, FALSE), 2)</f>
        <v>153800</v>
      </c>
      <c r="B547" t="s">
        <v>291</v>
      </c>
      <c r="C547">
        <f>COUNTIF($D$3:D547, RIGHT(LEFT(A547,4),3))</f>
        <v>3</v>
      </c>
      <c r="D547" t="str">
        <f t="shared" si="42"/>
        <v>538</v>
      </c>
      <c r="E547">
        <f t="shared" si="43"/>
        <v>153803</v>
      </c>
      <c r="F547">
        <f>INDEX(Schedule!$A:$N, MATCH(Joined!$G547, Schedule!$B:$B,0),14)</f>
        <v>15011</v>
      </c>
      <c r="G547" t="s">
        <v>1184</v>
      </c>
      <c r="H547">
        <f>INDEX(VAV_Schedule_5_21[#All], MATCH(Joined!G547, VAV_Schedule_5_21[[#All],[UNIT TAG]], 0), 9)</f>
        <v>14</v>
      </c>
      <c r="I547" t="str">
        <f t="shared" si="40"/>
        <v>WPC.VAV-14E-17</v>
      </c>
      <c r="J547" t="str">
        <f t="shared" si="41"/>
        <v>14E</v>
      </c>
      <c r="L547">
        <f>INDEX(Schedule!$A:$J, MATCH(Joined!$G547, Schedule!$B:$B, 0), 5)</f>
        <v>600</v>
      </c>
      <c r="M547">
        <f>INDEX(Schedule!$A:$J, MATCH(Joined!$G547, Schedule!$B:$B, 0), 6)</f>
        <v>90</v>
      </c>
    </row>
    <row r="548" spans="1:13" x14ac:dyDescent="0.2">
      <c r="A548">
        <f>INDEX(PanelInstance!B:D, MATCH(Joined!J548, PanelInstance!D:D, FALSE), 2)</f>
        <v>153800</v>
      </c>
      <c r="B548" t="s">
        <v>291</v>
      </c>
      <c r="C548">
        <f>COUNTIF($D$3:D548, RIGHT(LEFT(A548,4),3))</f>
        <v>4</v>
      </c>
      <c r="D548" t="str">
        <f t="shared" si="42"/>
        <v>538</v>
      </c>
      <c r="E548">
        <f t="shared" si="43"/>
        <v>153804</v>
      </c>
      <c r="F548">
        <f>INDEX(Schedule!$A:$N, MATCH(Joined!$G548, Schedule!$B:$B,0),14)</f>
        <v>15011</v>
      </c>
      <c r="G548" t="s">
        <v>1185</v>
      </c>
      <c r="H548">
        <f>INDEX(VAV_Schedule_5_21[#All], MATCH(Joined!G548, VAV_Schedule_5_21[[#All],[UNIT TAG]], 0), 9)</f>
        <v>14</v>
      </c>
      <c r="I548" t="str">
        <f t="shared" si="40"/>
        <v>WPC.VAV-14E-18</v>
      </c>
      <c r="J548" t="str">
        <f t="shared" si="41"/>
        <v>14E</v>
      </c>
      <c r="L548">
        <f>INDEX(Schedule!$A:$J, MATCH(Joined!$G548, Schedule!$B:$B, 0), 5)</f>
        <v>960</v>
      </c>
      <c r="M548">
        <f>INDEX(Schedule!$A:$J, MATCH(Joined!$G548, Schedule!$B:$B, 0), 6)</f>
        <v>145</v>
      </c>
    </row>
    <row r="549" spans="1:13" x14ac:dyDescent="0.2">
      <c r="A549">
        <f>INDEX(PanelInstance!B:D, MATCH(Joined!J549, PanelInstance!D:D, FALSE), 2)</f>
        <v>153800</v>
      </c>
      <c r="B549" t="s">
        <v>291</v>
      </c>
      <c r="C549">
        <f>COUNTIF($D$3:D549, RIGHT(LEFT(A549,4),3))</f>
        <v>5</v>
      </c>
      <c r="D549" t="str">
        <f t="shared" si="42"/>
        <v>538</v>
      </c>
      <c r="E549">
        <f t="shared" si="43"/>
        <v>153805</v>
      </c>
      <c r="F549">
        <f>INDEX(Schedule!$A:$N, MATCH(Joined!$G549, Schedule!$B:$B,0),14)</f>
        <v>15010</v>
      </c>
      <c r="G549" t="s">
        <v>1186</v>
      </c>
      <c r="H549">
        <f>INDEX(VAV_Schedule_5_21[#All], MATCH(Joined!G549, VAV_Schedule_5_21[[#All],[UNIT TAG]], 0), 9)</f>
        <v>14</v>
      </c>
      <c r="I549" t="str">
        <f t="shared" si="40"/>
        <v>WPC.VAV-14E-19</v>
      </c>
      <c r="J549" t="str">
        <f t="shared" si="41"/>
        <v>14E</v>
      </c>
      <c r="L549">
        <f>INDEX(Schedule!$A:$J, MATCH(Joined!$G549, Schedule!$B:$B, 0), 5)</f>
        <v>200</v>
      </c>
      <c r="M549">
        <f>INDEX(Schedule!$A:$J, MATCH(Joined!$G549, Schedule!$B:$B, 0), 6)</f>
        <v>30</v>
      </c>
    </row>
    <row r="550" spans="1:13" x14ac:dyDescent="0.2">
      <c r="A550">
        <f>INDEX(PanelInstance!B:D, MATCH(Joined!J550, PanelInstance!D:D, FALSE), 2)</f>
        <v>153800</v>
      </c>
      <c r="B550" t="s">
        <v>291</v>
      </c>
      <c r="C550">
        <f>COUNTIF($D$3:D550, RIGHT(LEFT(A550,4),3))</f>
        <v>6</v>
      </c>
      <c r="D550" t="str">
        <f t="shared" si="42"/>
        <v>538</v>
      </c>
      <c r="E550">
        <f t="shared" si="43"/>
        <v>153806</v>
      </c>
      <c r="F550">
        <f>INDEX(Schedule!$A:$N, MATCH(Joined!$G550, Schedule!$B:$B,0),14)</f>
        <v>15011</v>
      </c>
      <c r="G550" t="s">
        <v>1187</v>
      </c>
      <c r="H550">
        <f>INDEX(VAV_Schedule_5_21[#All], MATCH(Joined!G550, VAV_Schedule_5_21[[#All],[UNIT TAG]], 0), 9)</f>
        <v>14</v>
      </c>
      <c r="I550" t="str">
        <f t="shared" si="40"/>
        <v>WPC.VAV-14E-20</v>
      </c>
      <c r="J550" t="str">
        <f t="shared" si="41"/>
        <v>14E</v>
      </c>
      <c r="L550">
        <f>INDEX(Schedule!$A:$J, MATCH(Joined!$G550, Schedule!$B:$B, 0), 5)</f>
        <v>690</v>
      </c>
      <c r="M550">
        <f>INDEX(Schedule!$A:$J, MATCH(Joined!$G550, Schedule!$B:$B, 0), 6)</f>
        <v>105</v>
      </c>
    </row>
    <row r="551" spans="1:13" x14ac:dyDescent="0.2">
      <c r="A551">
        <f>INDEX(PanelInstance!B:D, MATCH(Joined!J551, PanelInstance!D:D, FALSE), 2)</f>
        <v>153800</v>
      </c>
      <c r="B551" t="s">
        <v>291</v>
      </c>
      <c r="C551">
        <f>COUNTIF($D$3:D551, RIGHT(LEFT(A551,4),3))</f>
        <v>7</v>
      </c>
      <c r="D551" t="str">
        <f t="shared" si="42"/>
        <v>538</v>
      </c>
      <c r="E551">
        <f t="shared" si="43"/>
        <v>153807</v>
      </c>
      <c r="F551">
        <f>INDEX(Schedule!$A:$N, MATCH(Joined!$G551, Schedule!$B:$B,0),14)</f>
        <v>15011</v>
      </c>
      <c r="G551" t="s">
        <v>1188</v>
      </c>
      <c r="H551">
        <f>INDEX(VAV_Schedule_5_21[#All], MATCH(Joined!G551, VAV_Schedule_5_21[[#All],[UNIT TAG]], 0), 9)</f>
        <v>14</v>
      </c>
      <c r="I551" t="str">
        <f t="shared" si="40"/>
        <v>WPC.VAV-14E-21</v>
      </c>
      <c r="J551" t="str">
        <f t="shared" si="41"/>
        <v>14E</v>
      </c>
      <c r="L551">
        <f>INDEX(Schedule!$A:$J, MATCH(Joined!$G551, Schedule!$B:$B, 0), 5)</f>
        <v>880</v>
      </c>
      <c r="M551">
        <f>INDEX(Schedule!$A:$J, MATCH(Joined!$G551, Schedule!$B:$B, 0), 6)</f>
        <v>135</v>
      </c>
    </row>
    <row r="552" spans="1:13" x14ac:dyDescent="0.2">
      <c r="A552">
        <f>INDEX(PanelInstance!B:D, MATCH(Joined!J552, PanelInstance!D:D, FALSE), 2)</f>
        <v>153800</v>
      </c>
      <c r="B552" t="s">
        <v>291</v>
      </c>
      <c r="C552">
        <f>COUNTIF($D$3:D552, RIGHT(LEFT(A552,4),3))</f>
        <v>8</v>
      </c>
      <c r="D552" t="str">
        <f t="shared" si="42"/>
        <v>538</v>
      </c>
      <c r="E552">
        <f t="shared" si="43"/>
        <v>153808</v>
      </c>
      <c r="F552">
        <f>INDEX(Schedule!$A:$N, MATCH(Joined!$G552, Schedule!$B:$B,0),14)</f>
        <v>15011</v>
      </c>
      <c r="G552" t="s">
        <v>1189</v>
      </c>
      <c r="H552">
        <f>INDEX(VAV_Schedule_5_21[#All], MATCH(Joined!G552, VAV_Schedule_5_21[[#All],[UNIT TAG]], 0), 9)</f>
        <v>14</v>
      </c>
      <c r="I552" t="str">
        <f t="shared" si="40"/>
        <v>WPC.VAV-14E-22</v>
      </c>
      <c r="J552" t="str">
        <f t="shared" si="41"/>
        <v>14E</v>
      </c>
      <c r="L552">
        <f>INDEX(Schedule!$A:$J, MATCH(Joined!$G552, Schedule!$B:$B, 0), 5)</f>
        <v>660</v>
      </c>
      <c r="M552">
        <f>INDEX(Schedule!$A:$J, MATCH(Joined!$G552, Schedule!$B:$B, 0), 6)</f>
        <v>100</v>
      </c>
    </row>
    <row r="553" spans="1:13" x14ac:dyDescent="0.2">
      <c r="A553">
        <f>INDEX(PanelInstance!B:D, MATCH(Joined!J553, PanelInstance!D:D, FALSE), 2)</f>
        <v>153800</v>
      </c>
      <c r="B553" t="s">
        <v>291</v>
      </c>
      <c r="C553">
        <f>COUNTIF($D$3:D553, RIGHT(LEFT(A553,4),3))</f>
        <v>9</v>
      </c>
      <c r="D553" t="str">
        <f t="shared" si="42"/>
        <v>538</v>
      </c>
      <c r="E553">
        <f t="shared" si="43"/>
        <v>153809</v>
      </c>
      <c r="F553">
        <f>INDEX(Schedule!$A:$N, MATCH(Joined!$G553, Schedule!$B:$B,0),14)</f>
        <v>15010</v>
      </c>
      <c r="G553" t="s">
        <v>1190</v>
      </c>
      <c r="H553">
        <f>INDEX(VAV_Schedule_5_21[#All], MATCH(Joined!G553, VAV_Schedule_5_21[[#All],[UNIT TAG]], 0), 9)</f>
        <v>14</v>
      </c>
      <c r="I553" t="str">
        <f t="shared" si="40"/>
        <v>WPC.VAV-14E-23</v>
      </c>
      <c r="J553" t="str">
        <f t="shared" si="41"/>
        <v>14E</v>
      </c>
      <c r="L553">
        <f>INDEX(Schedule!$A:$J, MATCH(Joined!$G553, Schedule!$B:$B, 0), 5)</f>
        <v>1150</v>
      </c>
      <c r="M553">
        <f>INDEX(Schedule!$A:$J, MATCH(Joined!$G553, Schedule!$B:$B, 0), 6)</f>
        <v>175</v>
      </c>
    </row>
    <row r="554" spans="1:13" x14ac:dyDescent="0.2">
      <c r="A554">
        <f>INDEX(PanelInstance!B:D, MATCH(Joined!J554, PanelInstance!D:D, FALSE), 2)</f>
        <v>153800</v>
      </c>
      <c r="B554" t="s">
        <v>291</v>
      </c>
      <c r="C554">
        <f>COUNTIF($D$3:D554, RIGHT(LEFT(A554,4),3))</f>
        <v>10</v>
      </c>
      <c r="D554" t="str">
        <f t="shared" si="42"/>
        <v>538</v>
      </c>
      <c r="E554">
        <f t="shared" si="43"/>
        <v>153810</v>
      </c>
      <c r="F554">
        <f>INDEX(Schedule!$A:$N, MATCH(Joined!$G554, Schedule!$B:$B,0),14)</f>
        <v>15010</v>
      </c>
      <c r="G554" t="s">
        <v>1191</v>
      </c>
      <c r="H554">
        <f>INDEX(VAV_Schedule_5_21[#All], MATCH(Joined!G554, VAV_Schedule_5_21[[#All],[UNIT TAG]], 0), 9)</f>
        <v>14</v>
      </c>
      <c r="I554" t="str">
        <f t="shared" si="40"/>
        <v>WPC.VAV-14E-24</v>
      </c>
      <c r="J554" t="str">
        <f t="shared" si="41"/>
        <v>14E</v>
      </c>
      <c r="L554">
        <f>INDEX(Schedule!$A:$J, MATCH(Joined!$G554, Schedule!$B:$B, 0), 5)</f>
        <v>200</v>
      </c>
      <c r="M554">
        <f>INDEX(Schedule!$A:$J, MATCH(Joined!$G554, Schedule!$B:$B, 0), 6)</f>
        <v>30</v>
      </c>
    </row>
    <row r="555" spans="1:13" x14ac:dyDescent="0.2">
      <c r="A555">
        <f>INDEX(PanelInstance!B:D, MATCH(Joined!J555, PanelInstance!D:D, FALSE), 2)</f>
        <v>153800</v>
      </c>
      <c r="B555" t="s">
        <v>291</v>
      </c>
      <c r="C555">
        <f>COUNTIF($D$3:D555, RIGHT(LEFT(A555,4),3))</f>
        <v>11</v>
      </c>
      <c r="D555" t="str">
        <f t="shared" si="42"/>
        <v>538</v>
      </c>
      <c r="E555">
        <f t="shared" si="43"/>
        <v>153811</v>
      </c>
      <c r="F555">
        <f>INDEX(Schedule!$A:$N, MATCH(Joined!$G555, Schedule!$B:$B,0),14)</f>
        <v>15011</v>
      </c>
      <c r="G555" t="s">
        <v>1192</v>
      </c>
      <c r="H555">
        <f>INDEX(VAV_Schedule_5_21[#All], MATCH(Joined!G555, VAV_Schedule_5_21[[#All],[UNIT TAG]], 0), 9)</f>
        <v>14</v>
      </c>
      <c r="I555" t="str">
        <f t="shared" si="40"/>
        <v>WPC.VAV-14E-25</v>
      </c>
      <c r="J555" t="str">
        <f t="shared" si="41"/>
        <v>14E</v>
      </c>
      <c r="L555">
        <f>INDEX(Schedule!$A:$J, MATCH(Joined!$G555, Schedule!$B:$B, 0), 5)</f>
        <v>1140</v>
      </c>
      <c r="M555">
        <f>INDEX(Schedule!$A:$J, MATCH(Joined!$G555, Schedule!$B:$B, 0), 6)</f>
        <v>175</v>
      </c>
    </row>
    <row r="556" spans="1:13" x14ac:dyDescent="0.2">
      <c r="A556">
        <f>INDEX(PanelInstance!B:D, MATCH(Joined!J556, PanelInstance!D:D, FALSE), 2)</f>
        <v>153800</v>
      </c>
      <c r="B556" t="s">
        <v>291</v>
      </c>
      <c r="C556">
        <f>COUNTIF($D$3:D556, RIGHT(LEFT(A556,4),3))</f>
        <v>12</v>
      </c>
      <c r="D556" t="str">
        <f t="shared" si="42"/>
        <v>538</v>
      </c>
      <c r="E556">
        <f t="shared" si="43"/>
        <v>153812</v>
      </c>
      <c r="F556">
        <f>INDEX(Schedule!$A:$N, MATCH(Joined!$G556, Schedule!$B:$B,0),14)</f>
        <v>15011</v>
      </c>
      <c r="G556" t="s">
        <v>1193</v>
      </c>
      <c r="H556">
        <f>INDEX(VAV_Schedule_5_21[#All], MATCH(Joined!G556, VAV_Schedule_5_21[[#All],[UNIT TAG]], 0), 9)</f>
        <v>14</v>
      </c>
      <c r="I556" t="str">
        <f t="shared" si="40"/>
        <v>WPC.VAV-14E-26</v>
      </c>
      <c r="J556" t="str">
        <f t="shared" si="41"/>
        <v>14E</v>
      </c>
      <c r="L556">
        <f>INDEX(Schedule!$A:$J, MATCH(Joined!$G556, Schedule!$B:$B, 0), 5)</f>
        <v>700</v>
      </c>
      <c r="M556">
        <f>INDEX(Schedule!$A:$J, MATCH(Joined!$G556, Schedule!$B:$B, 0), 6)</f>
        <v>105</v>
      </c>
    </row>
    <row r="557" spans="1:13" x14ac:dyDescent="0.2">
      <c r="A557">
        <f>INDEX(PanelInstance!B:D, MATCH(Joined!J557, PanelInstance!D:D, FALSE), 2)</f>
        <v>153800</v>
      </c>
      <c r="B557" t="s">
        <v>291</v>
      </c>
      <c r="C557">
        <f>COUNTIF($D$3:D557, RIGHT(LEFT(A557,4),3))</f>
        <v>13</v>
      </c>
      <c r="D557" t="str">
        <f t="shared" si="42"/>
        <v>538</v>
      </c>
      <c r="E557">
        <f t="shared" si="43"/>
        <v>153813</v>
      </c>
      <c r="F557">
        <f>INDEX(Schedule!$A:$N, MATCH(Joined!$G557, Schedule!$B:$B,0),14)</f>
        <v>15011</v>
      </c>
      <c r="G557" t="s">
        <v>1194</v>
      </c>
      <c r="H557">
        <f>INDEX(VAV_Schedule_5_21[#All], MATCH(Joined!G557, VAV_Schedule_5_21[[#All],[UNIT TAG]], 0), 9)</f>
        <v>14</v>
      </c>
      <c r="I557" t="str">
        <f t="shared" si="40"/>
        <v>WPC.VAV-14E-27</v>
      </c>
      <c r="J557" t="str">
        <f t="shared" si="41"/>
        <v>14E</v>
      </c>
      <c r="L557">
        <f>INDEX(Schedule!$A:$J, MATCH(Joined!$G557, Schedule!$B:$B, 0), 5)</f>
        <v>700</v>
      </c>
      <c r="M557">
        <f>INDEX(Schedule!$A:$J, MATCH(Joined!$G557, Schedule!$B:$B, 0), 6)</f>
        <v>105</v>
      </c>
    </row>
    <row r="558" spans="1:13" x14ac:dyDescent="0.2">
      <c r="A558">
        <f>INDEX(PanelInstance!B:D, MATCH(Joined!J558, PanelInstance!D:D, FALSE), 2)</f>
        <v>153800</v>
      </c>
      <c r="B558" t="s">
        <v>291</v>
      </c>
      <c r="C558">
        <f>COUNTIF($D$3:D558, RIGHT(LEFT(A558,4),3))</f>
        <v>14</v>
      </c>
      <c r="D558" t="str">
        <f t="shared" si="42"/>
        <v>538</v>
      </c>
      <c r="E558">
        <f t="shared" si="43"/>
        <v>153814</v>
      </c>
      <c r="F558">
        <f>INDEX(Schedule!$A:$N, MATCH(Joined!$G558, Schedule!$B:$B,0),14)</f>
        <v>15010</v>
      </c>
      <c r="G558" t="s">
        <v>1195</v>
      </c>
      <c r="H558">
        <f>INDEX(VAV_Schedule_5_21[#All], MATCH(Joined!G558, VAV_Schedule_5_21[[#All],[UNIT TAG]], 0), 9)</f>
        <v>14</v>
      </c>
      <c r="I558" t="str">
        <f t="shared" si="40"/>
        <v>WPC.VAV-14E-28</v>
      </c>
      <c r="J558" t="str">
        <f t="shared" si="41"/>
        <v>14E</v>
      </c>
      <c r="L558">
        <f>INDEX(Schedule!$A:$J, MATCH(Joined!$G558, Schedule!$B:$B, 0), 5)</f>
        <v>770</v>
      </c>
      <c r="M558">
        <f>INDEX(Schedule!$A:$J, MATCH(Joined!$G558, Schedule!$B:$B, 0), 6)</f>
        <v>120</v>
      </c>
    </row>
    <row r="559" spans="1:13" x14ac:dyDescent="0.2">
      <c r="A559">
        <f>INDEX(PanelInstance!B:D, MATCH(Joined!J559, PanelInstance!D:D, FALSE), 2)</f>
        <v>153800</v>
      </c>
      <c r="B559" t="s">
        <v>291</v>
      </c>
      <c r="C559">
        <f>COUNTIF($D$3:D559, RIGHT(LEFT(A559,4),3))</f>
        <v>15</v>
      </c>
      <c r="D559" t="str">
        <f t="shared" si="42"/>
        <v>538</v>
      </c>
      <c r="E559">
        <f t="shared" si="43"/>
        <v>153815</v>
      </c>
      <c r="F559">
        <f>INDEX(Schedule!$A:$N, MATCH(Joined!$G559, Schedule!$B:$B,0),14)</f>
        <v>15010</v>
      </c>
      <c r="G559" t="s">
        <v>1196</v>
      </c>
      <c r="H559">
        <f>INDEX(VAV_Schedule_5_21[#All], MATCH(Joined!G559, VAV_Schedule_5_21[[#All],[UNIT TAG]], 0), 9)</f>
        <v>14</v>
      </c>
      <c r="I559" t="str">
        <f t="shared" si="40"/>
        <v>WPC.VAV-14E-29</v>
      </c>
      <c r="J559" t="str">
        <f t="shared" si="41"/>
        <v>14E</v>
      </c>
      <c r="L559">
        <f>INDEX(Schedule!$A:$J, MATCH(Joined!$G559, Schedule!$B:$B, 0), 5)</f>
        <v>1305</v>
      </c>
      <c r="M559">
        <f>INDEX(Schedule!$A:$J, MATCH(Joined!$G559, Schedule!$B:$B, 0), 6)</f>
        <v>200</v>
      </c>
    </row>
    <row r="560" spans="1:13" x14ac:dyDescent="0.2">
      <c r="A560">
        <f>INDEX(PanelInstance!B:D, MATCH(Joined!J560, PanelInstance!D:D, FALSE), 2)</f>
        <v>153800</v>
      </c>
      <c r="B560" t="s">
        <v>291</v>
      </c>
      <c r="C560">
        <f>COUNTIF($D$3:D560, RIGHT(LEFT(A560,4),3))</f>
        <v>16</v>
      </c>
      <c r="D560" t="str">
        <f t="shared" si="42"/>
        <v>538</v>
      </c>
      <c r="E560">
        <f t="shared" si="43"/>
        <v>153816</v>
      </c>
      <c r="F560">
        <f>INDEX(Schedule!$A:$N, MATCH(Joined!$G560, Schedule!$B:$B,0),14)</f>
        <v>15011</v>
      </c>
      <c r="G560" t="s">
        <v>1197</v>
      </c>
      <c r="H560">
        <f>INDEX(VAV_Schedule_5_21[#All], MATCH(Joined!G560, VAV_Schedule_5_21[[#All],[UNIT TAG]], 0), 9)</f>
        <v>14</v>
      </c>
      <c r="I560" t="str">
        <f t="shared" si="40"/>
        <v>WPC.VAV-14E-30</v>
      </c>
      <c r="J560" t="str">
        <f t="shared" si="41"/>
        <v>14E</v>
      </c>
      <c r="L560">
        <f>INDEX(Schedule!$A:$J, MATCH(Joined!$G560, Schedule!$B:$B, 0), 5)</f>
        <v>1000</v>
      </c>
      <c r="M560">
        <f>INDEX(Schedule!$A:$J, MATCH(Joined!$G560, Schedule!$B:$B, 0), 6)</f>
        <v>150</v>
      </c>
    </row>
    <row r="561" spans="1:13" x14ac:dyDescent="0.2">
      <c r="A561">
        <f>INDEX(PanelInstance!B:D, MATCH(Joined!J561, PanelInstance!D:D, FALSE), 2)</f>
        <v>153800</v>
      </c>
      <c r="B561" t="s">
        <v>291</v>
      </c>
      <c r="C561">
        <f>COUNTIF($D$3:D561, RIGHT(LEFT(A561,4),3))</f>
        <v>17</v>
      </c>
      <c r="D561" t="str">
        <f t="shared" si="42"/>
        <v>538</v>
      </c>
      <c r="E561">
        <f t="shared" si="43"/>
        <v>153817</v>
      </c>
      <c r="F561">
        <f>INDEX(Schedule!$A:$N, MATCH(Joined!$G561, Schedule!$B:$B,0),14)</f>
        <v>15011</v>
      </c>
      <c r="G561" t="s">
        <v>1198</v>
      </c>
      <c r="H561">
        <f>INDEX(VAV_Schedule_5_21[#All], MATCH(Joined!G561, VAV_Schedule_5_21[[#All],[UNIT TAG]], 0), 9)</f>
        <v>14</v>
      </c>
      <c r="I561" t="str">
        <f t="shared" si="40"/>
        <v>WPC.VAV-14E-31</v>
      </c>
      <c r="J561" t="str">
        <f t="shared" si="41"/>
        <v>14E</v>
      </c>
      <c r="L561">
        <f>INDEX(Schedule!$A:$J, MATCH(Joined!$G561, Schedule!$B:$B, 0), 5)</f>
        <v>1300</v>
      </c>
      <c r="M561">
        <f>INDEX(Schedule!$A:$J, MATCH(Joined!$G561, Schedule!$B:$B, 0), 6)</f>
        <v>195</v>
      </c>
    </row>
    <row r="562" spans="1:13" x14ac:dyDescent="0.2">
      <c r="A562">
        <f>INDEX(PanelInstance!B:D, MATCH(Joined!J562, PanelInstance!D:D, FALSE), 2)</f>
        <v>153900</v>
      </c>
      <c r="B562" t="s">
        <v>291</v>
      </c>
      <c r="C562">
        <f>COUNTIF($D$3:D562, RIGHT(LEFT(A562,4),3))</f>
        <v>5</v>
      </c>
      <c r="D562" t="str">
        <f t="shared" si="42"/>
        <v>539</v>
      </c>
      <c r="E562">
        <f t="shared" si="43"/>
        <v>153905</v>
      </c>
      <c r="F562">
        <f>INDEX(Schedule!$A:$N, MATCH(Joined!$G562, Schedule!$B:$B,0),14)</f>
        <v>15010</v>
      </c>
      <c r="G562" t="s">
        <v>1199</v>
      </c>
      <c r="H562">
        <f>INDEX(VAV_Schedule_5_21[#All], MATCH(Joined!G562, VAV_Schedule_5_21[[#All],[UNIT TAG]], 0), 9)</f>
        <v>14</v>
      </c>
      <c r="I562" t="str">
        <f t="shared" si="40"/>
        <v>WPC.VAV-14W-32</v>
      </c>
      <c r="J562" t="str">
        <f t="shared" si="41"/>
        <v>14W</v>
      </c>
      <c r="L562">
        <f>INDEX(Schedule!$A:$J, MATCH(Joined!$G562, Schedule!$B:$B, 0), 5)</f>
        <v>645</v>
      </c>
      <c r="M562">
        <f>INDEX(Schedule!$A:$J, MATCH(Joined!$G562, Schedule!$B:$B, 0), 6)</f>
        <v>100</v>
      </c>
    </row>
    <row r="563" spans="1:13" x14ac:dyDescent="0.2">
      <c r="A563">
        <f>INDEX(PanelInstance!B:D, MATCH(Joined!J563, PanelInstance!D:D, FALSE), 2)</f>
        <v>153900</v>
      </c>
      <c r="B563" t="s">
        <v>291</v>
      </c>
      <c r="C563">
        <f>COUNTIF($D$3:D563, RIGHT(LEFT(A563,4),3))</f>
        <v>6</v>
      </c>
      <c r="D563" t="str">
        <f t="shared" si="42"/>
        <v>539</v>
      </c>
      <c r="E563">
        <f t="shared" si="43"/>
        <v>153906</v>
      </c>
      <c r="F563">
        <f>INDEX(Schedule!$A:$N, MATCH(Joined!$G563, Schedule!$B:$B,0),14)</f>
        <v>15010</v>
      </c>
      <c r="G563" t="s">
        <v>1200</v>
      </c>
      <c r="H563">
        <f>INDEX(VAV_Schedule_5_21[#All], MATCH(Joined!G563, VAV_Schedule_5_21[[#All],[UNIT TAG]], 0), 9)</f>
        <v>14</v>
      </c>
      <c r="I563" t="str">
        <f t="shared" si="40"/>
        <v>WPC.VAV-14W-33</v>
      </c>
      <c r="J563" t="str">
        <f t="shared" si="41"/>
        <v>14W</v>
      </c>
      <c r="L563">
        <f>INDEX(Schedule!$A:$J, MATCH(Joined!$G563, Schedule!$B:$B, 0), 5)</f>
        <v>1200</v>
      </c>
      <c r="M563">
        <f>INDEX(Schedule!$A:$J, MATCH(Joined!$G563, Schedule!$B:$B, 0), 6)</f>
        <v>180</v>
      </c>
    </row>
    <row r="564" spans="1:13" x14ac:dyDescent="0.2">
      <c r="A564">
        <f>INDEX(PanelInstance!B:D, MATCH(Joined!J564, PanelInstance!D:D, FALSE), 2)</f>
        <v>153900</v>
      </c>
      <c r="B564" t="s">
        <v>291</v>
      </c>
      <c r="C564">
        <f>COUNTIF($D$3:D564, RIGHT(LEFT(A564,4),3))</f>
        <v>7</v>
      </c>
      <c r="D564" t="str">
        <f t="shared" si="42"/>
        <v>539</v>
      </c>
      <c r="E564">
        <f t="shared" si="43"/>
        <v>153907</v>
      </c>
      <c r="F564">
        <f>INDEX(Schedule!$A:$N, MATCH(Joined!$G564, Schedule!$B:$B,0),14)</f>
        <v>15011</v>
      </c>
      <c r="G564" t="s">
        <v>1201</v>
      </c>
      <c r="H564">
        <f>INDEX(VAV_Schedule_5_21[#All], MATCH(Joined!G564, VAV_Schedule_5_21[[#All],[UNIT TAG]], 0), 9)</f>
        <v>14</v>
      </c>
      <c r="I564" t="str">
        <f t="shared" si="40"/>
        <v>WPC.VAV-14W-34</v>
      </c>
      <c r="J564" t="str">
        <f t="shared" si="41"/>
        <v>14W</v>
      </c>
      <c r="L564">
        <f>INDEX(Schedule!$A:$J, MATCH(Joined!$G564, Schedule!$B:$B, 0), 5)</f>
        <v>640</v>
      </c>
      <c r="M564">
        <f>INDEX(Schedule!$A:$J, MATCH(Joined!$G564, Schedule!$B:$B, 0), 6)</f>
        <v>100</v>
      </c>
    </row>
    <row r="565" spans="1:13" x14ac:dyDescent="0.2">
      <c r="A565">
        <f>INDEX(PanelInstance!B:D, MATCH(Joined!J565, PanelInstance!D:D, FALSE), 2)</f>
        <v>153900</v>
      </c>
      <c r="B565" t="s">
        <v>291</v>
      </c>
      <c r="C565">
        <f>COUNTIF($D$3:D565, RIGHT(LEFT(A565,4),3))</f>
        <v>8</v>
      </c>
      <c r="D565" t="str">
        <f t="shared" si="42"/>
        <v>539</v>
      </c>
      <c r="E565">
        <f t="shared" si="43"/>
        <v>153908</v>
      </c>
      <c r="F565">
        <f>INDEX(Schedule!$A:$N, MATCH(Joined!$G565, Schedule!$B:$B,0),14)</f>
        <v>15011</v>
      </c>
      <c r="G565" t="s">
        <v>1202</v>
      </c>
      <c r="H565">
        <f>INDEX(VAV_Schedule_5_21[#All], MATCH(Joined!G565, VAV_Schedule_5_21[[#All],[UNIT TAG]], 0), 9)</f>
        <v>14</v>
      </c>
      <c r="I565" t="str">
        <f t="shared" si="40"/>
        <v>WPC.VAV-14W-35</v>
      </c>
      <c r="J565" t="str">
        <f t="shared" si="41"/>
        <v>14W</v>
      </c>
      <c r="L565">
        <f>INDEX(Schedule!$A:$J, MATCH(Joined!$G565, Schedule!$B:$B, 0), 5)</f>
        <v>700</v>
      </c>
      <c r="M565">
        <f>INDEX(Schedule!$A:$J, MATCH(Joined!$G565, Schedule!$B:$B, 0), 6)</f>
        <v>105</v>
      </c>
    </row>
    <row r="566" spans="1:13" x14ac:dyDescent="0.2">
      <c r="A566">
        <f>INDEX(PanelInstance!B:D, MATCH(Joined!J566, PanelInstance!D:D, FALSE), 2)</f>
        <v>153900</v>
      </c>
      <c r="B566" t="s">
        <v>291</v>
      </c>
      <c r="C566">
        <f>COUNTIF($D$3:D566, RIGHT(LEFT(A566,4),3))</f>
        <v>9</v>
      </c>
      <c r="D566" t="str">
        <f t="shared" si="42"/>
        <v>539</v>
      </c>
      <c r="E566">
        <f t="shared" si="43"/>
        <v>153909</v>
      </c>
      <c r="F566">
        <f>INDEX(Schedule!$A:$N, MATCH(Joined!$G566, Schedule!$B:$B,0),14)</f>
        <v>15010</v>
      </c>
      <c r="G566" t="s">
        <v>1203</v>
      </c>
      <c r="H566">
        <f>INDEX(VAV_Schedule_5_21[#All], MATCH(Joined!G566, VAV_Schedule_5_21[[#All],[UNIT TAG]], 0), 9)</f>
        <v>14</v>
      </c>
      <c r="I566" t="str">
        <f t="shared" si="40"/>
        <v>WPC.VAV-14W-36</v>
      </c>
      <c r="J566" t="str">
        <f t="shared" si="41"/>
        <v>14W</v>
      </c>
      <c r="L566">
        <f>INDEX(Schedule!$A:$J, MATCH(Joined!$G566, Schedule!$B:$B, 0), 5)</f>
        <v>1150</v>
      </c>
      <c r="M566">
        <f>INDEX(Schedule!$A:$J, MATCH(Joined!$G566, Schedule!$B:$B, 0), 6)</f>
        <v>175</v>
      </c>
    </row>
    <row r="567" spans="1:13" x14ac:dyDescent="0.2">
      <c r="A567">
        <f>INDEX(PanelInstance!B:D, MATCH(Joined!J567, PanelInstance!D:D, FALSE), 2)</f>
        <v>153900</v>
      </c>
      <c r="B567" t="s">
        <v>291</v>
      </c>
      <c r="C567">
        <f>COUNTIF($D$3:D567, RIGHT(LEFT(A567,4),3))</f>
        <v>10</v>
      </c>
      <c r="D567" t="str">
        <f t="shared" si="42"/>
        <v>539</v>
      </c>
      <c r="E567">
        <f t="shared" si="43"/>
        <v>153910</v>
      </c>
      <c r="F567">
        <f>INDEX(Schedule!$A:$N, MATCH(Joined!$G567, Schedule!$B:$B,0),14)</f>
        <v>15011</v>
      </c>
      <c r="G567" t="s">
        <v>1204</v>
      </c>
      <c r="H567">
        <f>INDEX(VAV_Schedule_5_21[#All], MATCH(Joined!G567, VAV_Schedule_5_21[[#All],[UNIT TAG]], 0), 9)</f>
        <v>14</v>
      </c>
      <c r="I567" t="str">
        <f t="shared" si="40"/>
        <v>WPC.VAV-14W-37</v>
      </c>
      <c r="J567" t="str">
        <f t="shared" si="41"/>
        <v>14W</v>
      </c>
      <c r="L567">
        <f>INDEX(Schedule!$A:$J, MATCH(Joined!$G567, Schedule!$B:$B, 0), 5)</f>
        <v>1200</v>
      </c>
      <c r="M567">
        <f>INDEX(Schedule!$A:$J, MATCH(Joined!$G567, Schedule!$B:$B, 0), 6)</f>
        <v>180</v>
      </c>
    </row>
    <row r="568" spans="1:13" x14ac:dyDescent="0.2">
      <c r="A568">
        <f>INDEX(PanelInstance!B:D, MATCH(Joined!J568, PanelInstance!D:D, FALSE), 2)</f>
        <v>153900</v>
      </c>
      <c r="B568" t="s">
        <v>291</v>
      </c>
      <c r="C568">
        <f>COUNTIF($D$3:D568, RIGHT(LEFT(A568,4),3))</f>
        <v>11</v>
      </c>
      <c r="D568" t="str">
        <f t="shared" si="42"/>
        <v>539</v>
      </c>
      <c r="E568">
        <f t="shared" si="43"/>
        <v>153911</v>
      </c>
      <c r="F568">
        <f>INDEX(Schedule!$A:$N, MATCH(Joined!$G568, Schedule!$B:$B,0),14)</f>
        <v>15010</v>
      </c>
      <c r="G568" t="s">
        <v>1205</v>
      </c>
      <c r="H568">
        <f>INDEX(VAV_Schedule_5_21[#All], MATCH(Joined!G568, VAV_Schedule_5_21[[#All],[UNIT TAG]], 0), 9)</f>
        <v>14</v>
      </c>
      <c r="I568" t="str">
        <f t="shared" si="40"/>
        <v>WPC.VAV-14W-38</v>
      </c>
      <c r="J568" t="str">
        <f t="shared" si="41"/>
        <v>14W</v>
      </c>
      <c r="L568">
        <f>INDEX(Schedule!$A:$J, MATCH(Joined!$G568, Schedule!$B:$B, 0), 5)</f>
        <v>185</v>
      </c>
      <c r="M568">
        <f>INDEX(Schedule!$A:$J, MATCH(Joined!$G568, Schedule!$B:$B, 0), 6)</f>
        <v>30</v>
      </c>
    </row>
    <row r="569" spans="1:13" x14ac:dyDescent="0.2">
      <c r="A569">
        <f>INDEX(PanelInstance!B:D, MATCH(Joined!J569, PanelInstance!D:D, FALSE), 2)</f>
        <v>153900</v>
      </c>
      <c r="B569" t="s">
        <v>291</v>
      </c>
      <c r="C569">
        <f>COUNTIF($D$3:D569, RIGHT(LEFT(A569,4),3))</f>
        <v>12</v>
      </c>
      <c r="D569" t="str">
        <f t="shared" si="42"/>
        <v>539</v>
      </c>
      <c r="E569">
        <f t="shared" si="43"/>
        <v>153912</v>
      </c>
      <c r="F569">
        <f>INDEX(Schedule!$A:$N, MATCH(Joined!$G569, Schedule!$B:$B,0),14)</f>
        <v>15011</v>
      </c>
      <c r="G569" t="s">
        <v>1206</v>
      </c>
      <c r="H569">
        <f>INDEX(VAV_Schedule_5_21[#All], MATCH(Joined!G569, VAV_Schedule_5_21[[#All],[UNIT TAG]], 0), 9)</f>
        <v>14</v>
      </c>
      <c r="I569" t="str">
        <f t="shared" si="40"/>
        <v>WPC.VAV-14W-39</v>
      </c>
      <c r="J569" t="str">
        <f t="shared" si="41"/>
        <v>14W</v>
      </c>
      <c r="L569">
        <f>INDEX(Schedule!$A:$J, MATCH(Joined!$G569, Schedule!$B:$B, 0), 5)</f>
        <v>780</v>
      </c>
      <c r="M569">
        <f>INDEX(Schedule!$A:$J, MATCH(Joined!$G569, Schedule!$B:$B, 0), 6)</f>
        <v>120</v>
      </c>
    </row>
    <row r="570" spans="1:13" x14ac:dyDescent="0.2">
      <c r="A570">
        <f>INDEX(PanelInstance!B:D, MATCH(Joined!J570, PanelInstance!D:D, FALSE), 2)</f>
        <v>153900</v>
      </c>
      <c r="B570" t="s">
        <v>291</v>
      </c>
      <c r="C570">
        <f>COUNTIF($D$3:D570, RIGHT(LEFT(A570,4),3))</f>
        <v>13</v>
      </c>
      <c r="D570" t="str">
        <f t="shared" si="42"/>
        <v>539</v>
      </c>
      <c r="E570">
        <f t="shared" si="43"/>
        <v>153913</v>
      </c>
      <c r="F570">
        <f>INDEX(Schedule!$A:$N, MATCH(Joined!$G570, Schedule!$B:$B,0),14)</f>
        <v>15011</v>
      </c>
      <c r="G570" t="s">
        <v>1207</v>
      </c>
      <c r="H570">
        <f>INDEX(VAV_Schedule_5_21[#All], MATCH(Joined!G570, VAV_Schedule_5_21[[#All],[UNIT TAG]], 0), 9)</f>
        <v>14</v>
      </c>
      <c r="I570" t="str">
        <f t="shared" si="40"/>
        <v>WPC.VAV-14W-40</v>
      </c>
      <c r="J570" t="str">
        <f t="shared" si="41"/>
        <v>14W</v>
      </c>
      <c r="L570">
        <f>INDEX(Schedule!$A:$J, MATCH(Joined!$G570, Schedule!$B:$B, 0), 5)</f>
        <v>1040</v>
      </c>
      <c r="M570">
        <f>INDEX(Schedule!$A:$J, MATCH(Joined!$G570, Schedule!$B:$B, 0), 6)</f>
        <v>160</v>
      </c>
    </row>
    <row r="571" spans="1:13" x14ac:dyDescent="0.2">
      <c r="A571">
        <f>INDEX(PanelInstance!B:D, MATCH(Joined!J571, PanelInstance!D:D, FALSE), 2)</f>
        <v>153900</v>
      </c>
      <c r="B571" t="s">
        <v>291</v>
      </c>
      <c r="C571">
        <f>COUNTIF($D$3:D571, RIGHT(LEFT(A571,4),3))</f>
        <v>14</v>
      </c>
      <c r="D571" t="str">
        <f t="shared" si="42"/>
        <v>539</v>
      </c>
      <c r="E571">
        <f t="shared" si="43"/>
        <v>153914</v>
      </c>
      <c r="F571">
        <f>INDEX(Schedule!$A:$N, MATCH(Joined!$G571, Schedule!$B:$B,0),14)</f>
        <v>15011</v>
      </c>
      <c r="G571" t="s">
        <v>1208</v>
      </c>
      <c r="H571">
        <f>INDEX(VAV_Schedule_5_21[#All], MATCH(Joined!G571, VAV_Schedule_5_21[[#All],[UNIT TAG]], 0), 9)</f>
        <v>14</v>
      </c>
      <c r="I571" t="str">
        <f t="shared" si="40"/>
        <v>WPC.VAV-14W-41</v>
      </c>
      <c r="J571" t="str">
        <f t="shared" si="41"/>
        <v>14W</v>
      </c>
      <c r="L571">
        <f>INDEX(Schedule!$A:$J, MATCH(Joined!$G571, Schedule!$B:$B, 0), 5)</f>
        <v>820</v>
      </c>
      <c r="M571">
        <f>INDEX(Schedule!$A:$J, MATCH(Joined!$G571, Schedule!$B:$B, 0), 6)</f>
        <v>125</v>
      </c>
    </row>
    <row r="572" spans="1:13" x14ac:dyDescent="0.2">
      <c r="A572">
        <f>INDEX(PanelInstance!B:D, MATCH(Joined!J572, PanelInstance!D:D, FALSE), 2)</f>
        <v>153900</v>
      </c>
      <c r="B572" t="s">
        <v>291</v>
      </c>
      <c r="C572">
        <f>COUNTIF($D$3:D572, RIGHT(LEFT(A572,4),3))</f>
        <v>15</v>
      </c>
      <c r="D572" t="str">
        <f t="shared" si="42"/>
        <v>539</v>
      </c>
      <c r="E572">
        <f t="shared" si="43"/>
        <v>153915</v>
      </c>
      <c r="F572">
        <f>INDEX(Schedule!$A:$N, MATCH(Joined!$G572, Schedule!$B:$B,0),14)</f>
        <v>15010</v>
      </c>
      <c r="G572" t="s">
        <v>1209</v>
      </c>
      <c r="H572">
        <f>INDEX(VAV_Schedule_5_21[#All], MATCH(Joined!G572, VAV_Schedule_5_21[[#All],[UNIT TAG]], 0), 9)</f>
        <v>14</v>
      </c>
      <c r="I572" t="str">
        <f t="shared" si="40"/>
        <v>WPC.VAV-14W-42</v>
      </c>
      <c r="J572" t="str">
        <f t="shared" si="41"/>
        <v>14W</v>
      </c>
      <c r="L572">
        <f>INDEX(Schedule!$A:$J, MATCH(Joined!$G572, Schedule!$B:$B, 0), 5)</f>
        <v>100</v>
      </c>
      <c r="M572">
        <f>INDEX(Schedule!$A:$J, MATCH(Joined!$G572, Schedule!$B:$B, 0), 6)</f>
        <v>15</v>
      </c>
    </row>
  </sheetData>
  <autoFilter ref="A2:J349" xr:uid="{AC01E509-4103-4209-BB95-740970437B2C}"/>
  <sortState xmlns:xlrd2="http://schemas.microsoft.com/office/spreadsheetml/2017/richdata2" ref="G3:H338">
    <sortCondition ref="H3:H338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30ABA-B41E-4065-B80D-4AC69F7BC50B}">
  <sheetPr codeName="Sheet2"/>
  <dimension ref="B1:D43"/>
  <sheetViews>
    <sheetView workbookViewId="0">
      <selection activeCell="B45" sqref="B45"/>
    </sheetView>
  </sheetViews>
  <sheetFormatPr defaultRowHeight="12.75" x14ac:dyDescent="0.2"/>
  <cols>
    <col min="2" max="2" width="18.140625" bestFit="1" customWidth="1"/>
  </cols>
  <sheetData>
    <row r="1" spans="2:4" x14ac:dyDescent="0.2">
      <c r="B1" t="s">
        <v>247</v>
      </c>
      <c r="C1" t="s">
        <v>290</v>
      </c>
    </row>
    <row r="2" spans="2:4" x14ac:dyDescent="0.2">
      <c r="B2" t="s">
        <v>248</v>
      </c>
      <c r="C2">
        <v>150100</v>
      </c>
      <c r="D2" t="str">
        <f>LEFT(RIGHT(B2,6),2)</f>
        <v>2N</v>
      </c>
    </row>
    <row r="3" spans="2:4" x14ac:dyDescent="0.2">
      <c r="B3" t="s">
        <v>249</v>
      </c>
      <c r="C3">
        <v>150200</v>
      </c>
      <c r="D3" t="str">
        <f t="shared" ref="D3:D25" si="0">LEFT(RIGHT(B3,6),2)</f>
        <v>2E</v>
      </c>
    </row>
    <row r="4" spans="2:4" x14ac:dyDescent="0.2">
      <c r="B4" t="s">
        <v>250</v>
      </c>
      <c r="C4">
        <v>150300</v>
      </c>
      <c r="D4" t="str">
        <f t="shared" si="0"/>
        <v>2W</v>
      </c>
    </row>
    <row r="5" spans="2:4" x14ac:dyDescent="0.2">
      <c r="B5" t="s">
        <v>251</v>
      </c>
      <c r="C5">
        <v>150400</v>
      </c>
      <c r="D5" t="str">
        <f t="shared" si="0"/>
        <v>3N</v>
      </c>
    </row>
    <row r="6" spans="2:4" x14ac:dyDescent="0.2">
      <c r="B6" t="s">
        <v>252</v>
      </c>
      <c r="C6">
        <v>150500</v>
      </c>
      <c r="D6" t="str">
        <f t="shared" si="0"/>
        <v>3E</v>
      </c>
    </row>
    <row r="7" spans="2:4" x14ac:dyDescent="0.2">
      <c r="B7" t="s">
        <v>253</v>
      </c>
      <c r="C7">
        <v>150600</v>
      </c>
      <c r="D7" t="str">
        <f t="shared" si="0"/>
        <v>3W</v>
      </c>
    </row>
    <row r="8" spans="2:4" x14ac:dyDescent="0.2">
      <c r="B8" t="s">
        <v>254</v>
      </c>
      <c r="C8">
        <v>150700</v>
      </c>
      <c r="D8" t="str">
        <f t="shared" si="0"/>
        <v>4N</v>
      </c>
    </row>
    <row r="9" spans="2:4" x14ac:dyDescent="0.2">
      <c r="B9" t="s">
        <v>255</v>
      </c>
      <c r="C9">
        <v>150800</v>
      </c>
      <c r="D9" t="str">
        <f t="shared" si="0"/>
        <v>4E</v>
      </c>
    </row>
    <row r="10" spans="2:4" x14ac:dyDescent="0.2">
      <c r="B10" t="s">
        <v>256</v>
      </c>
      <c r="C10">
        <v>150900</v>
      </c>
      <c r="D10" t="str">
        <f t="shared" si="0"/>
        <v>4W</v>
      </c>
    </row>
    <row r="11" spans="2:4" x14ac:dyDescent="0.2">
      <c r="B11" t="s">
        <v>257</v>
      </c>
      <c r="C11">
        <v>151000</v>
      </c>
      <c r="D11" t="str">
        <f t="shared" si="0"/>
        <v>5N</v>
      </c>
    </row>
    <row r="12" spans="2:4" x14ac:dyDescent="0.2">
      <c r="B12" t="s">
        <v>258</v>
      </c>
      <c r="C12">
        <v>151100</v>
      </c>
      <c r="D12" t="str">
        <f t="shared" si="0"/>
        <v>5E</v>
      </c>
    </row>
    <row r="13" spans="2:4" x14ac:dyDescent="0.2">
      <c r="B13" t="s">
        <v>259</v>
      </c>
      <c r="C13">
        <v>151200</v>
      </c>
      <c r="D13" t="str">
        <f t="shared" si="0"/>
        <v>5W</v>
      </c>
    </row>
    <row r="14" spans="2:4" x14ac:dyDescent="0.2">
      <c r="B14" t="s">
        <v>260</v>
      </c>
      <c r="C14">
        <v>151300</v>
      </c>
      <c r="D14" t="str">
        <f t="shared" si="0"/>
        <v>6N</v>
      </c>
    </row>
    <row r="15" spans="2:4" x14ac:dyDescent="0.2">
      <c r="B15" t="s">
        <v>261</v>
      </c>
      <c r="C15">
        <v>151400</v>
      </c>
      <c r="D15" t="str">
        <f t="shared" si="0"/>
        <v>6E</v>
      </c>
    </row>
    <row r="16" spans="2:4" x14ac:dyDescent="0.2">
      <c r="B16" t="s">
        <v>262</v>
      </c>
      <c r="C16">
        <v>151500</v>
      </c>
      <c r="D16" t="str">
        <f t="shared" si="0"/>
        <v>6W</v>
      </c>
    </row>
    <row r="17" spans="2:4" x14ac:dyDescent="0.2">
      <c r="B17" t="s">
        <v>263</v>
      </c>
      <c r="C17">
        <v>151600</v>
      </c>
      <c r="D17" t="str">
        <f t="shared" si="0"/>
        <v>7N</v>
      </c>
    </row>
    <row r="18" spans="2:4" x14ac:dyDescent="0.2">
      <c r="B18" t="s">
        <v>264</v>
      </c>
      <c r="C18">
        <v>151700</v>
      </c>
      <c r="D18" t="str">
        <f t="shared" si="0"/>
        <v>7E</v>
      </c>
    </row>
    <row r="19" spans="2:4" x14ac:dyDescent="0.2">
      <c r="B19" t="s">
        <v>265</v>
      </c>
      <c r="C19">
        <v>151800</v>
      </c>
      <c r="D19" t="str">
        <f t="shared" si="0"/>
        <v>7W</v>
      </c>
    </row>
    <row r="20" spans="2:4" x14ac:dyDescent="0.2">
      <c r="B20" t="s">
        <v>266</v>
      </c>
      <c r="C20">
        <v>151900</v>
      </c>
      <c r="D20" t="str">
        <f t="shared" si="0"/>
        <v>8N</v>
      </c>
    </row>
    <row r="21" spans="2:4" x14ac:dyDescent="0.2">
      <c r="B21" t="s">
        <v>267</v>
      </c>
      <c r="C21">
        <v>152000</v>
      </c>
      <c r="D21" t="str">
        <f t="shared" si="0"/>
        <v>8E</v>
      </c>
    </row>
    <row r="22" spans="2:4" x14ac:dyDescent="0.2">
      <c r="B22" t="s">
        <v>268</v>
      </c>
      <c r="C22">
        <v>152100</v>
      </c>
      <c r="D22" t="str">
        <f t="shared" si="0"/>
        <v>8W</v>
      </c>
    </row>
    <row r="23" spans="2:4" x14ac:dyDescent="0.2">
      <c r="B23" t="s">
        <v>269</v>
      </c>
      <c r="C23">
        <v>152200</v>
      </c>
      <c r="D23" t="str">
        <f t="shared" si="0"/>
        <v>9N</v>
      </c>
    </row>
    <row r="24" spans="2:4" x14ac:dyDescent="0.2">
      <c r="B24" t="s">
        <v>270</v>
      </c>
      <c r="C24">
        <v>152300</v>
      </c>
      <c r="D24" t="str">
        <f t="shared" si="0"/>
        <v>9E</v>
      </c>
    </row>
    <row r="25" spans="2:4" x14ac:dyDescent="0.2">
      <c r="B25" t="s">
        <v>271</v>
      </c>
      <c r="C25">
        <v>152400</v>
      </c>
      <c r="D25" t="str">
        <f t="shared" si="0"/>
        <v>9W</v>
      </c>
    </row>
    <row r="26" spans="2:4" x14ac:dyDescent="0.2">
      <c r="B26" t="s">
        <v>272</v>
      </c>
      <c r="C26">
        <v>152500</v>
      </c>
      <c r="D26" t="str">
        <f>LEFT(RIGHT(B26,7),3)</f>
        <v>10N</v>
      </c>
    </row>
    <row r="27" spans="2:4" x14ac:dyDescent="0.2">
      <c r="B27" t="s">
        <v>273</v>
      </c>
      <c r="C27">
        <v>152600</v>
      </c>
      <c r="D27" t="str">
        <f t="shared" ref="D27:D43" si="1">LEFT(RIGHT(B27,7),3)</f>
        <v>10E</v>
      </c>
    </row>
    <row r="28" spans="2:4" x14ac:dyDescent="0.2">
      <c r="B28" t="s">
        <v>274</v>
      </c>
      <c r="C28">
        <v>152700</v>
      </c>
      <c r="D28" t="str">
        <f t="shared" si="1"/>
        <v>10W</v>
      </c>
    </row>
    <row r="29" spans="2:4" x14ac:dyDescent="0.2">
      <c r="B29" t="s">
        <v>275</v>
      </c>
      <c r="C29">
        <v>152800</v>
      </c>
      <c r="D29" t="str">
        <f t="shared" si="1"/>
        <v>11N</v>
      </c>
    </row>
    <row r="30" spans="2:4" x14ac:dyDescent="0.2">
      <c r="B30" t="s">
        <v>276</v>
      </c>
      <c r="C30">
        <v>152900</v>
      </c>
      <c r="D30" t="str">
        <f t="shared" si="1"/>
        <v>11E</v>
      </c>
    </row>
    <row r="31" spans="2:4" x14ac:dyDescent="0.2">
      <c r="B31" t="s">
        <v>277</v>
      </c>
      <c r="C31">
        <v>153000</v>
      </c>
      <c r="D31" t="str">
        <f t="shared" si="1"/>
        <v>11W</v>
      </c>
    </row>
    <row r="32" spans="2:4" x14ac:dyDescent="0.2">
      <c r="B32" t="s">
        <v>278</v>
      </c>
      <c r="C32">
        <v>153100</v>
      </c>
      <c r="D32" t="str">
        <f t="shared" si="1"/>
        <v>12N</v>
      </c>
    </row>
    <row r="33" spans="2:4" x14ac:dyDescent="0.2">
      <c r="B33" t="s">
        <v>279</v>
      </c>
      <c r="C33">
        <v>153200</v>
      </c>
      <c r="D33" t="str">
        <f t="shared" si="1"/>
        <v>12E</v>
      </c>
    </row>
    <row r="34" spans="2:4" x14ac:dyDescent="0.2">
      <c r="B34" t="s">
        <v>280</v>
      </c>
      <c r="C34">
        <v>153300</v>
      </c>
      <c r="D34" t="str">
        <f t="shared" si="1"/>
        <v>12W</v>
      </c>
    </row>
    <row r="35" spans="2:4" x14ac:dyDescent="0.2">
      <c r="B35" t="s">
        <v>281</v>
      </c>
      <c r="C35">
        <v>153400</v>
      </c>
      <c r="D35" t="str">
        <f t="shared" si="1"/>
        <v>13N</v>
      </c>
    </row>
    <row r="36" spans="2:4" x14ac:dyDescent="0.2">
      <c r="B36" t="s">
        <v>282</v>
      </c>
      <c r="C36">
        <v>153500</v>
      </c>
      <c r="D36" t="str">
        <f t="shared" si="1"/>
        <v>13E</v>
      </c>
    </row>
    <row r="37" spans="2:4" x14ac:dyDescent="0.2">
      <c r="B37" t="s">
        <v>283</v>
      </c>
      <c r="C37">
        <v>153600</v>
      </c>
      <c r="D37" t="str">
        <f t="shared" si="1"/>
        <v>13W</v>
      </c>
    </row>
    <row r="38" spans="2:4" x14ac:dyDescent="0.2">
      <c r="B38" t="s">
        <v>284</v>
      </c>
      <c r="C38">
        <v>153700</v>
      </c>
      <c r="D38" t="str">
        <f t="shared" si="1"/>
        <v>14N</v>
      </c>
    </row>
    <row r="39" spans="2:4" x14ac:dyDescent="0.2">
      <c r="B39" t="s">
        <v>285</v>
      </c>
      <c r="C39">
        <v>153800</v>
      </c>
      <c r="D39" t="str">
        <f t="shared" si="1"/>
        <v>14E</v>
      </c>
    </row>
    <row r="40" spans="2:4" x14ac:dyDescent="0.2">
      <c r="B40" t="s">
        <v>286</v>
      </c>
      <c r="C40">
        <v>153900</v>
      </c>
      <c r="D40" t="str">
        <f t="shared" si="1"/>
        <v>14W</v>
      </c>
    </row>
    <row r="41" spans="2:4" x14ac:dyDescent="0.2">
      <c r="B41" t="s">
        <v>287</v>
      </c>
      <c r="C41">
        <v>154000</v>
      </c>
      <c r="D41" t="str">
        <f t="shared" si="1"/>
        <v>15N</v>
      </c>
    </row>
    <row r="42" spans="2:4" x14ac:dyDescent="0.2">
      <c r="B42" t="s">
        <v>288</v>
      </c>
      <c r="C42">
        <v>154100</v>
      </c>
      <c r="D42" t="str">
        <f t="shared" si="1"/>
        <v>15E</v>
      </c>
    </row>
    <row r="43" spans="2:4" x14ac:dyDescent="0.2">
      <c r="B43" t="s">
        <v>289</v>
      </c>
      <c r="C43">
        <v>154200</v>
      </c>
      <c r="D43" t="str">
        <f t="shared" si="1"/>
        <v>15W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37AA-4468-48A6-9765-2B032BDC0FEB}">
  <sheetPr codeName="Sheet4"/>
  <dimension ref="A1:BQ571"/>
  <sheetViews>
    <sheetView workbookViewId="0">
      <pane ySplit="1" topLeftCell="A322" activePane="bottomLeft" state="frozen"/>
      <selection pane="bottomLeft" activeCell="O492" sqref="O492"/>
    </sheetView>
  </sheetViews>
  <sheetFormatPr defaultColWidth="30.7109375" defaultRowHeight="12.75" x14ac:dyDescent="0.2"/>
  <cols>
    <col min="1" max="1" width="17.7109375" bestFit="1" customWidth="1"/>
    <col min="2" max="2" width="13.42578125" customWidth="1"/>
    <col min="3" max="3" width="15.42578125" customWidth="1"/>
    <col min="4" max="4" width="14.140625" customWidth="1"/>
    <col min="5" max="5" width="12.140625" customWidth="1"/>
    <col min="6" max="6" width="12.42578125" customWidth="1"/>
    <col min="7" max="7" width="32.42578125" customWidth="1"/>
    <col min="8" max="8" width="17" customWidth="1"/>
    <col min="9" max="9" width="7.7109375" customWidth="1"/>
    <col min="10" max="10" width="14.5703125" customWidth="1"/>
    <col min="11" max="11" width="12.28515625" customWidth="1"/>
    <col min="12" max="12" width="10.85546875" customWidth="1"/>
    <col min="13" max="13" width="9" customWidth="1"/>
    <col min="14" max="14" width="24" customWidth="1"/>
    <col min="15" max="15" width="25.7109375" customWidth="1"/>
    <col min="16" max="16" width="25.5703125" customWidth="1"/>
    <col min="17" max="17" width="24.140625" customWidth="1"/>
    <col min="18" max="18" width="25.85546875" customWidth="1"/>
    <col min="19" max="19" width="25.7109375" customWidth="1"/>
    <col min="20" max="20" width="26.28515625" customWidth="1"/>
    <col min="21" max="21" width="18.7109375" customWidth="1"/>
    <col min="22" max="22" width="29" customWidth="1"/>
    <col min="23" max="23" width="28.140625" customWidth="1"/>
    <col min="24" max="24" width="29" customWidth="1"/>
    <col min="25" max="25" width="24.28515625" customWidth="1"/>
    <col min="26" max="27" width="20" customWidth="1"/>
    <col min="28" max="30" width="22.42578125" customWidth="1"/>
    <col min="31" max="31" width="22.5703125" customWidth="1"/>
    <col min="32" max="32" width="22.42578125" customWidth="1"/>
    <col min="33" max="33" width="21.7109375" customWidth="1"/>
    <col min="34" max="34" width="20.5703125" customWidth="1"/>
    <col min="35" max="35" width="36.140625" bestFit="1" customWidth="1"/>
    <col min="36" max="36" width="27.42578125" bestFit="1" customWidth="1"/>
    <col min="37" max="37" width="26.85546875" bestFit="1" customWidth="1"/>
    <col min="38" max="38" width="27.42578125" bestFit="1" customWidth="1"/>
    <col min="39" max="39" width="26.85546875" bestFit="1" customWidth="1"/>
    <col min="40" max="40" width="27.42578125" bestFit="1" customWidth="1"/>
    <col min="41" max="41" width="26.85546875" bestFit="1" customWidth="1"/>
    <col min="42" max="42" width="26.7109375" bestFit="1" customWidth="1"/>
    <col min="43" max="43" width="26.5703125" bestFit="1" customWidth="1"/>
    <col min="44" max="44" width="26.140625" bestFit="1" customWidth="1"/>
    <col min="45" max="45" width="27.42578125" bestFit="1" customWidth="1"/>
    <col min="46" max="46" width="24.42578125" bestFit="1" customWidth="1"/>
    <col min="47" max="47" width="25.5703125" bestFit="1" customWidth="1"/>
    <col min="48" max="48" width="26.85546875" bestFit="1" customWidth="1"/>
    <col min="49" max="49" width="18.5703125" bestFit="1" customWidth="1"/>
    <col min="50" max="50" width="16.42578125" bestFit="1" customWidth="1"/>
    <col min="51" max="51" width="13.42578125" bestFit="1" customWidth="1"/>
    <col min="52" max="52" width="11.140625" bestFit="1" customWidth="1"/>
    <col min="53" max="53" width="36.140625" bestFit="1" customWidth="1"/>
  </cols>
  <sheetData>
    <row r="1" spans="1:35" ht="63.75" x14ac:dyDescent="0.2">
      <c r="A1" t="s">
        <v>10</v>
      </c>
      <c r="B1" t="s">
        <v>11</v>
      </c>
      <c r="C1" t="s">
        <v>12</v>
      </c>
      <c r="D1" s="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s="1" t="s">
        <v>21</v>
      </c>
      <c r="M1" t="s">
        <v>22</v>
      </c>
      <c r="N1" s="1" t="s">
        <v>430</v>
      </c>
      <c r="O1" s="1" t="s">
        <v>26</v>
      </c>
      <c r="P1" s="1" t="s">
        <v>431</v>
      </c>
      <c r="Q1" s="1" t="s">
        <v>27</v>
      </c>
      <c r="R1" s="1" t="s">
        <v>28</v>
      </c>
      <c r="S1" s="1" t="s">
        <v>29</v>
      </c>
      <c r="T1" s="1" t="s">
        <v>30</v>
      </c>
      <c r="U1" s="1" t="s">
        <v>31</v>
      </c>
      <c r="V1" s="1" t="s">
        <v>32</v>
      </c>
      <c r="W1" s="1" t="s">
        <v>23</v>
      </c>
      <c r="X1" s="1" t="s">
        <v>24</v>
      </c>
      <c r="Y1" s="1" t="s">
        <v>25</v>
      </c>
      <c r="Z1" s="1" t="s">
        <v>885</v>
      </c>
      <c r="AA1" s="1" t="s">
        <v>39</v>
      </c>
      <c r="AB1" s="1" t="s">
        <v>40</v>
      </c>
      <c r="AC1" s="1" t="s">
        <v>432</v>
      </c>
      <c r="AD1" s="1" t="s">
        <v>886</v>
      </c>
      <c r="AE1" s="1" t="s">
        <v>33</v>
      </c>
      <c r="AF1" s="1" t="s">
        <v>34</v>
      </c>
      <c r="AG1" s="1" t="s">
        <v>35</v>
      </c>
      <c r="AH1" s="1" t="s">
        <v>36</v>
      </c>
      <c r="AI1" t="s">
        <v>37</v>
      </c>
    </row>
    <row r="2" spans="1:35" x14ac:dyDescent="0.2">
      <c r="A2" t="s">
        <v>837</v>
      </c>
      <c r="B2" t="str">
        <f>"B_01'" &amp; "Flr_0" &amp; INDEX(Joined!$A$3:$M$2000, MATCH($A2, Joined!$I$3:$I$2000, FALSE), 8)</f>
        <v>B_01'Flr_015</v>
      </c>
      <c r="C2" t="str">
        <f>INDEX(Joined!$A$3:$M$2000, MATCH($A2, Joined!$I$3:$I$2000, FALSE), 7)</f>
        <v>VAV-15E-14</v>
      </c>
      <c r="D2">
        <f>INDEX(Joined!$A$3:$M$2000, MATCH($A2, Joined!$I$3:$I$2000, FALSE), 5)</f>
        <v>154101</v>
      </c>
      <c r="E2" t="str">
        <f>INDEX(Joined!$A$3:$M$2000, MATCH($A2, Joined!$I$3:$I$2000, FALSE), 7)</f>
        <v>VAV-15E-14</v>
      </c>
      <c r="F2" t="s">
        <v>38</v>
      </c>
      <c r="G2" t="str">
        <f>INDEX(Schedule!$Q$2:$R$7, MATCH(ABT!$H2,Schedule!$Q$2:$Q$7, 0), 2)</f>
        <v>15011_DXR_VAV_DXR2M12</v>
      </c>
      <c r="H2">
        <f>INDEX(Joined!$A$3:$M$2000, MATCH($A2, Joined!$I$3:$I$2000, FALSE), 6)</f>
        <v>15011</v>
      </c>
      <c r="I2" t="str">
        <f>INDEX(Joined!$A$3:$M$2000, MATCH($A2, Joined!$I$3:$I$2000, FALSE), 4)</f>
        <v>541</v>
      </c>
      <c r="J2" t="b">
        <v>0</v>
      </c>
      <c r="K2">
        <f>INDEX(Joined!$A$3:$M$2000, MATCH($A2, Joined!$I$3:$I$2000, FALSE), 3)</f>
        <v>1</v>
      </c>
      <c r="L2">
        <v>85</v>
      </c>
      <c r="M2">
        <v>38400</v>
      </c>
      <c r="N2" s="27">
        <f>PI()*(INDEX(Schedule!$A$1:$N$2000, MATCH($C2, VAV_Schedule_5_21[[#All],[UNIT TAG]], FALSE), 4)/2/12)^2</f>
        <v>0.54541539124822802</v>
      </c>
      <c r="O2" s="27">
        <f>INDEX(Schedule!$A$1:$N$2000, MATCH($C2, VAV_Schedule_5_21[[#All],[UNIT TAG]], FALSE), 4)</f>
        <v>10</v>
      </c>
      <c r="P2">
        <v>0.63</v>
      </c>
      <c r="Q2" s="27">
        <f>INDEX(Schedule!$A$1:$N$2000, MATCH($C2, VAV_Schedule_5_21[[#All],[UNIT TAG]], FALSE), 5)</f>
        <v>840</v>
      </c>
      <c r="R2" s="27">
        <f>INDEX(Schedule!$A$1:$N$2000, MATCH($C2, VAV_Schedule_5_21[[#All],[UNIT TAG]], FALSE), 6)</f>
        <v>170</v>
      </c>
      <c r="S2" s="27">
        <f>INDEX(Schedule!$A$1:$N$2000, MATCH($C2, VAV_Schedule_5_21[[#All],[UNIT TAG]], FALSE), 5)</f>
        <v>840</v>
      </c>
      <c r="T2" s="27">
        <f>INDEX(Schedule!$A$1:$N$2000, MATCH($C2, VAV_Schedule_5_21[[#All],[UNIT TAG]], FALSE), 6)</f>
        <v>170</v>
      </c>
      <c r="U2" s="27">
        <f>INDEX(Schedule!$A$1:$N$2000, MATCH($C2, VAV_Schedule_5_21[[#All],[UNIT TAG]], FALSE), 5)</f>
        <v>840</v>
      </c>
      <c r="V2" s="27">
        <f>INDEX(Schedule!$A$1:$N$2000, MATCH($C2, VAV_Schedule_5_21[[#All],[UNIT TAG]], FALSE), 6)</f>
        <v>170</v>
      </c>
      <c r="W2" s="27">
        <f>INDEX(Schedule!$A$1:$N$2000, MATCH($C2, VAV_Schedule_5_21[[#All],[UNIT TAG]], FALSE), 6)</f>
        <v>170</v>
      </c>
      <c r="X2" s="27">
        <f>INDEX(Schedule!$A$1:$N$2000, MATCH($C2, VAV_Schedule_5_21[[#All],[UNIT TAG]], FALSE), 6)</f>
        <v>170</v>
      </c>
      <c r="Y2" s="27">
        <f>INDEX(Schedule!$A$1:$N$2000, MATCH($C2, VAV_Schedule_5_21[[#All],[UNIT TAG]], FALSE), 6)</f>
        <v>170</v>
      </c>
      <c r="Z2" s="27">
        <f>INDEX(Schedule!$A$1:$N$2000, MATCH($C2, VAV_Schedule_5_21[[#All],[UNIT TAG]], FALSE), 6)</f>
        <v>170</v>
      </c>
      <c r="AA2" s="27">
        <v>1000</v>
      </c>
      <c r="AB2" s="27">
        <v>1100</v>
      </c>
      <c r="AC2">
        <v>1400</v>
      </c>
      <c r="AD2" s="29">
        <f>IF(INDEX(Schedule!$A$1:$N$2000, MATCH($C2, VAV_Schedule_5_21[[#All],[UNIT TAG]], FALSE), 7)="-", 0, INDEX(Schedule!$A$1:$N$2000, MATCH($C2, VAV_Schedule_5_21[[#All],[UNIT TAG]], FALSE), 7))</f>
        <v>6</v>
      </c>
      <c r="AE2" t="str">
        <f>"B_01'" &amp; "Flr_0" &amp; INDEX(Joined!$A$3:$M$2000, MATCH($A2, Joined!$I$3:$I$2000, FALSE), 8)</f>
        <v>B_01'Flr_015</v>
      </c>
      <c r="AF2" t="str">
        <f>"R_" &amp; INDEX(Joined!$A$3:$M$2000, MATCH($A2, Joined!$I$3:$I$2000, FALSE), 7)</f>
        <v>R_VAV-15E-14</v>
      </c>
      <c r="AG2" t="str">
        <f>"B_01'" &amp; "Flr_0" &amp; INDEX(Joined!$A$3:$M$2000, MATCH($A2, Joined!$I$3:$I$2000, FALSE), 8)</f>
        <v>B_01'Flr_015</v>
      </c>
      <c r="AH2" t="str">
        <f>INDEX(Joined!$A$3:$M$2000, MATCH($A2, Joined!$I$3:$I$2000, FALSE), 7)</f>
        <v>VAV-15E-14</v>
      </c>
      <c r="AI2" t="s">
        <v>1501</v>
      </c>
    </row>
    <row r="3" spans="1:35" x14ac:dyDescent="0.2">
      <c r="A3" t="s">
        <v>838</v>
      </c>
      <c r="B3" t="str">
        <f>"B_01'" &amp; "Flr_0" &amp; INDEX(Joined!$A$3:$M$2000, MATCH($A3, Joined!$I$3:$I$2000, FALSE), 8)</f>
        <v>B_01'Flr_015</v>
      </c>
      <c r="C3" t="str">
        <f>INDEX(Joined!$A$3:$M$2000, MATCH($A3, Joined!$I$3:$I$2000, FALSE), 7)</f>
        <v>VAV-15E-15</v>
      </c>
      <c r="D3">
        <f>INDEX(Joined!$A$3:$M$2000, MATCH($A3, Joined!$I$3:$I$2000, FALSE), 5)</f>
        <v>154102</v>
      </c>
      <c r="E3" t="str">
        <f>INDEX(Joined!$A$3:$M$2000, MATCH($A3, Joined!$I$3:$I$2000, FALSE), 7)</f>
        <v>VAV-15E-15</v>
      </c>
      <c r="F3" t="s">
        <v>38</v>
      </c>
      <c r="G3" t="str">
        <f>INDEX(Schedule!$Q$2:$R$7, MATCH(ABT!$H3,Schedule!$Q$2:$Q$7, 0), 2)</f>
        <v>15011_DXR_VAV_DXR2M12</v>
      </c>
      <c r="H3">
        <f>INDEX(Joined!$A$3:$M$2000, MATCH($A3, Joined!$I$3:$I$2000, FALSE), 6)</f>
        <v>15011</v>
      </c>
      <c r="I3" t="str">
        <f>INDEX(Joined!$A$3:$M$2000, MATCH($A3, Joined!$I$3:$I$2000, FALSE), 4)</f>
        <v>541</v>
      </c>
      <c r="J3" t="b">
        <v>0</v>
      </c>
      <c r="K3">
        <f>INDEX(Joined!$A$3:$M$2000, MATCH($A3, Joined!$I$3:$I$2000, FALSE), 3)</f>
        <v>2</v>
      </c>
      <c r="L3">
        <v>85</v>
      </c>
      <c r="M3">
        <v>38400</v>
      </c>
      <c r="N3" s="27">
        <f>PI()*(INDEX(Schedule!$A$1:$N$2000, MATCH($C3, VAV_Schedule_5_21[[#All],[UNIT TAG]], FALSE), 4)/2/12)^2</f>
        <v>0.3490658503988659</v>
      </c>
      <c r="O3" s="27">
        <f>INDEX(Schedule!$A$1:$N$2000, MATCH($C3, VAV_Schedule_5_21[[#All],[UNIT TAG]], FALSE), 4)</f>
        <v>8</v>
      </c>
      <c r="P3">
        <v>1.63</v>
      </c>
      <c r="Q3" s="27">
        <f>INDEX(Schedule!$A$1:$N$2000, MATCH($C3, VAV_Schedule_5_21[[#All],[UNIT TAG]], FALSE), 5)</f>
        <v>640</v>
      </c>
      <c r="R3" s="27">
        <f>INDEX(Schedule!$A$1:$N$2000, MATCH($C3, VAV_Schedule_5_21[[#All],[UNIT TAG]], FALSE), 6)</f>
        <v>130</v>
      </c>
      <c r="S3" s="27">
        <f>INDEX(Schedule!$A$1:$N$2000, MATCH($C3, VAV_Schedule_5_21[[#All],[UNIT TAG]], FALSE), 5)</f>
        <v>640</v>
      </c>
      <c r="T3" s="27">
        <f>INDEX(Schedule!$A$1:$N$2000, MATCH($C3, VAV_Schedule_5_21[[#All],[UNIT TAG]], FALSE), 6)</f>
        <v>130</v>
      </c>
      <c r="U3" s="27">
        <f>INDEX(Schedule!$A$1:$N$2000, MATCH($C3, VAV_Schedule_5_21[[#All],[UNIT TAG]], FALSE), 5)</f>
        <v>640</v>
      </c>
      <c r="V3" s="27">
        <f>INDEX(Schedule!$A$1:$N$2000, MATCH($C3, VAV_Schedule_5_21[[#All],[UNIT TAG]], FALSE), 6)</f>
        <v>130</v>
      </c>
      <c r="W3" s="27">
        <f>INDEX(Schedule!$A$1:$N$2000, MATCH($C3, VAV_Schedule_5_21[[#All],[UNIT TAG]], FALSE), 6)</f>
        <v>130</v>
      </c>
      <c r="X3" s="27">
        <f>INDEX(Schedule!$A$1:$N$2000, MATCH($C3, VAV_Schedule_5_21[[#All],[UNIT TAG]], FALSE), 6)</f>
        <v>130</v>
      </c>
      <c r="Y3" s="27">
        <f>INDEX(Schedule!$A$1:$N$2000, MATCH($C3, VAV_Schedule_5_21[[#All],[UNIT TAG]], FALSE), 6)</f>
        <v>130</v>
      </c>
      <c r="Z3" s="27">
        <f>INDEX(Schedule!$A$1:$N$2000, MATCH($C3, VAV_Schedule_5_21[[#All],[UNIT TAG]], FALSE), 6)</f>
        <v>130</v>
      </c>
      <c r="AA3" s="27">
        <v>1000</v>
      </c>
      <c r="AB3" s="27">
        <v>1100</v>
      </c>
      <c r="AC3">
        <v>1400</v>
      </c>
      <c r="AD3" s="29">
        <f>IF(INDEX(Schedule!$A$1:$N$2000, MATCH($C3, VAV_Schedule_5_21[[#All],[UNIT TAG]], FALSE), 7)="-", 0, INDEX(Schedule!$A$1:$N$2000, MATCH($C3, VAV_Schedule_5_21[[#All],[UNIT TAG]], FALSE), 7))</f>
        <v>6</v>
      </c>
      <c r="AE3" t="str">
        <f>"B_01'" &amp; "Flr_0" &amp; INDEX(Joined!$A$3:$M$2000, MATCH($A3, Joined!$I$3:$I$2000, FALSE), 8)</f>
        <v>B_01'Flr_015</v>
      </c>
      <c r="AF3" t="str">
        <f>"R_" &amp; INDEX(Joined!$A$3:$M$2000, MATCH($A3, Joined!$I$3:$I$2000, FALSE), 7)</f>
        <v>R_VAV-15E-15</v>
      </c>
      <c r="AG3" t="str">
        <f>"B_01'" &amp; "Flr_0" &amp; INDEX(Joined!$A$3:$M$2000, MATCH($A3, Joined!$I$3:$I$2000, FALSE), 8)</f>
        <v>B_01'Flr_015</v>
      </c>
      <c r="AH3" t="str">
        <f>INDEX(Joined!$A$3:$M$2000, MATCH($A3, Joined!$I$3:$I$2000, FALSE), 7)</f>
        <v>VAV-15E-15</v>
      </c>
      <c r="AI3" t="s">
        <v>1502</v>
      </c>
    </row>
    <row r="4" spans="1:35" x14ac:dyDescent="0.2">
      <c r="A4" t="s">
        <v>839</v>
      </c>
      <c r="B4" t="str">
        <f>"B_01'" &amp; "Flr_0" &amp; INDEX(Joined!$A$3:$M$2000, MATCH($A4, Joined!$I$3:$I$2000, FALSE), 8)</f>
        <v>B_01'Flr_015</v>
      </c>
      <c r="C4" t="str">
        <f>INDEX(Joined!$A$3:$M$2000, MATCH($A4, Joined!$I$3:$I$2000, FALSE), 7)</f>
        <v>VAV-15E-16</v>
      </c>
      <c r="D4">
        <f>INDEX(Joined!$A$3:$M$2000, MATCH($A4, Joined!$I$3:$I$2000, FALSE), 5)</f>
        <v>154103</v>
      </c>
      <c r="E4" t="str">
        <f>INDEX(Joined!$A$3:$M$2000, MATCH($A4, Joined!$I$3:$I$2000, FALSE), 7)</f>
        <v>VAV-15E-16</v>
      </c>
      <c r="F4" t="s">
        <v>38</v>
      </c>
      <c r="G4" t="str">
        <f>INDEX(Schedule!$Q$2:$R$7, MATCH(ABT!$H4,Schedule!$Q$2:$Q$7, 0), 2)</f>
        <v>15011_DXR_VAV_DXR2M12</v>
      </c>
      <c r="H4">
        <f>INDEX(Joined!$A$3:$M$2000, MATCH($A4, Joined!$I$3:$I$2000, FALSE), 6)</f>
        <v>15011</v>
      </c>
      <c r="I4" t="str">
        <f>INDEX(Joined!$A$3:$M$2000, MATCH($A4, Joined!$I$3:$I$2000, FALSE), 4)</f>
        <v>541</v>
      </c>
      <c r="J4" t="b">
        <v>0</v>
      </c>
      <c r="K4">
        <f>INDEX(Joined!$A$3:$M$2000, MATCH($A4, Joined!$I$3:$I$2000, FALSE), 3)</f>
        <v>3</v>
      </c>
      <c r="L4">
        <v>85</v>
      </c>
      <c r="M4">
        <v>38400</v>
      </c>
      <c r="N4" s="27">
        <f>PI()*(INDEX(Schedule!$A$1:$N$2000, MATCH($C4, VAV_Schedule_5_21[[#All],[UNIT TAG]], FALSE), 4)/2/12)^2</f>
        <v>0.3490658503988659</v>
      </c>
      <c r="O4" s="27">
        <f>INDEX(Schedule!$A$1:$N$2000, MATCH($C4, VAV_Schedule_5_21[[#All],[UNIT TAG]], FALSE), 4)</f>
        <v>8</v>
      </c>
      <c r="P4">
        <v>2.63</v>
      </c>
      <c r="Q4" s="27">
        <f>INDEX(Schedule!$A$1:$N$2000, MATCH($C4, VAV_Schedule_5_21[[#All],[UNIT TAG]], FALSE), 5)</f>
        <v>600</v>
      </c>
      <c r="R4" s="27">
        <f>INDEX(Schedule!$A$1:$N$2000, MATCH($C4, VAV_Schedule_5_21[[#All],[UNIT TAG]], FALSE), 6)</f>
        <v>120</v>
      </c>
      <c r="S4" s="27">
        <f>INDEX(Schedule!$A$1:$N$2000, MATCH($C4, VAV_Schedule_5_21[[#All],[UNIT TAG]], FALSE), 5)</f>
        <v>600</v>
      </c>
      <c r="T4" s="27">
        <f>INDEX(Schedule!$A$1:$N$2000, MATCH($C4, VAV_Schedule_5_21[[#All],[UNIT TAG]], FALSE), 6)</f>
        <v>120</v>
      </c>
      <c r="U4" s="27">
        <f>INDEX(Schedule!$A$1:$N$2000, MATCH($C4, VAV_Schedule_5_21[[#All],[UNIT TAG]], FALSE), 5)</f>
        <v>600</v>
      </c>
      <c r="V4" s="27">
        <f>INDEX(Schedule!$A$1:$N$2000, MATCH($C4, VAV_Schedule_5_21[[#All],[UNIT TAG]], FALSE), 6)</f>
        <v>120</v>
      </c>
      <c r="W4" s="27">
        <f>INDEX(Schedule!$A$1:$N$2000, MATCH($C4, VAV_Schedule_5_21[[#All],[UNIT TAG]], FALSE), 6)</f>
        <v>120</v>
      </c>
      <c r="X4" s="27">
        <f>INDEX(Schedule!$A$1:$N$2000, MATCH($C4, VAV_Schedule_5_21[[#All],[UNIT TAG]], FALSE), 6)</f>
        <v>120</v>
      </c>
      <c r="Y4" s="27">
        <f>INDEX(Schedule!$A$1:$N$2000, MATCH($C4, VAV_Schedule_5_21[[#All],[UNIT TAG]], FALSE), 6)</f>
        <v>120</v>
      </c>
      <c r="Z4" s="27">
        <f>INDEX(Schedule!$A$1:$N$2000, MATCH($C4, VAV_Schedule_5_21[[#All],[UNIT TAG]], FALSE), 6)</f>
        <v>120</v>
      </c>
      <c r="AA4" s="27">
        <v>1000</v>
      </c>
      <c r="AB4" s="27">
        <v>1100</v>
      </c>
      <c r="AC4">
        <v>1400</v>
      </c>
      <c r="AD4" s="29">
        <f>IF(INDEX(Schedule!$A$1:$N$2000, MATCH($C4, VAV_Schedule_5_21[[#All],[UNIT TAG]], FALSE), 7)="-", 0, INDEX(Schedule!$A$1:$N$2000, MATCH($C4, VAV_Schedule_5_21[[#All],[UNIT TAG]], FALSE), 7))</f>
        <v>5</v>
      </c>
      <c r="AE4" t="str">
        <f>"B_01'" &amp; "Flr_0" &amp; INDEX(Joined!$A$3:$M$2000, MATCH($A4, Joined!$I$3:$I$2000, FALSE), 8)</f>
        <v>B_01'Flr_015</v>
      </c>
      <c r="AF4" t="str">
        <f>"R_" &amp; INDEX(Joined!$A$3:$M$2000, MATCH($A4, Joined!$I$3:$I$2000, FALSE), 7)</f>
        <v>R_VAV-15E-16</v>
      </c>
      <c r="AG4" t="str">
        <f>"B_01'" &amp; "Flr_0" &amp; INDEX(Joined!$A$3:$M$2000, MATCH($A4, Joined!$I$3:$I$2000, FALSE), 8)</f>
        <v>B_01'Flr_015</v>
      </c>
      <c r="AH4" t="str">
        <f>INDEX(Joined!$A$3:$M$2000, MATCH($A4, Joined!$I$3:$I$2000, FALSE), 7)</f>
        <v>VAV-15E-16</v>
      </c>
      <c r="AI4" t="s">
        <v>1503</v>
      </c>
    </row>
    <row r="5" spans="1:35" x14ac:dyDescent="0.2">
      <c r="A5" t="s">
        <v>840</v>
      </c>
      <c r="B5" t="str">
        <f>"B_01'" &amp; "Flr_0" &amp; INDEX(Joined!$A$3:$M$2000, MATCH($A5, Joined!$I$3:$I$2000, FALSE), 8)</f>
        <v>B_01'Flr_015</v>
      </c>
      <c r="C5" t="str">
        <f>INDEX(Joined!$A$3:$M$2000, MATCH($A5, Joined!$I$3:$I$2000, FALSE), 7)</f>
        <v>VAV-15E-17</v>
      </c>
      <c r="D5">
        <f>INDEX(Joined!$A$3:$M$2000, MATCH($A5, Joined!$I$3:$I$2000, FALSE), 5)</f>
        <v>154104</v>
      </c>
      <c r="E5" t="str">
        <f>INDEX(Joined!$A$3:$M$2000, MATCH($A5, Joined!$I$3:$I$2000, FALSE), 7)</f>
        <v>VAV-15E-17</v>
      </c>
      <c r="F5" t="s">
        <v>38</v>
      </c>
      <c r="G5" t="str">
        <f>INDEX(Schedule!$Q$2:$R$7, MATCH(ABT!$H5,Schedule!$Q$2:$Q$7, 0), 2)</f>
        <v>15011_DXR_VAV_DXR2M12</v>
      </c>
      <c r="H5">
        <f>INDEX(Joined!$A$3:$M$2000, MATCH($A5, Joined!$I$3:$I$2000, FALSE), 6)</f>
        <v>15011</v>
      </c>
      <c r="I5" t="str">
        <f>INDEX(Joined!$A$3:$M$2000, MATCH($A5, Joined!$I$3:$I$2000, FALSE), 4)</f>
        <v>541</v>
      </c>
      <c r="J5" t="b">
        <v>0</v>
      </c>
      <c r="K5">
        <f>INDEX(Joined!$A$3:$M$2000, MATCH($A5, Joined!$I$3:$I$2000, FALSE), 3)</f>
        <v>4</v>
      </c>
      <c r="L5">
        <v>85</v>
      </c>
      <c r="M5">
        <v>38400</v>
      </c>
      <c r="N5" s="27">
        <f>PI()*(INDEX(Schedule!$A$1:$N$2000, MATCH($C5, VAV_Schedule_5_21[[#All],[UNIT TAG]], FALSE), 4)/2/12)^2</f>
        <v>0.54541539124822802</v>
      </c>
      <c r="O5" s="27">
        <f>INDEX(Schedule!$A$1:$N$2000, MATCH($C5, VAV_Schedule_5_21[[#All],[UNIT TAG]], FALSE), 4)</f>
        <v>10</v>
      </c>
      <c r="P5">
        <v>3.63</v>
      </c>
      <c r="Q5" s="27">
        <f>INDEX(Schedule!$A$1:$N$2000, MATCH($C5, VAV_Schedule_5_21[[#All],[UNIT TAG]], FALSE), 5)</f>
        <v>680</v>
      </c>
      <c r="R5" s="27">
        <f>INDEX(Schedule!$A$1:$N$2000, MATCH($C5, VAV_Schedule_5_21[[#All],[UNIT TAG]], FALSE), 6)</f>
        <v>195</v>
      </c>
      <c r="S5" s="27">
        <f>INDEX(Schedule!$A$1:$N$2000, MATCH($C5, VAV_Schedule_5_21[[#All],[UNIT TAG]], FALSE), 5)</f>
        <v>680</v>
      </c>
      <c r="T5" s="27">
        <f>INDEX(Schedule!$A$1:$N$2000, MATCH($C5, VAV_Schedule_5_21[[#All],[UNIT TAG]], FALSE), 6)</f>
        <v>195</v>
      </c>
      <c r="U5" s="27">
        <f>INDEX(Schedule!$A$1:$N$2000, MATCH($C5, VAV_Schedule_5_21[[#All],[UNIT TAG]], FALSE), 5)</f>
        <v>680</v>
      </c>
      <c r="V5" s="27">
        <f>INDEX(Schedule!$A$1:$N$2000, MATCH($C5, VAV_Schedule_5_21[[#All],[UNIT TAG]], FALSE), 6)</f>
        <v>195</v>
      </c>
      <c r="W5" s="27">
        <f>INDEX(Schedule!$A$1:$N$2000, MATCH($C5, VAV_Schedule_5_21[[#All],[UNIT TAG]], FALSE), 6)</f>
        <v>195</v>
      </c>
      <c r="X5" s="27">
        <f>INDEX(Schedule!$A$1:$N$2000, MATCH($C5, VAV_Schedule_5_21[[#All],[UNIT TAG]], FALSE), 6)</f>
        <v>195</v>
      </c>
      <c r="Y5" s="27">
        <f>INDEX(Schedule!$A$1:$N$2000, MATCH($C5, VAV_Schedule_5_21[[#All],[UNIT TAG]], FALSE), 6)</f>
        <v>195</v>
      </c>
      <c r="Z5" s="27">
        <f>INDEX(Schedule!$A$1:$N$2000, MATCH($C5, VAV_Schedule_5_21[[#All],[UNIT TAG]], FALSE), 6)</f>
        <v>195</v>
      </c>
      <c r="AA5" s="27">
        <v>1000</v>
      </c>
      <c r="AB5" s="27">
        <v>1100</v>
      </c>
      <c r="AC5">
        <v>1400</v>
      </c>
      <c r="AD5" s="29">
        <f>IF(INDEX(Schedule!$A$1:$N$2000, MATCH($C5, VAV_Schedule_5_21[[#All],[UNIT TAG]], FALSE), 7)="-", 0, INDEX(Schedule!$A$1:$N$2000, MATCH($C5, VAV_Schedule_5_21[[#All],[UNIT TAG]], FALSE), 7))</f>
        <v>9</v>
      </c>
      <c r="AE5" t="str">
        <f>"B_01'" &amp; "Flr_0" &amp; INDEX(Joined!$A$3:$M$2000, MATCH($A5, Joined!$I$3:$I$2000, FALSE), 8)</f>
        <v>B_01'Flr_015</v>
      </c>
      <c r="AF5" t="str">
        <f>"R_" &amp; INDEX(Joined!$A$3:$M$2000, MATCH($A5, Joined!$I$3:$I$2000, FALSE), 7)</f>
        <v>R_VAV-15E-17</v>
      </c>
      <c r="AG5" t="str">
        <f>"B_01'" &amp; "Flr_0" &amp; INDEX(Joined!$A$3:$M$2000, MATCH($A5, Joined!$I$3:$I$2000, FALSE), 8)</f>
        <v>B_01'Flr_015</v>
      </c>
      <c r="AH5" t="str">
        <f>INDEX(Joined!$A$3:$M$2000, MATCH($A5, Joined!$I$3:$I$2000, FALSE), 7)</f>
        <v>VAV-15E-17</v>
      </c>
      <c r="AI5" t="s">
        <v>1504</v>
      </c>
    </row>
    <row r="6" spans="1:35" x14ac:dyDescent="0.2">
      <c r="A6" t="s">
        <v>841</v>
      </c>
      <c r="B6" t="str">
        <f>"B_01'" &amp; "Flr_0" &amp; INDEX(Joined!$A$3:$M$2000, MATCH($A6, Joined!$I$3:$I$2000, FALSE), 8)</f>
        <v>B_01'Flr_015</v>
      </c>
      <c r="C6" t="str">
        <f>INDEX(Joined!$A$3:$M$2000, MATCH($A6, Joined!$I$3:$I$2000, FALSE), 7)</f>
        <v>VAV-15E-18</v>
      </c>
      <c r="D6">
        <f>INDEX(Joined!$A$3:$M$2000, MATCH($A6, Joined!$I$3:$I$2000, FALSE), 5)</f>
        <v>154105</v>
      </c>
      <c r="E6" t="str">
        <f>INDEX(Joined!$A$3:$M$2000, MATCH($A6, Joined!$I$3:$I$2000, FALSE), 7)</f>
        <v>VAV-15E-18</v>
      </c>
      <c r="F6" t="s">
        <v>38</v>
      </c>
      <c r="G6" t="str">
        <f>INDEX(Schedule!$Q$2:$R$7, MATCH(ABT!$H6,Schedule!$Q$2:$Q$7, 0), 2)</f>
        <v>15010_DXR_VAV_DXR2M12</v>
      </c>
      <c r="H6">
        <f>INDEX(Joined!$A$3:$M$2000, MATCH($A6, Joined!$I$3:$I$2000, FALSE), 6)</f>
        <v>15010</v>
      </c>
      <c r="I6" t="str">
        <f>INDEX(Joined!$A$3:$M$2000, MATCH($A6, Joined!$I$3:$I$2000, FALSE), 4)</f>
        <v>541</v>
      </c>
      <c r="J6" t="b">
        <v>0</v>
      </c>
      <c r="K6">
        <f>INDEX(Joined!$A$3:$M$2000, MATCH($A6, Joined!$I$3:$I$2000, FALSE), 3)</f>
        <v>5</v>
      </c>
      <c r="L6">
        <v>85</v>
      </c>
      <c r="M6">
        <v>38400</v>
      </c>
      <c r="N6" s="27">
        <f>PI()*(INDEX(Schedule!$A$1:$N$2000, MATCH($C6, VAV_Schedule_5_21[[#All],[UNIT TAG]], FALSE), 4)/2/12)^2</f>
        <v>0.19634954084936207</v>
      </c>
      <c r="O6" s="27">
        <f>INDEX(Schedule!$A$1:$N$2000, MATCH($C6, VAV_Schedule_5_21[[#All],[UNIT TAG]], FALSE), 4)</f>
        <v>6</v>
      </c>
      <c r="P6">
        <v>4.63</v>
      </c>
      <c r="Q6" s="27">
        <f>INDEX(Schedule!$A$1:$N$2000, MATCH($C6, VAV_Schedule_5_21[[#All],[UNIT TAG]], FALSE), 5)</f>
        <v>100</v>
      </c>
      <c r="R6" s="27">
        <f>INDEX(Schedule!$A$1:$N$2000, MATCH($C6, VAV_Schedule_5_21[[#All],[UNIT TAG]], FALSE), 6)</f>
        <v>20</v>
      </c>
      <c r="S6" s="27">
        <f>INDEX(Schedule!$A$1:$N$2000, MATCH($C6, VAV_Schedule_5_21[[#All],[UNIT TAG]], FALSE), 5)</f>
        <v>100</v>
      </c>
      <c r="T6" s="27">
        <f>INDEX(Schedule!$A$1:$N$2000, MATCH($C6, VAV_Schedule_5_21[[#All],[UNIT TAG]], FALSE), 6)</f>
        <v>20</v>
      </c>
      <c r="U6" s="27">
        <f>INDEX(Schedule!$A$1:$N$2000, MATCH($C6, VAV_Schedule_5_21[[#All],[UNIT TAG]], FALSE), 5)</f>
        <v>100</v>
      </c>
      <c r="V6" s="27">
        <f>INDEX(Schedule!$A$1:$N$2000, MATCH($C6, VAV_Schedule_5_21[[#All],[UNIT TAG]], FALSE), 6)</f>
        <v>20</v>
      </c>
      <c r="W6" s="27">
        <f>INDEX(Schedule!$A$1:$N$2000, MATCH($C6, VAV_Schedule_5_21[[#All],[UNIT TAG]], FALSE), 6)</f>
        <v>20</v>
      </c>
      <c r="X6" s="27">
        <f>INDEX(Schedule!$A$1:$N$2000, MATCH($C6, VAV_Schedule_5_21[[#All],[UNIT TAG]], FALSE), 6)</f>
        <v>20</v>
      </c>
      <c r="Y6" s="27">
        <f>INDEX(Schedule!$A$1:$N$2000, MATCH($C6, VAV_Schedule_5_21[[#All],[UNIT TAG]], FALSE), 6)</f>
        <v>20</v>
      </c>
      <c r="Z6" s="27">
        <f>INDEX(Schedule!$A$1:$N$2000, MATCH($C6, VAV_Schedule_5_21[[#All],[UNIT TAG]], FALSE), 6)</f>
        <v>20</v>
      </c>
      <c r="AA6" s="27">
        <v>1000</v>
      </c>
      <c r="AB6" s="27">
        <v>1100</v>
      </c>
      <c r="AC6">
        <v>1400</v>
      </c>
      <c r="AD6" s="29">
        <f>IF(INDEX(Schedule!$A$1:$N$2000, MATCH($C6, VAV_Schedule_5_21[[#All],[UNIT TAG]], FALSE), 7)="-", 0, INDEX(Schedule!$A$1:$N$2000, MATCH($C6, VAV_Schedule_5_21[[#All],[UNIT TAG]], FALSE), 7))</f>
        <v>0</v>
      </c>
      <c r="AE6" t="str">
        <f>"B_01'" &amp; "Flr_0" &amp; INDEX(Joined!$A$3:$M$2000, MATCH($A6, Joined!$I$3:$I$2000, FALSE), 8)</f>
        <v>B_01'Flr_015</v>
      </c>
      <c r="AF6" t="str">
        <f>"R_" &amp; INDEX(Joined!$A$3:$M$2000, MATCH($A6, Joined!$I$3:$I$2000, FALSE), 7)</f>
        <v>R_VAV-15E-18</v>
      </c>
      <c r="AG6" t="str">
        <f>"B_01'" &amp; "Flr_0" &amp; INDEX(Joined!$A$3:$M$2000, MATCH($A6, Joined!$I$3:$I$2000, FALSE), 8)</f>
        <v>B_01'Flr_015</v>
      </c>
      <c r="AH6" t="str">
        <f>INDEX(Joined!$A$3:$M$2000, MATCH($A6, Joined!$I$3:$I$2000, FALSE), 7)</f>
        <v>VAV-15E-18</v>
      </c>
      <c r="AI6" t="s">
        <v>1505</v>
      </c>
    </row>
    <row r="7" spans="1:35" x14ac:dyDescent="0.2">
      <c r="A7" t="s">
        <v>842</v>
      </c>
      <c r="B7" t="str">
        <f>"B_01'" &amp; "Flr_0" &amp; INDEX(Joined!$A$3:$M$2000, MATCH($A7, Joined!$I$3:$I$2000, FALSE), 8)</f>
        <v>B_01'Flr_015</v>
      </c>
      <c r="C7" t="str">
        <f>INDEX(Joined!$A$3:$M$2000, MATCH($A7, Joined!$I$3:$I$2000, FALSE), 7)</f>
        <v>VAV-15E-19</v>
      </c>
      <c r="D7">
        <f>INDEX(Joined!$A$3:$M$2000, MATCH($A7, Joined!$I$3:$I$2000, FALSE), 5)</f>
        <v>154106</v>
      </c>
      <c r="E7" t="str">
        <f>INDEX(Joined!$A$3:$M$2000, MATCH($A7, Joined!$I$3:$I$2000, FALSE), 7)</f>
        <v>VAV-15E-19</v>
      </c>
      <c r="F7" t="s">
        <v>38</v>
      </c>
      <c r="G7" t="str">
        <f>INDEX(Schedule!$Q$2:$R$7, MATCH(ABT!$H7,Schedule!$Q$2:$Q$7, 0), 2)</f>
        <v>15011_DXR_VAV_DXR2M12</v>
      </c>
      <c r="H7">
        <f>INDEX(Joined!$A$3:$M$2000, MATCH($A7, Joined!$I$3:$I$2000, FALSE), 6)</f>
        <v>15011</v>
      </c>
      <c r="I7" t="str">
        <f>INDEX(Joined!$A$3:$M$2000, MATCH($A7, Joined!$I$3:$I$2000, FALSE), 4)</f>
        <v>541</v>
      </c>
      <c r="J7" t="b">
        <v>0</v>
      </c>
      <c r="K7">
        <f>INDEX(Joined!$A$3:$M$2000, MATCH($A7, Joined!$I$3:$I$2000, FALSE), 3)</f>
        <v>6</v>
      </c>
      <c r="L7">
        <v>85</v>
      </c>
      <c r="M7">
        <v>38400</v>
      </c>
      <c r="N7" s="27">
        <f>PI()*(INDEX(Schedule!$A$1:$N$2000, MATCH($C7, VAV_Schedule_5_21[[#All],[UNIT TAG]], FALSE), 4)/2/12)^2</f>
        <v>0.3490658503988659</v>
      </c>
      <c r="O7" s="27">
        <f>INDEX(Schedule!$A$1:$N$2000, MATCH($C7, VAV_Schedule_5_21[[#All],[UNIT TAG]], FALSE), 4)</f>
        <v>8</v>
      </c>
      <c r="P7">
        <v>5.63</v>
      </c>
      <c r="Q7" s="27">
        <f>INDEX(Schedule!$A$1:$N$2000, MATCH($C7, VAV_Schedule_5_21[[#All],[UNIT TAG]], FALSE), 5)</f>
        <v>690</v>
      </c>
      <c r="R7" s="27">
        <f>INDEX(Schedule!$A$1:$N$2000, MATCH($C7, VAV_Schedule_5_21[[#All],[UNIT TAG]], FALSE), 6)</f>
        <v>140</v>
      </c>
      <c r="S7" s="27">
        <f>INDEX(Schedule!$A$1:$N$2000, MATCH($C7, VAV_Schedule_5_21[[#All],[UNIT TAG]], FALSE), 5)</f>
        <v>690</v>
      </c>
      <c r="T7" s="27">
        <f>INDEX(Schedule!$A$1:$N$2000, MATCH($C7, VAV_Schedule_5_21[[#All],[UNIT TAG]], FALSE), 6)</f>
        <v>140</v>
      </c>
      <c r="U7" s="27">
        <f>INDEX(Schedule!$A$1:$N$2000, MATCH($C7, VAV_Schedule_5_21[[#All],[UNIT TAG]], FALSE), 5)</f>
        <v>690</v>
      </c>
      <c r="V7" s="27">
        <f>INDEX(Schedule!$A$1:$N$2000, MATCH($C7, VAV_Schedule_5_21[[#All],[UNIT TAG]], FALSE), 6)</f>
        <v>140</v>
      </c>
      <c r="W7" s="27">
        <f>INDEX(Schedule!$A$1:$N$2000, MATCH($C7, VAV_Schedule_5_21[[#All],[UNIT TAG]], FALSE), 6)</f>
        <v>140</v>
      </c>
      <c r="X7" s="27">
        <f>INDEX(Schedule!$A$1:$N$2000, MATCH($C7, VAV_Schedule_5_21[[#All],[UNIT TAG]], FALSE), 6)</f>
        <v>140</v>
      </c>
      <c r="Y7" s="27">
        <f>INDEX(Schedule!$A$1:$N$2000, MATCH($C7, VAV_Schedule_5_21[[#All],[UNIT TAG]], FALSE), 6)</f>
        <v>140</v>
      </c>
      <c r="Z7" s="27">
        <f>INDEX(Schedule!$A$1:$N$2000, MATCH($C7, VAV_Schedule_5_21[[#All],[UNIT TAG]], FALSE), 6)</f>
        <v>140</v>
      </c>
      <c r="AA7" s="27">
        <v>1000</v>
      </c>
      <c r="AB7" s="27">
        <v>1100</v>
      </c>
      <c r="AC7">
        <v>1400</v>
      </c>
      <c r="AD7" s="29">
        <f>IF(INDEX(Schedule!$A$1:$N$2000, MATCH($C7, VAV_Schedule_5_21[[#All],[UNIT TAG]], FALSE), 7)="-", 0, INDEX(Schedule!$A$1:$N$2000, MATCH($C7, VAV_Schedule_5_21[[#All],[UNIT TAG]], FALSE), 7))</f>
        <v>5</v>
      </c>
      <c r="AE7" t="str">
        <f>"B_01'" &amp; "Flr_0" &amp; INDEX(Joined!$A$3:$M$2000, MATCH($A7, Joined!$I$3:$I$2000, FALSE), 8)</f>
        <v>B_01'Flr_015</v>
      </c>
      <c r="AF7" t="str">
        <f>"R_" &amp; INDEX(Joined!$A$3:$M$2000, MATCH($A7, Joined!$I$3:$I$2000, FALSE), 7)</f>
        <v>R_VAV-15E-19</v>
      </c>
      <c r="AG7" t="str">
        <f>"B_01'" &amp; "Flr_0" &amp; INDEX(Joined!$A$3:$M$2000, MATCH($A7, Joined!$I$3:$I$2000, FALSE), 8)</f>
        <v>B_01'Flr_015</v>
      </c>
      <c r="AH7" t="str">
        <f>INDEX(Joined!$A$3:$M$2000, MATCH($A7, Joined!$I$3:$I$2000, FALSE), 7)</f>
        <v>VAV-15E-19</v>
      </c>
      <c r="AI7" t="s">
        <v>1506</v>
      </c>
    </row>
    <row r="8" spans="1:35" x14ac:dyDescent="0.2">
      <c r="A8" t="s">
        <v>843</v>
      </c>
      <c r="B8" t="str">
        <f>"B_01'" &amp; "Flr_0" &amp; INDEX(Joined!$A$3:$M$2000, MATCH($A8, Joined!$I$3:$I$2000, FALSE), 8)</f>
        <v>B_01'Flr_015</v>
      </c>
      <c r="C8" t="str">
        <f>INDEX(Joined!$A$3:$M$2000, MATCH($A8, Joined!$I$3:$I$2000, FALSE), 7)</f>
        <v>VAV-15E-20</v>
      </c>
      <c r="D8">
        <f>INDEX(Joined!$A$3:$M$2000, MATCH($A8, Joined!$I$3:$I$2000, FALSE), 5)</f>
        <v>154107</v>
      </c>
      <c r="E8" t="str">
        <f>INDEX(Joined!$A$3:$M$2000, MATCH($A8, Joined!$I$3:$I$2000, FALSE), 7)</f>
        <v>VAV-15E-20</v>
      </c>
      <c r="F8" t="s">
        <v>38</v>
      </c>
      <c r="G8" t="str">
        <f>INDEX(Schedule!$Q$2:$R$7, MATCH(ABT!$H8,Schedule!$Q$2:$Q$7, 0), 2)</f>
        <v>15011_DXR_VAV_DXR2M12</v>
      </c>
      <c r="H8">
        <f>INDEX(Joined!$A$3:$M$2000, MATCH($A8, Joined!$I$3:$I$2000, FALSE), 6)</f>
        <v>15011</v>
      </c>
      <c r="I8" t="str">
        <f>INDEX(Joined!$A$3:$M$2000, MATCH($A8, Joined!$I$3:$I$2000, FALSE), 4)</f>
        <v>541</v>
      </c>
      <c r="J8" t="b">
        <v>0</v>
      </c>
      <c r="K8">
        <f>INDEX(Joined!$A$3:$M$2000, MATCH($A8, Joined!$I$3:$I$2000, FALSE), 3)</f>
        <v>7</v>
      </c>
      <c r="L8">
        <v>85</v>
      </c>
      <c r="M8">
        <v>38400</v>
      </c>
      <c r="N8" s="27">
        <f>PI()*(INDEX(Schedule!$A$1:$N$2000, MATCH($C8, VAV_Schedule_5_21[[#All],[UNIT TAG]], FALSE), 4)/2/12)^2</f>
        <v>0.54541539124822802</v>
      </c>
      <c r="O8" s="27">
        <f>INDEX(Schedule!$A$1:$N$2000, MATCH($C8, VAV_Schedule_5_21[[#All],[UNIT TAG]], FALSE), 4)</f>
        <v>10</v>
      </c>
      <c r="P8">
        <v>6.63</v>
      </c>
      <c r="Q8" s="27">
        <f>INDEX(Schedule!$A$1:$N$2000, MATCH($C8, VAV_Schedule_5_21[[#All],[UNIT TAG]], FALSE), 5)</f>
        <v>850</v>
      </c>
      <c r="R8" s="27">
        <f>INDEX(Schedule!$A$1:$N$2000, MATCH($C8, VAV_Schedule_5_21[[#All],[UNIT TAG]], FALSE), 6)</f>
        <v>180</v>
      </c>
      <c r="S8" s="27">
        <f>INDEX(Schedule!$A$1:$N$2000, MATCH($C8, VAV_Schedule_5_21[[#All],[UNIT TAG]], FALSE), 5)</f>
        <v>850</v>
      </c>
      <c r="T8" s="27">
        <f>INDEX(Schedule!$A$1:$N$2000, MATCH($C8, VAV_Schedule_5_21[[#All],[UNIT TAG]], FALSE), 6)</f>
        <v>180</v>
      </c>
      <c r="U8" s="27">
        <f>INDEX(Schedule!$A$1:$N$2000, MATCH($C8, VAV_Schedule_5_21[[#All],[UNIT TAG]], FALSE), 5)</f>
        <v>850</v>
      </c>
      <c r="V8" s="27">
        <f>INDEX(Schedule!$A$1:$N$2000, MATCH($C8, VAV_Schedule_5_21[[#All],[UNIT TAG]], FALSE), 6)</f>
        <v>180</v>
      </c>
      <c r="W8" s="27">
        <f>INDEX(Schedule!$A$1:$N$2000, MATCH($C8, VAV_Schedule_5_21[[#All],[UNIT TAG]], FALSE), 6)</f>
        <v>180</v>
      </c>
      <c r="X8" s="27">
        <f>INDEX(Schedule!$A$1:$N$2000, MATCH($C8, VAV_Schedule_5_21[[#All],[UNIT TAG]], FALSE), 6)</f>
        <v>180</v>
      </c>
      <c r="Y8" s="27">
        <f>INDEX(Schedule!$A$1:$N$2000, MATCH($C8, VAV_Schedule_5_21[[#All],[UNIT TAG]], FALSE), 6)</f>
        <v>180</v>
      </c>
      <c r="Z8" s="27">
        <f>INDEX(Schedule!$A$1:$N$2000, MATCH($C8, VAV_Schedule_5_21[[#All],[UNIT TAG]], FALSE), 6)</f>
        <v>180</v>
      </c>
      <c r="AA8" s="27">
        <v>1000</v>
      </c>
      <c r="AB8" s="27">
        <v>1100</v>
      </c>
      <c r="AC8">
        <v>1400</v>
      </c>
      <c r="AD8" s="29">
        <f>IF(INDEX(Schedule!$A$1:$N$2000, MATCH($C8, VAV_Schedule_5_21[[#All],[UNIT TAG]], FALSE), 7)="-", 0, INDEX(Schedule!$A$1:$N$2000, MATCH($C8, VAV_Schedule_5_21[[#All],[UNIT TAG]], FALSE), 7))</f>
        <v>6</v>
      </c>
      <c r="AE8" t="str">
        <f>"B_01'" &amp; "Flr_0" &amp; INDEX(Joined!$A$3:$M$2000, MATCH($A8, Joined!$I$3:$I$2000, FALSE), 8)</f>
        <v>B_01'Flr_015</v>
      </c>
      <c r="AF8" t="str">
        <f>"R_" &amp; INDEX(Joined!$A$3:$M$2000, MATCH($A8, Joined!$I$3:$I$2000, FALSE), 7)</f>
        <v>R_VAV-15E-20</v>
      </c>
      <c r="AG8" t="str">
        <f>"B_01'" &amp; "Flr_0" &amp; INDEX(Joined!$A$3:$M$2000, MATCH($A8, Joined!$I$3:$I$2000, FALSE), 8)</f>
        <v>B_01'Flr_015</v>
      </c>
      <c r="AH8" t="str">
        <f>INDEX(Joined!$A$3:$M$2000, MATCH($A8, Joined!$I$3:$I$2000, FALSE), 7)</f>
        <v>VAV-15E-20</v>
      </c>
      <c r="AI8" t="s">
        <v>1507</v>
      </c>
    </row>
    <row r="9" spans="1:35" x14ac:dyDescent="0.2">
      <c r="A9" t="s">
        <v>844</v>
      </c>
      <c r="B9" t="str">
        <f>"B_01'" &amp; "Flr_0" &amp; INDEX(Joined!$A$3:$M$2000, MATCH($A9, Joined!$I$3:$I$2000, FALSE), 8)</f>
        <v>B_01'Flr_015</v>
      </c>
      <c r="C9" t="str">
        <f>INDEX(Joined!$A$3:$M$2000, MATCH($A9, Joined!$I$3:$I$2000, FALSE), 7)</f>
        <v>VAV-15E-21</v>
      </c>
      <c r="D9">
        <f>INDEX(Joined!$A$3:$M$2000, MATCH($A9, Joined!$I$3:$I$2000, FALSE), 5)</f>
        <v>154108</v>
      </c>
      <c r="E9" t="str">
        <f>INDEX(Joined!$A$3:$M$2000, MATCH($A9, Joined!$I$3:$I$2000, FALSE), 7)</f>
        <v>VAV-15E-21</v>
      </c>
      <c r="F9" t="s">
        <v>38</v>
      </c>
      <c r="G9" t="str">
        <f>INDEX(Schedule!$Q$2:$R$7, MATCH(ABT!$H9,Schedule!$Q$2:$Q$7, 0), 2)</f>
        <v>15011_DXR_VAV_DXR2M12</v>
      </c>
      <c r="H9">
        <f>INDEX(Joined!$A$3:$M$2000, MATCH($A9, Joined!$I$3:$I$2000, FALSE), 6)</f>
        <v>15011</v>
      </c>
      <c r="I9" t="str">
        <f>INDEX(Joined!$A$3:$M$2000, MATCH($A9, Joined!$I$3:$I$2000, FALSE), 4)</f>
        <v>541</v>
      </c>
      <c r="J9" t="b">
        <v>0</v>
      </c>
      <c r="K9">
        <f>INDEX(Joined!$A$3:$M$2000, MATCH($A9, Joined!$I$3:$I$2000, FALSE), 3)</f>
        <v>8</v>
      </c>
      <c r="L9">
        <v>85</v>
      </c>
      <c r="M9">
        <v>38400</v>
      </c>
      <c r="N9" s="27">
        <f>PI()*(INDEX(Schedule!$A$1:$N$2000, MATCH($C9, VAV_Schedule_5_21[[#All],[UNIT TAG]], FALSE), 4)/2/12)^2</f>
        <v>0.3490658503988659</v>
      </c>
      <c r="O9" s="27">
        <f>INDEX(Schedule!$A$1:$N$2000, MATCH($C9, VAV_Schedule_5_21[[#All],[UNIT TAG]], FALSE), 4)</f>
        <v>8</v>
      </c>
      <c r="P9">
        <v>7.63</v>
      </c>
      <c r="Q9" s="27">
        <f>INDEX(Schedule!$A$1:$N$2000, MATCH($C9, VAV_Schedule_5_21[[#All],[UNIT TAG]], FALSE), 5)</f>
        <v>660</v>
      </c>
      <c r="R9" s="27">
        <f>INDEX(Schedule!$A$1:$N$2000, MATCH($C9, VAV_Schedule_5_21[[#All],[UNIT TAG]], FALSE), 6)</f>
        <v>135</v>
      </c>
      <c r="S9" s="27">
        <f>INDEX(Schedule!$A$1:$N$2000, MATCH($C9, VAV_Schedule_5_21[[#All],[UNIT TAG]], FALSE), 5)</f>
        <v>660</v>
      </c>
      <c r="T9" s="27">
        <f>INDEX(Schedule!$A$1:$N$2000, MATCH($C9, VAV_Schedule_5_21[[#All],[UNIT TAG]], FALSE), 6)</f>
        <v>135</v>
      </c>
      <c r="U9" s="27">
        <f>INDEX(Schedule!$A$1:$N$2000, MATCH($C9, VAV_Schedule_5_21[[#All],[UNIT TAG]], FALSE), 5)</f>
        <v>660</v>
      </c>
      <c r="V9" s="27">
        <f>INDEX(Schedule!$A$1:$N$2000, MATCH($C9, VAV_Schedule_5_21[[#All],[UNIT TAG]], FALSE), 6)</f>
        <v>135</v>
      </c>
      <c r="W9" s="27">
        <f>INDEX(Schedule!$A$1:$N$2000, MATCH($C9, VAV_Schedule_5_21[[#All],[UNIT TAG]], FALSE), 6)</f>
        <v>135</v>
      </c>
      <c r="X9" s="27">
        <f>INDEX(Schedule!$A$1:$N$2000, MATCH($C9, VAV_Schedule_5_21[[#All],[UNIT TAG]], FALSE), 6)</f>
        <v>135</v>
      </c>
      <c r="Y9" s="27">
        <f>INDEX(Schedule!$A$1:$N$2000, MATCH($C9, VAV_Schedule_5_21[[#All],[UNIT TAG]], FALSE), 6)</f>
        <v>135</v>
      </c>
      <c r="Z9" s="27">
        <f>INDEX(Schedule!$A$1:$N$2000, MATCH($C9, VAV_Schedule_5_21[[#All],[UNIT TAG]], FALSE), 6)</f>
        <v>135</v>
      </c>
      <c r="AA9" s="27">
        <v>1000</v>
      </c>
      <c r="AB9" s="27">
        <v>1100</v>
      </c>
      <c r="AC9">
        <v>1400</v>
      </c>
      <c r="AD9" s="29">
        <f>IF(INDEX(Schedule!$A$1:$N$2000, MATCH($C9, VAV_Schedule_5_21[[#All],[UNIT TAG]], FALSE), 7)="-", 0, INDEX(Schedule!$A$1:$N$2000, MATCH($C9, VAV_Schedule_5_21[[#All],[UNIT TAG]], FALSE), 7))</f>
        <v>5</v>
      </c>
      <c r="AE9" t="str">
        <f>"B_01'" &amp; "Flr_0" &amp; INDEX(Joined!$A$3:$M$2000, MATCH($A9, Joined!$I$3:$I$2000, FALSE), 8)</f>
        <v>B_01'Flr_015</v>
      </c>
      <c r="AF9" t="str">
        <f>"R_" &amp; INDEX(Joined!$A$3:$M$2000, MATCH($A9, Joined!$I$3:$I$2000, FALSE), 7)</f>
        <v>R_VAV-15E-21</v>
      </c>
      <c r="AG9" t="str">
        <f>"B_01'" &amp; "Flr_0" &amp; INDEX(Joined!$A$3:$M$2000, MATCH($A9, Joined!$I$3:$I$2000, FALSE), 8)</f>
        <v>B_01'Flr_015</v>
      </c>
      <c r="AH9" t="str">
        <f>INDEX(Joined!$A$3:$M$2000, MATCH($A9, Joined!$I$3:$I$2000, FALSE), 7)</f>
        <v>VAV-15E-21</v>
      </c>
      <c r="AI9" t="s">
        <v>1508</v>
      </c>
    </row>
    <row r="10" spans="1:35" x14ac:dyDescent="0.2">
      <c r="A10" t="s">
        <v>845</v>
      </c>
      <c r="B10" t="str">
        <f>"B_01'" &amp; "Flr_0" &amp; INDEX(Joined!$A$3:$M$2000, MATCH($A10, Joined!$I$3:$I$2000, FALSE), 8)</f>
        <v>B_01'Flr_015</v>
      </c>
      <c r="C10" t="str">
        <f>INDEX(Joined!$A$3:$M$2000, MATCH($A10, Joined!$I$3:$I$2000, FALSE), 7)</f>
        <v>VAV-15E-22</v>
      </c>
      <c r="D10">
        <f>INDEX(Joined!$A$3:$M$2000, MATCH($A10, Joined!$I$3:$I$2000, FALSE), 5)</f>
        <v>154109</v>
      </c>
      <c r="E10" t="str">
        <f>INDEX(Joined!$A$3:$M$2000, MATCH($A10, Joined!$I$3:$I$2000, FALSE), 7)</f>
        <v>VAV-15E-22</v>
      </c>
      <c r="F10" t="s">
        <v>38</v>
      </c>
      <c r="G10" t="str">
        <f>INDEX(Schedule!$Q$2:$R$7, MATCH(ABT!$H10,Schedule!$Q$2:$Q$7, 0), 2)</f>
        <v>15010_DXR_VAV_DXR2M12</v>
      </c>
      <c r="H10">
        <f>INDEX(Joined!$A$3:$M$2000, MATCH($A10, Joined!$I$3:$I$2000, FALSE), 6)</f>
        <v>15010</v>
      </c>
      <c r="I10" t="str">
        <f>INDEX(Joined!$A$3:$M$2000, MATCH($A10, Joined!$I$3:$I$2000, FALSE), 4)</f>
        <v>541</v>
      </c>
      <c r="J10" t="b">
        <v>0</v>
      </c>
      <c r="K10">
        <f>INDEX(Joined!$A$3:$M$2000, MATCH($A10, Joined!$I$3:$I$2000, FALSE), 3)</f>
        <v>9</v>
      </c>
      <c r="L10">
        <v>85</v>
      </c>
      <c r="M10">
        <v>38400</v>
      </c>
      <c r="N10" s="27">
        <f>PI()*(INDEX(Schedule!$A$1:$N$2000, MATCH($C10, VAV_Schedule_5_21[[#All],[UNIT TAG]], FALSE), 4)/2/12)^2</f>
        <v>0.19634954084936207</v>
      </c>
      <c r="O10" s="27">
        <f>INDEX(Schedule!$A$1:$N$2000, MATCH($C10, VAV_Schedule_5_21[[#All],[UNIT TAG]], FALSE), 4)</f>
        <v>6</v>
      </c>
      <c r="P10">
        <v>8.6300000000000008</v>
      </c>
      <c r="Q10" s="27">
        <f>INDEX(Schedule!$A$1:$N$2000, MATCH($C10, VAV_Schedule_5_21[[#All],[UNIT TAG]], FALSE), 5)</f>
        <v>185</v>
      </c>
      <c r="R10" s="27">
        <f>INDEX(Schedule!$A$1:$N$2000, MATCH($C10, VAV_Schedule_5_21[[#All],[UNIT TAG]], FALSE), 6)</f>
        <v>40</v>
      </c>
      <c r="S10" s="27">
        <f>INDEX(Schedule!$A$1:$N$2000, MATCH($C10, VAV_Schedule_5_21[[#All],[UNIT TAG]], FALSE), 5)</f>
        <v>185</v>
      </c>
      <c r="T10" s="27">
        <f>INDEX(Schedule!$A$1:$N$2000, MATCH($C10, VAV_Schedule_5_21[[#All],[UNIT TAG]], FALSE), 6)</f>
        <v>40</v>
      </c>
      <c r="U10" s="27">
        <f>INDEX(Schedule!$A$1:$N$2000, MATCH($C10, VAV_Schedule_5_21[[#All],[UNIT TAG]], FALSE), 5)</f>
        <v>185</v>
      </c>
      <c r="V10" s="27">
        <f>INDEX(Schedule!$A$1:$N$2000, MATCH($C10, VAV_Schedule_5_21[[#All],[UNIT TAG]], FALSE), 6)</f>
        <v>40</v>
      </c>
      <c r="W10" s="27">
        <f>INDEX(Schedule!$A$1:$N$2000, MATCH($C10, VAV_Schedule_5_21[[#All],[UNIT TAG]], FALSE), 6)</f>
        <v>40</v>
      </c>
      <c r="X10" s="27">
        <f>INDEX(Schedule!$A$1:$N$2000, MATCH($C10, VAV_Schedule_5_21[[#All],[UNIT TAG]], FALSE), 6)</f>
        <v>40</v>
      </c>
      <c r="Y10" s="27">
        <f>INDEX(Schedule!$A$1:$N$2000, MATCH($C10, VAV_Schedule_5_21[[#All],[UNIT TAG]], FALSE), 6)</f>
        <v>40</v>
      </c>
      <c r="Z10" s="27">
        <f>INDEX(Schedule!$A$1:$N$2000, MATCH($C10, VAV_Schedule_5_21[[#All],[UNIT TAG]], FALSE), 6)</f>
        <v>40</v>
      </c>
      <c r="AA10" s="27">
        <v>1000</v>
      </c>
      <c r="AB10" s="27">
        <v>1100</v>
      </c>
      <c r="AC10">
        <v>1400</v>
      </c>
      <c r="AD10" s="29">
        <f>IF(INDEX(Schedule!$A$1:$N$2000, MATCH($C10, VAV_Schedule_5_21[[#All],[UNIT TAG]], FALSE), 7)="-", 0, INDEX(Schedule!$A$1:$N$2000, MATCH($C10, VAV_Schedule_5_21[[#All],[UNIT TAG]], FALSE), 7))</f>
        <v>0</v>
      </c>
      <c r="AE10" t="str">
        <f>"B_01'" &amp; "Flr_0" &amp; INDEX(Joined!$A$3:$M$2000, MATCH($A10, Joined!$I$3:$I$2000, FALSE), 8)</f>
        <v>B_01'Flr_015</v>
      </c>
      <c r="AF10" t="str">
        <f>"R_" &amp; INDEX(Joined!$A$3:$M$2000, MATCH($A10, Joined!$I$3:$I$2000, FALSE), 7)</f>
        <v>R_VAV-15E-22</v>
      </c>
      <c r="AG10" t="str">
        <f>"B_01'" &amp; "Flr_0" &amp; INDEX(Joined!$A$3:$M$2000, MATCH($A10, Joined!$I$3:$I$2000, FALSE), 8)</f>
        <v>B_01'Flr_015</v>
      </c>
      <c r="AH10" t="str">
        <f>INDEX(Joined!$A$3:$M$2000, MATCH($A10, Joined!$I$3:$I$2000, FALSE), 7)</f>
        <v>VAV-15E-22</v>
      </c>
      <c r="AI10" t="s">
        <v>1509</v>
      </c>
    </row>
    <row r="11" spans="1:35" x14ac:dyDescent="0.2">
      <c r="A11" t="s">
        <v>846</v>
      </c>
      <c r="B11" t="str">
        <f>"B_01'" &amp; "Flr_0" &amp; INDEX(Joined!$A$3:$M$2000, MATCH($A11, Joined!$I$3:$I$2000, FALSE), 8)</f>
        <v>B_01'Flr_015</v>
      </c>
      <c r="C11" t="str">
        <f>INDEX(Joined!$A$3:$M$2000, MATCH($A11, Joined!$I$3:$I$2000, FALSE), 7)</f>
        <v>VAV-15E-23</v>
      </c>
      <c r="D11">
        <f>INDEX(Joined!$A$3:$M$2000, MATCH($A11, Joined!$I$3:$I$2000, FALSE), 5)</f>
        <v>154110</v>
      </c>
      <c r="E11" t="str">
        <f>INDEX(Joined!$A$3:$M$2000, MATCH($A11, Joined!$I$3:$I$2000, FALSE), 7)</f>
        <v>VAV-15E-23</v>
      </c>
      <c r="F11" t="s">
        <v>38</v>
      </c>
      <c r="G11" t="str">
        <f>INDEX(Schedule!$Q$2:$R$7, MATCH(ABT!$H11,Schedule!$Q$2:$Q$7, 0), 2)</f>
        <v>15011_DXR_VAV_DXR2M12</v>
      </c>
      <c r="H11">
        <f>INDEX(Joined!$A$3:$M$2000, MATCH($A11, Joined!$I$3:$I$2000, FALSE), 6)</f>
        <v>15011</v>
      </c>
      <c r="I11" t="str">
        <f>INDEX(Joined!$A$3:$M$2000, MATCH($A11, Joined!$I$3:$I$2000, FALSE), 4)</f>
        <v>541</v>
      </c>
      <c r="J11" t="b">
        <v>0</v>
      </c>
      <c r="K11">
        <f>INDEX(Joined!$A$3:$M$2000, MATCH($A11, Joined!$I$3:$I$2000, FALSE), 3)</f>
        <v>10</v>
      </c>
      <c r="L11">
        <v>85</v>
      </c>
      <c r="M11">
        <v>38400</v>
      </c>
      <c r="N11" s="27">
        <f>PI()*(INDEX(Schedule!$A$1:$N$2000, MATCH($C11, VAV_Schedule_5_21[[#All],[UNIT TAG]], FALSE), 4)/2/12)^2</f>
        <v>0.78539816339744828</v>
      </c>
      <c r="O11" s="27">
        <f>INDEX(Schedule!$A$1:$N$2000, MATCH($C11, VAV_Schedule_5_21[[#All],[UNIT TAG]], FALSE), 4)</f>
        <v>12</v>
      </c>
      <c r="P11">
        <v>9.6300000000000008</v>
      </c>
      <c r="Q11" s="27">
        <f>INDEX(Schedule!$A$1:$N$2000, MATCH($C11, VAV_Schedule_5_21[[#All],[UNIT TAG]], FALSE), 5)</f>
        <v>840</v>
      </c>
      <c r="R11" s="27">
        <f>INDEX(Schedule!$A$1:$N$2000, MATCH($C11, VAV_Schedule_5_21[[#All],[UNIT TAG]], FALSE), 6)</f>
        <v>230</v>
      </c>
      <c r="S11" s="27">
        <f>INDEX(Schedule!$A$1:$N$2000, MATCH($C11, VAV_Schedule_5_21[[#All],[UNIT TAG]], FALSE), 5)</f>
        <v>840</v>
      </c>
      <c r="T11" s="27">
        <f>INDEX(Schedule!$A$1:$N$2000, MATCH($C11, VAV_Schedule_5_21[[#All],[UNIT TAG]], FALSE), 6)</f>
        <v>230</v>
      </c>
      <c r="U11" s="27">
        <f>INDEX(Schedule!$A$1:$N$2000, MATCH($C11, VAV_Schedule_5_21[[#All],[UNIT TAG]], FALSE), 5)</f>
        <v>840</v>
      </c>
      <c r="V11" s="27">
        <f>INDEX(Schedule!$A$1:$N$2000, MATCH($C11, VAV_Schedule_5_21[[#All],[UNIT TAG]], FALSE), 6)</f>
        <v>230</v>
      </c>
      <c r="W11" s="27">
        <f>INDEX(Schedule!$A$1:$N$2000, MATCH($C11, VAV_Schedule_5_21[[#All],[UNIT TAG]], FALSE), 6)</f>
        <v>230</v>
      </c>
      <c r="X11" s="27">
        <f>INDEX(Schedule!$A$1:$N$2000, MATCH($C11, VAV_Schedule_5_21[[#All],[UNIT TAG]], FALSE), 6)</f>
        <v>230</v>
      </c>
      <c r="Y11" s="27">
        <f>INDEX(Schedule!$A$1:$N$2000, MATCH($C11, VAV_Schedule_5_21[[#All],[UNIT TAG]], FALSE), 6)</f>
        <v>230</v>
      </c>
      <c r="Z11" s="27">
        <f>INDEX(Schedule!$A$1:$N$2000, MATCH($C11, VAV_Schedule_5_21[[#All],[UNIT TAG]], FALSE), 6)</f>
        <v>230</v>
      </c>
      <c r="AA11" s="27">
        <v>1000</v>
      </c>
      <c r="AB11" s="27">
        <v>1100</v>
      </c>
      <c r="AC11">
        <v>1400</v>
      </c>
      <c r="AD11" s="29">
        <f>IF(INDEX(Schedule!$A$1:$N$2000, MATCH($C11, VAV_Schedule_5_21[[#All],[UNIT TAG]], FALSE), 7)="-", 0, INDEX(Schedule!$A$1:$N$2000, MATCH($C11, VAV_Schedule_5_21[[#All],[UNIT TAG]], FALSE), 7))</f>
        <v>8</v>
      </c>
      <c r="AE11" t="str">
        <f>"B_01'" &amp; "Flr_0" &amp; INDEX(Joined!$A$3:$M$2000, MATCH($A11, Joined!$I$3:$I$2000, FALSE), 8)</f>
        <v>B_01'Flr_015</v>
      </c>
      <c r="AF11" t="str">
        <f>"R_" &amp; INDEX(Joined!$A$3:$M$2000, MATCH($A11, Joined!$I$3:$I$2000, FALSE), 7)</f>
        <v>R_VAV-15E-23</v>
      </c>
      <c r="AG11" t="str">
        <f>"B_01'" &amp; "Flr_0" &amp; INDEX(Joined!$A$3:$M$2000, MATCH($A11, Joined!$I$3:$I$2000, FALSE), 8)</f>
        <v>B_01'Flr_015</v>
      </c>
      <c r="AH11" t="str">
        <f>INDEX(Joined!$A$3:$M$2000, MATCH($A11, Joined!$I$3:$I$2000, FALSE), 7)</f>
        <v>VAV-15E-23</v>
      </c>
      <c r="AI11" t="s">
        <v>1510</v>
      </c>
    </row>
    <row r="12" spans="1:35" x14ac:dyDescent="0.2">
      <c r="A12" t="s">
        <v>847</v>
      </c>
      <c r="B12" t="str">
        <f>"B_01'" &amp; "Flr_0" &amp; INDEX(Joined!$A$3:$M$2000, MATCH($A12, Joined!$I$3:$I$2000, FALSE), 8)</f>
        <v>B_01'Flr_015</v>
      </c>
      <c r="C12" t="str">
        <f>INDEX(Joined!$A$3:$M$2000, MATCH($A12, Joined!$I$3:$I$2000, FALSE), 7)</f>
        <v>VAV-15E-24</v>
      </c>
      <c r="D12">
        <f>INDEX(Joined!$A$3:$M$2000, MATCH($A12, Joined!$I$3:$I$2000, FALSE), 5)</f>
        <v>154111</v>
      </c>
      <c r="E12" t="str">
        <f>INDEX(Joined!$A$3:$M$2000, MATCH($A12, Joined!$I$3:$I$2000, FALSE), 7)</f>
        <v>VAV-15E-24</v>
      </c>
      <c r="F12" t="s">
        <v>38</v>
      </c>
      <c r="G12" t="str">
        <f>INDEX(Schedule!$Q$2:$R$7, MATCH(ABT!$H12,Schedule!$Q$2:$Q$7, 0), 2)</f>
        <v>15011_DXR_VAV_DXR2M12</v>
      </c>
      <c r="H12">
        <f>INDEX(Joined!$A$3:$M$2000, MATCH($A12, Joined!$I$3:$I$2000, FALSE), 6)</f>
        <v>15011</v>
      </c>
      <c r="I12" t="str">
        <f>INDEX(Joined!$A$3:$M$2000, MATCH($A12, Joined!$I$3:$I$2000, FALSE), 4)</f>
        <v>541</v>
      </c>
      <c r="J12" t="b">
        <v>0</v>
      </c>
      <c r="K12">
        <f>INDEX(Joined!$A$3:$M$2000, MATCH($A12, Joined!$I$3:$I$2000, FALSE), 3)</f>
        <v>11</v>
      </c>
      <c r="L12">
        <v>85</v>
      </c>
      <c r="M12">
        <v>38400</v>
      </c>
      <c r="N12" s="27">
        <f>PI()*(INDEX(Schedule!$A$1:$N$2000, MATCH($C12, VAV_Schedule_5_21[[#All],[UNIT TAG]], FALSE), 4)/2/12)^2</f>
        <v>0.78539816339744828</v>
      </c>
      <c r="O12" s="27">
        <f>INDEX(Schedule!$A$1:$N$2000, MATCH($C12, VAV_Schedule_5_21[[#All],[UNIT TAG]], FALSE), 4)</f>
        <v>12</v>
      </c>
      <c r="P12">
        <v>10.63</v>
      </c>
      <c r="Q12" s="27">
        <f>INDEX(Schedule!$A$1:$N$2000, MATCH($C12, VAV_Schedule_5_21[[#All],[UNIT TAG]], FALSE), 5)</f>
        <v>720</v>
      </c>
      <c r="R12" s="27">
        <f>INDEX(Schedule!$A$1:$N$2000, MATCH($C12, VAV_Schedule_5_21[[#All],[UNIT TAG]], FALSE), 6)</f>
        <v>230</v>
      </c>
      <c r="S12" s="27">
        <f>INDEX(Schedule!$A$1:$N$2000, MATCH($C12, VAV_Schedule_5_21[[#All],[UNIT TAG]], FALSE), 5)</f>
        <v>720</v>
      </c>
      <c r="T12" s="27">
        <f>INDEX(Schedule!$A$1:$N$2000, MATCH($C12, VAV_Schedule_5_21[[#All],[UNIT TAG]], FALSE), 6)</f>
        <v>230</v>
      </c>
      <c r="U12" s="27">
        <f>INDEX(Schedule!$A$1:$N$2000, MATCH($C12, VAV_Schedule_5_21[[#All],[UNIT TAG]], FALSE), 5)</f>
        <v>720</v>
      </c>
      <c r="V12" s="27">
        <f>INDEX(Schedule!$A$1:$N$2000, MATCH($C12, VAV_Schedule_5_21[[#All],[UNIT TAG]], FALSE), 6)</f>
        <v>230</v>
      </c>
      <c r="W12" s="27">
        <f>INDEX(Schedule!$A$1:$N$2000, MATCH($C12, VAV_Schedule_5_21[[#All],[UNIT TAG]], FALSE), 6)</f>
        <v>230</v>
      </c>
      <c r="X12" s="27">
        <f>INDEX(Schedule!$A$1:$N$2000, MATCH($C12, VAV_Schedule_5_21[[#All],[UNIT TAG]], FALSE), 6)</f>
        <v>230</v>
      </c>
      <c r="Y12" s="27">
        <f>INDEX(Schedule!$A$1:$N$2000, MATCH($C12, VAV_Schedule_5_21[[#All],[UNIT TAG]], FALSE), 6)</f>
        <v>230</v>
      </c>
      <c r="Z12" s="27">
        <f>INDEX(Schedule!$A$1:$N$2000, MATCH($C12, VAV_Schedule_5_21[[#All],[UNIT TAG]], FALSE), 6)</f>
        <v>230</v>
      </c>
      <c r="AA12" s="27">
        <v>1000</v>
      </c>
      <c r="AB12" s="27">
        <v>1100</v>
      </c>
      <c r="AC12">
        <v>1400</v>
      </c>
      <c r="AD12" s="29">
        <f>IF(INDEX(Schedule!$A$1:$N$2000, MATCH($C12, VAV_Schedule_5_21[[#All],[UNIT TAG]], FALSE), 7)="-", 0, INDEX(Schedule!$A$1:$N$2000, MATCH($C12, VAV_Schedule_5_21[[#All],[UNIT TAG]], FALSE), 7))</f>
        <v>9</v>
      </c>
      <c r="AE12" t="str">
        <f>"B_01'" &amp; "Flr_0" &amp; INDEX(Joined!$A$3:$M$2000, MATCH($A12, Joined!$I$3:$I$2000, FALSE), 8)</f>
        <v>B_01'Flr_015</v>
      </c>
      <c r="AF12" t="str">
        <f>"R_" &amp; INDEX(Joined!$A$3:$M$2000, MATCH($A12, Joined!$I$3:$I$2000, FALSE), 7)</f>
        <v>R_VAV-15E-24</v>
      </c>
      <c r="AG12" t="str">
        <f>"B_01'" &amp; "Flr_0" &amp; INDEX(Joined!$A$3:$M$2000, MATCH($A12, Joined!$I$3:$I$2000, FALSE), 8)</f>
        <v>B_01'Flr_015</v>
      </c>
      <c r="AH12" t="str">
        <f>INDEX(Joined!$A$3:$M$2000, MATCH($A12, Joined!$I$3:$I$2000, FALSE), 7)</f>
        <v>VAV-15E-24</v>
      </c>
      <c r="AI12" t="s">
        <v>1511</v>
      </c>
    </row>
    <row r="13" spans="1:35" x14ac:dyDescent="0.2">
      <c r="A13" t="s">
        <v>848</v>
      </c>
      <c r="B13" t="str">
        <f>"B_01'" &amp; "Flr_0" &amp; INDEX(Joined!$A$3:$M$2000, MATCH($A13, Joined!$I$3:$I$2000, FALSE), 8)</f>
        <v>B_01'Flr_015</v>
      </c>
      <c r="C13" t="str">
        <f>INDEX(Joined!$A$3:$M$2000, MATCH($A13, Joined!$I$3:$I$2000, FALSE), 7)</f>
        <v>VAV-15E-25</v>
      </c>
      <c r="D13">
        <f>INDEX(Joined!$A$3:$M$2000, MATCH($A13, Joined!$I$3:$I$2000, FALSE), 5)</f>
        <v>154112</v>
      </c>
      <c r="E13" t="str">
        <f>INDEX(Joined!$A$3:$M$2000, MATCH($A13, Joined!$I$3:$I$2000, FALSE), 7)</f>
        <v>VAV-15E-25</v>
      </c>
      <c r="F13" t="s">
        <v>38</v>
      </c>
      <c r="G13" t="str">
        <f>INDEX(Schedule!$Q$2:$R$7, MATCH(ABT!$H13,Schedule!$Q$2:$Q$7, 0), 2)</f>
        <v>15011_DXR_VAV_DXR2M12</v>
      </c>
      <c r="H13">
        <f>INDEX(Joined!$A$3:$M$2000, MATCH($A13, Joined!$I$3:$I$2000, FALSE), 6)</f>
        <v>15011</v>
      </c>
      <c r="I13" t="str">
        <f>INDEX(Joined!$A$3:$M$2000, MATCH($A13, Joined!$I$3:$I$2000, FALSE), 4)</f>
        <v>541</v>
      </c>
      <c r="J13" t="b">
        <v>0</v>
      </c>
      <c r="K13">
        <f>INDEX(Joined!$A$3:$M$2000, MATCH($A13, Joined!$I$3:$I$2000, FALSE), 3)</f>
        <v>12</v>
      </c>
      <c r="L13">
        <v>85</v>
      </c>
      <c r="M13">
        <v>38400</v>
      </c>
      <c r="N13" s="27">
        <f>PI()*(INDEX(Schedule!$A$1:$N$2000, MATCH($C13, VAV_Schedule_5_21[[#All],[UNIT TAG]], FALSE), 4)/2/12)^2</f>
        <v>0.3490658503988659</v>
      </c>
      <c r="O13" s="27">
        <f>INDEX(Schedule!$A$1:$N$2000, MATCH($C13, VAV_Schedule_5_21[[#All],[UNIT TAG]], FALSE), 4)</f>
        <v>8</v>
      </c>
      <c r="P13">
        <v>11.63</v>
      </c>
      <c r="Q13" s="27">
        <f>INDEX(Schedule!$A$1:$N$2000, MATCH($C13, VAV_Schedule_5_21[[#All],[UNIT TAG]], FALSE), 5)</f>
        <v>640</v>
      </c>
      <c r="R13" s="27">
        <f>INDEX(Schedule!$A$1:$N$2000, MATCH($C13, VAV_Schedule_5_21[[#All],[UNIT TAG]], FALSE), 6)</f>
        <v>130</v>
      </c>
      <c r="S13" s="27">
        <f>INDEX(Schedule!$A$1:$N$2000, MATCH($C13, VAV_Schedule_5_21[[#All],[UNIT TAG]], FALSE), 5)</f>
        <v>640</v>
      </c>
      <c r="T13" s="27">
        <f>INDEX(Schedule!$A$1:$N$2000, MATCH($C13, VAV_Schedule_5_21[[#All],[UNIT TAG]], FALSE), 6)</f>
        <v>130</v>
      </c>
      <c r="U13" s="27">
        <f>INDEX(Schedule!$A$1:$N$2000, MATCH($C13, VAV_Schedule_5_21[[#All],[UNIT TAG]], FALSE), 5)</f>
        <v>640</v>
      </c>
      <c r="V13" s="27">
        <f>INDEX(Schedule!$A$1:$N$2000, MATCH($C13, VAV_Schedule_5_21[[#All],[UNIT TAG]], FALSE), 6)</f>
        <v>130</v>
      </c>
      <c r="W13" s="27">
        <f>INDEX(Schedule!$A$1:$N$2000, MATCH($C13, VAV_Schedule_5_21[[#All],[UNIT TAG]], FALSE), 6)</f>
        <v>130</v>
      </c>
      <c r="X13" s="27">
        <f>INDEX(Schedule!$A$1:$N$2000, MATCH($C13, VAV_Schedule_5_21[[#All],[UNIT TAG]], FALSE), 6)</f>
        <v>130</v>
      </c>
      <c r="Y13" s="27">
        <f>INDEX(Schedule!$A$1:$N$2000, MATCH($C13, VAV_Schedule_5_21[[#All],[UNIT TAG]], FALSE), 6)</f>
        <v>130</v>
      </c>
      <c r="Z13" s="27">
        <f>INDEX(Schedule!$A$1:$N$2000, MATCH($C13, VAV_Schedule_5_21[[#All],[UNIT TAG]], FALSE), 6)</f>
        <v>130</v>
      </c>
      <c r="AA13" s="27">
        <v>1000</v>
      </c>
      <c r="AB13" s="27">
        <v>1100</v>
      </c>
      <c r="AC13">
        <v>1400</v>
      </c>
      <c r="AD13" s="29">
        <f>IF(INDEX(Schedule!$A$1:$N$2000, MATCH($C13, VAV_Schedule_5_21[[#All],[UNIT TAG]], FALSE), 7)="-", 0, INDEX(Schedule!$A$1:$N$2000, MATCH($C13, VAV_Schedule_5_21[[#All],[UNIT TAG]], FALSE), 7))</f>
        <v>6</v>
      </c>
      <c r="AE13" t="str">
        <f>"B_01'" &amp; "Flr_0" &amp; INDEX(Joined!$A$3:$M$2000, MATCH($A13, Joined!$I$3:$I$2000, FALSE), 8)</f>
        <v>B_01'Flr_015</v>
      </c>
      <c r="AF13" t="str">
        <f>"R_" &amp; INDEX(Joined!$A$3:$M$2000, MATCH($A13, Joined!$I$3:$I$2000, FALSE), 7)</f>
        <v>R_VAV-15E-25</v>
      </c>
      <c r="AG13" t="str">
        <f>"B_01'" &amp; "Flr_0" &amp; INDEX(Joined!$A$3:$M$2000, MATCH($A13, Joined!$I$3:$I$2000, FALSE), 8)</f>
        <v>B_01'Flr_015</v>
      </c>
      <c r="AH13" t="str">
        <f>INDEX(Joined!$A$3:$M$2000, MATCH($A13, Joined!$I$3:$I$2000, FALSE), 7)</f>
        <v>VAV-15E-25</v>
      </c>
      <c r="AI13" t="s">
        <v>1512</v>
      </c>
    </row>
    <row r="14" spans="1:35" x14ac:dyDescent="0.2">
      <c r="A14" t="s">
        <v>849</v>
      </c>
      <c r="B14" t="str">
        <f>"B_01'" &amp; "Flr_0" &amp; INDEX(Joined!$A$3:$M$2000, MATCH($A14, Joined!$I$3:$I$2000, FALSE), 8)</f>
        <v>B_01'Flr_015</v>
      </c>
      <c r="C14" t="str">
        <f>INDEX(Joined!$A$3:$M$2000, MATCH($A14, Joined!$I$3:$I$2000, FALSE), 7)</f>
        <v>VAV-15E-26</v>
      </c>
      <c r="D14">
        <f>INDEX(Joined!$A$3:$M$2000, MATCH($A14, Joined!$I$3:$I$2000, FALSE), 5)</f>
        <v>154113</v>
      </c>
      <c r="E14" t="str">
        <f>INDEX(Joined!$A$3:$M$2000, MATCH($A14, Joined!$I$3:$I$2000, FALSE), 7)</f>
        <v>VAV-15E-26</v>
      </c>
      <c r="F14" t="s">
        <v>38</v>
      </c>
      <c r="G14" t="str">
        <f>INDEX(Schedule!$Q$2:$R$7, MATCH(ABT!$H14,Schedule!$Q$2:$Q$7, 0), 2)</f>
        <v>15011_DXR_VAV_DXR2M12</v>
      </c>
      <c r="H14">
        <f>INDEX(Joined!$A$3:$M$2000, MATCH($A14, Joined!$I$3:$I$2000, FALSE), 6)</f>
        <v>15011</v>
      </c>
      <c r="I14" t="str">
        <f>INDEX(Joined!$A$3:$M$2000, MATCH($A14, Joined!$I$3:$I$2000, FALSE), 4)</f>
        <v>541</v>
      </c>
      <c r="J14" t="b">
        <v>0</v>
      </c>
      <c r="K14">
        <f>INDEX(Joined!$A$3:$M$2000, MATCH($A14, Joined!$I$3:$I$2000, FALSE), 3)</f>
        <v>13</v>
      </c>
      <c r="L14">
        <v>85</v>
      </c>
      <c r="M14">
        <v>38400</v>
      </c>
      <c r="N14" s="27">
        <f>PI()*(INDEX(Schedule!$A$1:$N$2000, MATCH($C14, VAV_Schedule_5_21[[#All],[UNIT TAG]], FALSE), 4)/2/12)^2</f>
        <v>0.3490658503988659</v>
      </c>
      <c r="O14" s="27">
        <f>INDEX(Schedule!$A$1:$N$2000, MATCH($C14, VAV_Schedule_5_21[[#All],[UNIT TAG]], FALSE), 4)</f>
        <v>8</v>
      </c>
      <c r="P14">
        <v>12.63</v>
      </c>
      <c r="Q14" s="27">
        <f>INDEX(Schedule!$A$1:$N$2000, MATCH($C14, VAV_Schedule_5_21[[#All],[UNIT TAG]], FALSE), 5)</f>
        <v>700</v>
      </c>
      <c r="R14" s="27">
        <f>INDEX(Schedule!$A$1:$N$2000, MATCH($C14, VAV_Schedule_5_21[[#All],[UNIT TAG]], FALSE), 6)</f>
        <v>140</v>
      </c>
      <c r="S14" s="27">
        <f>INDEX(Schedule!$A$1:$N$2000, MATCH($C14, VAV_Schedule_5_21[[#All],[UNIT TAG]], FALSE), 5)</f>
        <v>700</v>
      </c>
      <c r="T14" s="27">
        <f>INDEX(Schedule!$A$1:$N$2000, MATCH($C14, VAV_Schedule_5_21[[#All],[UNIT TAG]], FALSE), 6)</f>
        <v>140</v>
      </c>
      <c r="U14" s="27">
        <f>INDEX(Schedule!$A$1:$N$2000, MATCH($C14, VAV_Schedule_5_21[[#All],[UNIT TAG]], FALSE), 5)</f>
        <v>700</v>
      </c>
      <c r="V14" s="27">
        <f>INDEX(Schedule!$A$1:$N$2000, MATCH($C14, VAV_Schedule_5_21[[#All],[UNIT TAG]], FALSE), 6)</f>
        <v>140</v>
      </c>
      <c r="W14" s="27">
        <f>INDEX(Schedule!$A$1:$N$2000, MATCH($C14, VAV_Schedule_5_21[[#All],[UNIT TAG]], FALSE), 6)</f>
        <v>140</v>
      </c>
      <c r="X14" s="27">
        <f>INDEX(Schedule!$A$1:$N$2000, MATCH($C14, VAV_Schedule_5_21[[#All],[UNIT TAG]], FALSE), 6)</f>
        <v>140</v>
      </c>
      <c r="Y14" s="27">
        <f>INDEX(Schedule!$A$1:$N$2000, MATCH($C14, VAV_Schedule_5_21[[#All],[UNIT TAG]], FALSE), 6)</f>
        <v>140</v>
      </c>
      <c r="Z14" s="27">
        <f>INDEX(Schedule!$A$1:$N$2000, MATCH($C14, VAV_Schedule_5_21[[#All],[UNIT TAG]], FALSE), 6)</f>
        <v>140</v>
      </c>
      <c r="AA14" s="27">
        <v>1000</v>
      </c>
      <c r="AB14" s="27">
        <v>1100</v>
      </c>
      <c r="AC14">
        <v>1400</v>
      </c>
      <c r="AD14" s="29">
        <f>IF(INDEX(Schedule!$A$1:$N$2000, MATCH($C14, VAV_Schedule_5_21[[#All],[UNIT TAG]], FALSE), 7)="-", 0, INDEX(Schedule!$A$1:$N$2000, MATCH($C14, VAV_Schedule_5_21[[#All],[UNIT TAG]], FALSE), 7))</f>
        <v>6</v>
      </c>
      <c r="AE14" t="str">
        <f>"B_01'" &amp; "Flr_0" &amp; INDEX(Joined!$A$3:$M$2000, MATCH($A14, Joined!$I$3:$I$2000, FALSE), 8)</f>
        <v>B_01'Flr_015</v>
      </c>
      <c r="AF14" t="str">
        <f>"R_" &amp; INDEX(Joined!$A$3:$M$2000, MATCH($A14, Joined!$I$3:$I$2000, FALSE), 7)</f>
        <v>R_VAV-15E-26</v>
      </c>
      <c r="AG14" t="str">
        <f>"B_01'" &amp; "Flr_0" &amp; INDEX(Joined!$A$3:$M$2000, MATCH($A14, Joined!$I$3:$I$2000, FALSE), 8)</f>
        <v>B_01'Flr_015</v>
      </c>
      <c r="AH14" t="str">
        <f>INDEX(Joined!$A$3:$M$2000, MATCH($A14, Joined!$I$3:$I$2000, FALSE), 7)</f>
        <v>VAV-15E-26</v>
      </c>
      <c r="AI14" t="s">
        <v>1513</v>
      </c>
    </row>
    <row r="15" spans="1:35" x14ac:dyDescent="0.2">
      <c r="A15" t="s">
        <v>850</v>
      </c>
      <c r="B15" t="str">
        <f>"B_01'" &amp; "Flr_0" &amp; INDEX(Joined!$A$3:$M$2000, MATCH($A15, Joined!$I$3:$I$2000, FALSE), 8)</f>
        <v>B_01'Flr_015</v>
      </c>
      <c r="C15" t="str">
        <f>INDEX(Joined!$A$3:$M$2000, MATCH($A15, Joined!$I$3:$I$2000, FALSE), 7)</f>
        <v>VAV-15E-27</v>
      </c>
      <c r="D15">
        <f>INDEX(Joined!$A$3:$M$2000, MATCH($A15, Joined!$I$3:$I$2000, FALSE), 5)</f>
        <v>154114</v>
      </c>
      <c r="E15" t="str">
        <f>INDEX(Joined!$A$3:$M$2000, MATCH($A15, Joined!$I$3:$I$2000, FALSE), 7)</f>
        <v>VAV-15E-27</v>
      </c>
      <c r="F15" t="s">
        <v>38</v>
      </c>
      <c r="G15" t="str">
        <f>INDEX(Schedule!$Q$2:$R$7, MATCH(ABT!$H15,Schedule!$Q$2:$Q$7, 0), 2)</f>
        <v>15011_DXR_VAV_DXR2M12</v>
      </c>
      <c r="H15">
        <f>INDEX(Joined!$A$3:$M$2000, MATCH($A15, Joined!$I$3:$I$2000, FALSE), 6)</f>
        <v>15011</v>
      </c>
      <c r="I15" t="str">
        <f>INDEX(Joined!$A$3:$M$2000, MATCH($A15, Joined!$I$3:$I$2000, FALSE), 4)</f>
        <v>541</v>
      </c>
      <c r="J15" t="b">
        <v>0</v>
      </c>
      <c r="K15">
        <f>INDEX(Joined!$A$3:$M$2000, MATCH($A15, Joined!$I$3:$I$2000, FALSE), 3)</f>
        <v>14</v>
      </c>
      <c r="L15">
        <v>85</v>
      </c>
      <c r="M15">
        <v>38400</v>
      </c>
      <c r="N15" s="27">
        <f>PI()*(INDEX(Schedule!$A$1:$N$2000, MATCH($C15, VAV_Schedule_5_21[[#All],[UNIT TAG]], FALSE), 4)/2/12)^2</f>
        <v>0.54541539124822802</v>
      </c>
      <c r="O15" s="27">
        <f>INDEX(Schedule!$A$1:$N$2000, MATCH($C15, VAV_Schedule_5_21[[#All],[UNIT TAG]], FALSE), 4)</f>
        <v>10</v>
      </c>
      <c r="P15">
        <v>13.63</v>
      </c>
      <c r="Q15" s="27">
        <f>INDEX(Schedule!$A$1:$N$2000, MATCH($C15, VAV_Schedule_5_21[[#All],[UNIT TAG]], FALSE), 5)</f>
        <v>770</v>
      </c>
      <c r="R15" s="27">
        <f>INDEX(Schedule!$A$1:$N$2000, MATCH($C15, VAV_Schedule_5_21[[#All],[UNIT TAG]], FALSE), 6)</f>
        <v>0</v>
      </c>
      <c r="S15" s="27">
        <f>INDEX(Schedule!$A$1:$N$2000, MATCH($C15, VAV_Schedule_5_21[[#All],[UNIT TAG]], FALSE), 5)</f>
        <v>770</v>
      </c>
      <c r="T15" s="27">
        <f>INDEX(Schedule!$A$1:$N$2000, MATCH($C15, VAV_Schedule_5_21[[#All],[UNIT TAG]], FALSE), 6)</f>
        <v>0</v>
      </c>
      <c r="U15" s="27">
        <f>INDEX(Schedule!$A$1:$N$2000, MATCH($C15, VAV_Schedule_5_21[[#All],[UNIT TAG]], FALSE), 5)</f>
        <v>770</v>
      </c>
      <c r="V15" s="27">
        <f>INDEX(Schedule!$A$1:$N$2000, MATCH($C15, VAV_Schedule_5_21[[#All],[UNIT TAG]], FALSE), 6)</f>
        <v>0</v>
      </c>
      <c r="W15" s="27">
        <f>INDEX(Schedule!$A$1:$N$2000, MATCH($C15, VAV_Schedule_5_21[[#All],[UNIT TAG]], FALSE), 6)</f>
        <v>0</v>
      </c>
      <c r="X15" s="27">
        <f>INDEX(Schedule!$A$1:$N$2000, MATCH($C15, VAV_Schedule_5_21[[#All],[UNIT TAG]], FALSE), 6)</f>
        <v>0</v>
      </c>
      <c r="Y15" s="27">
        <f>INDEX(Schedule!$A$1:$N$2000, MATCH($C15, VAV_Schedule_5_21[[#All],[UNIT TAG]], FALSE), 6)</f>
        <v>0</v>
      </c>
      <c r="Z15" s="27">
        <f>INDEX(Schedule!$A$1:$N$2000, MATCH($C15, VAV_Schedule_5_21[[#All],[UNIT TAG]], FALSE), 6)</f>
        <v>0</v>
      </c>
      <c r="AA15" s="27">
        <v>1000</v>
      </c>
      <c r="AB15" s="27">
        <v>1100</v>
      </c>
      <c r="AC15">
        <v>1400</v>
      </c>
      <c r="AD15" s="29">
        <f>IF(INDEX(Schedule!$A$1:$N$2000, MATCH($C15, VAV_Schedule_5_21[[#All],[UNIT TAG]], FALSE), 7)="-", 0, INDEX(Schedule!$A$1:$N$2000, MATCH($C15, VAV_Schedule_5_21[[#All],[UNIT TAG]], FALSE), 7))</f>
        <v>6</v>
      </c>
      <c r="AE15" t="str">
        <f>"B_01'" &amp; "Flr_0" &amp; INDEX(Joined!$A$3:$M$2000, MATCH($A15, Joined!$I$3:$I$2000, FALSE), 8)</f>
        <v>B_01'Flr_015</v>
      </c>
      <c r="AF15" t="str">
        <f>"R_" &amp; INDEX(Joined!$A$3:$M$2000, MATCH($A15, Joined!$I$3:$I$2000, FALSE), 7)</f>
        <v>R_VAV-15E-27</v>
      </c>
      <c r="AG15" t="str">
        <f>"B_01'" &amp; "Flr_0" &amp; INDEX(Joined!$A$3:$M$2000, MATCH($A15, Joined!$I$3:$I$2000, FALSE), 8)</f>
        <v>B_01'Flr_015</v>
      </c>
      <c r="AH15" t="str">
        <f>INDEX(Joined!$A$3:$M$2000, MATCH($A15, Joined!$I$3:$I$2000, FALSE), 7)</f>
        <v>VAV-15E-27</v>
      </c>
      <c r="AI15" t="s">
        <v>1514</v>
      </c>
    </row>
    <row r="16" spans="1:35" x14ac:dyDescent="0.2">
      <c r="A16" t="s">
        <v>851</v>
      </c>
      <c r="B16" t="str">
        <f>"B_01'" &amp; "Flr_0" &amp; INDEX(Joined!$A$3:$M$2000, MATCH($A16, Joined!$I$3:$I$2000, FALSE), 8)</f>
        <v>B_01'Flr_015</v>
      </c>
      <c r="C16" t="str">
        <f>INDEX(Joined!$A$3:$M$2000, MATCH($A16, Joined!$I$3:$I$2000, FALSE), 7)</f>
        <v>VAV-15E-28</v>
      </c>
      <c r="D16">
        <f>INDEX(Joined!$A$3:$M$2000, MATCH($A16, Joined!$I$3:$I$2000, FALSE), 5)</f>
        <v>154115</v>
      </c>
      <c r="E16" t="str">
        <f>INDEX(Joined!$A$3:$M$2000, MATCH($A16, Joined!$I$3:$I$2000, FALSE), 7)</f>
        <v>VAV-15E-28</v>
      </c>
      <c r="F16" t="s">
        <v>38</v>
      </c>
      <c r="G16" t="str">
        <f>INDEX(Schedule!$Q$2:$R$7, MATCH(ABT!$H16,Schedule!$Q$2:$Q$7, 0), 2)</f>
        <v>15011_DXR_VAV_DXR2M12</v>
      </c>
      <c r="H16">
        <f>INDEX(Joined!$A$3:$M$2000, MATCH($A16, Joined!$I$3:$I$2000, FALSE), 6)</f>
        <v>15011</v>
      </c>
      <c r="I16" t="str">
        <f>INDEX(Joined!$A$3:$M$2000, MATCH($A16, Joined!$I$3:$I$2000, FALSE), 4)</f>
        <v>541</v>
      </c>
      <c r="J16" t="b">
        <v>0</v>
      </c>
      <c r="K16">
        <f>INDEX(Joined!$A$3:$M$2000, MATCH($A16, Joined!$I$3:$I$2000, FALSE), 3)</f>
        <v>15</v>
      </c>
      <c r="L16">
        <v>85</v>
      </c>
      <c r="M16">
        <v>38400</v>
      </c>
      <c r="N16" s="27">
        <f>PI()*(INDEX(Schedule!$A$1:$N$2000, MATCH($C16, VAV_Schedule_5_21[[#All],[UNIT TAG]], FALSE), 4)/2/12)^2</f>
        <v>0.78539816339744828</v>
      </c>
      <c r="O16" s="27">
        <f>INDEX(Schedule!$A$1:$N$2000, MATCH($C16, VAV_Schedule_5_21[[#All],[UNIT TAG]], FALSE), 4)</f>
        <v>12</v>
      </c>
      <c r="P16">
        <v>14.63</v>
      </c>
      <c r="Q16" s="27">
        <f>INDEX(Schedule!$A$1:$N$2000, MATCH($C16, VAV_Schedule_5_21[[#All],[UNIT TAG]], FALSE), 5)</f>
        <v>1200</v>
      </c>
      <c r="R16" s="27">
        <f>INDEX(Schedule!$A$1:$N$2000, MATCH($C16, VAV_Schedule_5_21[[#All],[UNIT TAG]], FALSE), 6)</f>
        <v>240</v>
      </c>
      <c r="S16" s="27">
        <f>INDEX(Schedule!$A$1:$N$2000, MATCH($C16, VAV_Schedule_5_21[[#All],[UNIT TAG]], FALSE), 5)</f>
        <v>1200</v>
      </c>
      <c r="T16" s="27">
        <f>INDEX(Schedule!$A$1:$N$2000, MATCH($C16, VAV_Schedule_5_21[[#All],[UNIT TAG]], FALSE), 6)</f>
        <v>240</v>
      </c>
      <c r="U16" s="27">
        <f>INDEX(Schedule!$A$1:$N$2000, MATCH($C16, VAV_Schedule_5_21[[#All],[UNIT TAG]], FALSE), 5)</f>
        <v>1200</v>
      </c>
      <c r="V16" s="27">
        <f>INDEX(Schedule!$A$1:$N$2000, MATCH($C16, VAV_Schedule_5_21[[#All],[UNIT TAG]], FALSE), 6)</f>
        <v>240</v>
      </c>
      <c r="W16" s="27">
        <f>INDEX(Schedule!$A$1:$N$2000, MATCH($C16, VAV_Schedule_5_21[[#All],[UNIT TAG]], FALSE), 6)</f>
        <v>240</v>
      </c>
      <c r="X16" s="27">
        <f>INDEX(Schedule!$A$1:$N$2000, MATCH($C16, VAV_Schedule_5_21[[#All],[UNIT TAG]], FALSE), 6)</f>
        <v>240</v>
      </c>
      <c r="Y16" s="27">
        <f>INDEX(Schedule!$A$1:$N$2000, MATCH($C16, VAV_Schedule_5_21[[#All],[UNIT TAG]], FALSE), 6)</f>
        <v>240</v>
      </c>
      <c r="Z16" s="27">
        <f>INDEX(Schedule!$A$1:$N$2000, MATCH($C16, VAV_Schedule_5_21[[#All],[UNIT TAG]], FALSE), 6)</f>
        <v>240</v>
      </c>
      <c r="AA16" s="27">
        <v>1000</v>
      </c>
      <c r="AB16" s="27">
        <v>1100</v>
      </c>
      <c r="AC16">
        <v>1400</v>
      </c>
      <c r="AD16" s="29">
        <f>IF(INDEX(Schedule!$A$1:$N$2000, MATCH($C16, VAV_Schedule_5_21[[#All],[UNIT TAG]], FALSE), 7)="-", 0, INDEX(Schedule!$A$1:$N$2000, MATCH($C16, VAV_Schedule_5_21[[#All],[UNIT TAG]], FALSE), 7))</f>
        <v>8</v>
      </c>
      <c r="AE16" t="str">
        <f>"B_01'" &amp; "Flr_0" &amp; INDEX(Joined!$A$3:$M$2000, MATCH($A16, Joined!$I$3:$I$2000, FALSE), 8)</f>
        <v>B_01'Flr_015</v>
      </c>
      <c r="AF16" t="str">
        <f>"R_" &amp; INDEX(Joined!$A$3:$M$2000, MATCH($A16, Joined!$I$3:$I$2000, FALSE), 7)</f>
        <v>R_VAV-15E-28</v>
      </c>
      <c r="AG16" t="str">
        <f>"B_01'" &amp; "Flr_0" &amp; INDEX(Joined!$A$3:$M$2000, MATCH($A16, Joined!$I$3:$I$2000, FALSE), 8)</f>
        <v>B_01'Flr_015</v>
      </c>
      <c r="AH16" t="str">
        <f>INDEX(Joined!$A$3:$M$2000, MATCH($A16, Joined!$I$3:$I$2000, FALSE), 7)</f>
        <v>VAV-15E-28</v>
      </c>
      <c r="AI16" t="s">
        <v>1515</v>
      </c>
    </row>
    <row r="17" spans="1:55" x14ac:dyDescent="0.2">
      <c r="A17" t="s">
        <v>852</v>
      </c>
      <c r="B17" t="str">
        <f>"B_01'" &amp; "Flr_0" &amp; INDEX(Joined!$A$3:$M$2000, MATCH($A17, Joined!$I$3:$I$2000, FALSE), 8)</f>
        <v>B_01'Flr_015</v>
      </c>
      <c r="C17" t="str">
        <f>INDEX(Joined!$A$3:$M$2000, MATCH($A17, Joined!$I$3:$I$2000, FALSE), 7)</f>
        <v>VAV-15E-29</v>
      </c>
      <c r="D17">
        <f>INDEX(Joined!$A$3:$M$2000, MATCH($A17, Joined!$I$3:$I$2000, FALSE), 5)</f>
        <v>154116</v>
      </c>
      <c r="E17" t="str">
        <f>INDEX(Joined!$A$3:$M$2000, MATCH($A17, Joined!$I$3:$I$2000, FALSE), 7)</f>
        <v>VAV-15E-29</v>
      </c>
      <c r="F17" t="s">
        <v>38</v>
      </c>
      <c r="G17" t="str">
        <f>INDEX(Schedule!$Q$2:$R$7, MATCH(ABT!$H17,Schedule!$Q$2:$Q$7, 0), 2)</f>
        <v>15011_DXR_VAV_DXR2M12</v>
      </c>
      <c r="H17">
        <f>INDEX(Joined!$A$3:$M$2000, MATCH($A17, Joined!$I$3:$I$2000, FALSE), 6)</f>
        <v>15011</v>
      </c>
      <c r="I17" t="str">
        <f>INDEX(Joined!$A$3:$M$2000, MATCH($A17, Joined!$I$3:$I$2000, FALSE), 4)</f>
        <v>541</v>
      </c>
      <c r="J17" t="b">
        <v>0</v>
      </c>
      <c r="K17">
        <f>INDEX(Joined!$A$3:$M$2000, MATCH($A17, Joined!$I$3:$I$2000, FALSE), 3)</f>
        <v>16</v>
      </c>
      <c r="L17">
        <v>85</v>
      </c>
      <c r="M17">
        <v>38400</v>
      </c>
      <c r="N17" s="27">
        <f>PI()*(INDEX(Schedule!$A$1:$N$2000, MATCH($C17, VAV_Schedule_5_21[[#All],[UNIT TAG]], FALSE), 4)/2/12)^2</f>
        <v>0.54541539124822802</v>
      </c>
      <c r="O17" s="27">
        <f>INDEX(Schedule!$A$1:$N$2000, MATCH($C17, VAV_Schedule_5_21[[#All],[UNIT TAG]], FALSE), 4)</f>
        <v>10</v>
      </c>
      <c r="P17">
        <v>15.63</v>
      </c>
      <c r="Q17" s="27">
        <f>INDEX(Schedule!$A$1:$N$2000, MATCH($C17, VAV_Schedule_5_21[[#All],[UNIT TAG]], FALSE), 5)</f>
        <v>100</v>
      </c>
      <c r="R17" s="27">
        <f>INDEX(Schedule!$A$1:$N$2000, MATCH($C17, VAV_Schedule_5_21[[#All],[UNIT TAG]], FALSE), 6)</f>
        <v>200</v>
      </c>
      <c r="S17" s="27">
        <f>INDEX(Schedule!$A$1:$N$2000, MATCH($C17, VAV_Schedule_5_21[[#All],[UNIT TAG]], FALSE), 5)</f>
        <v>100</v>
      </c>
      <c r="T17" s="27">
        <f>INDEX(Schedule!$A$1:$N$2000, MATCH($C17, VAV_Schedule_5_21[[#All],[UNIT TAG]], FALSE), 6)</f>
        <v>200</v>
      </c>
      <c r="U17" s="27">
        <f>INDEX(Schedule!$A$1:$N$2000, MATCH($C17, VAV_Schedule_5_21[[#All],[UNIT TAG]], FALSE), 5)</f>
        <v>100</v>
      </c>
      <c r="V17" s="27">
        <f>INDEX(Schedule!$A$1:$N$2000, MATCH($C17, VAV_Schedule_5_21[[#All],[UNIT TAG]], FALSE), 6)</f>
        <v>200</v>
      </c>
      <c r="W17" s="27">
        <f>INDEX(Schedule!$A$1:$N$2000, MATCH($C17, VAV_Schedule_5_21[[#All],[UNIT TAG]], FALSE), 6)</f>
        <v>200</v>
      </c>
      <c r="X17" s="27">
        <f>INDEX(Schedule!$A$1:$N$2000, MATCH($C17, VAV_Schedule_5_21[[#All],[UNIT TAG]], FALSE), 6)</f>
        <v>200</v>
      </c>
      <c r="Y17" s="27">
        <f>INDEX(Schedule!$A$1:$N$2000, MATCH($C17, VAV_Schedule_5_21[[#All],[UNIT TAG]], FALSE), 6)</f>
        <v>200</v>
      </c>
      <c r="Z17" s="27">
        <f>INDEX(Schedule!$A$1:$N$2000, MATCH($C17, VAV_Schedule_5_21[[#All],[UNIT TAG]], FALSE), 6)</f>
        <v>200</v>
      </c>
      <c r="AA17" s="27">
        <v>1000</v>
      </c>
      <c r="AB17" s="27">
        <v>1100</v>
      </c>
      <c r="AC17">
        <v>1400</v>
      </c>
      <c r="AD17" s="29">
        <f>IF(INDEX(Schedule!$A$1:$N$2000, MATCH($C17, VAV_Schedule_5_21[[#All],[UNIT TAG]], FALSE), 7)="-", 0, INDEX(Schedule!$A$1:$N$2000, MATCH($C17, VAV_Schedule_5_21[[#All],[UNIT TAG]], FALSE), 7))</f>
        <v>8</v>
      </c>
      <c r="AE17" t="str">
        <f>"B_01'" &amp; "Flr_0" &amp; INDEX(Joined!$A$3:$M$2000, MATCH($A17, Joined!$I$3:$I$2000, FALSE), 8)</f>
        <v>B_01'Flr_015</v>
      </c>
      <c r="AF17" t="str">
        <f>"R_" &amp; INDEX(Joined!$A$3:$M$2000, MATCH($A17, Joined!$I$3:$I$2000, FALSE), 7)</f>
        <v>R_VAV-15E-29</v>
      </c>
      <c r="AG17" t="str">
        <f>"B_01'" &amp; "Flr_0" &amp; INDEX(Joined!$A$3:$M$2000, MATCH($A17, Joined!$I$3:$I$2000, FALSE), 8)</f>
        <v>B_01'Flr_015</v>
      </c>
      <c r="AH17" t="str">
        <f>INDEX(Joined!$A$3:$M$2000, MATCH($A17, Joined!$I$3:$I$2000, FALSE), 7)</f>
        <v>VAV-15E-29</v>
      </c>
      <c r="AI17" t="s">
        <v>1516</v>
      </c>
    </row>
    <row r="18" spans="1:55" x14ac:dyDescent="0.2">
      <c r="A18" t="s">
        <v>853</v>
      </c>
      <c r="B18" t="str">
        <f>"B_01'" &amp; "Flr_0" &amp; INDEX(Joined!$A$3:$M$2000, MATCH($A18, Joined!$I$3:$I$2000, FALSE), 8)</f>
        <v>B_01'Flr_015</v>
      </c>
      <c r="C18" t="str">
        <f>INDEX(Joined!$A$3:$M$2000, MATCH($A18, Joined!$I$3:$I$2000, FALSE), 7)</f>
        <v>VAV-15E-30</v>
      </c>
      <c r="D18">
        <f>INDEX(Joined!$A$3:$M$2000, MATCH($A18, Joined!$I$3:$I$2000, FALSE), 5)</f>
        <v>154117</v>
      </c>
      <c r="E18" t="str">
        <f>INDEX(Joined!$A$3:$M$2000, MATCH($A18, Joined!$I$3:$I$2000, FALSE), 7)</f>
        <v>VAV-15E-30</v>
      </c>
      <c r="F18" t="s">
        <v>38</v>
      </c>
      <c r="G18" t="str">
        <f>INDEX(Schedule!$Q$2:$R$7, MATCH(ABT!$H18,Schedule!$Q$2:$Q$7, 0), 2)</f>
        <v>15011_DXR_VAV_DXR2M12</v>
      </c>
      <c r="H18">
        <f>INDEX(Joined!$A$3:$M$2000, MATCH($A18, Joined!$I$3:$I$2000, FALSE), 6)</f>
        <v>15011</v>
      </c>
      <c r="I18" t="str">
        <f>INDEX(Joined!$A$3:$M$2000, MATCH($A18, Joined!$I$3:$I$2000, FALSE), 4)</f>
        <v>541</v>
      </c>
      <c r="J18" t="b">
        <v>0</v>
      </c>
      <c r="K18">
        <f>INDEX(Joined!$A$3:$M$2000, MATCH($A18, Joined!$I$3:$I$2000, FALSE), 3)</f>
        <v>17</v>
      </c>
      <c r="L18">
        <v>85</v>
      </c>
      <c r="M18">
        <v>38400</v>
      </c>
      <c r="N18" s="27">
        <f>PI()*(INDEX(Schedule!$A$1:$N$2000, MATCH($C18, VAV_Schedule_5_21[[#All],[UNIT TAG]], FALSE), 4)/2/12)^2</f>
        <v>0.78539816339744828</v>
      </c>
      <c r="O18" s="27">
        <f>INDEX(Schedule!$A$1:$N$2000, MATCH($C18, VAV_Schedule_5_21[[#All],[UNIT TAG]], FALSE), 4)</f>
        <v>12</v>
      </c>
      <c r="P18">
        <v>16.63</v>
      </c>
      <c r="Q18" s="27">
        <f>INDEX(Schedule!$A$1:$N$2000, MATCH($C18, VAV_Schedule_5_21[[#All],[UNIT TAG]], FALSE), 5)</f>
        <v>1300</v>
      </c>
      <c r="R18" s="27">
        <f>INDEX(Schedule!$A$1:$N$2000, MATCH($C18, VAV_Schedule_5_21[[#All],[UNIT TAG]], FALSE), 6)</f>
        <v>260</v>
      </c>
      <c r="S18" s="27">
        <f>INDEX(Schedule!$A$1:$N$2000, MATCH($C18, VAV_Schedule_5_21[[#All],[UNIT TAG]], FALSE), 5)</f>
        <v>1300</v>
      </c>
      <c r="T18" s="27">
        <f>INDEX(Schedule!$A$1:$N$2000, MATCH($C18, VAV_Schedule_5_21[[#All],[UNIT TAG]], FALSE), 6)</f>
        <v>260</v>
      </c>
      <c r="U18" s="27">
        <f>INDEX(Schedule!$A$1:$N$2000, MATCH($C18, VAV_Schedule_5_21[[#All],[UNIT TAG]], FALSE), 5)</f>
        <v>1300</v>
      </c>
      <c r="V18" s="27">
        <f>INDEX(Schedule!$A$1:$N$2000, MATCH($C18, VAV_Schedule_5_21[[#All],[UNIT TAG]], FALSE), 6)</f>
        <v>260</v>
      </c>
      <c r="W18" s="27">
        <f>INDEX(Schedule!$A$1:$N$2000, MATCH($C18, VAV_Schedule_5_21[[#All],[UNIT TAG]], FALSE), 6)</f>
        <v>260</v>
      </c>
      <c r="X18" s="27">
        <f>INDEX(Schedule!$A$1:$N$2000, MATCH($C18, VAV_Schedule_5_21[[#All],[UNIT TAG]], FALSE), 6)</f>
        <v>260</v>
      </c>
      <c r="Y18" s="27">
        <f>INDEX(Schedule!$A$1:$N$2000, MATCH($C18, VAV_Schedule_5_21[[#All],[UNIT TAG]], FALSE), 6)</f>
        <v>260</v>
      </c>
      <c r="Z18" s="27">
        <f>INDEX(Schedule!$A$1:$N$2000, MATCH($C18, VAV_Schedule_5_21[[#All],[UNIT TAG]], FALSE), 6)</f>
        <v>260</v>
      </c>
      <c r="AA18" s="27">
        <v>1000</v>
      </c>
      <c r="AB18" s="27">
        <v>1100</v>
      </c>
      <c r="AC18">
        <v>1400</v>
      </c>
      <c r="AD18" s="29">
        <f>IF(INDEX(Schedule!$A$1:$N$2000, MATCH($C18, VAV_Schedule_5_21[[#All],[UNIT TAG]], FALSE), 7)="-", 0, INDEX(Schedule!$A$1:$N$2000, MATCH($C18, VAV_Schedule_5_21[[#All],[UNIT TAG]], FALSE), 7))</f>
        <v>8</v>
      </c>
      <c r="AE18" t="str">
        <f>"B_01'" &amp; "Flr_0" &amp; INDEX(Joined!$A$3:$M$2000, MATCH($A18, Joined!$I$3:$I$2000, FALSE), 8)</f>
        <v>B_01'Flr_015</v>
      </c>
      <c r="AF18" t="str">
        <f>"R_" &amp; INDEX(Joined!$A$3:$M$2000, MATCH($A18, Joined!$I$3:$I$2000, FALSE), 7)</f>
        <v>R_VAV-15E-30</v>
      </c>
      <c r="AG18" t="str">
        <f>"B_01'" &amp; "Flr_0" &amp; INDEX(Joined!$A$3:$M$2000, MATCH($A18, Joined!$I$3:$I$2000, FALSE), 8)</f>
        <v>B_01'Flr_015</v>
      </c>
      <c r="AH18" t="str">
        <f>INDEX(Joined!$A$3:$M$2000, MATCH($A18, Joined!$I$3:$I$2000, FALSE), 7)</f>
        <v>VAV-15E-30</v>
      </c>
      <c r="AI18" t="s">
        <v>1517</v>
      </c>
    </row>
    <row r="19" spans="1:55" x14ac:dyDescent="0.2">
      <c r="A19" t="s">
        <v>854</v>
      </c>
      <c r="B19" t="str">
        <f>"B_01'" &amp; "Flr_0" &amp; INDEX(Joined!$A$3:$M$2000, MATCH($A19, Joined!$I$3:$I$2000, FALSE), 8)</f>
        <v>B_01'Flr_015</v>
      </c>
      <c r="C19" t="str">
        <f>INDEX(Joined!$A$3:$M$2000, MATCH($A19, Joined!$I$3:$I$2000, FALSE), 7)</f>
        <v>VAV-15N-10</v>
      </c>
      <c r="D19">
        <f>INDEX(Joined!$A$3:$M$2000, MATCH($A19, Joined!$I$3:$I$2000, FALSE), 5)</f>
        <v>154001</v>
      </c>
      <c r="E19" t="str">
        <f>INDEX(Joined!$A$3:$M$2000, MATCH($A19, Joined!$I$3:$I$2000, FALSE), 7)</f>
        <v>VAV-15N-10</v>
      </c>
      <c r="F19" t="s">
        <v>38</v>
      </c>
      <c r="G19" t="str">
        <f>INDEX(Schedule!$Q$2:$R$7, MATCH(ABT!$H19,Schedule!$Q$2:$Q$7, 0), 2)</f>
        <v>15010_DXR_VAV_DXR2M12</v>
      </c>
      <c r="H19">
        <f>INDEX(Joined!$A$3:$M$2000, MATCH($A19, Joined!$I$3:$I$2000, FALSE), 6)</f>
        <v>15010</v>
      </c>
      <c r="I19" t="str">
        <f>INDEX(Joined!$A$3:$M$2000, MATCH($A19, Joined!$I$3:$I$2000, FALSE), 4)</f>
        <v>540</v>
      </c>
      <c r="J19" t="b">
        <v>0</v>
      </c>
      <c r="K19">
        <f>INDEX(Joined!$A$3:$M$2000, MATCH($A19, Joined!$I$3:$I$2000, FALSE), 3)</f>
        <v>1</v>
      </c>
      <c r="L19">
        <v>85</v>
      </c>
      <c r="M19">
        <v>38400</v>
      </c>
      <c r="N19" s="27">
        <f>PI()*(INDEX(Schedule!$A$1:$N$2000, MATCH($C19, VAV_Schedule_5_21[[#All],[UNIT TAG]], FALSE), 4)/2/12)^2</f>
        <v>0.3490658503988659</v>
      </c>
      <c r="O19" s="27">
        <f>INDEX(Schedule!$A$1:$N$2000, MATCH($C19, VAV_Schedule_5_21[[#All],[UNIT TAG]], FALSE), 4)</f>
        <v>8</v>
      </c>
      <c r="P19">
        <v>17.63</v>
      </c>
      <c r="Q19" s="27">
        <f>INDEX(Schedule!$A$1:$N$2000, MATCH($C19, VAV_Schedule_5_21[[#All],[UNIT TAG]], FALSE), 5)</f>
        <v>410</v>
      </c>
      <c r="R19" s="27">
        <f>INDEX(Schedule!$A$1:$N$2000, MATCH($C19, VAV_Schedule_5_21[[#All],[UNIT TAG]], FALSE), 6)</f>
        <v>85</v>
      </c>
      <c r="S19" s="27">
        <f>INDEX(Schedule!$A$1:$N$2000, MATCH($C19, VAV_Schedule_5_21[[#All],[UNIT TAG]], FALSE), 5)</f>
        <v>410</v>
      </c>
      <c r="T19" s="27">
        <f>INDEX(Schedule!$A$1:$N$2000, MATCH($C19, VAV_Schedule_5_21[[#All],[UNIT TAG]], FALSE), 6)</f>
        <v>85</v>
      </c>
      <c r="U19" s="27">
        <f>INDEX(Schedule!$A$1:$N$2000, MATCH($C19, VAV_Schedule_5_21[[#All],[UNIT TAG]], FALSE), 5)</f>
        <v>410</v>
      </c>
      <c r="V19" s="27">
        <f>INDEX(Schedule!$A$1:$N$2000, MATCH($C19, VAV_Schedule_5_21[[#All],[UNIT TAG]], FALSE), 6)</f>
        <v>85</v>
      </c>
      <c r="W19" s="27">
        <f>INDEX(Schedule!$A$1:$N$2000, MATCH($C19, VAV_Schedule_5_21[[#All],[UNIT TAG]], FALSE), 6)</f>
        <v>85</v>
      </c>
      <c r="X19" s="27">
        <f>INDEX(Schedule!$A$1:$N$2000, MATCH($C19, VAV_Schedule_5_21[[#All],[UNIT TAG]], FALSE), 6)</f>
        <v>85</v>
      </c>
      <c r="Y19" s="27">
        <f>INDEX(Schedule!$A$1:$N$2000, MATCH($C19, VAV_Schedule_5_21[[#All],[UNIT TAG]], FALSE), 6)</f>
        <v>85</v>
      </c>
      <c r="Z19" s="27">
        <f>INDEX(Schedule!$A$1:$N$2000, MATCH($C19, VAV_Schedule_5_21[[#All],[UNIT TAG]], FALSE), 6)</f>
        <v>85</v>
      </c>
      <c r="AA19" s="27">
        <v>1000</v>
      </c>
      <c r="AB19" s="27">
        <v>1100</v>
      </c>
      <c r="AC19">
        <v>1400</v>
      </c>
      <c r="AD19" s="29">
        <f>IF(INDEX(Schedule!$A$1:$N$2000, MATCH($C19, VAV_Schedule_5_21[[#All],[UNIT TAG]], FALSE), 7)="-", 0, INDEX(Schedule!$A$1:$N$2000, MATCH($C19, VAV_Schedule_5_21[[#All],[UNIT TAG]], FALSE), 7))</f>
        <v>0</v>
      </c>
      <c r="AE19" t="str">
        <f>"B_01'" &amp; "Flr_0" &amp; INDEX(Joined!$A$3:$M$2000, MATCH($A19, Joined!$I$3:$I$2000, FALSE), 8)</f>
        <v>B_01'Flr_015</v>
      </c>
      <c r="AF19" t="str">
        <f>"R_" &amp; INDEX(Joined!$A$3:$M$2000, MATCH($A19, Joined!$I$3:$I$2000, FALSE), 7)</f>
        <v>R_VAV-15N-10</v>
      </c>
      <c r="AG19" t="str">
        <f>"B_01'" &amp; "Flr_0" &amp; INDEX(Joined!$A$3:$M$2000, MATCH($A19, Joined!$I$3:$I$2000, FALSE), 8)</f>
        <v>B_01'Flr_015</v>
      </c>
      <c r="AH19" t="str">
        <f>INDEX(Joined!$A$3:$M$2000, MATCH($A19, Joined!$I$3:$I$2000, FALSE), 7)</f>
        <v>VAV-15N-10</v>
      </c>
      <c r="AI19" t="s">
        <v>1518</v>
      </c>
    </row>
    <row r="20" spans="1:55" x14ac:dyDescent="0.2">
      <c r="A20" t="s">
        <v>855</v>
      </c>
      <c r="B20" t="str">
        <f>"B_01'" &amp; "Flr_0" &amp; INDEX(Joined!$A$3:$M$2000, MATCH($A20, Joined!$I$3:$I$2000, FALSE), 8)</f>
        <v>B_01'Flr_015</v>
      </c>
      <c r="C20" t="str">
        <f>INDEX(Joined!$A$3:$M$2000, MATCH($A20, Joined!$I$3:$I$2000, FALSE), 7)</f>
        <v>VAV-15N-11</v>
      </c>
      <c r="D20">
        <f>INDEX(Joined!$A$3:$M$2000, MATCH($A20, Joined!$I$3:$I$2000, FALSE), 5)</f>
        <v>154002</v>
      </c>
      <c r="E20" t="str">
        <f>INDEX(Joined!$A$3:$M$2000, MATCH($A20, Joined!$I$3:$I$2000, FALSE), 7)</f>
        <v>VAV-15N-11</v>
      </c>
      <c r="F20" t="s">
        <v>38</v>
      </c>
      <c r="G20" t="str">
        <f>INDEX(Schedule!$Q$2:$R$7, MATCH(ABT!$H20,Schedule!$Q$2:$Q$7, 0), 2)</f>
        <v>15011_DXR_VAV_DXR2M12</v>
      </c>
      <c r="H20">
        <f>INDEX(Joined!$A$3:$M$2000, MATCH($A20, Joined!$I$3:$I$2000, FALSE), 6)</f>
        <v>15011</v>
      </c>
      <c r="I20" t="str">
        <f>INDEX(Joined!$A$3:$M$2000, MATCH($A20, Joined!$I$3:$I$2000, FALSE), 4)</f>
        <v>540</v>
      </c>
      <c r="J20" t="b">
        <v>0</v>
      </c>
      <c r="K20">
        <f>INDEX(Joined!$A$3:$M$2000, MATCH($A20, Joined!$I$3:$I$2000, FALSE), 3)</f>
        <v>2</v>
      </c>
      <c r="L20">
        <v>85</v>
      </c>
      <c r="M20">
        <v>38400</v>
      </c>
      <c r="N20" s="27">
        <f>PI()*(INDEX(Schedule!$A$1:$N$2000, MATCH($C20, VAV_Schedule_5_21[[#All],[UNIT TAG]], FALSE), 4)/2/12)^2</f>
        <v>0.78539816339744828</v>
      </c>
      <c r="O20" s="27">
        <f>INDEX(Schedule!$A$1:$N$2000, MATCH($C20, VAV_Schedule_5_21[[#All],[UNIT TAG]], FALSE), 4)</f>
        <v>12</v>
      </c>
      <c r="P20">
        <v>18.63</v>
      </c>
      <c r="Q20" s="27">
        <f>INDEX(Schedule!$A$1:$N$2000, MATCH($C20, VAV_Schedule_5_21[[#All],[UNIT TAG]], FALSE), 5)</f>
        <v>1300</v>
      </c>
      <c r="R20" s="27">
        <f>INDEX(Schedule!$A$1:$N$2000, MATCH($C20, VAV_Schedule_5_21[[#All],[UNIT TAG]], FALSE), 6)</f>
        <v>260</v>
      </c>
      <c r="S20" s="27">
        <f>INDEX(Schedule!$A$1:$N$2000, MATCH($C20, VAV_Schedule_5_21[[#All],[UNIT TAG]], FALSE), 5)</f>
        <v>1300</v>
      </c>
      <c r="T20" s="27">
        <f>INDEX(Schedule!$A$1:$N$2000, MATCH($C20, VAV_Schedule_5_21[[#All],[UNIT TAG]], FALSE), 6)</f>
        <v>260</v>
      </c>
      <c r="U20" s="27">
        <f>INDEX(Schedule!$A$1:$N$2000, MATCH($C20, VAV_Schedule_5_21[[#All],[UNIT TAG]], FALSE), 5)</f>
        <v>1300</v>
      </c>
      <c r="V20" s="27">
        <f>INDEX(Schedule!$A$1:$N$2000, MATCH($C20, VAV_Schedule_5_21[[#All],[UNIT TAG]], FALSE), 6)</f>
        <v>260</v>
      </c>
      <c r="W20" s="27">
        <f>INDEX(Schedule!$A$1:$N$2000, MATCH($C20, VAV_Schedule_5_21[[#All],[UNIT TAG]], FALSE), 6)</f>
        <v>260</v>
      </c>
      <c r="X20" s="27">
        <f>INDEX(Schedule!$A$1:$N$2000, MATCH($C20, VAV_Schedule_5_21[[#All],[UNIT TAG]], FALSE), 6)</f>
        <v>260</v>
      </c>
      <c r="Y20" s="27">
        <f>INDEX(Schedule!$A$1:$N$2000, MATCH($C20, VAV_Schedule_5_21[[#All],[UNIT TAG]], FALSE), 6)</f>
        <v>260</v>
      </c>
      <c r="Z20" s="27">
        <f>INDEX(Schedule!$A$1:$N$2000, MATCH($C20, VAV_Schedule_5_21[[#All],[UNIT TAG]], FALSE), 6)</f>
        <v>260</v>
      </c>
      <c r="AA20" s="27">
        <v>1000</v>
      </c>
      <c r="AB20" s="27">
        <v>1100</v>
      </c>
      <c r="AC20">
        <v>1400</v>
      </c>
      <c r="AD20" s="29">
        <f>IF(INDEX(Schedule!$A$1:$N$2000, MATCH($C20, VAV_Schedule_5_21[[#All],[UNIT TAG]], FALSE), 7)="-", 0, INDEX(Schedule!$A$1:$N$2000, MATCH($C20, VAV_Schedule_5_21[[#All],[UNIT TAG]], FALSE), 7))</f>
        <v>8</v>
      </c>
      <c r="AE20" t="str">
        <f>"B_01'" &amp; "Flr_0" &amp; INDEX(Joined!$A$3:$M$2000, MATCH($A20, Joined!$I$3:$I$2000, FALSE), 8)</f>
        <v>B_01'Flr_015</v>
      </c>
      <c r="AF20" t="str">
        <f>"R_" &amp; INDEX(Joined!$A$3:$M$2000, MATCH($A20, Joined!$I$3:$I$2000, FALSE), 7)</f>
        <v>R_VAV-15N-11</v>
      </c>
      <c r="AG20" t="str">
        <f>"B_01'" &amp; "Flr_0" &amp; INDEX(Joined!$A$3:$M$2000, MATCH($A20, Joined!$I$3:$I$2000, FALSE), 8)</f>
        <v>B_01'Flr_015</v>
      </c>
      <c r="AH20" t="str">
        <f>INDEX(Joined!$A$3:$M$2000, MATCH($A20, Joined!$I$3:$I$2000, FALSE), 7)</f>
        <v>VAV-15N-11</v>
      </c>
      <c r="AI20" t="s">
        <v>1519</v>
      </c>
    </row>
    <row r="21" spans="1:55" x14ac:dyDescent="0.2">
      <c r="A21" t="s">
        <v>856</v>
      </c>
      <c r="B21" t="str">
        <f>"B_01'" &amp; "Flr_0" &amp; INDEX(Joined!$A$3:$M$2000, MATCH($A21, Joined!$I$3:$I$2000, FALSE), 8)</f>
        <v>B_01'Flr_015</v>
      </c>
      <c r="C21" t="str">
        <f>INDEX(Joined!$A$3:$M$2000, MATCH($A21, Joined!$I$3:$I$2000, FALSE), 7)</f>
        <v>VAV-15N-12</v>
      </c>
      <c r="D21">
        <f>INDEX(Joined!$A$3:$M$2000, MATCH($A21, Joined!$I$3:$I$2000, FALSE), 5)</f>
        <v>154003</v>
      </c>
      <c r="E21" t="str">
        <f>INDEX(Joined!$A$3:$M$2000, MATCH($A21, Joined!$I$3:$I$2000, FALSE), 7)</f>
        <v>VAV-15N-12</v>
      </c>
      <c r="F21" t="s">
        <v>38</v>
      </c>
      <c r="G21" t="str">
        <f>INDEX(Schedule!$Q$2:$R$7, MATCH(ABT!$H21,Schedule!$Q$2:$Q$7, 0), 2)</f>
        <v>15011_DXR_VAV_DXR2M12</v>
      </c>
      <c r="H21">
        <f>INDEX(Joined!$A$3:$M$2000, MATCH($A21, Joined!$I$3:$I$2000, FALSE), 6)</f>
        <v>15011</v>
      </c>
      <c r="I21" t="str">
        <f>INDEX(Joined!$A$3:$M$2000, MATCH($A21, Joined!$I$3:$I$2000, FALSE), 4)</f>
        <v>540</v>
      </c>
      <c r="J21" t="b">
        <v>0</v>
      </c>
      <c r="K21">
        <f>INDEX(Joined!$A$3:$M$2000, MATCH($A21, Joined!$I$3:$I$2000, FALSE), 3)</f>
        <v>3</v>
      </c>
      <c r="L21">
        <v>85</v>
      </c>
      <c r="M21">
        <v>38400</v>
      </c>
      <c r="N21" s="27">
        <f>PI()*(INDEX(Schedule!$A$1:$N$2000, MATCH($C21, VAV_Schedule_5_21[[#All],[UNIT TAG]], FALSE), 4)/2/12)^2</f>
        <v>0.78539816339744828</v>
      </c>
      <c r="O21" s="27">
        <f>INDEX(Schedule!$A$1:$N$2000, MATCH($C21, VAV_Schedule_5_21[[#All],[UNIT TAG]], FALSE), 4)</f>
        <v>12</v>
      </c>
      <c r="P21">
        <v>19.63</v>
      </c>
      <c r="Q21" s="27">
        <f>INDEX(Schedule!$A$1:$N$2000, MATCH($C21, VAV_Schedule_5_21[[#All],[UNIT TAG]], FALSE), 5)</f>
        <v>1360</v>
      </c>
      <c r="R21" s="27">
        <f>INDEX(Schedule!$A$1:$N$2000, MATCH($C21, VAV_Schedule_5_21[[#All],[UNIT TAG]], FALSE), 6)</f>
        <v>275</v>
      </c>
      <c r="S21" s="27">
        <f>INDEX(Schedule!$A$1:$N$2000, MATCH($C21, VAV_Schedule_5_21[[#All],[UNIT TAG]], FALSE), 5)</f>
        <v>1360</v>
      </c>
      <c r="T21" s="27">
        <f>INDEX(Schedule!$A$1:$N$2000, MATCH($C21, VAV_Schedule_5_21[[#All],[UNIT TAG]], FALSE), 6)</f>
        <v>275</v>
      </c>
      <c r="U21" s="27">
        <f>INDEX(Schedule!$A$1:$N$2000, MATCH($C21, VAV_Schedule_5_21[[#All],[UNIT TAG]], FALSE), 5)</f>
        <v>1360</v>
      </c>
      <c r="V21" s="27">
        <f>INDEX(Schedule!$A$1:$N$2000, MATCH($C21, VAV_Schedule_5_21[[#All],[UNIT TAG]], FALSE), 6)</f>
        <v>275</v>
      </c>
      <c r="W21" s="27">
        <f>INDEX(Schedule!$A$1:$N$2000, MATCH($C21, VAV_Schedule_5_21[[#All],[UNIT TAG]], FALSE), 6)</f>
        <v>275</v>
      </c>
      <c r="X21" s="27">
        <f>INDEX(Schedule!$A$1:$N$2000, MATCH($C21, VAV_Schedule_5_21[[#All],[UNIT TAG]], FALSE), 6)</f>
        <v>275</v>
      </c>
      <c r="Y21" s="27">
        <f>INDEX(Schedule!$A$1:$N$2000, MATCH($C21, VAV_Schedule_5_21[[#All],[UNIT TAG]], FALSE), 6)</f>
        <v>275</v>
      </c>
      <c r="Z21" s="27">
        <f>INDEX(Schedule!$A$1:$N$2000, MATCH($C21, VAV_Schedule_5_21[[#All],[UNIT TAG]], FALSE), 6)</f>
        <v>275</v>
      </c>
      <c r="AA21" s="27">
        <v>1000</v>
      </c>
      <c r="AB21" s="27">
        <v>1100</v>
      </c>
      <c r="AC21">
        <v>1400</v>
      </c>
      <c r="AD21" s="29">
        <f>IF(INDEX(Schedule!$A$1:$N$2000, MATCH($C21, VAV_Schedule_5_21[[#All],[UNIT TAG]], FALSE), 7)="-", 0, INDEX(Schedule!$A$1:$N$2000, MATCH($C21, VAV_Schedule_5_21[[#All],[UNIT TAG]], FALSE), 7))</f>
        <v>6</v>
      </c>
      <c r="AE21" t="str">
        <f>"B_01'" &amp; "Flr_0" &amp; INDEX(Joined!$A$3:$M$2000, MATCH($A21, Joined!$I$3:$I$2000, FALSE), 8)</f>
        <v>B_01'Flr_015</v>
      </c>
      <c r="AF21" t="str">
        <f>"R_" &amp; INDEX(Joined!$A$3:$M$2000, MATCH($A21, Joined!$I$3:$I$2000, FALSE), 7)</f>
        <v>R_VAV-15N-12</v>
      </c>
      <c r="AG21" t="str">
        <f>"B_01'" &amp; "Flr_0" &amp; INDEX(Joined!$A$3:$M$2000, MATCH($A21, Joined!$I$3:$I$2000, FALSE), 8)</f>
        <v>B_01'Flr_015</v>
      </c>
      <c r="AH21" t="str">
        <f>INDEX(Joined!$A$3:$M$2000, MATCH($A21, Joined!$I$3:$I$2000, FALSE), 7)</f>
        <v>VAV-15N-12</v>
      </c>
      <c r="AI21" t="s">
        <v>1520</v>
      </c>
    </row>
    <row r="22" spans="1:55" x14ac:dyDescent="0.2">
      <c r="A22" t="s">
        <v>857</v>
      </c>
      <c r="B22" t="str">
        <f>"B_01'" &amp; "Flr_0" &amp; INDEX(Joined!$A$3:$M$2000, MATCH($A22, Joined!$I$3:$I$2000, FALSE), 8)</f>
        <v>B_01'Flr_015</v>
      </c>
      <c r="C22" t="str">
        <f>INDEX(Joined!$A$3:$M$2000, MATCH($A22, Joined!$I$3:$I$2000, FALSE), 7)</f>
        <v>VAV-15N-13</v>
      </c>
      <c r="D22">
        <f>INDEX(Joined!$A$3:$M$2000, MATCH($A22, Joined!$I$3:$I$2000, FALSE), 5)</f>
        <v>154004</v>
      </c>
      <c r="E22" t="str">
        <f>INDEX(Joined!$A$3:$M$2000, MATCH($A22, Joined!$I$3:$I$2000, FALSE), 7)</f>
        <v>VAV-15N-13</v>
      </c>
      <c r="F22" t="s">
        <v>38</v>
      </c>
      <c r="G22" t="str">
        <f>INDEX(Schedule!$Q$2:$R$7, MATCH(ABT!$H22,Schedule!$Q$2:$Q$7, 0), 2)</f>
        <v>15011_DXR_VAV_DXR2M12</v>
      </c>
      <c r="H22">
        <f>INDEX(Joined!$A$3:$M$2000, MATCH($A22, Joined!$I$3:$I$2000, FALSE), 6)</f>
        <v>15011</v>
      </c>
      <c r="I22" t="str">
        <f>INDEX(Joined!$A$3:$M$2000, MATCH($A22, Joined!$I$3:$I$2000, FALSE), 4)</f>
        <v>540</v>
      </c>
      <c r="J22" t="b">
        <v>0</v>
      </c>
      <c r="K22">
        <f>INDEX(Joined!$A$3:$M$2000, MATCH($A22, Joined!$I$3:$I$2000, FALSE), 3)</f>
        <v>4</v>
      </c>
      <c r="L22">
        <v>85</v>
      </c>
      <c r="M22">
        <v>38400</v>
      </c>
      <c r="N22" s="27">
        <f>PI()*(INDEX(Schedule!$A$1:$N$2000, MATCH($C22, VAV_Schedule_5_21[[#All],[UNIT TAG]], FALSE), 4)/2/12)^2</f>
        <v>0.78539816339744828</v>
      </c>
      <c r="O22" s="27">
        <f>INDEX(Schedule!$A$1:$N$2000, MATCH($C22, VAV_Schedule_5_21[[#All],[UNIT TAG]], FALSE), 4)</f>
        <v>12</v>
      </c>
      <c r="P22">
        <v>20.63</v>
      </c>
      <c r="Q22" s="27">
        <f>INDEX(Schedule!$A$1:$N$2000, MATCH($C22, VAV_Schedule_5_21[[#All],[UNIT TAG]], FALSE), 5)</f>
        <v>1060</v>
      </c>
      <c r="R22" s="27">
        <f>INDEX(Schedule!$A$1:$N$2000, MATCH($C22, VAV_Schedule_5_21[[#All],[UNIT TAG]], FALSE), 6)</f>
        <v>260</v>
      </c>
      <c r="S22" s="27">
        <f>INDEX(Schedule!$A$1:$N$2000, MATCH($C22, VAV_Schedule_5_21[[#All],[UNIT TAG]], FALSE), 5)</f>
        <v>1060</v>
      </c>
      <c r="T22" s="27">
        <f>INDEX(Schedule!$A$1:$N$2000, MATCH($C22, VAV_Schedule_5_21[[#All],[UNIT TAG]], FALSE), 6)</f>
        <v>260</v>
      </c>
      <c r="U22" s="27">
        <f>INDEX(Schedule!$A$1:$N$2000, MATCH($C22, VAV_Schedule_5_21[[#All],[UNIT TAG]], FALSE), 5)</f>
        <v>1060</v>
      </c>
      <c r="V22" s="27">
        <f>INDEX(Schedule!$A$1:$N$2000, MATCH($C22, VAV_Schedule_5_21[[#All],[UNIT TAG]], FALSE), 6)</f>
        <v>260</v>
      </c>
      <c r="W22" s="27">
        <f>INDEX(Schedule!$A$1:$N$2000, MATCH($C22, VAV_Schedule_5_21[[#All],[UNIT TAG]], FALSE), 6)</f>
        <v>260</v>
      </c>
      <c r="X22" s="27">
        <f>INDEX(Schedule!$A$1:$N$2000, MATCH($C22, VAV_Schedule_5_21[[#All],[UNIT TAG]], FALSE), 6)</f>
        <v>260</v>
      </c>
      <c r="Y22" s="27">
        <f>INDEX(Schedule!$A$1:$N$2000, MATCH($C22, VAV_Schedule_5_21[[#All],[UNIT TAG]], FALSE), 6)</f>
        <v>260</v>
      </c>
      <c r="Z22" s="27">
        <f>INDEX(Schedule!$A$1:$N$2000, MATCH($C22, VAV_Schedule_5_21[[#All],[UNIT TAG]], FALSE), 6)</f>
        <v>260</v>
      </c>
      <c r="AA22" s="27">
        <v>1000</v>
      </c>
      <c r="AB22" s="27">
        <v>1100</v>
      </c>
      <c r="AC22">
        <v>1400</v>
      </c>
      <c r="AD22" s="29">
        <f>IF(INDEX(Schedule!$A$1:$N$2000, MATCH($C22, VAV_Schedule_5_21[[#All],[UNIT TAG]], FALSE), 7)="-", 0, INDEX(Schedule!$A$1:$N$2000, MATCH($C22, VAV_Schedule_5_21[[#All],[UNIT TAG]], FALSE), 7))</f>
        <v>8</v>
      </c>
      <c r="AE22" t="str">
        <f>"B_01'" &amp; "Flr_0" &amp; INDEX(Joined!$A$3:$M$2000, MATCH($A22, Joined!$I$3:$I$2000, FALSE), 8)</f>
        <v>B_01'Flr_015</v>
      </c>
      <c r="AF22" t="str">
        <f>"R_" &amp; INDEX(Joined!$A$3:$M$2000, MATCH($A22, Joined!$I$3:$I$2000, FALSE), 7)</f>
        <v>R_VAV-15N-13</v>
      </c>
      <c r="AG22" t="str">
        <f>"B_01'" &amp; "Flr_0" &amp; INDEX(Joined!$A$3:$M$2000, MATCH($A22, Joined!$I$3:$I$2000, FALSE), 8)</f>
        <v>B_01'Flr_015</v>
      </c>
      <c r="AH22" t="str">
        <f>INDEX(Joined!$A$3:$M$2000, MATCH($A22, Joined!$I$3:$I$2000, FALSE), 7)</f>
        <v>VAV-15N-13</v>
      </c>
      <c r="AI22" t="s">
        <v>1521</v>
      </c>
    </row>
    <row r="23" spans="1:55" x14ac:dyDescent="0.2">
      <c r="A23" t="s">
        <v>858</v>
      </c>
      <c r="B23" t="str">
        <f>"B_01'" &amp; "Flr_0" &amp; INDEX(Joined!$A$3:$M$2000, MATCH($A23, Joined!$I$3:$I$2000, FALSE), 8)</f>
        <v>B_01'Flr_015</v>
      </c>
      <c r="C23" t="str">
        <f>INDEX(Joined!$A$3:$M$2000, MATCH($A23, Joined!$I$3:$I$2000, FALSE), 7)</f>
        <v>VAV-15N-5</v>
      </c>
      <c r="D23">
        <f>INDEX(Joined!$A$3:$M$2000, MATCH($A23, Joined!$I$3:$I$2000, FALSE), 5)</f>
        <v>154005</v>
      </c>
      <c r="E23" t="str">
        <f>INDEX(Joined!$A$3:$M$2000, MATCH($A23, Joined!$I$3:$I$2000, FALSE), 7)</f>
        <v>VAV-15N-5</v>
      </c>
      <c r="F23" t="s">
        <v>38</v>
      </c>
      <c r="G23" t="str">
        <f>INDEX(Schedule!$Q$2:$R$7, MATCH(ABT!$H23,Schedule!$Q$2:$Q$7, 0), 2)</f>
        <v>15011_DXR_VAV_DXR2M12</v>
      </c>
      <c r="H23">
        <f>INDEX(Joined!$A$3:$M$2000, MATCH($A23, Joined!$I$3:$I$2000, FALSE), 6)</f>
        <v>15011</v>
      </c>
      <c r="I23" t="str">
        <f>INDEX(Joined!$A$3:$M$2000, MATCH($A23, Joined!$I$3:$I$2000, FALSE), 4)</f>
        <v>540</v>
      </c>
      <c r="J23" t="b">
        <v>0</v>
      </c>
      <c r="K23">
        <f>INDEX(Joined!$A$3:$M$2000, MATCH($A23, Joined!$I$3:$I$2000, FALSE), 3)</f>
        <v>5</v>
      </c>
      <c r="L23">
        <v>85</v>
      </c>
      <c r="M23">
        <v>38400</v>
      </c>
      <c r="N23" s="27">
        <f>PI()*(INDEX(Schedule!$A$1:$N$2000, MATCH($C23, VAV_Schedule_5_21[[#All],[UNIT TAG]], FALSE), 4)/2/12)^2</f>
        <v>0.78539816339744828</v>
      </c>
      <c r="O23" s="27">
        <f>INDEX(Schedule!$A$1:$N$2000, MATCH($C23, VAV_Schedule_5_21[[#All],[UNIT TAG]], FALSE), 4)</f>
        <v>12</v>
      </c>
      <c r="P23">
        <v>21.63</v>
      </c>
      <c r="Q23" s="27">
        <f>INDEX(Schedule!$A$1:$N$2000, MATCH($C23, VAV_Schedule_5_21[[#All],[UNIT TAG]], FALSE), 5)</f>
        <v>1065</v>
      </c>
      <c r="R23" s="27">
        <f>INDEX(Schedule!$A$1:$N$2000, MATCH($C23, VAV_Schedule_5_21[[#All],[UNIT TAG]], FALSE), 6)</f>
        <v>260</v>
      </c>
      <c r="S23" s="27">
        <f>INDEX(Schedule!$A$1:$N$2000, MATCH($C23, VAV_Schedule_5_21[[#All],[UNIT TAG]], FALSE), 5)</f>
        <v>1065</v>
      </c>
      <c r="T23" s="27">
        <f>INDEX(Schedule!$A$1:$N$2000, MATCH($C23, VAV_Schedule_5_21[[#All],[UNIT TAG]], FALSE), 6)</f>
        <v>260</v>
      </c>
      <c r="U23" s="27">
        <f>INDEX(Schedule!$A$1:$N$2000, MATCH($C23, VAV_Schedule_5_21[[#All],[UNIT TAG]], FALSE), 5)</f>
        <v>1065</v>
      </c>
      <c r="V23" s="27">
        <f>INDEX(Schedule!$A$1:$N$2000, MATCH($C23, VAV_Schedule_5_21[[#All],[UNIT TAG]], FALSE), 6)</f>
        <v>260</v>
      </c>
      <c r="W23" s="27">
        <f>INDEX(Schedule!$A$1:$N$2000, MATCH($C23, VAV_Schedule_5_21[[#All],[UNIT TAG]], FALSE), 6)</f>
        <v>260</v>
      </c>
      <c r="X23" s="27">
        <f>INDEX(Schedule!$A$1:$N$2000, MATCH($C23, VAV_Schedule_5_21[[#All],[UNIT TAG]], FALSE), 6)</f>
        <v>260</v>
      </c>
      <c r="Y23" s="27">
        <f>INDEX(Schedule!$A$1:$N$2000, MATCH($C23, VAV_Schedule_5_21[[#All],[UNIT TAG]], FALSE), 6)</f>
        <v>260</v>
      </c>
      <c r="Z23" s="27">
        <f>INDEX(Schedule!$A$1:$N$2000, MATCH($C23, VAV_Schedule_5_21[[#All],[UNIT TAG]], FALSE), 6)</f>
        <v>260</v>
      </c>
      <c r="AA23" s="27">
        <v>1000</v>
      </c>
      <c r="AB23" s="27">
        <v>1100</v>
      </c>
      <c r="AC23">
        <v>1400</v>
      </c>
      <c r="AD23" s="29">
        <f>IF(INDEX(Schedule!$A$1:$N$2000, MATCH($C23, VAV_Schedule_5_21[[#All],[UNIT TAG]], FALSE), 7)="-", 0, INDEX(Schedule!$A$1:$N$2000, MATCH($C23, VAV_Schedule_5_21[[#All],[UNIT TAG]], FALSE), 7))</f>
        <v>8</v>
      </c>
      <c r="AE23" t="str">
        <f>"B_01'" &amp; "Flr_0" &amp; INDEX(Joined!$A$3:$M$2000, MATCH($A23, Joined!$I$3:$I$2000, FALSE), 8)</f>
        <v>B_01'Flr_015</v>
      </c>
      <c r="AF23" t="str">
        <f>"R_" &amp; INDEX(Joined!$A$3:$M$2000, MATCH($A23, Joined!$I$3:$I$2000, FALSE), 7)</f>
        <v>R_VAV-15N-5</v>
      </c>
      <c r="AG23" t="str">
        <f>"B_01'" &amp; "Flr_0" &amp; INDEX(Joined!$A$3:$M$2000, MATCH($A23, Joined!$I$3:$I$2000, FALSE), 8)</f>
        <v>B_01'Flr_015</v>
      </c>
      <c r="AH23" t="str">
        <f>INDEX(Joined!$A$3:$M$2000, MATCH($A23, Joined!$I$3:$I$2000, FALSE), 7)</f>
        <v>VAV-15N-5</v>
      </c>
      <c r="AI23" t="s">
        <v>1522</v>
      </c>
    </row>
    <row r="24" spans="1:55" x14ac:dyDescent="0.2">
      <c r="A24" t="s">
        <v>859</v>
      </c>
      <c r="B24" t="str">
        <f>"B_01'" &amp; "Flr_0" &amp; INDEX(Joined!$A$3:$M$2000, MATCH($A24, Joined!$I$3:$I$2000, FALSE), 8)</f>
        <v>B_01'Flr_015</v>
      </c>
      <c r="C24" t="str">
        <f>INDEX(Joined!$A$3:$M$2000, MATCH($A24, Joined!$I$3:$I$2000, FALSE), 7)</f>
        <v>VAV-15N-6</v>
      </c>
      <c r="D24">
        <f>INDEX(Joined!$A$3:$M$2000, MATCH($A24, Joined!$I$3:$I$2000, FALSE), 5)</f>
        <v>154006</v>
      </c>
      <c r="E24" t="str">
        <f>INDEX(Joined!$A$3:$M$2000, MATCH($A24, Joined!$I$3:$I$2000, FALSE), 7)</f>
        <v>VAV-15N-6</v>
      </c>
      <c r="F24" t="s">
        <v>38</v>
      </c>
      <c r="G24" t="str">
        <f>INDEX(Schedule!$Q$2:$R$7, MATCH(ABT!$H24,Schedule!$Q$2:$Q$7, 0), 2)</f>
        <v>15011_DXR_VAV_DXR2M12</v>
      </c>
      <c r="H24">
        <f>INDEX(Joined!$A$3:$M$2000, MATCH($A24, Joined!$I$3:$I$2000, FALSE), 6)</f>
        <v>15011</v>
      </c>
      <c r="I24" t="str">
        <f>INDEX(Joined!$A$3:$M$2000, MATCH($A24, Joined!$I$3:$I$2000, FALSE), 4)</f>
        <v>540</v>
      </c>
      <c r="J24" t="b">
        <v>0</v>
      </c>
      <c r="K24">
        <f>INDEX(Joined!$A$3:$M$2000, MATCH($A24, Joined!$I$3:$I$2000, FALSE), 3)</f>
        <v>6</v>
      </c>
      <c r="L24">
        <v>85</v>
      </c>
      <c r="M24">
        <v>38400</v>
      </c>
      <c r="N24" s="27">
        <f>PI()*(INDEX(Schedule!$A$1:$N$2000, MATCH($C24, VAV_Schedule_5_21[[#All],[UNIT TAG]], FALSE), 4)/2/12)^2</f>
        <v>0.54541539124822802</v>
      </c>
      <c r="O24" s="27">
        <f>INDEX(Schedule!$A$1:$N$2000, MATCH($C24, VAV_Schedule_5_21[[#All],[UNIT TAG]], FALSE), 4)</f>
        <v>10</v>
      </c>
      <c r="P24">
        <v>22.63</v>
      </c>
      <c r="Q24" s="27">
        <f>INDEX(Schedule!$A$1:$N$2000, MATCH($C24, VAV_Schedule_5_21[[#All],[UNIT TAG]], FALSE), 5)</f>
        <v>1080</v>
      </c>
      <c r="R24" s="27">
        <f>INDEX(Schedule!$A$1:$N$2000, MATCH($C24, VAV_Schedule_5_21[[#All],[UNIT TAG]], FALSE), 6)</f>
        <v>220</v>
      </c>
      <c r="S24" s="27">
        <f>INDEX(Schedule!$A$1:$N$2000, MATCH($C24, VAV_Schedule_5_21[[#All],[UNIT TAG]], FALSE), 5)</f>
        <v>1080</v>
      </c>
      <c r="T24" s="27">
        <f>INDEX(Schedule!$A$1:$N$2000, MATCH($C24, VAV_Schedule_5_21[[#All],[UNIT TAG]], FALSE), 6)</f>
        <v>220</v>
      </c>
      <c r="U24" s="27">
        <f>INDEX(Schedule!$A$1:$N$2000, MATCH($C24, VAV_Schedule_5_21[[#All],[UNIT TAG]], FALSE), 5)</f>
        <v>1080</v>
      </c>
      <c r="V24" s="27">
        <f>INDEX(Schedule!$A$1:$N$2000, MATCH($C24, VAV_Schedule_5_21[[#All],[UNIT TAG]], FALSE), 6)</f>
        <v>220</v>
      </c>
      <c r="W24" s="27">
        <f>INDEX(Schedule!$A$1:$N$2000, MATCH($C24, VAV_Schedule_5_21[[#All],[UNIT TAG]], FALSE), 6)</f>
        <v>220</v>
      </c>
      <c r="X24" s="27">
        <f>INDEX(Schedule!$A$1:$N$2000, MATCH($C24, VAV_Schedule_5_21[[#All],[UNIT TAG]], FALSE), 6)</f>
        <v>220</v>
      </c>
      <c r="Y24" s="27">
        <f>INDEX(Schedule!$A$1:$N$2000, MATCH($C24, VAV_Schedule_5_21[[#All],[UNIT TAG]], FALSE), 6)</f>
        <v>220</v>
      </c>
      <c r="Z24" s="27">
        <f>INDEX(Schedule!$A$1:$N$2000, MATCH($C24, VAV_Schedule_5_21[[#All],[UNIT TAG]], FALSE), 6)</f>
        <v>220</v>
      </c>
      <c r="AA24" s="27">
        <v>1000</v>
      </c>
      <c r="AB24" s="27">
        <v>1100</v>
      </c>
      <c r="AC24">
        <v>1400</v>
      </c>
      <c r="AD24" s="29">
        <f>IF(INDEX(Schedule!$A$1:$N$2000, MATCH($C24, VAV_Schedule_5_21[[#All],[UNIT TAG]], FALSE), 7)="-", 0, INDEX(Schedule!$A$1:$N$2000, MATCH($C24, VAV_Schedule_5_21[[#All],[UNIT TAG]], FALSE), 7))</f>
        <v>6</v>
      </c>
      <c r="AE24" t="str">
        <f>"B_01'" &amp; "Flr_0" &amp; INDEX(Joined!$A$3:$M$2000, MATCH($A24, Joined!$I$3:$I$2000, FALSE), 8)</f>
        <v>B_01'Flr_015</v>
      </c>
      <c r="AF24" t="str">
        <f>"R_" &amp; INDEX(Joined!$A$3:$M$2000, MATCH($A24, Joined!$I$3:$I$2000, FALSE), 7)</f>
        <v>R_VAV-15N-6</v>
      </c>
      <c r="AG24" t="str">
        <f>"B_01'" &amp; "Flr_0" &amp; INDEX(Joined!$A$3:$M$2000, MATCH($A24, Joined!$I$3:$I$2000, FALSE), 8)</f>
        <v>B_01'Flr_015</v>
      </c>
      <c r="AH24" t="str">
        <f>INDEX(Joined!$A$3:$M$2000, MATCH($A24, Joined!$I$3:$I$2000, FALSE), 7)</f>
        <v>VAV-15N-6</v>
      </c>
      <c r="AI24" t="s">
        <v>1523</v>
      </c>
    </row>
    <row r="25" spans="1:55" x14ac:dyDescent="0.2">
      <c r="A25" t="s">
        <v>860</v>
      </c>
      <c r="B25" t="str">
        <f>"B_01'" &amp; "Flr_0" &amp; INDEX(Joined!$A$3:$M$2000, MATCH($A25, Joined!$I$3:$I$2000, FALSE), 8)</f>
        <v>B_01'Flr_015</v>
      </c>
      <c r="C25" t="str">
        <f>INDEX(Joined!$A$3:$M$2000, MATCH($A25, Joined!$I$3:$I$2000, FALSE), 7)</f>
        <v>VAV-15N-7</v>
      </c>
      <c r="D25">
        <f>INDEX(Joined!$A$3:$M$2000, MATCH($A25, Joined!$I$3:$I$2000, FALSE), 5)</f>
        <v>154007</v>
      </c>
      <c r="E25" t="str">
        <f>INDEX(Joined!$A$3:$M$2000, MATCH($A25, Joined!$I$3:$I$2000, FALSE), 7)</f>
        <v>VAV-15N-7</v>
      </c>
      <c r="F25" t="s">
        <v>38</v>
      </c>
      <c r="G25" t="str">
        <f>INDEX(Schedule!$Q$2:$R$7, MATCH(ABT!$H25,Schedule!$Q$2:$Q$7, 0), 2)</f>
        <v>15010_DXR_VAV_DXR2M12</v>
      </c>
      <c r="H25">
        <f>INDEX(Joined!$A$3:$M$2000, MATCH($A25, Joined!$I$3:$I$2000, FALSE), 6)</f>
        <v>15010</v>
      </c>
      <c r="I25" t="str">
        <f>INDEX(Joined!$A$3:$M$2000, MATCH($A25, Joined!$I$3:$I$2000, FALSE), 4)</f>
        <v>540</v>
      </c>
      <c r="J25" t="b">
        <v>0</v>
      </c>
      <c r="K25">
        <f>INDEX(Joined!$A$3:$M$2000, MATCH($A25, Joined!$I$3:$I$2000, FALSE), 3)</f>
        <v>7</v>
      </c>
      <c r="L25">
        <v>85</v>
      </c>
      <c r="M25">
        <v>38400</v>
      </c>
      <c r="N25" s="27">
        <f>PI()*(INDEX(Schedule!$A$1:$N$2000, MATCH($C25, VAV_Schedule_5_21[[#All],[UNIT TAG]], FALSE), 4)/2/12)^2</f>
        <v>0.3490658503988659</v>
      </c>
      <c r="O25" s="27">
        <f>INDEX(Schedule!$A$1:$N$2000, MATCH($C25, VAV_Schedule_5_21[[#All],[UNIT TAG]], FALSE), 4)</f>
        <v>8</v>
      </c>
      <c r="P25">
        <v>23.63</v>
      </c>
      <c r="Q25" s="27">
        <f>INDEX(Schedule!$A$1:$N$2000, MATCH($C25, VAV_Schedule_5_21[[#All],[UNIT TAG]], FALSE), 5)</f>
        <v>500</v>
      </c>
      <c r="R25" s="27">
        <f>INDEX(Schedule!$A$1:$N$2000, MATCH($C25, VAV_Schedule_5_21[[#All],[UNIT TAG]], FALSE), 6)</f>
        <v>100</v>
      </c>
      <c r="S25" s="27">
        <f>INDEX(Schedule!$A$1:$N$2000, MATCH($C25, VAV_Schedule_5_21[[#All],[UNIT TAG]], FALSE), 5)</f>
        <v>500</v>
      </c>
      <c r="T25" s="27">
        <f>INDEX(Schedule!$A$1:$N$2000, MATCH($C25, VAV_Schedule_5_21[[#All],[UNIT TAG]], FALSE), 6)</f>
        <v>100</v>
      </c>
      <c r="U25" s="27">
        <f>INDEX(Schedule!$A$1:$N$2000, MATCH($C25, VAV_Schedule_5_21[[#All],[UNIT TAG]], FALSE), 5)</f>
        <v>500</v>
      </c>
      <c r="V25" s="27">
        <f>INDEX(Schedule!$A$1:$N$2000, MATCH($C25, VAV_Schedule_5_21[[#All],[UNIT TAG]], FALSE), 6)</f>
        <v>100</v>
      </c>
      <c r="W25" s="27">
        <f>INDEX(Schedule!$A$1:$N$2000, MATCH($C25, VAV_Schedule_5_21[[#All],[UNIT TAG]], FALSE), 6)</f>
        <v>100</v>
      </c>
      <c r="X25" s="27">
        <f>INDEX(Schedule!$A$1:$N$2000, MATCH($C25, VAV_Schedule_5_21[[#All],[UNIT TAG]], FALSE), 6)</f>
        <v>100</v>
      </c>
      <c r="Y25" s="27">
        <f>INDEX(Schedule!$A$1:$N$2000, MATCH($C25, VAV_Schedule_5_21[[#All],[UNIT TAG]], FALSE), 6)</f>
        <v>100</v>
      </c>
      <c r="Z25" s="27">
        <f>INDEX(Schedule!$A$1:$N$2000, MATCH($C25, VAV_Schedule_5_21[[#All],[UNIT TAG]], FALSE), 6)</f>
        <v>100</v>
      </c>
      <c r="AA25" s="27">
        <v>1000</v>
      </c>
      <c r="AB25" s="27">
        <v>1100</v>
      </c>
      <c r="AC25">
        <v>1400</v>
      </c>
      <c r="AD25" s="29">
        <f>IF(INDEX(Schedule!$A$1:$N$2000, MATCH($C25, VAV_Schedule_5_21[[#All],[UNIT TAG]], FALSE), 7)="-", 0, INDEX(Schedule!$A$1:$N$2000, MATCH($C25, VAV_Schedule_5_21[[#All],[UNIT TAG]], FALSE), 7))</f>
        <v>0</v>
      </c>
      <c r="AE25" t="str">
        <f>"B_01'" &amp; "Flr_0" &amp; INDEX(Joined!$A$3:$M$2000, MATCH($A25, Joined!$I$3:$I$2000, FALSE), 8)</f>
        <v>B_01'Flr_015</v>
      </c>
      <c r="AF25" t="str">
        <f>"R_" &amp; INDEX(Joined!$A$3:$M$2000, MATCH($A25, Joined!$I$3:$I$2000, FALSE), 7)</f>
        <v>R_VAV-15N-7</v>
      </c>
      <c r="AG25" t="str">
        <f>"B_01'" &amp; "Flr_0" &amp; INDEX(Joined!$A$3:$M$2000, MATCH($A25, Joined!$I$3:$I$2000, FALSE), 8)</f>
        <v>B_01'Flr_015</v>
      </c>
      <c r="AH25" t="str">
        <f>INDEX(Joined!$A$3:$M$2000, MATCH($A25, Joined!$I$3:$I$2000, FALSE), 7)</f>
        <v>VAV-15N-7</v>
      </c>
      <c r="AI25" t="s">
        <v>1524</v>
      </c>
    </row>
    <row r="26" spans="1:55" x14ac:dyDescent="0.2">
      <c r="A26" t="s">
        <v>861</v>
      </c>
      <c r="B26" t="str">
        <f>"B_01'" &amp; "Flr_0" &amp; INDEX(Joined!$A$3:$M$2000, MATCH($A26, Joined!$I$3:$I$2000, FALSE), 8)</f>
        <v>B_01'Flr_015</v>
      </c>
      <c r="C26" t="str">
        <f>INDEX(Joined!$A$3:$M$2000, MATCH($A26, Joined!$I$3:$I$2000, FALSE), 7)</f>
        <v>VAV-15N-8</v>
      </c>
      <c r="D26">
        <f>INDEX(Joined!$A$3:$M$2000, MATCH($A26, Joined!$I$3:$I$2000, FALSE), 5)</f>
        <v>154008</v>
      </c>
      <c r="E26" t="str">
        <f>INDEX(Joined!$A$3:$M$2000, MATCH($A26, Joined!$I$3:$I$2000, FALSE), 7)</f>
        <v>VAV-15N-8</v>
      </c>
      <c r="F26" t="s">
        <v>38</v>
      </c>
      <c r="G26" t="str">
        <f>INDEX(Schedule!$Q$2:$R$7, MATCH(ABT!$H26,Schedule!$Q$2:$Q$7, 0), 2)</f>
        <v>15010_DXR_VAV_DXR2M12</v>
      </c>
      <c r="H26">
        <f>INDEX(Joined!$A$3:$M$2000, MATCH($A26, Joined!$I$3:$I$2000, FALSE), 6)</f>
        <v>15010</v>
      </c>
      <c r="I26" t="str">
        <f>INDEX(Joined!$A$3:$M$2000, MATCH($A26, Joined!$I$3:$I$2000, FALSE), 4)</f>
        <v>540</v>
      </c>
      <c r="J26" t="b">
        <v>0</v>
      </c>
      <c r="K26">
        <f>INDEX(Joined!$A$3:$M$2000, MATCH($A26, Joined!$I$3:$I$2000, FALSE), 3)</f>
        <v>8</v>
      </c>
      <c r="L26">
        <v>85</v>
      </c>
      <c r="M26">
        <v>38400</v>
      </c>
      <c r="N26" s="27">
        <f>PI()*(INDEX(Schedule!$A$1:$N$2000, MATCH($C26, VAV_Schedule_5_21[[#All],[UNIT TAG]], FALSE), 4)/2/12)^2</f>
        <v>0.3490658503988659</v>
      </c>
      <c r="O26" s="27">
        <f>INDEX(Schedule!$A$1:$N$2000, MATCH($C26, VAV_Schedule_5_21[[#All],[UNIT TAG]], FALSE), 4)</f>
        <v>8</v>
      </c>
      <c r="P26">
        <v>24.63</v>
      </c>
      <c r="Q26" s="27">
        <f>INDEX(Schedule!$A$1:$N$2000, MATCH($C26, VAV_Schedule_5_21[[#All],[UNIT TAG]], FALSE), 5)</f>
        <v>600</v>
      </c>
      <c r="R26" s="27">
        <f>INDEX(Schedule!$A$1:$N$2000, MATCH($C26, VAV_Schedule_5_21[[#All],[UNIT TAG]], FALSE), 6)</f>
        <v>120</v>
      </c>
      <c r="S26" s="27">
        <f>INDEX(Schedule!$A$1:$N$2000, MATCH($C26, VAV_Schedule_5_21[[#All],[UNIT TAG]], FALSE), 5)</f>
        <v>600</v>
      </c>
      <c r="T26" s="27">
        <f>INDEX(Schedule!$A$1:$N$2000, MATCH($C26, VAV_Schedule_5_21[[#All],[UNIT TAG]], FALSE), 6)</f>
        <v>120</v>
      </c>
      <c r="U26" s="27">
        <f>INDEX(Schedule!$A$1:$N$2000, MATCH($C26, VAV_Schedule_5_21[[#All],[UNIT TAG]], FALSE), 5)</f>
        <v>600</v>
      </c>
      <c r="V26" s="27">
        <f>INDEX(Schedule!$A$1:$N$2000, MATCH($C26, VAV_Schedule_5_21[[#All],[UNIT TAG]], FALSE), 6)</f>
        <v>120</v>
      </c>
      <c r="W26" s="27">
        <f>INDEX(Schedule!$A$1:$N$2000, MATCH($C26, VAV_Schedule_5_21[[#All],[UNIT TAG]], FALSE), 6)</f>
        <v>120</v>
      </c>
      <c r="X26" s="27">
        <f>INDEX(Schedule!$A$1:$N$2000, MATCH($C26, VAV_Schedule_5_21[[#All],[UNIT TAG]], FALSE), 6)</f>
        <v>120</v>
      </c>
      <c r="Y26" s="27">
        <f>INDEX(Schedule!$A$1:$N$2000, MATCH($C26, VAV_Schedule_5_21[[#All],[UNIT TAG]], FALSE), 6)</f>
        <v>120</v>
      </c>
      <c r="Z26" s="27">
        <f>INDEX(Schedule!$A$1:$N$2000, MATCH($C26, VAV_Schedule_5_21[[#All],[UNIT TAG]], FALSE), 6)</f>
        <v>120</v>
      </c>
      <c r="AA26" s="27">
        <v>1000</v>
      </c>
      <c r="AB26" s="27">
        <v>1100</v>
      </c>
      <c r="AC26">
        <v>1400</v>
      </c>
      <c r="AD26" s="29">
        <f>IF(INDEX(Schedule!$A$1:$N$2000, MATCH($C26, VAV_Schedule_5_21[[#All],[UNIT TAG]], FALSE), 7)="-", 0, INDEX(Schedule!$A$1:$N$2000, MATCH($C26, VAV_Schedule_5_21[[#All],[UNIT TAG]], FALSE), 7))</f>
        <v>0</v>
      </c>
      <c r="AE26" t="str">
        <f>"B_01'" &amp; "Flr_0" &amp; INDEX(Joined!$A$3:$M$2000, MATCH($A26, Joined!$I$3:$I$2000, FALSE), 8)</f>
        <v>B_01'Flr_015</v>
      </c>
      <c r="AF26" t="str">
        <f>"R_" &amp; INDEX(Joined!$A$3:$M$2000, MATCH($A26, Joined!$I$3:$I$2000, FALSE), 7)</f>
        <v>R_VAV-15N-8</v>
      </c>
      <c r="AG26" t="str">
        <f>"B_01'" &amp; "Flr_0" &amp; INDEX(Joined!$A$3:$M$2000, MATCH($A26, Joined!$I$3:$I$2000, FALSE), 8)</f>
        <v>B_01'Flr_015</v>
      </c>
      <c r="AH26" t="str">
        <f>INDEX(Joined!$A$3:$M$2000, MATCH($A26, Joined!$I$3:$I$2000, FALSE), 7)</f>
        <v>VAV-15N-8</v>
      </c>
      <c r="AI26" t="s">
        <v>1525</v>
      </c>
    </row>
    <row r="27" spans="1:55" x14ac:dyDescent="0.2">
      <c r="A27" t="s">
        <v>862</v>
      </c>
      <c r="B27" t="str">
        <f>"B_01'" &amp; "Flr_0" &amp; INDEX(Joined!$A$3:$M$2000, MATCH($A27, Joined!$I$3:$I$2000, FALSE), 8)</f>
        <v>B_01'Flr_015</v>
      </c>
      <c r="C27" t="str">
        <f>INDEX(Joined!$A$3:$M$2000, MATCH($A27, Joined!$I$3:$I$2000, FALSE), 7)</f>
        <v>VAV-15N-9</v>
      </c>
      <c r="D27">
        <f>INDEX(Joined!$A$3:$M$2000, MATCH($A27, Joined!$I$3:$I$2000, FALSE), 5)</f>
        <v>154009</v>
      </c>
      <c r="E27" t="str">
        <f>INDEX(Joined!$A$3:$M$2000, MATCH($A27, Joined!$I$3:$I$2000, FALSE), 7)</f>
        <v>VAV-15N-9</v>
      </c>
      <c r="F27" t="s">
        <v>38</v>
      </c>
      <c r="G27" t="str">
        <f>INDEX(Schedule!$Q$2:$R$7, MATCH(ABT!$H27,Schedule!$Q$2:$Q$7, 0), 2)</f>
        <v>15011_DXR_VAV_DXR2M12</v>
      </c>
      <c r="H27">
        <f>INDEX(Joined!$A$3:$M$2000, MATCH($A27, Joined!$I$3:$I$2000, FALSE), 6)</f>
        <v>15011</v>
      </c>
      <c r="I27" t="str">
        <f>INDEX(Joined!$A$3:$M$2000, MATCH($A27, Joined!$I$3:$I$2000, FALSE), 4)</f>
        <v>540</v>
      </c>
      <c r="J27" t="b">
        <v>0</v>
      </c>
      <c r="K27">
        <f>INDEX(Joined!$A$3:$M$2000, MATCH($A27, Joined!$I$3:$I$2000, FALSE), 3)</f>
        <v>9</v>
      </c>
      <c r="L27">
        <v>85</v>
      </c>
      <c r="M27">
        <v>38400</v>
      </c>
      <c r="N27" s="27">
        <f>PI()*(INDEX(Schedule!$A$1:$N$2000, MATCH($C27, VAV_Schedule_5_21[[#All],[UNIT TAG]], FALSE), 4)/2/12)^2</f>
        <v>0.78539816339744828</v>
      </c>
      <c r="O27" s="27">
        <f>INDEX(Schedule!$A$1:$N$2000, MATCH($C27, VAV_Schedule_5_21[[#All],[UNIT TAG]], FALSE), 4)</f>
        <v>12</v>
      </c>
      <c r="P27">
        <v>25.63</v>
      </c>
      <c r="Q27" s="27">
        <f>INDEX(Schedule!$A$1:$N$2000, MATCH($C27, VAV_Schedule_5_21[[#All],[UNIT TAG]], FALSE), 5)</f>
        <v>1190</v>
      </c>
      <c r="R27" s="27">
        <f>INDEX(Schedule!$A$1:$N$2000, MATCH($C27, VAV_Schedule_5_21[[#All],[UNIT TAG]], FALSE), 6)</f>
        <v>260</v>
      </c>
      <c r="S27" s="27">
        <f>INDEX(Schedule!$A$1:$N$2000, MATCH($C27, VAV_Schedule_5_21[[#All],[UNIT TAG]], FALSE), 5)</f>
        <v>1190</v>
      </c>
      <c r="T27" s="27">
        <f>INDEX(Schedule!$A$1:$N$2000, MATCH($C27, VAV_Schedule_5_21[[#All],[UNIT TAG]], FALSE), 6)</f>
        <v>260</v>
      </c>
      <c r="U27" s="27">
        <f>INDEX(Schedule!$A$1:$N$2000, MATCH($C27, VAV_Schedule_5_21[[#All],[UNIT TAG]], FALSE), 5)</f>
        <v>1190</v>
      </c>
      <c r="V27" s="27">
        <f>INDEX(Schedule!$A$1:$N$2000, MATCH($C27, VAV_Schedule_5_21[[#All],[UNIT TAG]], FALSE), 6)</f>
        <v>260</v>
      </c>
      <c r="W27" s="27">
        <f>INDEX(Schedule!$A$1:$N$2000, MATCH($C27, VAV_Schedule_5_21[[#All],[UNIT TAG]], FALSE), 6)</f>
        <v>260</v>
      </c>
      <c r="X27" s="27">
        <f>INDEX(Schedule!$A$1:$N$2000, MATCH($C27, VAV_Schedule_5_21[[#All],[UNIT TAG]], FALSE), 6)</f>
        <v>260</v>
      </c>
      <c r="Y27" s="27">
        <f>INDEX(Schedule!$A$1:$N$2000, MATCH($C27, VAV_Schedule_5_21[[#All],[UNIT TAG]], FALSE), 6)</f>
        <v>260</v>
      </c>
      <c r="Z27" s="27">
        <f>INDEX(Schedule!$A$1:$N$2000, MATCH($C27, VAV_Schedule_5_21[[#All],[UNIT TAG]], FALSE), 6)</f>
        <v>260</v>
      </c>
      <c r="AA27" s="27">
        <v>1000</v>
      </c>
      <c r="AB27" s="27">
        <v>1100</v>
      </c>
      <c r="AC27">
        <v>1400</v>
      </c>
      <c r="AD27" s="29">
        <f>IF(INDEX(Schedule!$A$1:$N$2000, MATCH($C27, VAV_Schedule_5_21[[#All],[UNIT TAG]], FALSE), 7)="-", 0, INDEX(Schedule!$A$1:$N$2000, MATCH($C27, VAV_Schedule_5_21[[#All],[UNIT TAG]], FALSE), 7))</f>
        <v>8</v>
      </c>
      <c r="AE27" t="str">
        <f>"B_01'" &amp; "Flr_0" &amp; INDEX(Joined!$A$3:$M$2000, MATCH($A27, Joined!$I$3:$I$2000, FALSE), 8)</f>
        <v>B_01'Flr_015</v>
      </c>
      <c r="AF27" t="str">
        <f>"R_" &amp; INDEX(Joined!$A$3:$M$2000, MATCH($A27, Joined!$I$3:$I$2000, FALSE), 7)</f>
        <v>R_VAV-15N-9</v>
      </c>
      <c r="AG27" t="str">
        <f>"B_01'" &amp; "Flr_0" &amp; INDEX(Joined!$A$3:$M$2000, MATCH($A27, Joined!$I$3:$I$2000, FALSE), 8)</f>
        <v>B_01'Flr_015</v>
      </c>
      <c r="AH27" t="str">
        <f>INDEX(Joined!$A$3:$M$2000, MATCH($A27, Joined!$I$3:$I$2000, FALSE), 7)</f>
        <v>VAV-15N-9</v>
      </c>
      <c r="AI27" t="s">
        <v>1526</v>
      </c>
    </row>
    <row r="28" spans="1:55" x14ac:dyDescent="0.2">
      <c r="A28" t="s">
        <v>863</v>
      </c>
      <c r="B28" t="str">
        <f>"B_01'" &amp; "Flr_0" &amp; INDEX(Joined!$A$3:$M$2000, MATCH($A28, Joined!$I$3:$I$2000, FALSE), 8)</f>
        <v>B_01'Flr_015</v>
      </c>
      <c r="C28" t="str">
        <f>INDEX(Joined!$A$3:$M$2000, MATCH($A28, Joined!$I$3:$I$2000, FALSE), 7)</f>
        <v>VAV-15W-1</v>
      </c>
      <c r="D28">
        <f>INDEX(Joined!$A$3:$M$2000, MATCH($A28, Joined!$I$3:$I$2000, FALSE), 5)</f>
        <v>154201</v>
      </c>
      <c r="E28" t="str">
        <f>INDEX(Joined!$A$3:$M$2000, MATCH($A28, Joined!$I$3:$I$2000, FALSE), 7)</f>
        <v>VAV-15W-1</v>
      </c>
      <c r="F28" t="s">
        <v>38</v>
      </c>
      <c r="G28" t="str">
        <f>INDEX(Schedule!$Q$2:$R$7, MATCH(ABT!$H28,Schedule!$Q$2:$Q$7, 0), 2)</f>
        <v>15011_DXR_VAV_DXR2M12</v>
      </c>
      <c r="H28">
        <f>INDEX(Joined!$A$3:$M$2000, MATCH($A28, Joined!$I$3:$I$2000, FALSE), 6)</f>
        <v>15011</v>
      </c>
      <c r="I28" t="str">
        <f>INDEX(Joined!$A$3:$M$2000, MATCH($A28, Joined!$I$3:$I$2000, FALSE), 4)</f>
        <v>542</v>
      </c>
      <c r="J28" t="b">
        <v>0</v>
      </c>
      <c r="K28">
        <f>INDEX(Joined!$A$3:$M$2000, MATCH($A28, Joined!$I$3:$I$2000, FALSE), 3)</f>
        <v>1</v>
      </c>
      <c r="L28">
        <v>85</v>
      </c>
      <c r="M28">
        <v>38400</v>
      </c>
      <c r="N28" s="27">
        <f>PI()*(INDEX(Schedule!$A$1:$N$2000, MATCH($C28, VAV_Schedule_5_21[[#All],[UNIT TAG]], FALSE), 4)/2/12)^2</f>
        <v>0.54541539124822802</v>
      </c>
      <c r="O28" s="27">
        <f>INDEX(Schedule!$A$1:$N$2000, MATCH($C28, VAV_Schedule_5_21[[#All],[UNIT TAG]], FALSE), 4)</f>
        <v>10</v>
      </c>
      <c r="P28">
        <v>26.63</v>
      </c>
      <c r="Q28" s="27">
        <f>INDEX(Schedule!$A$1:$N$2000, MATCH($C28, VAV_Schedule_5_21[[#All],[UNIT TAG]], FALSE), 5)</f>
        <v>1050</v>
      </c>
      <c r="R28" s="27">
        <f>INDEX(Schedule!$A$1:$N$2000, MATCH($C28, VAV_Schedule_5_21[[#All],[UNIT TAG]], FALSE), 6)</f>
        <v>210</v>
      </c>
      <c r="S28" s="27">
        <f>INDEX(Schedule!$A$1:$N$2000, MATCH($C28, VAV_Schedule_5_21[[#All],[UNIT TAG]], FALSE), 5)</f>
        <v>1050</v>
      </c>
      <c r="T28" s="27">
        <f>INDEX(Schedule!$A$1:$N$2000, MATCH($C28, VAV_Schedule_5_21[[#All],[UNIT TAG]], FALSE), 6)</f>
        <v>210</v>
      </c>
      <c r="U28" s="27">
        <f>INDEX(Schedule!$A$1:$N$2000, MATCH($C28, VAV_Schedule_5_21[[#All],[UNIT TAG]], FALSE), 5)</f>
        <v>1050</v>
      </c>
      <c r="V28" s="27">
        <f>INDEX(Schedule!$A$1:$N$2000, MATCH($C28, VAV_Schedule_5_21[[#All],[UNIT TAG]], FALSE), 6)</f>
        <v>210</v>
      </c>
      <c r="W28" s="27">
        <f>INDEX(Schedule!$A$1:$N$2000, MATCH($C28, VAV_Schedule_5_21[[#All],[UNIT TAG]], FALSE), 6)</f>
        <v>210</v>
      </c>
      <c r="X28" s="27">
        <f>INDEX(Schedule!$A$1:$N$2000, MATCH($C28, VAV_Schedule_5_21[[#All],[UNIT TAG]], FALSE), 6)</f>
        <v>210</v>
      </c>
      <c r="Y28" s="27">
        <f>INDEX(Schedule!$A$1:$N$2000, MATCH($C28, VAV_Schedule_5_21[[#All],[UNIT TAG]], FALSE), 6)</f>
        <v>210</v>
      </c>
      <c r="Z28" s="27">
        <f>INDEX(Schedule!$A$1:$N$2000, MATCH($C28, VAV_Schedule_5_21[[#All],[UNIT TAG]], FALSE), 6)</f>
        <v>210</v>
      </c>
      <c r="AA28" s="27">
        <v>1000</v>
      </c>
      <c r="AB28" s="27">
        <v>1100</v>
      </c>
      <c r="AC28">
        <v>1400</v>
      </c>
      <c r="AD28" s="29">
        <f>IF(INDEX(Schedule!$A$1:$N$2000, MATCH($C28, VAV_Schedule_5_21[[#All],[UNIT TAG]], FALSE), 7)="-", 0, INDEX(Schedule!$A$1:$N$2000, MATCH($C28, VAV_Schedule_5_21[[#All],[UNIT TAG]], FALSE), 7))</f>
        <v>9</v>
      </c>
      <c r="AE28" t="str">
        <f>"B_01'" &amp; "Flr_0" &amp; INDEX(Joined!$A$3:$M$2000, MATCH($A28, Joined!$I$3:$I$2000, FALSE), 8)</f>
        <v>B_01'Flr_015</v>
      </c>
      <c r="AF28" t="str">
        <f>"R_" &amp; INDEX(Joined!$A$3:$M$2000, MATCH($A28, Joined!$I$3:$I$2000, FALSE), 7)</f>
        <v>R_VAV-15W-1</v>
      </c>
      <c r="AG28" t="str">
        <f>"B_01'" &amp; "Flr_0" &amp; INDEX(Joined!$A$3:$M$2000, MATCH($A28, Joined!$I$3:$I$2000, FALSE), 8)</f>
        <v>B_01'Flr_015</v>
      </c>
      <c r="AH28" t="str">
        <f>INDEX(Joined!$A$3:$M$2000, MATCH($A28, Joined!$I$3:$I$2000, FALSE), 7)</f>
        <v>VAV-15W-1</v>
      </c>
      <c r="AI28" t="s">
        <v>1527</v>
      </c>
      <c r="BC28" s="3"/>
    </row>
    <row r="29" spans="1:55" x14ac:dyDescent="0.2">
      <c r="A29" t="s">
        <v>864</v>
      </c>
      <c r="B29" t="str">
        <f>"B_01'" &amp; "Flr_0" &amp; INDEX(Joined!$A$3:$M$2000, MATCH($A29, Joined!$I$3:$I$2000, FALSE), 8)</f>
        <v>B_01'Flr_015</v>
      </c>
      <c r="C29" t="str">
        <f>INDEX(Joined!$A$3:$M$2000, MATCH($A29, Joined!$I$3:$I$2000, FALSE), 7)</f>
        <v>VAV-15W-2</v>
      </c>
      <c r="D29">
        <f>INDEX(Joined!$A$3:$M$2000, MATCH($A29, Joined!$I$3:$I$2000, FALSE), 5)</f>
        <v>154202</v>
      </c>
      <c r="E29" t="str">
        <f>INDEX(Joined!$A$3:$M$2000, MATCH($A29, Joined!$I$3:$I$2000, FALSE), 7)</f>
        <v>VAV-15W-2</v>
      </c>
      <c r="F29" t="s">
        <v>38</v>
      </c>
      <c r="G29" t="str">
        <f>INDEX(Schedule!$Q$2:$R$7, MATCH(ABT!$H29,Schedule!$Q$2:$Q$7, 0), 2)</f>
        <v>15011_DXR_VAV_DXR2M12</v>
      </c>
      <c r="H29">
        <f>INDEX(Joined!$A$3:$M$2000, MATCH($A29, Joined!$I$3:$I$2000, FALSE), 6)</f>
        <v>15011</v>
      </c>
      <c r="I29" t="str">
        <f>INDEX(Joined!$A$3:$M$2000, MATCH($A29, Joined!$I$3:$I$2000, FALSE), 4)</f>
        <v>542</v>
      </c>
      <c r="J29" t="b">
        <v>0</v>
      </c>
      <c r="K29">
        <f>INDEX(Joined!$A$3:$M$2000, MATCH($A29, Joined!$I$3:$I$2000, FALSE), 3)</f>
        <v>2</v>
      </c>
      <c r="L29">
        <v>85</v>
      </c>
      <c r="M29">
        <v>38400</v>
      </c>
      <c r="N29" s="27">
        <f>PI()*(INDEX(Schedule!$A$1:$N$2000, MATCH($C29, VAV_Schedule_5_21[[#All],[UNIT TAG]], FALSE), 4)/2/12)^2</f>
        <v>0.3490658503988659</v>
      </c>
      <c r="O29" s="27">
        <f>INDEX(Schedule!$A$1:$N$2000, MATCH($C29, VAV_Schedule_5_21[[#All],[UNIT TAG]], FALSE), 4)</f>
        <v>8</v>
      </c>
      <c r="P29">
        <v>27.63</v>
      </c>
      <c r="Q29" s="27">
        <f>INDEX(Schedule!$A$1:$N$2000, MATCH($C29, VAV_Schedule_5_21[[#All],[UNIT TAG]], FALSE), 5)</f>
        <v>640</v>
      </c>
      <c r="R29" s="27">
        <f>INDEX(Schedule!$A$1:$N$2000, MATCH($C29, VAV_Schedule_5_21[[#All],[UNIT TAG]], FALSE), 6)</f>
        <v>130</v>
      </c>
      <c r="S29" s="27">
        <f>INDEX(Schedule!$A$1:$N$2000, MATCH($C29, VAV_Schedule_5_21[[#All],[UNIT TAG]], FALSE), 5)</f>
        <v>640</v>
      </c>
      <c r="T29" s="27">
        <f>INDEX(Schedule!$A$1:$N$2000, MATCH($C29, VAV_Schedule_5_21[[#All],[UNIT TAG]], FALSE), 6)</f>
        <v>130</v>
      </c>
      <c r="U29" s="27">
        <f>INDEX(Schedule!$A$1:$N$2000, MATCH($C29, VAV_Schedule_5_21[[#All],[UNIT TAG]], FALSE), 5)</f>
        <v>640</v>
      </c>
      <c r="V29" s="27">
        <f>INDEX(Schedule!$A$1:$N$2000, MATCH($C29, VAV_Schedule_5_21[[#All],[UNIT TAG]], FALSE), 6)</f>
        <v>130</v>
      </c>
      <c r="W29" s="27">
        <f>INDEX(Schedule!$A$1:$N$2000, MATCH($C29, VAV_Schedule_5_21[[#All],[UNIT TAG]], FALSE), 6)</f>
        <v>130</v>
      </c>
      <c r="X29" s="27">
        <f>INDEX(Schedule!$A$1:$N$2000, MATCH($C29, VAV_Schedule_5_21[[#All],[UNIT TAG]], FALSE), 6)</f>
        <v>130</v>
      </c>
      <c r="Y29" s="27">
        <f>INDEX(Schedule!$A$1:$N$2000, MATCH($C29, VAV_Schedule_5_21[[#All],[UNIT TAG]], FALSE), 6)</f>
        <v>130</v>
      </c>
      <c r="Z29" s="27">
        <f>INDEX(Schedule!$A$1:$N$2000, MATCH($C29, VAV_Schedule_5_21[[#All],[UNIT TAG]], FALSE), 6)</f>
        <v>130</v>
      </c>
      <c r="AA29" s="27">
        <v>1000</v>
      </c>
      <c r="AB29" s="27">
        <v>1100</v>
      </c>
      <c r="AC29">
        <v>1400</v>
      </c>
      <c r="AD29" s="29">
        <f>IF(INDEX(Schedule!$A$1:$N$2000, MATCH($C29, VAV_Schedule_5_21[[#All],[UNIT TAG]], FALSE), 7)="-", 0, INDEX(Schedule!$A$1:$N$2000, MATCH($C29, VAV_Schedule_5_21[[#All],[UNIT TAG]], FALSE), 7))</f>
        <v>6</v>
      </c>
      <c r="AE29" t="str">
        <f>"B_01'" &amp; "Flr_0" &amp; INDEX(Joined!$A$3:$M$2000, MATCH($A29, Joined!$I$3:$I$2000, FALSE), 8)</f>
        <v>B_01'Flr_015</v>
      </c>
      <c r="AF29" t="str">
        <f>"R_" &amp; INDEX(Joined!$A$3:$M$2000, MATCH($A29, Joined!$I$3:$I$2000, FALSE), 7)</f>
        <v>R_VAV-15W-2</v>
      </c>
      <c r="AG29" t="str">
        <f>"B_01'" &amp; "Flr_0" &amp; INDEX(Joined!$A$3:$M$2000, MATCH($A29, Joined!$I$3:$I$2000, FALSE), 8)</f>
        <v>B_01'Flr_015</v>
      </c>
      <c r="AH29" t="str">
        <f>INDEX(Joined!$A$3:$M$2000, MATCH($A29, Joined!$I$3:$I$2000, FALSE), 7)</f>
        <v>VAV-15W-2</v>
      </c>
      <c r="AI29" t="s">
        <v>1528</v>
      </c>
    </row>
    <row r="30" spans="1:55" x14ac:dyDescent="0.2">
      <c r="A30" t="s">
        <v>865</v>
      </c>
      <c r="B30" t="str">
        <f>"B_01'" &amp; "Flr_0" &amp; INDEX(Joined!$A$3:$M$2000, MATCH($A30, Joined!$I$3:$I$2000, FALSE), 8)</f>
        <v>B_01'Flr_015</v>
      </c>
      <c r="C30" t="str">
        <f>INDEX(Joined!$A$3:$M$2000, MATCH($A30, Joined!$I$3:$I$2000, FALSE), 7)</f>
        <v>VAV-15W-3</v>
      </c>
      <c r="D30">
        <f>INDEX(Joined!$A$3:$M$2000, MATCH($A30, Joined!$I$3:$I$2000, FALSE), 5)</f>
        <v>154203</v>
      </c>
      <c r="E30" t="str">
        <f>INDEX(Joined!$A$3:$M$2000, MATCH($A30, Joined!$I$3:$I$2000, FALSE), 7)</f>
        <v>VAV-15W-3</v>
      </c>
      <c r="F30" t="s">
        <v>38</v>
      </c>
      <c r="G30" t="str">
        <f>INDEX(Schedule!$Q$2:$R$7, MATCH(ABT!$H30,Schedule!$Q$2:$Q$7, 0), 2)</f>
        <v>15011_DXR_VAV_DXR2M12</v>
      </c>
      <c r="H30">
        <f>INDEX(Joined!$A$3:$M$2000, MATCH($A30, Joined!$I$3:$I$2000, FALSE), 6)</f>
        <v>15011</v>
      </c>
      <c r="I30" t="str">
        <f>INDEX(Joined!$A$3:$M$2000, MATCH($A30, Joined!$I$3:$I$2000, FALSE), 4)</f>
        <v>542</v>
      </c>
      <c r="J30" t="b">
        <v>0</v>
      </c>
      <c r="K30">
        <f>INDEX(Joined!$A$3:$M$2000, MATCH($A30, Joined!$I$3:$I$2000, FALSE), 3)</f>
        <v>3</v>
      </c>
      <c r="L30">
        <v>85</v>
      </c>
      <c r="M30">
        <v>38400</v>
      </c>
      <c r="N30" s="27">
        <f>PI()*(INDEX(Schedule!$A$1:$N$2000, MATCH($C30, VAV_Schedule_5_21[[#All],[UNIT TAG]], FALSE), 4)/2/12)^2</f>
        <v>0.3490658503988659</v>
      </c>
      <c r="O30" s="27">
        <f>INDEX(Schedule!$A$1:$N$2000, MATCH($C30, VAV_Schedule_5_21[[#All],[UNIT TAG]], FALSE), 4)</f>
        <v>8</v>
      </c>
      <c r="P30">
        <v>28.63</v>
      </c>
      <c r="Q30" s="27">
        <f>INDEX(Schedule!$A$1:$N$2000, MATCH($C30, VAV_Schedule_5_21[[#All],[UNIT TAG]], FALSE), 5)</f>
        <v>640</v>
      </c>
      <c r="R30" s="27">
        <f>INDEX(Schedule!$A$1:$N$2000, MATCH($C30, VAV_Schedule_5_21[[#All],[UNIT TAG]], FALSE), 6)</f>
        <v>130</v>
      </c>
      <c r="S30" s="27">
        <f>INDEX(Schedule!$A$1:$N$2000, MATCH($C30, VAV_Schedule_5_21[[#All],[UNIT TAG]], FALSE), 5)</f>
        <v>640</v>
      </c>
      <c r="T30" s="27">
        <f>INDEX(Schedule!$A$1:$N$2000, MATCH($C30, VAV_Schedule_5_21[[#All],[UNIT TAG]], FALSE), 6)</f>
        <v>130</v>
      </c>
      <c r="U30" s="27">
        <f>INDEX(Schedule!$A$1:$N$2000, MATCH($C30, VAV_Schedule_5_21[[#All],[UNIT TAG]], FALSE), 5)</f>
        <v>640</v>
      </c>
      <c r="V30" s="27">
        <f>INDEX(Schedule!$A$1:$N$2000, MATCH($C30, VAV_Schedule_5_21[[#All],[UNIT TAG]], FALSE), 6)</f>
        <v>130</v>
      </c>
      <c r="W30" s="27">
        <f>INDEX(Schedule!$A$1:$N$2000, MATCH($C30, VAV_Schedule_5_21[[#All],[UNIT TAG]], FALSE), 6)</f>
        <v>130</v>
      </c>
      <c r="X30" s="27">
        <f>INDEX(Schedule!$A$1:$N$2000, MATCH($C30, VAV_Schedule_5_21[[#All],[UNIT TAG]], FALSE), 6)</f>
        <v>130</v>
      </c>
      <c r="Y30" s="27">
        <f>INDEX(Schedule!$A$1:$N$2000, MATCH($C30, VAV_Schedule_5_21[[#All],[UNIT TAG]], FALSE), 6)</f>
        <v>130</v>
      </c>
      <c r="Z30" s="27">
        <f>INDEX(Schedule!$A$1:$N$2000, MATCH($C30, VAV_Schedule_5_21[[#All],[UNIT TAG]], FALSE), 6)</f>
        <v>130</v>
      </c>
      <c r="AA30" s="27">
        <v>1000</v>
      </c>
      <c r="AB30" s="27">
        <v>1100</v>
      </c>
      <c r="AC30">
        <v>1400</v>
      </c>
      <c r="AD30" s="29">
        <f>IF(INDEX(Schedule!$A$1:$N$2000, MATCH($C30, VAV_Schedule_5_21[[#All],[UNIT TAG]], FALSE), 7)="-", 0, INDEX(Schedule!$A$1:$N$2000, MATCH($C30, VAV_Schedule_5_21[[#All],[UNIT TAG]], FALSE), 7))</f>
        <v>6</v>
      </c>
      <c r="AE30" t="str">
        <f>"B_01'" &amp; "Flr_0" &amp; INDEX(Joined!$A$3:$M$2000, MATCH($A30, Joined!$I$3:$I$2000, FALSE), 8)</f>
        <v>B_01'Flr_015</v>
      </c>
      <c r="AF30" t="str">
        <f>"R_" &amp; INDEX(Joined!$A$3:$M$2000, MATCH($A30, Joined!$I$3:$I$2000, FALSE), 7)</f>
        <v>R_VAV-15W-3</v>
      </c>
      <c r="AG30" t="str">
        <f>"B_01'" &amp; "Flr_0" &amp; INDEX(Joined!$A$3:$M$2000, MATCH($A30, Joined!$I$3:$I$2000, FALSE), 8)</f>
        <v>B_01'Flr_015</v>
      </c>
      <c r="AH30" t="str">
        <f>INDEX(Joined!$A$3:$M$2000, MATCH($A30, Joined!$I$3:$I$2000, FALSE), 7)</f>
        <v>VAV-15W-3</v>
      </c>
      <c r="AI30" t="s">
        <v>1529</v>
      </c>
    </row>
    <row r="31" spans="1:55" x14ac:dyDescent="0.2">
      <c r="A31" t="s">
        <v>866</v>
      </c>
      <c r="B31" t="str">
        <f>"B_01'" &amp; "Flr_0" &amp; INDEX(Joined!$A$3:$M$2000, MATCH($A31, Joined!$I$3:$I$2000, FALSE), 8)</f>
        <v>B_01'Flr_015</v>
      </c>
      <c r="C31" t="str">
        <f>INDEX(Joined!$A$3:$M$2000, MATCH($A31, Joined!$I$3:$I$2000, FALSE), 7)</f>
        <v>VAV-15W-31</v>
      </c>
      <c r="D31">
        <f>INDEX(Joined!$A$3:$M$2000, MATCH($A31, Joined!$I$3:$I$2000, FALSE), 5)</f>
        <v>154204</v>
      </c>
      <c r="E31" t="str">
        <f>INDEX(Joined!$A$3:$M$2000, MATCH($A31, Joined!$I$3:$I$2000, FALSE), 7)</f>
        <v>VAV-15W-31</v>
      </c>
      <c r="F31" t="s">
        <v>38</v>
      </c>
      <c r="G31" t="str">
        <f>INDEX(Schedule!$Q$2:$R$7, MATCH(ABT!$H31,Schedule!$Q$2:$Q$7, 0), 2)</f>
        <v>15011_DXR_VAV_DXR2M12</v>
      </c>
      <c r="H31">
        <f>INDEX(Joined!$A$3:$M$2000, MATCH($A31, Joined!$I$3:$I$2000, FALSE), 6)</f>
        <v>15011</v>
      </c>
      <c r="I31" t="str">
        <f>INDEX(Joined!$A$3:$M$2000, MATCH($A31, Joined!$I$3:$I$2000, FALSE), 4)</f>
        <v>542</v>
      </c>
      <c r="J31" t="b">
        <v>0</v>
      </c>
      <c r="K31">
        <f>INDEX(Joined!$A$3:$M$2000, MATCH($A31, Joined!$I$3:$I$2000, FALSE), 3)</f>
        <v>4</v>
      </c>
      <c r="L31">
        <v>85</v>
      </c>
      <c r="M31">
        <v>38400</v>
      </c>
      <c r="N31" s="27">
        <f>PI()*(INDEX(Schedule!$A$1:$N$2000, MATCH($C31, VAV_Schedule_5_21[[#All],[UNIT TAG]], FALSE), 4)/2/12)^2</f>
        <v>0.3490658503988659</v>
      </c>
      <c r="O31" s="27">
        <f>INDEX(Schedule!$A$1:$N$2000, MATCH($C31, VAV_Schedule_5_21[[#All],[UNIT TAG]], FALSE), 4)</f>
        <v>8</v>
      </c>
      <c r="P31">
        <v>29.63</v>
      </c>
      <c r="Q31" s="27">
        <f>INDEX(Schedule!$A$1:$N$2000, MATCH($C31, VAV_Schedule_5_21[[#All],[UNIT TAG]], FALSE), 5)</f>
        <v>645</v>
      </c>
      <c r="R31" s="27">
        <f>INDEX(Schedule!$A$1:$N$2000, MATCH($C31, VAV_Schedule_5_21[[#All],[UNIT TAG]], FALSE), 6)</f>
        <v>130</v>
      </c>
      <c r="S31" s="27">
        <f>INDEX(Schedule!$A$1:$N$2000, MATCH($C31, VAV_Schedule_5_21[[#All],[UNIT TAG]], FALSE), 5)</f>
        <v>645</v>
      </c>
      <c r="T31" s="27">
        <f>INDEX(Schedule!$A$1:$N$2000, MATCH($C31, VAV_Schedule_5_21[[#All],[UNIT TAG]], FALSE), 6)</f>
        <v>130</v>
      </c>
      <c r="U31" s="27">
        <f>INDEX(Schedule!$A$1:$N$2000, MATCH($C31, VAV_Schedule_5_21[[#All],[UNIT TAG]], FALSE), 5)</f>
        <v>645</v>
      </c>
      <c r="V31" s="27">
        <f>INDEX(Schedule!$A$1:$N$2000, MATCH($C31, VAV_Schedule_5_21[[#All],[UNIT TAG]], FALSE), 6)</f>
        <v>130</v>
      </c>
      <c r="W31" s="27">
        <f>INDEX(Schedule!$A$1:$N$2000, MATCH($C31, VAV_Schedule_5_21[[#All],[UNIT TAG]], FALSE), 6)</f>
        <v>130</v>
      </c>
      <c r="X31" s="27">
        <f>INDEX(Schedule!$A$1:$N$2000, MATCH($C31, VAV_Schedule_5_21[[#All],[UNIT TAG]], FALSE), 6)</f>
        <v>130</v>
      </c>
      <c r="Y31" s="27">
        <f>INDEX(Schedule!$A$1:$N$2000, MATCH($C31, VAV_Schedule_5_21[[#All],[UNIT TAG]], FALSE), 6)</f>
        <v>130</v>
      </c>
      <c r="Z31" s="27">
        <f>INDEX(Schedule!$A$1:$N$2000, MATCH($C31, VAV_Schedule_5_21[[#All],[UNIT TAG]], FALSE), 6)</f>
        <v>130</v>
      </c>
      <c r="AA31" s="27">
        <v>1000</v>
      </c>
      <c r="AB31" s="27">
        <v>1100</v>
      </c>
      <c r="AC31">
        <v>1400</v>
      </c>
      <c r="AD31" s="29">
        <f>IF(INDEX(Schedule!$A$1:$N$2000, MATCH($C31, VAV_Schedule_5_21[[#All],[UNIT TAG]], FALSE), 7)="-", 0, INDEX(Schedule!$A$1:$N$2000, MATCH($C31, VAV_Schedule_5_21[[#All],[UNIT TAG]], FALSE), 7))</f>
        <v>4</v>
      </c>
      <c r="AE31" t="str">
        <f>"B_01'" &amp; "Flr_0" &amp; INDEX(Joined!$A$3:$M$2000, MATCH($A31, Joined!$I$3:$I$2000, FALSE), 8)</f>
        <v>B_01'Flr_015</v>
      </c>
      <c r="AF31" t="str">
        <f>"R_" &amp; INDEX(Joined!$A$3:$M$2000, MATCH($A31, Joined!$I$3:$I$2000, FALSE), 7)</f>
        <v>R_VAV-15W-31</v>
      </c>
      <c r="AG31" t="str">
        <f>"B_01'" &amp; "Flr_0" &amp; INDEX(Joined!$A$3:$M$2000, MATCH($A31, Joined!$I$3:$I$2000, FALSE), 8)</f>
        <v>B_01'Flr_015</v>
      </c>
      <c r="AH31" t="str">
        <f>INDEX(Joined!$A$3:$M$2000, MATCH($A31, Joined!$I$3:$I$2000, FALSE), 7)</f>
        <v>VAV-15W-31</v>
      </c>
      <c r="AI31" t="s">
        <v>1530</v>
      </c>
    </row>
    <row r="32" spans="1:55" x14ac:dyDescent="0.2">
      <c r="A32" t="s">
        <v>867</v>
      </c>
      <c r="B32" t="str">
        <f>"B_01'" &amp; "Flr_0" &amp; INDEX(Joined!$A$3:$M$2000, MATCH($A32, Joined!$I$3:$I$2000, FALSE), 8)</f>
        <v>B_01'Flr_015</v>
      </c>
      <c r="C32" t="str">
        <f>INDEX(Joined!$A$3:$M$2000, MATCH($A32, Joined!$I$3:$I$2000, FALSE), 7)</f>
        <v>VAV-15W-32</v>
      </c>
      <c r="D32">
        <f>INDEX(Joined!$A$3:$M$2000, MATCH($A32, Joined!$I$3:$I$2000, FALSE), 5)</f>
        <v>154205</v>
      </c>
      <c r="E32" t="str">
        <f>INDEX(Joined!$A$3:$M$2000, MATCH($A32, Joined!$I$3:$I$2000, FALSE), 7)</f>
        <v>VAV-15W-32</v>
      </c>
      <c r="F32" t="s">
        <v>38</v>
      </c>
      <c r="G32" t="str">
        <f>INDEX(Schedule!$Q$2:$R$7, MATCH(ABT!$H32,Schedule!$Q$2:$Q$7, 0), 2)</f>
        <v>15011_DXR_VAV_DXR2M12</v>
      </c>
      <c r="H32">
        <f>INDEX(Joined!$A$3:$M$2000, MATCH($A32, Joined!$I$3:$I$2000, FALSE), 6)</f>
        <v>15011</v>
      </c>
      <c r="I32" t="str">
        <f>INDEX(Joined!$A$3:$M$2000, MATCH($A32, Joined!$I$3:$I$2000, FALSE), 4)</f>
        <v>542</v>
      </c>
      <c r="J32" t="b">
        <v>0</v>
      </c>
      <c r="K32">
        <f>INDEX(Joined!$A$3:$M$2000, MATCH($A32, Joined!$I$3:$I$2000, FALSE), 3)</f>
        <v>5</v>
      </c>
      <c r="L32">
        <v>85</v>
      </c>
      <c r="M32">
        <v>38400</v>
      </c>
      <c r="N32" s="27">
        <f>PI()*(INDEX(Schedule!$A$1:$N$2000, MATCH($C32, VAV_Schedule_5_21[[#All],[UNIT TAG]], FALSE), 4)/2/12)^2</f>
        <v>0.78539816339744828</v>
      </c>
      <c r="O32" s="27">
        <f>INDEX(Schedule!$A$1:$N$2000, MATCH($C32, VAV_Schedule_5_21[[#All],[UNIT TAG]], FALSE), 4)</f>
        <v>12</v>
      </c>
      <c r="P32">
        <v>30.63</v>
      </c>
      <c r="Q32" s="27">
        <f>INDEX(Schedule!$A$1:$N$2000, MATCH($C32, VAV_Schedule_5_21[[#All],[UNIT TAG]], FALSE), 5)</f>
        <v>1080</v>
      </c>
      <c r="R32" s="27">
        <f>INDEX(Schedule!$A$1:$N$2000, MATCH($C32, VAV_Schedule_5_21[[#All],[UNIT TAG]], FALSE), 6)</f>
        <v>240</v>
      </c>
      <c r="S32" s="27">
        <f>INDEX(Schedule!$A$1:$N$2000, MATCH($C32, VAV_Schedule_5_21[[#All],[UNIT TAG]], FALSE), 5)</f>
        <v>1080</v>
      </c>
      <c r="T32" s="27">
        <f>INDEX(Schedule!$A$1:$N$2000, MATCH($C32, VAV_Schedule_5_21[[#All],[UNIT TAG]], FALSE), 6)</f>
        <v>240</v>
      </c>
      <c r="U32" s="27">
        <f>INDEX(Schedule!$A$1:$N$2000, MATCH($C32, VAV_Schedule_5_21[[#All],[UNIT TAG]], FALSE), 5)</f>
        <v>1080</v>
      </c>
      <c r="V32" s="27">
        <f>INDEX(Schedule!$A$1:$N$2000, MATCH($C32, VAV_Schedule_5_21[[#All],[UNIT TAG]], FALSE), 6)</f>
        <v>240</v>
      </c>
      <c r="W32" s="27">
        <f>INDEX(Schedule!$A$1:$N$2000, MATCH($C32, VAV_Schedule_5_21[[#All],[UNIT TAG]], FALSE), 6)</f>
        <v>240</v>
      </c>
      <c r="X32" s="27">
        <f>INDEX(Schedule!$A$1:$N$2000, MATCH($C32, VAV_Schedule_5_21[[#All],[UNIT TAG]], FALSE), 6)</f>
        <v>240</v>
      </c>
      <c r="Y32" s="27">
        <f>INDEX(Schedule!$A$1:$N$2000, MATCH($C32, VAV_Schedule_5_21[[#All],[UNIT TAG]], FALSE), 6)</f>
        <v>240</v>
      </c>
      <c r="Z32" s="27">
        <f>INDEX(Schedule!$A$1:$N$2000, MATCH($C32, VAV_Schedule_5_21[[#All],[UNIT TAG]], FALSE), 6)</f>
        <v>240</v>
      </c>
      <c r="AA32" s="27">
        <v>1000</v>
      </c>
      <c r="AB32" s="27">
        <v>1100</v>
      </c>
      <c r="AC32">
        <v>1400</v>
      </c>
      <c r="AD32" s="29">
        <f>IF(INDEX(Schedule!$A$1:$N$2000, MATCH($C32, VAV_Schedule_5_21[[#All],[UNIT TAG]], FALSE), 7)="-", 0, INDEX(Schedule!$A$1:$N$2000, MATCH($C32, VAV_Schedule_5_21[[#All],[UNIT TAG]], FALSE), 7))</f>
        <v>8</v>
      </c>
      <c r="AE32" t="str">
        <f>"B_01'" &amp; "Flr_0" &amp; INDEX(Joined!$A$3:$M$2000, MATCH($A32, Joined!$I$3:$I$2000, FALSE), 8)</f>
        <v>B_01'Flr_015</v>
      </c>
      <c r="AF32" t="str">
        <f>"R_" &amp; INDEX(Joined!$A$3:$M$2000, MATCH($A32, Joined!$I$3:$I$2000, FALSE), 7)</f>
        <v>R_VAV-15W-32</v>
      </c>
      <c r="AG32" t="str">
        <f>"B_01'" &amp; "Flr_0" &amp; INDEX(Joined!$A$3:$M$2000, MATCH($A32, Joined!$I$3:$I$2000, FALSE), 8)</f>
        <v>B_01'Flr_015</v>
      </c>
      <c r="AH32" t="str">
        <f>INDEX(Joined!$A$3:$M$2000, MATCH($A32, Joined!$I$3:$I$2000, FALSE), 7)</f>
        <v>VAV-15W-32</v>
      </c>
      <c r="AI32" t="s">
        <v>1531</v>
      </c>
    </row>
    <row r="33" spans="1:35" x14ac:dyDescent="0.2">
      <c r="A33" t="s">
        <v>868</v>
      </c>
      <c r="B33" t="str">
        <f>"B_01'" &amp; "Flr_0" &amp; INDEX(Joined!$A$3:$M$2000, MATCH($A33, Joined!$I$3:$I$2000, FALSE), 8)</f>
        <v>B_01'Flr_015</v>
      </c>
      <c r="C33" t="str">
        <f>INDEX(Joined!$A$3:$M$2000, MATCH($A33, Joined!$I$3:$I$2000, FALSE), 7)</f>
        <v>VAV-15W-33</v>
      </c>
      <c r="D33">
        <f>INDEX(Joined!$A$3:$M$2000, MATCH($A33, Joined!$I$3:$I$2000, FALSE), 5)</f>
        <v>154206</v>
      </c>
      <c r="E33" t="str">
        <f>INDEX(Joined!$A$3:$M$2000, MATCH($A33, Joined!$I$3:$I$2000, FALSE), 7)</f>
        <v>VAV-15W-33</v>
      </c>
      <c r="F33" t="s">
        <v>38</v>
      </c>
      <c r="G33" t="str">
        <f>INDEX(Schedule!$Q$2:$R$7, MATCH(ABT!$H33,Schedule!$Q$2:$Q$7, 0), 2)</f>
        <v>15011_DXR_VAV_DXR2M12</v>
      </c>
      <c r="H33">
        <f>INDEX(Joined!$A$3:$M$2000, MATCH($A33, Joined!$I$3:$I$2000, FALSE), 6)</f>
        <v>15011</v>
      </c>
      <c r="I33" t="str">
        <f>INDEX(Joined!$A$3:$M$2000, MATCH($A33, Joined!$I$3:$I$2000, FALSE), 4)</f>
        <v>542</v>
      </c>
      <c r="J33" t="b">
        <v>0</v>
      </c>
      <c r="K33">
        <f>INDEX(Joined!$A$3:$M$2000, MATCH($A33, Joined!$I$3:$I$2000, FALSE), 3)</f>
        <v>6</v>
      </c>
      <c r="L33">
        <v>85</v>
      </c>
      <c r="M33">
        <v>38400</v>
      </c>
      <c r="N33" s="27">
        <f>PI()*(INDEX(Schedule!$A$1:$N$2000, MATCH($C33, VAV_Schedule_5_21[[#All],[UNIT TAG]], FALSE), 4)/2/12)^2</f>
        <v>0.3490658503988659</v>
      </c>
      <c r="O33" s="27">
        <f>INDEX(Schedule!$A$1:$N$2000, MATCH($C33, VAV_Schedule_5_21[[#All],[UNIT TAG]], FALSE), 4)</f>
        <v>8</v>
      </c>
      <c r="P33">
        <v>31.63</v>
      </c>
      <c r="Q33" s="27">
        <f>INDEX(Schedule!$A$1:$N$2000, MATCH($C33, VAV_Schedule_5_21[[#All],[UNIT TAG]], FALSE), 5)</f>
        <v>640</v>
      </c>
      <c r="R33" s="27">
        <f>INDEX(Schedule!$A$1:$N$2000, MATCH($C33, VAV_Schedule_5_21[[#All],[UNIT TAG]], FALSE), 6)</f>
        <v>130</v>
      </c>
      <c r="S33" s="27">
        <f>INDEX(Schedule!$A$1:$N$2000, MATCH($C33, VAV_Schedule_5_21[[#All],[UNIT TAG]], FALSE), 5)</f>
        <v>640</v>
      </c>
      <c r="T33" s="27">
        <f>INDEX(Schedule!$A$1:$N$2000, MATCH($C33, VAV_Schedule_5_21[[#All],[UNIT TAG]], FALSE), 6)</f>
        <v>130</v>
      </c>
      <c r="U33" s="27">
        <f>INDEX(Schedule!$A$1:$N$2000, MATCH($C33, VAV_Schedule_5_21[[#All],[UNIT TAG]], FALSE), 5)</f>
        <v>640</v>
      </c>
      <c r="V33" s="27">
        <f>INDEX(Schedule!$A$1:$N$2000, MATCH($C33, VAV_Schedule_5_21[[#All],[UNIT TAG]], FALSE), 6)</f>
        <v>130</v>
      </c>
      <c r="W33" s="27">
        <f>INDEX(Schedule!$A$1:$N$2000, MATCH($C33, VAV_Schedule_5_21[[#All],[UNIT TAG]], FALSE), 6)</f>
        <v>130</v>
      </c>
      <c r="X33" s="27">
        <f>INDEX(Schedule!$A$1:$N$2000, MATCH($C33, VAV_Schedule_5_21[[#All],[UNIT TAG]], FALSE), 6)</f>
        <v>130</v>
      </c>
      <c r="Y33" s="27">
        <f>INDEX(Schedule!$A$1:$N$2000, MATCH($C33, VAV_Schedule_5_21[[#All],[UNIT TAG]], FALSE), 6)</f>
        <v>130</v>
      </c>
      <c r="Z33" s="27">
        <f>INDEX(Schedule!$A$1:$N$2000, MATCH($C33, VAV_Schedule_5_21[[#All],[UNIT TAG]], FALSE), 6)</f>
        <v>130</v>
      </c>
      <c r="AA33" s="27">
        <v>1000</v>
      </c>
      <c r="AB33" s="27">
        <v>1100</v>
      </c>
      <c r="AC33">
        <v>1400</v>
      </c>
      <c r="AD33" s="29">
        <f>IF(INDEX(Schedule!$A$1:$N$2000, MATCH($C33, VAV_Schedule_5_21[[#All],[UNIT TAG]], FALSE), 7)="-", 0, INDEX(Schedule!$A$1:$N$2000, MATCH($C33, VAV_Schedule_5_21[[#All],[UNIT TAG]], FALSE), 7))</f>
        <v>6</v>
      </c>
      <c r="AE33" t="str">
        <f>"B_01'" &amp; "Flr_0" &amp; INDEX(Joined!$A$3:$M$2000, MATCH($A33, Joined!$I$3:$I$2000, FALSE), 8)</f>
        <v>B_01'Flr_015</v>
      </c>
      <c r="AF33" t="str">
        <f>"R_" &amp; INDEX(Joined!$A$3:$M$2000, MATCH($A33, Joined!$I$3:$I$2000, FALSE), 7)</f>
        <v>R_VAV-15W-33</v>
      </c>
      <c r="AG33" t="str">
        <f>"B_01'" &amp; "Flr_0" &amp; INDEX(Joined!$A$3:$M$2000, MATCH($A33, Joined!$I$3:$I$2000, FALSE), 8)</f>
        <v>B_01'Flr_015</v>
      </c>
      <c r="AH33" t="str">
        <f>INDEX(Joined!$A$3:$M$2000, MATCH($A33, Joined!$I$3:$I$2000, FALSE), 7)</f>
        <v>VAV-15W-33</v>
      </c>
      <c r="AI33" t="s">
        <v>1532</v>
      </c>
    </row>
    <row r="34" spans="1:35" x14ac:dyDescent="0.2">
      <c r="A34" t="s">
        <v>869</v>
      </c>
      <c r="B34" t="str">
        <f>"B_01'" &amp; "Flr_0" &amp; INDEX(Joined!$A$3:$M$2000, MATCH($A34, Joined!$I$3:$I$2000, FALSE), 8)</f>
        <v>B_01'Flr_015</v>
      </c>
      <c r="C34" t="str">
        <f>INDEX(Joined!$A$3:$M$2000, MATCH($A34, Joined!$I$3:$I$2000, FALSE), 7)</f>
        <v>VAV-15W-34</v>
      </c>
      <c r="D34">
        <f>INDEX(Joined!$A$3:$M$2000, MATCH($A34, Joined!$I$3:$I$2000, FALSE), 5)</f>
        <v>154207</v>
      </c>
      <c r="E34" t="str">
        <f>INDEX(Joined!$A$3:$M$2000, MATCH($A34, Joined!$I$3:$I$2000, FALSE), 7)</f>
        <v>VAV-15W-34</v>
      </c>
      <c r="F34" t="s">
        <v>38</v>
      </c>
      <c r="G34" t="str">
        <f>INDEX(Schedule!$Q$2:$R$7, MATCH(ABT!$H34,Schedule!$Q$2:$Q$7, 0), 2)</f>
        <v>15011_DXR_VAV_DXR2M12</v>
      </c>
      <c r="H34">
        <f>INDEX(Joined!$A$3:$M$2000, MATCH($A34, Joined!$I$3:$I$2000, FALSE), 6)</f>
        <v>15011</v>
      </c>
      <c r="I34" t="str">
        <f>INDEX(Joined!$A$3:$M$2000, MATCH($A34, Joined!$I$3:$I$2000, FALSE), 4)</f>
        <v>542</v>
      </c>
      <c r="J34" t="b">
        <v>0</v>
      </c>
      <c r="K34">
        <f>INDEX(Joined!$A$3:$M$2000, MATCH($A34, Joined!$I$3:$I$2000, FALSE), 3)</f>
        <v>7</v>
      </c>
      <c r="L34">
        <v>85</v>
      </c>
      <c r="M34">
        <v>38400</v>
      </c>
      <c r="N34" s="27">
        <f>PI()*(INDEX(Schedule!$A$1:$N$2000, MATCH($C34, VAV_Schedule_5_21[[#All],[UNIT TAG]], FALSE), 4)/2/12)^2</f>
        <v>0.3490658503988659</v>
      </c>
      <c r="O34" s="27">
        <f>INDEX(Schedule!$A$1:$N$2000, MATCH($C34, VAV_Schedule_5_21[[#All],[UNIT TAG]], FALSE), 4)</f>
        <v>8</v>
      </c>
      <c r="P34">
        <v>32.630000000000003</v>
      </c>
      <c r="Q34" s="27">
        <f>INDEX(Schedule!$A$1:$N$2000, MATCH($C34, VAV_Schedule_5_21[[#All],[UNIT TAG]], FALSE), 5)</f>
        <v>700</v>
      </c>
      <c r="R34" s="27">
        <f>INDEX(Schedule!$A$1:$N$2000, MATCH($C34, VAV_Schedule_5_21[[#All],[UNIT TAG]], FALSE), 6)</f>
        <v>140</v>
      </c>
      <c r="S34" s="27">
        <f>INDEX(Schedule!$A$1:$N$2000, MATCH($C34, VAV_Schedule_5_21[[#All],[UNIT TAG]], FALSE), 5)</f>
        <v>700</v>
      </c>
      <c r="T34" s="27">
        <f>INDEX(Schedule!$A$1:$N$2000, MATCH($C34, VAV_Schedule_5_21[[#All],[UNIT TAG]], FALSE), 6)</f>
        <v>140</v>
      </c>
      <c r="U34" s="27">
        <f>INDEX(Schedule!$A$1:$N$2000, MATCH($C34, VAV_Schedule_5_21[[#All],[UNIT TAG]], FALSE), 5)</f>
        <v>700</v>
      </c>
      <c r="V34" s="27">
        <f>INDEX(Schedule!$A$1:$N$2000, MATCH($C34, VAV_Schedule_5_21[[#All],[UNIT TAG]], FALSE), 6)</f>
        <v>140</v>
      </c>
      <c r="W34" s="27">
        <f>INDEX(Schedule!$A$1:$N$2000, MATCH($C34, VAV_Schedule_5_21[[#All],[UNIT TAG]], FALSE), 6)</f>
        <v>140</v>
      </c>
      <c r="X34" s="27">
        <f>INDEX(Schedule!$A$1:$N$2000, MATCH($C34, VAV_Schedule_5_21[[#All],[UNIT TAG]], FALSE), 6)</f>
        <v>140</v>
      </c>
      <c r="Y34" s="27">
        <f>INDEX(Schedule!$A$1:$N$2000, MATCH($C34, VAV_Schedule_5_21[[#All],[UNIT TAG]], FALSE), 6)</f>
        <v>140</v>
      </c>
      <c r="Z34" s="27">
        <f>INDEX(Schedule!$A$1:$N$2000, MATCH($C34, VAV_Schedule_5_21[[#All],[UNIT TAG]], FALSE), 6)</f>
        <v>140</v>
      </c>
      <c r="AA34" s="27">
        <v>1000</v>
      </c>
      <c r="AB34" s="27">
        <v>1100</v>
      </c>
      <c r="AC34">
        <v>1400</v>
      </c>
      <c r="AD34" s="29">
        <f>IF(INDEX(Schedule!$A$1:$N$2000, MATCH($C34, VAV_Schedule_5_21[[#All],[UNIT TAG]], FALSE), 7)="-", 0, INDEX(Schedule!$A$1:$N$2000, MATCH($C34, VAV_Schedule_5_21[[#All],[UNIT TAG]], FALSE), 7))</f>
        <v>6</v>
      </c>
      <c r="AE34" t="str">
        <f>"B_01'" &amp; "Flr_0" &amp; INDEX(Joined!$A$3:$M$2000, MATCH($A34, Joined!$I$3:$I$2000, FALSE), 8)</f>
        <v>B_01'Flr_015</v>
      </c>
      <c r="AF34" t="str">
        <f>"R_" &amp; INDEX(Joined!$A$3:$M$2000, MATCH($A34, Joined!$I$3:$I$2000, FALSE), 7)</f>
        <v>R_VAV-15W-34</v>
      </c>
      <c r="AG34" t="str">
        <f>"B_01'" &amp; "Flr_0" &amp; INDEX(Joined!$A$3:$M$2000, MATCH($A34, Joined!$I$3:$I$2000, FALSE), 8)</f>
        <v>B_01'Flr_015</v>
      </c>
      <c r="AH34" t="str">
        <f>INDEX(Joined!$A$3:$M$2000, MATCH($A34, Joined!$I$3:$I$2000, FALSE), 7)</f>
        <v>VAV-15W-34</v>
      </c>
      <c r="AI34" t="s">
        <v>1533</v>
      </c>
    </row>
    <row r="35" spans="1:35" x14ac:dyDescent="0.2">
      <c r="A35" t="s">
        <v>870</v>
      </c>
      <c r="B35" t="str">
        <f>"B_01'" &amp; "Flr_0" &amp; INDEX(Joined!$A$3:$M$2000, MATCH($A35, Joined!$I$3:$I$2000, FALSE), 8)</f>
        <v>B_01'Flr_015</v>
      </c>
      <c r="C35" t="str">
        <f>INDEX(Joined!$A$3:$M$2000, MATCH($A35, Joined!$I$3:$I$2000, FALSE), 7)</f>
        <v>VAV-15W-35</v>
      </c>
      <c r="D35">
        <f>INDEX(Joined!$A$3:$M$2000, MATCH($A35, Joined!$I$3:$I$2000, FALSE), 5)</f>
        <v>154208</v>
      </c>
      <c r="E35" t="str">
        <f>INDEX(Joined!$A$3:$M$2000, MATCH($A35, Joined!$I$3:$I$2000, FALSE), 7)</f>
        <v>VAV-15W-35</v>
      </c>
      <c r="F35" t="s">
        <v>38</v>
      </c>
      <c r="G35" t="str">
        <f>INDEX(Schedule!$Q$2:$R$7, MATCH(ABT!$H35,Schedule!$Q$2:$Q$7, 0), 2)</f>
        <v>15011_DXR_VAV_DXR2M12</v>
      </c>
      <c r="H35">
        <f>INDEX(Joined!$A$3:$M$2000, MATCH($A35, Joined!$I$3:$I$2000, FALSE), 6)</f>
        <v>15011</v>
      </c>
      <c r="I35" t="str">
        <f>INDEX(Joined!$A$3:$M$2000, MATCH($A35, Joined!$I$3:$I$2000, FALSE), 4)</f>
        <v>542</v>
      </c>
      <c r="J35" t="b">
        <v>0</v>
      </c>
      <c r="K35">
        <f>INDEX(Joined!$A$3:$M$2000, MATCH($A35, Joined!$I$3:$I$2000, FALSE), 3)</f>
        <v>8</v>
      </c>
      <c r="L35">
        <v>85</v>
      </c>
      <c r="M35">
        <v>38400</v>
      </c>
      <c r="N35" s="27">
        <f>PI()*(INDEX(Schedule!$A$1:$N$2000, MATCH($C35, VAV_Schedule_5_21[[#All],[UNIT TAG]], FALSE), 4)/2/12)^2</f>
        <v>0.78539816339744828</v>
      </c>
      <c r="O35" s="27">
        <f>INDEX(Schedule!$A$1:$N$2000, MATCH($C35, VAV_Schedule_5_21[[#All],[UNIT TAG]], FALSE), 4)</f>
        <v>12</v>
      </c>
      <c r="P35">
        <v>33.630000000000003</v>
      </c>
      <c r="Q35" s="27">
        <f>INDEX(Schedule!$A$1:$N$2000, MATCH($C35, VAV_Schedule_5_21[[#All],[UNIT TAG]], FALSE), 5)</f>
        <v>1200</v>
      </c>
      <c r="R35" s="27">
        <f>INDEX(Schedule!$A$1:$N$2000, MATCH($C35, VAV_Schedule_5_21[[#All],[UNIT TAG]], FALSE), 6)</f>
        <v>240</v>
      </c>
      <c r="S35" s="27">
        <f>INDEX(Schedule!$A$1:$N$2000, MATCH($C35, VAV_Schedule_5_21[[#All],[UNIT TAG]], FALSE), 5)</f>
        <v>1200</v>
      </c>
      <c r="T35" s="27">
        <f>INDEX(Schedule!$A$1:$N$2000, MATCH($C35, VAV_Schedule_5_21[[#All],[UNIT TAG]], FALSE), 6)</f>
        <v>240</v>
      </c>
      <c r="U35" s="27">
        <f>INDEX(Schedule!$A$1:$N$2000, MATCH($C35, VAV_Schedule_5_21[[#All],[UNIT TAG]], FALSE), 5)</f>
        <v>1200</v>
      </c>
      <c r="V35" s="27">
        <f>INDEX(Schedule!$A$1:$N$2000, MATCH($C35, VAV_Schedule_5_21[[#All],[UNIT TAG]], FALSE), 6)</f>
        <v>240</v>
      </c>
      <c r="W35" s="27">
        <f>INDEX(Schedule!$A$1:$N$2000, MATCH($C35, VAV_Schedule_5_21[[#All],[UNIT TAG]], FALSE), 6)</f>
        <v>240</v>
      </c>
      <c r="X35" s="27">
        <f>INDEX(Schedule!$A$1:$N$2000, MATCH($C35, VAV_Schedule_5_21[[#All],[UNIT TAG]], FALSE), 6)</f>
        <v>240</v>
      </c>
      <c r="Y35" s="27">
        <f>INDEX(Schedule!$A$1:$N$2000, MATCH($C35, VAV_Schedule_5_21[[#All],[UNIT TAG]], FALSE), 6)</f>
        <v>240</v>
      </c>
      <c r="Z35" s="27">
        <f>INDEX(Schedule!$A$1:$N$2000, MATCH($C35, VAV_Schedule_5_21[[#All],[UNIT TAG]], FALSE), 6)</f>
        <v>240</v>
      </c>
      <c r="AA35" s="27">
        <v>1000</v>
      </c>
      <c r="AB35" s="27">
        <v>1100</v>
      </c>
      <c r="AC35">
        <v>1400</v>
      </c>
      <c r="AD35" s="29">
        <f>IF(INDEX(Schedule!$A$1:$N$2000, MATCH($C35, VAV_Schedule_5_21[[#All],[UNIT TAG]], FALSE), 7)="-", 0, INDEX(Schedule!$A$1:$N$2000, MATCH($C35, VAV_Schedule_5_21[[#All],[UNIT TAG]], FALSE), 7))</f>
        <v>9</v>
      </c>
      <c r="AE35" t="str">
        <f>"B_01'" &amp; "Flr_0" &amp; INDEX(Joined!$A$3:$M$2000, MATCH($A35, Joined!$I$3:$I$2000, FALSE), 8)</f>
        <v>B_01'Flr_015</v>
      </c>
      <c r="AF35" t="str">
        <f>"R_" &amp; INDEX(Joined!$A$3:$M$2000, MATCH($A35, Joined!$I$3:$I$2000, FALSE), 7)</f>
        <v>R_VAV-15W-35</v>
      </c>
      <c r="AG35" t="str">
        <f>"B_01'" &amp; "Flr_0" &amp; INDEX(Joined!$A$3:$M$2000, MATCH($A35, Joined!$I$3:$I$2000, FALSE), 8)</f>
        <v>B_01'Flr_015</v>
      </c>
      <c r="AH35" t="str">
        <f>INDEX(Joined!$A$3:$M$2000, MATCH($A35, Joined!$I$3:$I$2000, FALSE), 7)</f>
        <v>VAV-15W-35</v>
      </c>
      <c r="AI35" t="s">
        <v>1534</v>
      </c>
    </row>
    <row r="36" spans="1:35" x14ac:dyDescent="0.2">
      <c r="A36" t="s">
        <v>871</v>
      </c>
      <c r="B36" t="str">
        <f>"B_01'" &amp; "Flr_0" &amp; INDEX(Joined!$A$3:$M$2000, MATCH($A36, Joined!$I$3:$I$2000, FALSE), 8)</f>
        <v>B_01'Flr_015</v>
      </c>
      <c r="C36" t="str">
        <f>INDEX(Joined!$A$3:$M$2000, MATCH($A36, Joined!$I$3:$I$2000, FALSE), 7)</f>
        <v>VAV-15W-36</v>
      </c>
      <c r="D36">
        <f>INDEX(Joined!$A$3:$M$2000, MATCH($A36, Joined!$I$3:$I$2000, FALSE), 5)</f>
        <v>154209</v>
      </c>
      <c r="E36" t="str">
        <f>INDEX(Joined!$A$3:$M$2000, MATCH($A36, Joined!$I$3:$I$2000, FALSE), 7)</f>
        <v>VAV-15W-36</v>
      </c>
      <c r="F36" t="s">
        <v>38</v>
      </c>
      <c r="G36" t="str">
        <f>INDEX(Schedule!$Q$2:$R$7, MATCH(ABT!$H36,Schedule!$Q$2:$Q$7, 0), 2)</f>
        <v>15011_DXR_VAV_DXR2M12</v>
      </c>
      <c r="H36">
        <f>INDEX(Joined!$A$3:$M$2000, MATCH($A36, Joined!$I$3:$I$2000, FALSE), 6)</f>
        <v>15011</v>
      </c>
      <c r="I36" t="str">
        <f>INDEX(Joined!$A$3:$M$2000, MATCH($A36, Joined!$I$3:$I$2000, FALSE), 4)</f>
        <v>542</v>
      </c>
      <c r="J36" t="b">
        <v>0</v>
      </c>
      <c r="K36">
        <f>INDEX(Joined!$A$3:$M$2000, MATCH($A36, Joined!$I$3:$I$2000, FALSE), 3)</f>
        <v>9</v>
      </c>
      <c r="L36">
        <v>85</v>
      </c>
      <c r="M36">
        <v>38400</v>
      </c>
      <c r="N36" s="27">
        <f>PI()*(INDEX(Schedule!$A$1:$N$2000, MATCH($C36, VAV_Schedule_5_21[[#All],[UNIT TAG]], FALSE), 4)/2/12)^2</f>
        <v>0.78539816339744828</v>
      </c>
      <c r="O36" s="27">
        <f>INDEX(Schedule!$A$1:$N$2000, MATCH($C36, VAV_Schedule_5_21[[#All],[UNIT TAG]], FALSE), 4)</f>
        <v>12</v>
      </c>
      <c r="P36">
        <v>34.630000000000003</v>
      </c>
      <c r="Q36" s="27">
        <f>INDEX(Schedule!$A$1:$N$2000, MATCH($C36, VAV_Schedule_5_21[[#All],[UNIT TAG]], FALSE), 5)</f>
        <v>840</v>
      </c>
      <c r="R36" s="27">
        <f>INDEX(Schedule!$A$1:$N$2000, MATCH($C36, VAV_Schedule_5_21[[#All],[UNIT TAG]], FALSE), 6)</f>
        <v>230</v>
      </c>
      <c r="S36" s="27">
        <f>INDEX(Schedule!$A$1:$N$2000, MATCH($C36, VAV_Schedule_5_21[[#All],[UNIT TAG]], FALSE), 5)</f>
        <v>840</v>
      </c>
      <c r="T36" s="27">
        <f>INDEX(Schedule!$A$1:$N$2000, MATCH($C36, VAV_Schedule_5_21[[#All],[UNIT TAG]], FALSE), 6)</f>
        <v>230</v>
      </c>
      <c r="U36" s="27">
        <f>INDEX(Schedule!$A$1:$N$2000, MATCH($C36, VAV_Schedule_5_21[[#All],[UNIT TAG]], FALSE), 5)</f>
        <v>840</v>
      </c>
      <c r="V36" s="27">
        <f>INDEX(Schedule!$A$1:$N$2000, MATCH($C36, VAV_Schedule_5_21[[#All],[UNIT TAG]], FALSE), 6)</f>
        <v>230</v>
      </c>
      <c r="W36" s="27">
        <f>INDEX(Schedule!$A$1:$N$2000, MATCH($C36, VAV_Schedule_5_21[[#All],[UNIT TAG]], FALSE), 6)</f>
        <v>230</v>
      </c>
      <c r="X36" s="27">
        <f>INDEX(Schedule!$A$1:$N$2000, MATCH($C36, VAV_Schedule_5_21[[#All],[UNIT TAG]], FALSE), 6)</f>
        <v>230</v>
      </c>
      <c r="Y36" s="27">
        <f>INDEX(Schedule!$A$1:$N$2000, MATCH($C36, VAV_Schedule_5_21[[#All],[UNIT TAG]], FALSE), 6)</f>
        <v>230</v>
      </c>
      <c r="Z36" s="27">
        <f>INDEX(Schedule!$A$1:$N$2000, MATCH($C36, VAV_Schedule_5_21[[#All],[UNIT TAG]], FALSE), 6)</f>
        <v>230</v>
      </c>
      <c r="AA36" s="27">
        <v>1000</v>
      </c>
      <c r="AB36" s="27">
        <v>1100</v>
      </c>
      <c r="AC36">
        <v>1400</v>
      </c>
      <c r="AD36" s="29">
        <f>IF(INDEX(Schedule!$A$1:$N$2000, MATCH($C36, VAV_Schedule_5_21[[#All],[UNIT TAG]], FALSE), 7)="-", 0, INDEX(Schedule!$A$1:$N$2000, MATCH($C36, VAV_Schedule_5_21[[#All],[UNIT TAG]], FALSE), 7))</f>
        <v>8</v>
      </c>
      <c r="AE36" t="str">
        <f>"B_01'" &amp; "Flr_0" &amp; INDEX(Joined!$A$3:$M$2000, MATCH($A36, Joined!$I$3:$I$2000, FALSE), 8)</f>
        <v>B_01'Flr_015</v>
      </c>
      <c r="AF36" t="str">
        <f>"R_" &amp; INDEX(Joined!$A$3:$M$2000, MATCH($A36, Joined!$I$3:$I$2000, FALSE), 7)</f>
        <v>R_VAV-15W-36</v>
      </c>
      <c r="AG36" t="str">
        <f>"B_01'" &amp; "Flr_0" &amp; INDEX(Joined!$A$3:$M$2000, MATCH($A36, Joined!$I$3:$I$2000, FALSE), 8)</f>
        <v>B_01'Flr_015</v>
      </c>
      <c r="AH36" t="str">
        <f>INDEX(Joined!$A$3:$M$2000, MATCH($A36, Joined!$I$3:$I$2000, FALSE), 7)</f>
        <v>VAV-15W-36</v>
      </c>
      <c r="AI36" t="s">
        <v>1535</v>
      </c>
    </row>
    <row r="37" spans="1:35" x14ac:dyDescent="0.2">
      <c r="A37" t="s">
        <v>872</v>
      </c>
      <c r="B37" t="str">
        <f>"B_01'" &amp; "Flr_0" &amp; INDEX(Joined!$A$3:$M$2000, MATCH($A37, Joined!$I$3:$I$2000, FALSE), 8)</f>
        <v>B_01'Flr_015</v>
      </c>
      <c r="C37" t="str">
        <f>INDEX(Joined!$A$3:$M$2000, MATCH($A37, Joined!$I$3:$I$2000, FALSE), 7)</f>
        <v>VAV-15W-37</v>
      </c>
      <c r="D37">
        <f>INDEX(Joined!$A$3:$M$2000, MATCH($A37, Joined!$I$3:$I$2000, FALSE), 5)</f>
        <v>154210</v>
      </c>
      <c r="E37" t="str">
        <f>INDEX(Joined!$A$3:$M$2000, MATCH($A37, Joined!$I$3:$I$2000, FALSE), 7)</f>
        <v>VAV-15W-37</v>
      </c>
      <c r="F37" t="s">
        <v>38</v>
      </c>
      <c r="G37" t="str">
        <f>INDEX(Schedule!$Q$2:$R$7, MATCH(ABT!$H37,Schedule!$Q$2:$Q$7, 0), 2)</f>
        <v>15010_DXR_VAV_DXR2M12</v>
      </c>
      <c r="H37">
        <f>INDEX(Joined!$A$3:$M$2000, MATCH($A37, Joined!$I$3:$I$2000, FALSE), 6)</f>
        <v>15010</v>
      </c>
      <c r="I37" t="str">
        <f>INDEX(Joined!$A$3:$M$2000, MATCH($A37, Joined!$I$3:$I$2000, FALSE), 4)</f>
        <v>542</v>
      </c>
      <c r="J37" t="b">
        <v>0</v>
      </c>
      <c r="K37">
        <f>INDEX(Joined!$A$3:$M$2000, MATCH($A37, Joined!$I$3:$I$2000, FALSE), 3)</f>
        <v>10</v>
      </c>
      <c r="L37">
        <v>85</v>
      </c>
      <c r="M37">
        <v>38400</v>
      </c>
      <c r="N37" s="27">
        <f>PI()*(INDEX(Schedule!$A$1:$N$2000, MATCH($C37, VAV_Schedule_5_21[[#All],[UNIT TAG]], FALSE), 4)/2/12)^2</f>
        <v>0.19634954084936207</v>
      </c>
      <c r="O37" s="27">
        <f>INDEX(Schedule!$A$1:$N$2000, MATCH($C37, VAV_Schedule_5_21[[#All],[UNIT TAG]], FALSE), 4)</f>
        <v>6</v>
      </c>
      <c r="P37">
        <v>35.630000000000003</v>
      </c>
      <c r="Q37" s="27">
        <f>INDEX(Schedule!$A$1:$N$2000, MATCH($C37, VAV_Schedule_5_21[[#All],[UNIT TAG]], FALSE), 5)</f>
        <v>185</v>
      </c>
      <c r="R37" s="27">
        <f>INDEX(Schedule!$A$1:$N$2000, MATCH($C37, VAV_Schedule_5_21[[#All],[UNIT TAG]], FALSE), 6)</f>
        <v>40</v>
      </c>
      <c r="S37" s="27">
        <f>INDEX(Schedule!$A$1:$N$2000, MATCH($C37, VAV_Schedule_5_21[[#All],[UNIT TAG]], FALSE), 5)</f>
        <v>185</v>
      </c>
      <c r="T37" s="27">
        <f>INDEX(Schedule!$A$1:$N$2000, MATCH($C37, VAV_Schedule_5_21[[#All],[UNIT TAG]], FALSE), 6)</f>
        <v>40</v>
      </c>
      <c r="U37" s="27">
        <f>INDEX(Schedule!$A$1:$N$2000, MATCH($C37, VAV_Schedule_5_21[[#All],[UNIT TAG]], FALSE), 5)</f>
        <v>185</v>
      </c>
      <c r="V37" s="27">
        <f>INDEX(Schedule!$A$1:$N$2000, MATCH($C37, VAV_Schedule_5_21[[#All],[UNIT TAG]], FALSE), 6)</f>
        <v>40</v>
      </c>
      <c r="W37" s="27">
        <f>INDEX(Schedule!$A$1:$N$2000, MATCH($C37, VAV_Schedule_5_21[[#All],[UNIT TAG]], FALSE), 6)</f>
        <v>40</v>
      </c>
      <c r="X37" s="27">
        <f>INDEX(Schedule!$A$1:$N$2000, MATCH($C37, VAV_Schedule_5_21[[#All],[UNIT TAG]], FALSE), 6)</f>
        <v>40</v>
      </c>
      <c r="Y37" s="27">
        <f>INDEX(Schedule!$A$1:$N$2000, MATCH($C37, VAV_Schedule_5_21[[#All],[UNIT TAG]], FALSE), 6)</f>
        <v>40</v>
      </c>
      <c r="Z37" s="27">
        <f>INDEX(Schedule!$A$1:$N$2000, MATCH($C37, VAV_Schedule_5_21[[#All],[UNIT TAG]], FALSE), 6)</f>
        <v>40</v>
      </c>
      <c r="AA37" s="27">
        <v>1000</v>
      </c>
      <c r="AB37" s="27">
        <v>1100</v>
      </c>
      <c r="AC37">
        <v>1400</v>
      </c>
      <c r="AD37" s="29">
        <f>IF(INDEX(Schedule!$A$1:$N$2000, MATCH($C37, VAV_Schedule_5_21[[#All],[UNIT TAG]], FALSE), 7)="-", 0, INDEX(Schedule!$A$1:$N$2000, MATCH($C37, VAV_Schedule_5_21[[#All],[UNIT TAG]], FALSE), 7))</f>
        <v>0</v>
      </c>
      <c r="AE37" t="str">
        <f>"B_01'" &amp; "Flr_0" &amp; INDEX(Joined!$A$3:$M$2000, MATCH($A37, Joined!$I$3:$I$2000, FALSE), 8)</f>
        <v>B_01'Flr_015</v>
      </c>
      <c r="AF37" t="str">
        <f>"R_" &amp; INDEX(Joined!$A$3:$M$2000, MATCH($A37, Joined!$I$3:$I$2000, FALSE), 7)</f>
        <v>R_VAV-15W-37</v>
      </c>
      <c r="AG37" t="str">
        <f>"B_01'" &amp; "Flr_0" &amp; INDEX(Joined!$A$3:$M$2000, MATCH($A37, Joined!$I$3:$I$2000, FALSE), 8)</f>
        <v>B_01'Flr_015</v>
      </c>
      <c r="AH37" t="str">
        <f>INDEX(Joined!$A$3:$M$2000, MATCH($A37, Joined!$I$3:$I$2000, FALSE), 7)</f>
        <v>VAV-15W-37</v>
      </c>
      <c r="AI37" t="s">
        <v>1536</v>
      </c>
    </row>
    <row r="38" spans="1:35" x14ac:dyDescent="0.2">
      <c r="A38" t="s">
        <v>873</v>
      </c>
      <c r="B38" t="str">
        <f>"B_01'" &amp; "Flr_0" &amp; INDEX(Joined!$A$3:$M$2000, MATCH($A38, Joined!$I$3:$I$2000, FALSE), 8)</f>
        <v>B_01'Flr_015</v>
      </c>
      <c r="C38" t="str">
        <f>INDEX(Joined!$A$3:$M$2000, MATCH($A38, Joined!$I$3:$I$2000, FALSE), 7)</f>
        <v>VAV-15W-38</v>
      </c>
      <c r="D38">
        <f>INDEX(Joined!$A$3:$M$2000, MATCH($A38, Joined!$I$3:$I$2000, FALSE), 5)</f>
        <v>154211</v>
      </c>
      <c r="E38" t="str">
        <f>INDEX(Joined!$A$3:$M$2000, MATCH($A38, Joined!$I$3:$I$2000, FALSE), 7)</f>
        <v>VAV-15W-38</v>
      </c>
      <c r="F38" t="s">
        <v>38</v>
      </c>
      <c r="G38" t="str">
        <f>INDEX(Schedule!$Q$2:$R$7, MATCH(ABT!$H38,Schedule!$Q$2:$Q$7, 0), 2)</f>
        <v>15011_DXR_VAV_DXR2M12</v>
      </c>
      <c r="H38">
        <f>INDEX(Joined!$A$3:$M$2000, MATCH($A38, Joined!$I$3:$I$2000, FALSE), 6)</f>
        <v>15011</v>
      </c>
      <c r="I38" t="str">
        <f>INDEX(Joined!$A$3:$M$2000, MATCH($A38, Joined!$I$3:$I$2000, FALSE), 4)</f>
        <v>542</v>
      </c>
      <c r="J38" t="b">
        <v>0</v>
      </c>
      <c r="K38">
        <f>INDEX(Joined!$A$3:$M$2000, MATCH($A38, Joined!$I$3:$I$2000, FALSE), 3)</f>
        <v>11</v>
      </c>
      <c r="L38">
        <v>85</v>
      </c>
      <c r="M38">
        <v>38400</v>
      </c>
      <c r="N38" s="27">
        <f>PI()*(INDEX(Schedule!$A$1:$N$2000, MATCH($C38, VAV_Schedule_5_21[[#All],[UNIT TAG]], FALSE), 4)/2/12)^2</f>
        <v>0.54541539124822802</v>
      </c>
      <c r="O38" s="27">
        <f>INDEX(Schedule!$A$1:$N$2000, MATCH($C38, VAV_Schedule_5_21[[#All],[UNIT TAG]], FALSE), 4)</f>
        <v>10</v>
      </c>
      <c r="P38">
        <v>36.630000000000003</v>
      </c>
      <c r="Q38" s="27">
        <f>INDEX(Schedule!$A$1:$N$2000, MATCH($C38, VAV_Schedule_5_21[[#All],[UNIT TAG]], FALSE), 5)</f>
        <v>680</v>
      </c>
      <c r="R38" s="27">
        <f>INDEX(Schedule!$A$1:$N$2000, MATCH($C38, VAV_Schedule_5_21[[#All],[UNIT TAG]], FALSE), 6)</f>
        <v>160</v>
      </c>
      <c r="S38" s="27">
        <f>INDEX(Schedule!$A$1:$N$2000, MATCH($C38, VAV_Schedule_5_21[[#All],[UNIT TAG]], FALSE), 5)</f>
        <v>680</v>
      </c>
      <c r="T38" s="27">
        <f>INDEX(Schedule!$A$1:$N$2000, MATCH($C38, VAV_Schedule_5_21[[#All],[UNIT TAG]], FALSE), 6)</f>
        <v>160</v>
      </c>
      <c r="U38" s="27">
        <f>INDEX(Schedule!$A$1:$N$2000, MATCH($C38, VAV_Schedule_5_21[[#All],[UNIT TAG]], FALSE), 5)</f>
        <v>680</v>
      </c>
      <c r="V38" s="27">
        <f>INDEX(Schedule!$A$1:$N$2000, MATCH($C38, VAV_Schedule_5_21[[#All],[UNIT TAG]], FALSE), 6)</f>
        <v>160</v>
      </c>
      <c r="W38" s="27">
        <f>INDEX(Schedule!$A$1:$N$2000, MATCH($C38, VAV_Schedule_5_21[[#All],[UNIT TAG]], FALSE), 6)</f>
        <v>160</v>
      </c>
      <c r="X38" s="27">
        <f>INDEX(Schedule!$A$1:$N$2000, MATCH($C38, VAV_Schedule_5_21[[#All],[UNIT TAG]], FALSE), 6)</f>
        <v>160</v>
      </c>
      <c r="Y38" s="27">
        <f>INDEX(Schedule!$A$1:$N$2000, MATCH($C38, VAV_Schedule_5_21[[#All],[UNIT TAG]], FALSE), 6)</f>
        <v>160</v>
      </c>
      <c r="Z38" s="27">
        <f>INDEX(Schedule!$A$1:$N$2000, MATCH($C38, VAV_Schedule_5_21[[#All],[UNIT TAG]], FALSE), 6)</f>
        <v>160</v>
      </c>
      <c r="AA38" s="27">
        <v>1000</v>
      </c>
      <c r="AB38" s="27">
        <v>1100</v>
      </c>
      <c r="AC38">
        <v>1400</v>
      </c>
      <c r="AD38" s="29">
        <f>IF(INDEX(Schedule!$A$1:$N$2000, MATCH($C38, VAV_Schedule_5_21[[#All],[UNIT TAG]], FALSE), 7)="-", 0, INDEX(Schedule!$A$1:$N$2000, MATCH($C38, VAV_Schedule_5_21[[#All],[UNIT TAG]], FALSE), 7))</f>
        <v>5</v>
      </c>
      <c r="AE38" t="str">
        <f>"B_01'" &amp; "Flr_0" &amp; INDEX(Joined!$A$3:$M$2000, MATCH($A38, Joined!$I$3:$I$2000, FALSE), 8)</f>
        <v>B_01'Flr_015</v>
      </c>
      <c r="AF38" t="str">
        <f>"R_" &amp; INDEX(Joined!$A$3:$M$2000, MATCH($A38, Joined!$I$3:$I$2000, FALSE), 7)</f>
        <v>R_VAV-15W-38</v>
      </c>
      <c r="AG38" t="str">
        <f>"B_01'" &amp; "Flr_0" &amp; INDEX(Joined!$A$3:$M$2000, MATCH($A38, Joined!$I$3:$I$2000, FALSE), 8)</f>
        <v>B_01'Flr_015</v>
      </c>
      <c r="AH38" t="str">
        <f>INDEX(Joined!$A$3:$M$2000, MATCH($A38, Joined!$I$3:$I$2000, FALSE), 7)</f>
        <v>VAV-15W-38</v>
      </c>
      <c r="AI38" t="s">
        <v>1537</v>
      </c>
    </row>
    <row r="39" spans="1:35" x14ac:dyDescent="0.2">
      <c r="A39" t="s">
        <v>874</v>
      </c>
      <c r="B39" t="str">
        <f>"B_01'" &amp; "Flr_0" &amp; INDEX(Joined!$A$3:$M$2000, MATCH($A39, Joined!$I$3:$I$2000, FALSE), 8)</f>
        <v>B_01'Flr_015</v>
      </c>
      <c r="C39" t="str">
        <f>INDEX(Joined!$A$3:$M$2000, MATCH($A39, Joined!$I$3:$I$2000, FALSE), 7)</f>
        <v>VAV-15W-39</v>
      </c>
      <c r="D39">
        <f>INDEX(Joined!$A$3:$M$2000, MATCH($A39, Joined!$I$3:$I$2000, FALSE), 5)</f>
        <v>154212</v>
      </c>
      <c r="E39" t="str">
        <f>INDEX(Joined!$A$3:$M$2000, MATCH($A39, Joined!$I$3:$I$2000, FALSE), 7)</f>
        <v>VAV-15W-39</v>
      </c>
      <c r="F39" t="s">
        <v>38</v>
      </c>
      <c r="G39" t="str">
        <f>INDEX(Schedule!$Q$2:$R$7, MATCH(ABT!$H39,Schedule!$Q$2:$Q$7, 0), 2)</f>
        <v>15011_DXR_VAV_DXR2M12</v>
      </c>
      <c r="H39">
        <f>INDEX(Joined!$A$3:$M$2000, MATCH($A39, Joined!$I$3:$I$2000, FALSE), 6)</f>
        <v>15011</v>
      </c>
      <c r="I39" t="str">
        <f>INDEX(Joined!$A$3:$M$2000, MATCH($A39, Joined!$I$3:$I$2000, FALSE), 4)</f>
        <v>542</v>
      </c>
      <c r="J39" t="b">
        <v>0</v>
      </c>
      <c r="K39">
        <f>INDEX(Joined!$A$3:$M$2000, MATCH($A39, Joined!$I$3:$I$2000, FALSE), 3)</f>
        <v>12</v>
      </c>
      <c r="L39">
        <v>85</v>
      </c>
      <c r="M39">
        <v>38400</v>
      </c>
      <c r="N39" s="27">
        <f>PI()*(INDEX(Schedule!$A$1:$N$2000, MATCH($C39, VAV_Schedule_5_21[[#All],[UNIT TAG]], FALSE), 4)/2/12)^2</f>
        <v>0.54541539124822802</v>
      </c>
      <c r="O39" s="27">
        <f>INDEX(Schedule!$A$1:$N$2000, MATCH($C39, VAV_Schedule_5_21[[#All],[UNIT TAG]], FALSE), 4)</f>
        <v>10</v>
      </c>
      <c r="P39">
        <v>37.630000000000003</v>
      </c>
      <c r="Q39" s="27">
        <f>INDEX(Schedule!$A$1:$N$2000, MATCH($C39, VAV_Schedule_5_21[[#All],[UNIT TAG]], FALSE), 5)</f>
        <v>1000</v>
      </c>
      <c r="R39" s="27">
        <f>INDEX(Schedule!$A$1:$N$2000, MATCH($C39, VAV_Schedule_5_21[[#All],[UNIT TAG]], FALSE), 6)</f>
        <v>210</v>
      </c>
      <c r="S39" s="27">
        <f>INDEX(Schedule!$A$1:$N$2000, MATCH($C39, VAV_Schedule_5_21[[#All],[UNIT TAG]], FALSE), 5)</f>
        <v>1000</v>
      </c>
      <c r="T39" s="27">
        <f>INDEX(Schedule!$A$1:$N$2000, MATCH($C39, VAV_Schedule_5_21[[#All],[UNIT TAG]], FALSE), 6)</f>
        <v>210</v>
      </c>
      <c r="U39" s="27">
        <f>INDEX(Schedule!$A$1:$N$2000, MATCH($C39, VAV_Schedule_5_21[[#All],[UNIT TAG]], FALSE), 5)</f>
        <v>1000</v>
      </c>
      <c r="V39" s="27">
        <f>INDEX(Schedule!$A$1:$N$2000, MATCH($C39, VAV_Schedule_5_21[[#All],[UNIT TAG]], FALSE), 6)</f>
        <v>210</v>
      </c>
      <c r="W39" s="27">
        <f>INDEX(Schedule!$A$1:$N$2000, MATCH($C39, VAV_Schedule_5_21[[#All],[UNIT TAG]], FALSE), 6)</f>
        <v>210</v>
      </c>
      <c r="X39" s="27">
        <f>INDEX(Schedule!$A$1:$N$2000, MATCH($C39, VAV_Schedule_5_21[[#All],[UNIT TAG]], FALSE), 6)</f>
        <v>210</v>
      </c>
      <c r="Y39" s="27">
        <f>INDEX(Schedule!$A$1:$N$2000, MATCH($C39, VAV_Schedule_5_21[[#All],[UNIT TAG]], FALSE), 6)</f>
        <v>210</v>
      </c>
      <c r="Z39" s="27">
        <f>INDEX(Schedule!$A$1:$N$2000, MATCH($C39, VAV_Schedule_5_21[[#All],[UNIT TAG]], FALSE), 6)</f>
        <v>210</v>
      </c>
      <c r="AA39" s="27">
        <v>1000</v>
      </c>
      <c r="AB39" s="27">
        <v>1100</v>
      </c>
      <c r="AC39">
        <v>1400</v>
      </c>
      <c r="AD39" s="29">
        <f>IF(INDEX(Schedule!$A$1:$N$2000, MATCH($C39, VAV_Schedule_5_21[[#All],[UNIT TAG]], FALSE), 7)="-", 0, INDEX(Schedule!$A$1:$N$2000, MATCH($C39, VAV_Schedule_5_21[[#All],[UNIT TAG]], FALSE), 7))</f>
        <v>6</v>
      </c>
      <c r="AE39" t="str">
        <f>"B_01'" &amp; "Flr_0" &amp; INDEX(Joined!$A$3:$M$2000, MATCH($A39, Joined!$I$3:$I$2000, FALSE), 8)</f>
        <v>B_01'Flr_015</v>
      </c>
      <c r="AF39" t="str">
        <f>"R_" &amp; INDEX(Joined!$A$3:$M$2000, MATCH($A39, Joined!$I$3:$I$2000, FALSE), 7)</f>
        <v>R_VAV-15W-39</v>
      </c>
      <c r="AG39" t="str">
        <f>"B_01'" &amp; "Flr_0" &amp; INDEX(Joined!$A$3:$M$2000, MATCH($A39, Joined!$I$3:$I$2000, FALSE), 8)</f>
        <v>B_01'Flr_015</v>
      </c>
      <c r="AH39" t="str">
        <f>INDEX(Joined!$A$3:$M$2000, MATCH($A39, Joined!$I$3:$I$2000, FALSE), 7)</f>
        <v>VAV-15W-39</v>
      </c>
      <c r="AI39" t="s">
        <v>1538</v>
      </c>
    </row>
    <row r="40" spans="1:35" x14ac:dyDescent="0.2">
      <c r="A40" t="s">
        <v>875</v>
      </c>
      <c r="B40" t="str">
        <f>"B_01'" &amp; "Flr_0" &amp; INDEX(Joined!$A$3:$M$2000, MATCH($A40, Joined!$I$3:$I$2000, FALSE), 8)</f>
        <v>B_01'Flr_015</v>
      </c>
      <c r="C40" t="str">
        <f>INDEX(Joined!$A$3:$M$2000, MATCH($A40, Joined!$I$3:$I$2000, FALSE), 7)</f>
        <v>VAV-15W-4</v>
      </c>
      <c r="D40">
        <f>INDEX(Joined!$A$3:$M$2000, MATCH($A40, Joined!$I$3:$I$2000, FALSE), 5)</f>
        <v>154213</v>
      </c>
      <c r="E40" t="str">
        <f>INDEX(Joined!$A$3:$M$2000, MATCH($A40, Joined!$I$3:$I$2000, FALSE), 7)</f>
        <v>VAV-15W-4</v>
      </c>
      <c r="F40" t="s">
        <v>38</v>
      </c>
      <c r="G40" t="str">
        <f>INDEX(Schedule!$Q$2:$R$7, MATCH(ABT!$H40,Schedule!$Q$2:$Q$7, 0), 2)</f>
        <v>15011_DXR_VAV_DXR2M12</v>
      </c>
      <c r="H40">
        <f>INDEX(Joined!$A$3:$M$2000, MATCH($A40, Joined!$I$3:$I$2000, FALSE), 6)</f>
        <v>15011</v>
      </c>
      <c r="I40" t="str">
        <f>INDEX(Joined!$A$3:$M$2000, MATCH($A40, Joined!$I$3:$I$2000, FALSE), 4)</f>
        <v>542</v>
      </c>
      <c r="J40" t="b">
        <v>0</v>
      </c>
      <c r="K40">
        <f>INDEX(Joined!$A$3:$M$2000, MATCH($A40, Joined!$I$3:$I$2000, FALSE), 3)</f>
        <v>13</v>
      </c>
      <c r="L40">
        <v>85</v>
      </c>
      <c r="M40">
        <v>38400</v>
      </c>
      <c r="N40" s="27">
        <f>PI()*(INDEX(Schedule!$A$1:$N$2000, MATCH($C40, VAV_Schedule_5_21[[#All],[UNIT TAG]], FALSE), 4)/2/12)^2</f>
        <v>0.54541539124822802</v>
      </c>
      <c r="O40" s="27">
        <f>INDEX(Schedule!$A$1:$N$2000, MATCH($C40, VAV_Schedule_5_21[[#All],[UNIT TAG]], FALSE), 4)</f>
        <v>10</v>
      </c>
      <c r="P40">
        <v>38.630000000000003</v>
      </c>
      <c r="Q40" s="27">
        <f>INDEX(Schedule!$A$1:$N$2000, MATCH($C40, VAV_Schedule_5_21[[#All],[UNIT TAG]], FALSE), 5)</f>
        <v>840</v>
      </c>
      <c r="R40" s="27">
        <f>INDEX(Schedule!$A$1:$N$2000, MATCH($C40, VAV_Schedule_5_21[[#All],[UNIT TAG]], FALSE), 6)</f>
        <v>170</v>
      </c>
      <c r="S40" s="27">
        <f>INDEX(Schedule!$A$1:$N$2000, MATCH($C40, VAV_Schedule_5_21[[#All],[UNIT TAG]], FALSE), 5)</f>
        <v>840</v>
      </c>
      <c r="T40" s="27">
        <f>INDEX(Schedule!$A$1:$N$2000, MATCH($C40, VAV_Schedule_5_21[[#All],[UNIT TAG]], FALSE), 6)</f>
        <v>170</v>
      </c>
      <c r="U40" s="27">
        <f>INDEX(Schedule!$A$1:$N$2000, MATCH($C40, VAV_Schedule_5_21[[#All],[UNIT TAG]], FALSE), 5)</f>
        <v>840</v>
      </c>
      <c r="V40" s="27">
        <f>INDEX(Schedule!$A$1:$N$2000, MATCH($C40, VAV_Schedule_5_21[[#All],[UNIT TAG]], FALSE), 6)</f>
        <v>170</v>
      </c>
      <c r="W40" s="27">
        <f>INDEX(Schedule!$A$1:$N$2000, MATCH($C40, VAV_Schedule_5_21[[#All],[UNIT TAG]], FALSE), 6)</f>
        <v>170</v>
      </c>
      <c r="X40" s="27">
        <f>INDEX(Schedule!$A$1:$N$2000, MATCH($C40, VAV_Schedule_5_21[[#All],[UNIT TAG]], FALSE), 6)</f>
        <v>170</v>
      </c>
      <c r="Y40" s="27">
        <f>INDEX(Schedule!$A$1:$N$2000, MATCH($C40, VAV_Schedule_5_21[[#All],[UNIT TAG]], FALSE), 6)</f>
        <v>170</v>
      </c>
      <c r="Z40" s="27">
        <f>INDEX(Schedule!$A$1:$N$2000, MATCH($C40, VAV_Schedule_5_21[[#All],[UNIT TAG]], FALSE), 6)</f>
        <v>170</v>
      </c>
      <c r="AA40" s="27">
        <v>1000</v>
      </c>
      <c r="AB40" s="27">
        <v>1100</v>
      </c>
      <c r="AC40">
        <v>1400</v>
      </c>
      <c r="AD40" s="29">
        <f>IF(INDEX(Schedule!$A$1:$N$2000, MATCH($C40, VAV_Schedule_5_21[[#All],[UNIT TAG]], FALSE), 7)="-", 0, INDEX(Schedule!$A$1:$N$2000, MATCH($C40, VAV_Schedule_5_21[[#All],[UNIT TAG]], FALSE), 7))</f>
        <v>6</v>
      </c>
      <c r="AE40" t="str">
        <f>"B_01'" &amp; "Flr_0" &amp; INDEX(Joined!$A$3:$M$2000, MATCH($A40, Joined!$I$3:$I$2000, FALSE), 8)</f>
        <v>B_01'Flr_015</v>
      </c>
      <c r="AF40" t="str">
        <f>"R_" &amp; INDEX(Joined!$A$3:$M$2000, MATCH($A40, Joined!$I$3:$I$2000, FALSE), 7)</f>
        <v>R_VAV-15W-4</v>
      </c>
      <c r="AG40" t="str">
        <f>"B_01'" &amp; "Flr_0" &amp; INDEX(Joined!$A$3:$M$2000, MATCH($A40, Joined!$I$3:$I$2000, FALSE), 8)</f>
        <v>B_01'Flr_015</v>
      </c>
      <c r="AH40" t="str">
        <f>INDEX(Joined!$A$3:$M$2000, MATCH($A40, Joined!$I$3:$I$2000, FALSE), 7)</f>
        <v>VAV-15W-4</v>
      </c>
      <c r="AI40" t="s">
        <v>1539</v>
      </c>
    </row>
    <row r="41" spans="1:35" x14ac:dyDescent="0.2">
      <c r="A41" t="s">
        <v>876</v>
      </c>
      <c r="B41" t="str">
        <f>"B_01'" &amp; "Flr_0" &amp; INDEX(Joined!$A$3:$M$2000, MATCH($A41, Joined!$I$3:$I$2000, FALSE), 8)</f>
        <v>B_01'Flr_015</v>
      </c>
      <c r="C41" t="str">
        <f>INDEX(Joined!$A$3:$M$2000, MATCH($A41, Joined!$I$3:$I$2000, FALSE), 7)</f>
        <v>VAV-15W-40</v>
      </c>
      <c r="D41">
        <f>INDEX(Joined!$A$3:$M$2000, MATCH($A41, Joined!$I$3:$I$2000, FALSE), 5)</f>
        <v>154214</v>
      </c>
      <c r="E41" t="str">
        <f>INDEX(Joined!$A$3:$M$2000, MATCH($A41, Joined!$I$3:$I$2000, FALSE), 7)</f>
        <v>VAV-15W-40</v>
      </c>
      <c r="F41" t="s">
        <v>38</v>
      </c>
      <c r="G41" t="str">
        <f>INDEX(Schedule!$Q$2:$R$7, MATCH(ABT!$H41,Schedule!$Q$2:$Q$7, 0), 2)</f>
        <v>15011_DXR_VAV_DXR2M12</v>
      </c>
      <c r="H41">
        <f>INDEX(Joined!$A$3:$M$2000, MATCH($A41, Joined!$I$3:$I$2000, FALSE), 6)</f>
        <v>15011</v>
      </c>
      <c r="I41" t="str">
        <f>INDEX(Joined!$A$3:$M$2000, MATCH($A41, Joined!$I$3:$I$2000, FALSE), 4)</f>
        <v>542</v>
      </c>
      <c r="J41" t="b">
        <v>0</v>
      </c>
      <c r="K41">
        <f>INDEX(Joined!$A$3:$M$2000, MATCH($A41, Joined!$I$3:$I$2000, FALSE), 3)</f>
        <v>14</v>
      </c>
      <c r="L41">
        <v>85</v>
      </c>
      <c r="M41">
        <v>38400</v>
      </c>
      <c r="N41" s="27">
        <f>PI()*(INDEX(Schedule!$A$1:$N$2000, MATCH($C41, VAV_Schedule_5_21[[#All],[UNIT TAG]], FALSE), 4)/2/12)^2</f>
        <v>0.54541539124822802</v>
      </c>
      <c r="O41" s="27">
        <f>INDEX(Schedule!$A$1:$N$2000, MATCH($C41, VAV_Schedule_5_21[[#All],[UNIT TAG]], FALSE), 4)</f>
        <v>10</v>
      </c>
      <c r="P41">
        <v>39.630000000000003</v>
      </c>
      <c r="Q41" s="27">
        <f>INDEX(Schedule!$A$1:$N$2000, MATCH($C41, VAV_Schedule_5_21[[#All],[UNIT TAG]], FALSE), 5)</f>
        <v>820</v>
      </c>
      <c r="R41" s="27">
        <f>INDEX(Schedule!$A$1:$N$2000, MATCH($C41, VAV_Schedule_5_21[[#All],[UNIT TAG]], FALSE), 6)</f>
        <v>165</v>
      </c>
      <c r="S41" s="27">
        <f>INDEX(Schedule!$A$1:$N$2000, MATCH($C41, VAV_Schedule_5_21[[#All],[UNIT TAG]], FALSE), 5)</f>
        <v>820</v>
      </c>
      <c r="T41" s="27">
        <f>INDEX(Schedule!$A$1:$N$2000, MATCH($C41, VAV_Schedule_5_21[[#All],[UNIT TAG]], FALSE), 6)</f>
        <v>165</v>
      </c>
      <c r="U41" s="27">
        <f>INDEX(Schedule!$A$1:$N$2000, MATCH($C41, VAV_Schedule_5_21[[#All],[UNIT TAG]], FALSE), 5)</f>
        <v>820</v>
      </c>
      <c r="V41" s="27">
        <f>INDEX(Schedule!$A$1:$N$2000, MATCH($C41, VAV_Schedule_5_21[[#All],[UNIT TAG]], FALSE), 6)</f>
        <v>165</v>
      </c>
      <c r="W41" s="27">
        <f>INDEX(Schedule!$A$1:$N$2000, MATCH($C41, VAV_Schedule_5_21[[#All],[UNIT TAG]], FALSE), 6)</f>
        <v>165</v>
      </c>
      <c r="X41" s="27">
        <f>INDEX(Schedule!$A$1:$N$2000, MATCH($C41, VAV_Schedule_5_21[[#All],[UNIT TAG]], FALSE), 6)</f>
        <v>165</v>
      </c>
      <c r="Y41" s="27">
        <f>INDEX(Schedule!$A$1:$N$2000, MATCH($C41, VAV_Schedule_5_21[[#All],[UNIT TAG]], FALSE), 6)</f>
        <v>165</v>
      </c>
      <c r="Z41" s="27">
        <f>INDEX(Schedule!$A$1:$N$2000, MATCH($C41, VAV_Schedule_5_21[[#All],[UNIT TAG]], FALSE), 6)</f>
        <v>165</v>
      </c>
      <c r="AA41" s="27">
        <v>1000</v>
      </c>
      <c r="AB41" s="27">
        <v>1100</v>
      </c>
      <c r="AC41">
        <v>1400</v>
      </c>
      <c r="AD41" s="29">
        <f>IF(INDEX(Schedule!$A$1:$N$2000, MATCH($C41, VAV_Schedule_5_21[[#All],[UNIT TAG]], FALSE), 7)="-", 0, INDEX(Schedule!$A$1:$N$2000, MATCH($C41, VAV_Schedule_5_21[[#All],[UNIT TAG]], FALSE), 7))</f>
        <v>5</v>
      </c>
      <c r="AE41" t="str">
        <f>"B_01'" &amp; "Flr_0" &amp; INDEX(Joined!$A$3:$M$2000, MATCH($A41, Joined!$I$3:$I$2000, FALSE), 8)</f>
        <v>B_01'Flr_015</v>
      </c>
      <c r="AF41" t="str">
        <f>"R_" &amp; INDEX(Joined!$A$3:$M$2000, MATCH($A41, Joined!$I$3:$I$2000, FALSE), 7)</f>
        <v>R_VAV-15W-40</v>
      </c>
      <c r="AG41" t="str">
        <f>"B_01'" &amp; "Flr_0" &amp; INDEX(Joined!$A$3:$M$2000, MATCH($A41, Joined!$I$3:$I$2000, FALSE), 8)</f>
        <v>B_01'Flr_015</v>
      </c>
      <c r="AH41" t="str">
        <f>INDEX(Joined!$A$3:$M$2000, MATCH($A41, Joined!$I$3:$I$2000, FALSE), 7)</f>
        <v>VAV-15W-40</v>
      </c>
      <c r="AI41" t="s">
        <v>1540</v>
      </c>
    </row>
    <row r="42" spans="1:35" x14ac:dyDescent="0.2">
      <c r="A42" t="s">
        <v>877</v>
      </c>
      <c r="B42" t="str">
        <f>"B_01'" &amp; "Flr_0" &amp; INDEX(Joined!$A$3:$M$2000, MATCH($A42, Joined!$I$3:$I$2000, FALSE), 8)</f>
        <v>B_01'Flr_015</v>
      </c>
      <c r="C42" t="str">
        <f>INDEX(Joined!$A$3:$M$2000, MATCH($A42, Joined!$I$3:$I$2000, FALSE), 7)</f>
        <v>VAV-15W-41</v>
      </c>
      <c r="D42">
        <f>INDEX(Joined!$A$3:$M$2000, MATCH($A42, Joined!$I$3:$I$2000, FALSE), 5)</f>
        <v>154215</v>
      </c>
      <c r="E42" t="str">
        <f>INDEX(Joined!$A$3:$M$2000, MATCH($A42, Joined!$I$3:$I$2000, FALSE), 7)</f>
        <v>VAV-15W-41</v>
      </c>
      <c r="F42" t="s">
        <v>38</v>
      </c>
      <c r="G42" t="str">
        <f>INDEX(Schedule!$Q$2:$R$7, MATCH(ABT!$H42,Schedule!$Q$2:$Q$7, 0), 2)</f>
        <v>15010_DXR_VAV_DXR2M12</v>
      </c>
      <c r="H42">
        <f>INDEX(Joined!$A$3:$M$2000, MATCH($A42, Joined!$I$3:$I$2000, FALSE), 6)</f>
        <v>15010</v>
      </c>
      <c r="I42" t="str">
        <f>INDEX(Joined!$A$3:$M$2000, MATCH($A42, Joined!$I$3:$I$2000, FALSE), 4)</f>
        <v>542</v>
      </c>
      <c r="J42" t="b">
        <v>0</v>
      </c>
      <c r="K42">
        <f>INDEX(Joined!$A$3:$M$2000, MATCH($A42, Joined!$I$3:$I$2000, FALSE), 3)</f>
        <v>15</v>
      </c>
      <c r="L42">
        <v>85</v>
      </c>
      <c r="M42">
        <v>38400</v>
      </c>
      <c r="N42" s="27">
        <f>PI()*(INDEX(Schedule!$A$1:$N$2000, MATCH($C42, VAV_Schedule_5_21[[#All],[UNIT TAG]], FALSE), 4)/2/12)^2</f>
        <v>0.19634954084936207</v>
      </c>
      <c r="O42" s="27">
        <f>INDEX(Schedule!$A$1:$N$2000, MATCH($C42, VAV_Schedule_5_21[[#All],[UNIT TAG]], FALSE), 4)</f>
        <v>6</v>
      </c>
      <c r="P42">
        <v>40.630000000000003</v>
      </c>
      <c r="Q42" s="27">
        <f>INDEX(Schedule!$A$1:$N$2000, MATCH($C42, VAV_Schedule_5_21[[#All],[UNIT TAG]], FALSE), 5)</f>
        <v>100</v>
      </c>
      <c r="R42" s="27">
        <f>INDEX(Schedule!$A$1:$N$2000, MATCH($C42, VAV_Schedule_5_21[[#All],[UNIT TAG]], FALSE), 6)</f>
        <v>20</v>
      </c>
      <c r="S42" s="27">
        <f>INDEX(Schedule!$A$1:$N$2000, MATCH($C42, VAV_Schedule_5_21[[#All],[UNIT TAG]], FALSE), 5)</f>
        <v>100</v>
      </c>
      <c r="T42" s="27">
        <f>INDEX(Schedule!$A$1:$N$2000, MATCH($C42, VAV_Schedule_5_21[[#All],[UNIT TAG]], FALSE), 6)</f>
        <v>20</v>
      </c>
      <c r="U42" s="27">
        <f>INDEX(Schedule!$A$1:$N$2000, MATCH($C42, VAV_Schedule_5_21[[#All],[UNIT TAG]], FALSE), 5)</f>
        <v>100</v>
      </c>
      <c r="V42" s="27">
        <f>INDEX(Schedule!$A$1:$N$2000, MATCH($C42, VAV_Schedule_5_21[[#All],[UNIT TAG]], FALSE), 6)</f>
        <v>20</v>
      </c>
      <c r="W42" s="27">
        <f>INDEX(Schedule!$A$1:$N$2000, MATCH($C42, VAV_Schedule_5_21[[#All],[UNIT TAG]], FALSE), 6)</f>
        <v>20</v>
      </c>
      <c r="X42" s="27">
        <f>INDEX(Schedule!$A$1:$N$2000, MATCH($C42, VAV_Schedule_5_21[[#All],[UNIT TAG]], FALSE), 6)</f>
        <v>20</v>
      </c>
      <c r="Y42" s="27">
        <f>INDEX(Schedule!$A$1:$N$2000, MATCH($C42, VAV_Schedule_5_21[[#All],[UNIT TAG]], FALSE), 6)</f>
        <v>20</v>
      </c>
      <c r="Z42" s="27">
        <f>INDEX(Schedule!$A$1:$N$2000, MATCH($C42, VAV_Schedule_5_21[[#All],[UNIT TAG]], FALSE), 6)</f>
        <v>20</v>
      </c>
      <c r="AA42" s="27">
        <v>1000</v>
      </c>
      <c r="AB42" s="27">
        <v>1100</v>
      </c>
      <c r="AC42">
        <v>1400</v>
      </c>
      <c r="AD42" s="29">
        <f>IF(INDEX(Schedule!$A$1:$N$2000, MATCH($C42, VAV_Schedule_5_21[[#All],[UNIT TAG]], FALSE), 7)="-", 0, INDEX(Schedule!$A$1:$N$2000, MATCH($C42, VAV_Schedule_5_21[[#All],[UNIT TAG]], FALSE), 7))</f>
        <v>0</v>
      </c>
      <c r="AE42" t="str">
        <f>"B_01'" &amp; "Flr_0" &amp; INDEX(Joined!$A$3:$M$2000, MATCH($A42, Joined!$I$3:$I$2000, FALSE), 8)</f>
        <v>B_01'Flr_015</v>
      </c>
      <c r="AF42" t="str">
        <f>"R_" &amp; INDEX(Joined!$A$3:$M$2000, MATCH($A42, Joined!$I$3:$I$2000, FALSE), 7)</f>
        <v>R_VAV-15W-41</v>
      </c>
      <c r="AG42" t="str">
        <f>"B_01'" &amp; "Flr_0" &amp; INDEX(Joined!$A$3:$M$2000, MATCH($A42, Joined!$I$3:$I$2000, FALSE), 8)</f>
        <v>B_01'Flr_015</v>
      </c>
      <c r="AH42" t="str">
        <f>INDEX(Joined!$A$3:$M$2000, MATCH($A42, Joined!$I$3:$I$2000, FALSE), 7)</f>
        <v>VAV-15W-41</v>
      </c>
      <c r="AI42" t="s">
        <v>1541</v>
      </c>
    </row>
    <row r="43" spans="1:35" x14ac:dyDescent="0.2">
      <c r="A43" t="s">
        <v>434</v>
      </c>
      <c r="B43" t="str">
        <f>"B_01'" &amp; "Flr_0" &amp; INDEX(Joined!$A$3:$M$2000, MATCH($A43, Joined!$I$3:$I$2000, FALSE), 8)</f>
        <v>B_01'Flr_02</v>
      </c>
      <c r="C43" t="str">
        <f>INDEX(Joined!$A$3:$M$2000, MATCH($A43, Joined!$I$3:$I$2000, FALSE), 7)</f>
        <v>VAV-2E-10</v>
      </c>
      <c r="D43">
        <f>INDEX(Joined!$A$3:$M$2000, MATCH($A43, Joined!$I$3:$I$2000, FALSE), 5)</f>
        <v>150202</v>
      </c>
      <c r="E43" t="str">
        <f>INDEX(Joined!$A$3:$M$2000, MATCH($A43, Joined!$I$3:$I$2000, FALSE), 7)</f>
        <v>VAV-2E-10</v>
      </c>
      <c r="F43" t="s">
        <v>38</v>
      </c>
      <c r="G43" t="str">
        <f>INDEX(Schedule!$Q$2:$R$7, MATCH(ABT!$H43,Schedule!$Q$2:$Q$7, 0), 2)</f>
        <v>15007_ADXR_VAV_DXR2M10</v>
      </c>
      <c r="H43">
        <f>INDEX(Joined!$A$3:$M$2000, MATCH($A43, Joined!$I$3:$I$2000, FALSE), 6)</f>
        <v>15007</v>
      </c>
      <c r="I43" t="str">
        <f>INDEX(Joined!$A$3:$M$2000, MATCH($A43, Joined!$I$3:$I$2000, FALSE), 4)</f>
        <v>502</v>
      </c>
      <c r="J43" t="b">
        <v>0</v>
      </c>
      <c r="K43">
        <f>INDEX(Joined!$A$3:$M$2000, MATCH($A43, Joined!$I$3:$I$2000, FALSE), 3)</f>
        <v>2</v>
      </c>
      <c r="L43">
        <v>85</v>
      </c>
      <c r="M43">
        <v>38400</v>
      </c>
      <c r="N43" s="27">
        <f>PI()*(INDEX(Schedule!$A$1:$N$2000, MATCH($C43, VAV_Schedule_5_21[[#All],[UNIT TAG]], FALSE), 4)/2/12)^2</f>
        <v>0.54541539124822802</v>
      </c>
      <c r="O43" s="27">
        <f>INDEX(Schedule!$A$1:$N$2000, MATCH($C43, VAV_Schedule_5_21[[#All],[UNIT TAG]], FALSE), 4)</f>
        <v>10</v>
      </c>
      <c r="P43">
        <v>41.63</v>
      </c>
      <c r="Q43" s="27">
        <f>INDEX(Schedule!$A$1:$N$2000, MATCH($C43, VAV_Schedule_5_21[[#All],[UNIT TAG]], FALSE), 5)</f>
        <v>1050</v>
      </c>
      <c r="R43" s="27">
        <f>INDEX(Schedule!$A$1:$N$2000, MATCH($C43, VAV_Schedule_5_21[[#All],[UNIT TAG]], FALSE), 6)</f>
        <v>210</v>
      </c>
      <c r="S43" s="27">
        <f>INDEX(Schedule!$A$1:$N$2000, MATCH($C43, VAV_Schedule_5_21[[#All],[UNIT TAG]], FALSE), 5)</f>
        <v>1050</v>
      </c>
      <c r="T43" s="27">
        <f>INDEX(Schedule!$A$1:$N$2000, MATCH($C43, VAV_Schedule_5_21[[#All],[UNIT TAG]], FALSE), 6)</f>
        <v>210</v>
      </c>
      <c r="U43" s="27">
        <f>INDEX(Schedule!$A$1:$N$2000, MATCH($C43, VAV_Schedule_5_21[[#All],[UNIT TAG]], FALSE), 5)</f>
        <v>1050</v>
      </c>
      <c r="V43" s="27">
        <f>INDEX(Schedule!$A$1:$N$2000, MATCH($C43, VAV_Schedule_5_21[[#All],[UNIT TAG]], FALSE), 6)</f>
        <v>210</v>
      </c>
      <c r="W43" s="27">
        <f>INDEX(Schedule!$A$1:$N$2000, MATCH($C43, VAV_Schedule_5_21[[#All],[UNIT TAG]], FALSE), 6)</f>
        <v>210</v>
      </c>
      <c r="X43" s="27">
        <f>INDEX(Schedule!$A$1:$N$2000, MATCH($C43, VAV_Schedule_5_21[[#All],[UNIT TAG]], FALSE), 6)</f>
        <v>210</v>
      </c>
      <c r="Y43" s="27">
        <f>INDEX(Schedule!$A$1:$N$2000, MATCH($C43, VAV_Schedule_5_21[[#All],[UNIT TAG]], FALSE), 6)</f>
        <v>210</v>
      </c>
      <c r="Z43" s="27">
        <f>INDEX(Schedule!$A$1:$N$2000, MATCH($C43, VAV_Schedule_5_21[[#All],[UNIT TAG]], FALSE), 6)</f>
        <v>210</v>
      </c>
      <c r="AA43" s="27">
        <v>1000</v>
      </c>
      <c r="AB43" s="27">
        <v>1100</v>
      </c>
      <c r="AC43">
        <v>1400</v>
      </c>
      <c r="AD43" s="29" t="str">
        <f>IF(INDEX(Schedule!$A$1:$N$2000, MATCH($C43, VAV_Schedule_5_21[[#All],[UNIT TAG]], FALSE), 7)="-", 0, INDEX(Schedule!$A$1:$N$2000, MATCH($C43, VAV_Schedule_5_21[[#All],[UNIT TAG]], FALSE), 7))</f>
        <v>8</v>
      </c>
      <c r="AE43" t="str">
        <f>"B_01'" &amp; "Flr_0" &amp; INDEX(Joined!$A$3:$M$2000, MATCH($A43, Joined!$I$3:$I$2000, FALSE), 8)</f>
        <v>B_01'Flr_02</v>
      </c>
      <c r="AF43" t="str">
        <f>"R_" &amp; INDEX(Joined!$A$3:$M$2000, MATCH($A43, Joined!$I$3:$I$2000, FALSE), 7)</f>
        <v>R_VAV-2E-10</v>
      </c>
      <c r="AG43" t="str">
        <f>"B_01'" &amp; "Flr_0" &amp; INDEX(Joined!$A$3:$M$2000, MATCH($A43, Joined!$I$3:$I$2000, FALSE), 8)</f>
        <v>B_01'Flr_02</v>
      </c>
      <c r="AH43" t="str">
        <f>INDEX(Joined!$A$3:$M$2000, MATCH($A43, Joined!$I$3:$I$2000, FALSE), 7)</f>
        <v>VAV-2E-10</v>
      </c>
      <c r="AI43" t="s">
        <v>1433</v>
      </c>
    </row>
    <row r="44" spans="1:35" x14ac:dyDescent="0.2">
      <c r="A44" t="s">
        <v>435</v>
      </c>
      <c r="B44" t="str">
        <f>"B_01'" &amp; "Flr_0" &amp; INDEX(Joined!$A$3:$M$2000, MATCH($A44, Joined!$I$3:$I$2000, FALSE), 8)</f>
        <v>B_01'Flr_02</v>
      </c>
      <c r="C44" t="str">
        <f>INDEX(Joined!$A$3:$M$2000, MATCH($A44, Joined!$I$3:$I$2000, FALSE), 7)</f>
        <v>VAV-2E-12</v>
      </c>
      <c r="D44">
        <f>INDEX(Joined!$A$3:$M$2000, MATCH($A44, Joined!$I$3:$I$2000, FALSE), 5)</f>
        <v>150203</v>
      </c>
      <c r="E44" t="str">
        <f>INDEX(Joined!$A$3:$M$2000, MATCH($A44, Joined!$I$3:$I$2000, FALSE), 7)</f>
        <v>VAV-2E-12</v>
      </c>
      <c r="F44" t="s">
        <v>38</v>
      </c>
      <c r="G44" t="str">
        <f>INDEX(Schedule!$Q$2:$R$7, MATCH(ABT!$H44,Schedule!$Q$2:$Q$7, 0), 2)</f>
        <v>15007_ADXR_VAV_DXR2M10</v>
      </c>
      <c r="H44">
        <f>INDEX(Joined!$A$3:$M$2000, MATCH($A44, Joined!$I$3:$I$2000, FALSE), 6)</f>
        <v>15007</v>
      </c>
      <c r="I44" t="str">
        <f>INDEX(Joined!$A$3:$M$2000, MATCH($A44, Joined!$I$3:$I$2000, FALSE), 4)</f>
        <v>502</v>
      </c>
      <c r="J44" t="b">
        <v>0</v>
      </c>
      <c r="K44">
        <f>INDEX(Joined!$A$3:$M$2000, MATCH($A44, Joined!$I$3:$I$2000, FALSE), 3)</f>
        <v>3</v>
      </c>
      <c r="L44">
        <v>85</v>
      </c>
      <c r="M44">
        <v>38400</v>
      </c>
      <c r="N44" s="27">
        <f>PI()*(INDEX(Schedule!$A$1:$N$2000, MATCH($C44, VAV_Schedule_5_21[[#All],[UNIT TAG]], FALSE), 4)/2/12)^2</f>
        <v>0.3490658503988659</v>
      </c>
      <c r="O44" s="27">
        <f>INDEX(Schedule!$A$1:$N$2000, MATCH($C44, VAV_Schedule_5_21[[#All],[UNIT TAG]], FALSE), 4)</f>
        <v>8</v>
      </c>
      <c r="P44">
        <v>42.63</v>
      </c>
      <c r="Q44" s="27">
        <f>INDEX(Schedule!$A$1:$N$2000, MATCH($C44, VAV_Schedule_5_21[[#All],[UNIT TAG]], FALSE), 5)</f>
        <v>700</v>
      </c>
      <c r="R44" s="27">
        <f>INDEX(Schedule!$A$1:$N$2000, MATCH($C44, VAV_Schedule_5_21[[#All],[UNIT TAG]], FALSE), 6)</f>
        <v>140</v>
      </c>
      <c r="S44" s="27">
        <f>INDEX(Schedule!$A$1:$N$2000, MATCH($C44, VAV_Schedule_5_21[[#All],[UNIT TAG]], FALSE), 5)</f>
        <v>700</v>
      </c>
      <c r="T44" s="27">
        <f>INDEX(Schedule!$A$1:$N$2000, MATCH($C44, VAV_Schedule_5_21[[#All],[UNIT TAG]], FALSE), 6)</f>
        <v>140</v>
      </c>
      <c r="U44" s="27">
        <f>INDEX(Schedule!$A$1:$N$2000, MATCH($C44, VAV_Schedule_5_21[[#All],[UNIT TAG]], FALSE), 5)</f>
        <v>700</v>
      </c>
      <c r="V44" s="27">
        <f>INDEX(Schedule!$A$1:$N$2000, MATCH($C44, VAV_Schedule_5_21[[#All],[UNIT TAG]], FALSE), 6)</f>
        <v>140</v>
      </c>
      <c r="W44" s="27">
        <f>INDEX(Schedule!$A$1:$N$2000, MATCH($C44, VAV_Schedule_5_21[[#All],[UNIT TAG]], FALSE), 6)</f>
        <v>140</v>
      </c>
      <c r="X44" s="27">
        <f>INDEX(Schedule!$A$1:$N$2000, MATCH($C44, VAV_Schedule_5_21[[#All],[UNIT TAG]], FALSE), 6)</f>
        <v>140</v>
      </c>
      <c r="Y44" s="27">
        <f>INDEX(Schedule!$A$1:$N$2000, MATCH($C44, VAV_Schedule_5_21[[#All],[UNIT TAG]], FALSE), 6)</f>
        <v>140</v>
      </c>
      <c r="Z44" s="27">
        <f>INDEX(Schedule!$A$1:$N$2000, MATCH($C44, VAV_Schedule_5_21[[#All],[UNIT TAG]], FALSE), 6)</f>
        <v>140</v>
      </c>
      <c r="AA44" s="27">
        <v>1000</v>
      </c>
      <c r="AB44" s="27">
        <v>1100</v>
      </c>
      <c r="AC44">
        <v>1400</v>
      </c>
      <c r="AD44" s="29" t="str">
        <f>IF(INDEX(Schedule!$A$1:$N$2000, MATCH($C44, VAV_Schedule_5_21[[#All],[UNIT TAG]], FALSE), 7)="-", 0, INDEX(Schedule!$A$1:$N$2000, MATCH($C44, VAV_Schedule_5_21[[#All],[UNIT TAG]], FALSE), 7))</f>
        <v>6</v>
      </c>
      <c r="AE44" t="str">
        <f>"B_01'" &amp; "Flr_0" &amp; INDEX(Joined!$A$3:$M$2000, MATCH($A44, Joined!$I$3:$I$2000, FALSE), 8)</f>
        <v>B_01'Flr_02</v>
      </c>
      <c r="AF44" t="str">
        <f>"R_" &amp; INDEX(Joined!$A$3:$M$2000, MATCH($A44, Joined!$I$3:$I$2000, FALSE), 7)</f>
        <v>R_VAV-2E-12</v>
      </c>
      <c r="AG44" t="str">
        <f>"B_01'" &amp; "Flr_0" &amp; INDEX(Joined!$A$3:$M$2000, MATCH($A44, Joined!$I$3:$I$2000, FALSE), 8)</f>
        <v>B_01'Flr_02</v>
      </c>
      <c r="AH44" t="str">
        <f>INDEX(Joined!$A$3:$M$2000, MATCH($A44, Joined!$I$3:$I$2000, FALSE), 7)</f>
        <v>VAV-2E-12</v>
      </c>
      <c r="AI44" t="s">
        <v>1434</v>
      </c>
    </row>
    <row r="45" spans="1:35" x14ac:dyDescent="0.2">
      <c r="A45" t="s">
        <v>436</v>
      </c>
      <c r="B45" t="str">
        <f>"B_01'" &amp; "Flr_0" &amp; INDEX(Joined!$A$3:$M$2000, MATCH($A45, Joined!$I$3:$I$2000, FALSE), 8)</f>
        <v>B_01'Flr_02</v>
      </c>
      <c r="C45" t="str">
        <f>INDEX(Joined!$A$3:$M$2000, MATCH($A45, Joined!$I$3:$I$2000, FALSE), 7)</f>
        <v>VAV-2E-13</v>
      </c>
      <c r="D45">
        <f>INDEX(Joined!$A$3:$M$2000, MATCH($A45, Joined!$I$3:$I$2000, FALSE), 5)</f>
        <v>150204</v>
      </c>
      <c r="E45" t="str">
        <f>INDEX(Joined!$A$3:$M$2000, MATCH($A45, Joined!$I$3:$I$2000, FALSE), 7)</f>
        <v>VAV-2E-13</v>
      </c>
      <c r="F45" t="s">
        <v>38</v>
      </c>
      <c r="G45" t="str">
        <f>INDEX(Schedule!$Q$2:$R$7, MATCH(ABT!$H45,Schedule!$Q$2:$Q$7, 0), 2)</f>
        <v>15007_ADXR_VAV_DXR2M10</v>
      </c>
      <c r="H45">
        <f>INDEX(Joined!$A$3:$M$2000, MATCH($A45, Joined!$I$3:$I$2000, FALSE), 6)</f>
        <v>15007</v>
      </c>
      <c r="I45" t="str">
        <f>INDEX(Joined!$A$3:$M$2000, MATCH($A45, Joined!$I$3:$I$2000, FALSE), 4)</f>
        <v>502</v>
      </c>
      <c r="J45" t="b">
        <v>0</v>
      </c>
      <c r="K45">
        <f>INDEX(Joined!$A$3:$M$2000, MATCH($A45, Joined!$I$3:$I$2000, FALSE), 3)</f>
        <v>4</v>
      </c>
      <c r="L45">
        <v>85</v>
      </c>
      <c r="M45">
        <v>38400</v>
      </c>
      <c r="N45" s="27">
        <f>PI()*(INDEX(Schedule!$A$1:$N$2000, MATCH($C45, VAV_Schedule_5_21[[#All],[UNIT TAG]], FALSE), 4)/2/12)^2</f>
        <v>0.54541539124822802</v>
      </c>
      <c r="O45" s="27">
        <f>INDEX(Schedule!$A$1:$N$2000, MATCH($C45, VAV_Schedule_5_21[[#All],[UNIT TAG]], FALSE), 4)</f>
        <v>10</v>
      </c>
      <c r="P45">
        <v>43.63</v>
      </c>
      <c r="Q45" s="27">
        <f>INDEX(Schedule!$A$1:$N$2000, MATCH($C45, VAV_Schedule_5_21[[#All],[UNIT TAG]], FALSE), 5)</f>
        <v>1090</v>
      </c>
      <c r="R45" s="27">
        <f>INDEX(Schedule!$A$1:$N$2000, MATCH($C45, VAV_Schedule_5_21[[#All],[UNIT TAG]], FALSE), 6)</f>
        <v>220</v>
      </c>
      <c r="S45" s="27">
        <f>INDEX(Schedule!$A$1:$N$2000, MATCH($C45, VAV_Schedule_5_21[[#All],[UNIT TAG]], FALSE), 5)</f>
        <v>1090</v>
      </c>
      <c r="T45" s="27">
        <f>INDEX(Schedule!$A$1:$N$2000, MATCH($C45, VAV_Schedule_5_21[[#All],[UNIT TAG]], FALSE), 6)</f>
        <v>220</v>
      </c>
      <c r="U45" s="27">
        <f>INDEX(Schedule!$A$1:$N$2000, MATCH($C45, VAV_Schedule_5_21[[#All],[UNIT TAG]], FALSE), 5)</f>
        <v>1090</v>
      </c>
      <c r="V45" s="27">
        <f>INDEX(Schedule!$A$1:$N$2000, MATCH($C45, VAV_Schedule_5_21[[#All],[UNIT TAG]], FALSE), 6)</f>
        <v>220</v>
      </c>
      <c r="W45" s="27">
        <f>INDEX(Schedule!$A$1:$N$2000, MATCH($C45, VAV_Schedule_5_21[[#All],[UNIT TAG]], FALSE), 6)</f>
        <v>220</v>
      </c>
      <c r="X45" s="27">
        <f>INDEX(Schedule!$A$1:$N$2000, MATCH($C45, VAV_Schedule_5_21[[#All],[UNIT TAG]], FALSE), 6)</f>
        <v>220</v>
      </c>
      <c r="Y45" s="27">
        <f>INDEX(Schedule!$A$1:$N$2000, MATCH($C45, VAV_Schedule_5_21[[#All],[UNIT TAG]], FALSE), 6)</f>
        <v>220</v>
      </c>
      <c r="Z45" s="27">
        <f>INDEX(Schedule!$A$1:$N$2000, MATCH($C45, VAV_Schedule_5_21[[#All],[UNIT TAG]], FALSE), 6)</f>
        <v>220</v>
      </c>
      <c r="AA45" s="27">
        <v>1000</v>
      </c>
      <c r="AB45" s="27">
        <v>1100</v>
      </c>
      <c r="AC45">
        <v>1400</v>
      </c>
      <c r="AD45" s="29" t="str">
        <f>IF(INDEX(Schedule!$A$1:$N$2000, MATCH($C45, VAV_Schedule_5_21[[#All],[UNIT TAG]], FALSE), 7)="-", 0, INDEX(Schedule!$A$1:$N$2000, MATCH($C45, VAV_Schedule_5_21[[#All],[UNIT TAG]], FALSE), 7))</f>
        <v>7</v>
      </c>
      <c r="AE45" t="str">
        <f>"B_01'" &amp; "Flr_0" &amp; INDEX(Joined!$A$3:$M$2000, MATCH($A45, Joined!$I$3:$I$2000, FALSE), 8)</f>
        <v>B_01'Flr_02</v>
      </c>
      <c r="AF45" t="str">
        <f>"R_" &amp; INDEX(Joined!$A$3:$M$2000, MATCH($A45, Joined!$I$3:$I$2000, FALSE), 7)</f>
        <v>R_VAV-2E-13</v>
      </c>
      <c r="AG45" t="str">
        <f>"B_01'" &amp; "Flr_0" &amp; INDEX(Joined!$A$3:$M$2000, MATCH($A45, Joined!$I$3:$I$2000, FALSE), 8)</f>
        <v>B_01'Flr_02</v>
      </c>
      <c r="AH45" t="str">
        <f>INDEX(Joined!$A$3:$M$2000, MATCH($A45, Joined!$I$3:$I$2000, FALSE), 7)</f>
        <v>VAV-2E-13</v>
      </c>
      <c r="AI45" t="s">
        <v>1435</v>
      </c>
    </row>
    <row r="46" spans="1:35" x14ac:dyDescent="0.2">
      <c r="A46" t="s">
        <v>437</v>
      </c>
      <c r="B46" t="str">
        <f>"B_01'" &amp; "Flr_0" &amp; INDEX(Joined!$A$3:$M$2000, MATCH($A46, Joined!$I$3:$I$2000, FALSE), 8)</f>
        <v>B_01'Flr_02</v>
      </c>
      <c r="C46" t="str">
        <f>INDEX(Joined!$A$3:$M$2000, MATCH($A46, Joined!$I$3:$I$2000, FALSE), 7)</f>
        <v>VAV-2E-14</v>
      </c>
      <c r="D46">
        <f>INDEX(Joined!$A$3:$M$2000, MATCH($A46, Joined!$I$3:$I$2000, FALSE), 5)</f>
        <v>150205</v>
      </c>
      <c r="E46" t="str">
        <f>INDEX(Joined!$A$3:$M$2000, MATCH($A46, Joined!$I$3:$I$2000, FALSE), 7)</f>
        <v>VAV-2E-14</v>
      </c>
      <c r="F46" t="s">
        <v>38</v>
      </c>
      <c r="G46" t="str">
        <f>INDEX(Schedule!$Q$2:$R$7, MATCH(ABT!$H46,Schedule!$Q$2:$Q$7, 0), 2)</f>
        <v>15006_ADXR_VAV_DXR2M10</v>
      </c>
      <c r="H46">
        <f>INDEX(Joined!$A$3:$M$2000, MATCH($A46, Joined!$I$3:$I$2000, FALSE), 6)</f>
        <v>15006</v>
      </c>
      <c r="I46" t="str">
        <f>INDEX(Joined!$A$3:$M$2000, MATCH($A46, Joined!$I$3:$I$2000, FALSE), 4)</f>
        <v>502</v>
      </c>
      <c r="J46" t="b">
        <v>0</v>
      </c>
      <c r="K46">
        <f>INDEX(Joined!$A$3:$M$2000, MATCH($A46, Joined!$I$3:$I$2000, FALSE), 3)</f>
        <v>5</v>
      </c>
      <c r="L46">
        <v>85</v>
      </c>
      <c r="M46">
        <v>38400</v>
      </c>
      <c r="N46" s="27">
        <f>PI()*(INDEX(Schedule!$A$1:$N$2000, MATCH($C46, VAV_Schedule_5_21[[#All],[UNIT TAG]], FALSE), 4)/2/12)^2</f>
        <v>0.78539816339744828</v>
      </c>
      <c r="O46" s="27">
        <f>INDEX(Schedule!$A$1:$N$2000, MATCH($C46, VAV_Schedule_5_21[[#All],[UNIT TAG]], FALSE), 4)</f>
        <v>12</v>
      </c>
      <c r="P46">
        <v>44.63</v>
      </c>
      <c r="Q46" s="27">
        <f>INDEX(Schedule!$A$1:$N$2000, MATCH($C46, VAV_Schedule_5_21[[#All],[UNIT TAG]], FALSE), 5)</f>
        <v>1170</v>
      </c>
      <c r="R46" s="27">
        <f>INDEX(Schedule!$A$1:$N$2000, MATCH($C46, VAV_Schedule_5_21[[#All],[UNIT TAG]], FALSE), 6)</f>
        <v>235</v>
      </c>
      <c r="S46" s="27">
        <f>INDEX(Schedule!$A$1:$N$2000, MATCH($C46, VAV_Schedule_5_21[[#All],[UNIT TAG]], FALSE), 5)</f>
        <v>1170</v>
      </c>
      <c r="T46" s="27">
        <f>INDEX(Schedule!$A$1:$N$2000, MATCH($C46, VAV_Schedule_5_21[[#All],[UNIT TAG]], FALSE), 6)</f>
        <v>235</v>
      </c>
      <c r="U46" s="27">
        <f>INDEX(Schedule!$A$1:$N$2000, MATCH($C46, VAV_Schedule_5_21[[#All],[UNIT TAG]], FALSE), 5)</f>
        <v>1170</v>
      </c>
      <c r="V46" s="27">
        <f>INDEX(Schedule!$A$1:$N$2000, MATCH($C46, VAV_Schedule_5_21[[#All],[UNIT TAG]], FALSE), 6)</f>
        <v>235</v>
      </c>
      <c r="W46" s="27">
        <f>INDEX(Schedule!$A$1:$N$2000, MATCH($C46, VAV_Schedule_5_21[[#All],[UNIT TAG]], FALSE), 6)</f>
        <v>235</v>
      </c>
      <c r="X46" s="27">
        <f>INDEX(Schedule!$A$1:$N$2000, MATCH($C46, VAV_Schedule_5_21[[#All],[UNIT TAG]], FALSE), 6)</f>
        <v>235</v>
      </c>
      <c r="Y46" s="27">
        <f>INDEX(Schedule!$A$1:$N$2000, MATCH($C46, VAV_Schedule_5_21[[#All],[UNIT TAG]], FALSE), 6)</f>
        <v>235</v>
      </c>
      <c r="Z46" s="27">
        <f>INDEX(Schedule!$A$1:$N$2000, MATCH($C46, VAV_Schedule_5_21[[#All],[UNIT TAG]], FALSE), 6)</f>
        <v>235</v>
      </c>
      <c r="AA46" s="27">
        <v>1000</v>
      </c>
      <c r="AB46" s="27">
        <v>1100</v>
      </c>
      <c r="AC46">
        <v>1400</v>
      </c>
      <c r="AD46" s="29">
        <f>IF(INDEX(Schedule!$A$1:$N$2000, MATCH($C46, VAV_Schedule_5_21[[#All],[UNIT TAG]], FALSE), 7)="-", 0, INDEX(Schedule!$A$1:$N$2000, MATCH($C46, VAV_Schedule_5_21[[#All],[UNIT TAG]], FALSE), 7))</f>
        <v>0</v>
      </c>
      <c r="AE46" t="str">
        <f>"B_01'" &amp; "Flr_0" &amp; INDEX(Joined!$A$3:$M$2000, MATCH($A46, Joined!$I$3:$I$2000, FALSE), 8)</f>
        <v>B_01'Flr_02</v>
      </c>
      <c r="AF46" t="str">
        <f>"R_" &amp; INDEX(Joined!$A$3:$M$2000, MATCH($A46, Joined!$I$3:$I$2000, FALSE), 7)</f>
        <v>R_VAV-2E-14</v>
      </c>
      <c r="AG46" t="str">
        <f>"B_01'" &amp; "Flr_0" &amp; INDEX(Joined!$A$3:$M$2000, MATCH($A46, Joined!$I$3:$I$2000, FALSE), 8)</f>
        <v>B_01'Flr_02</v>
      </c>
      <c r="AH46" t="str">
        <f>INDEX(Joined!$A$3:$M$2000, MATCH($A46, Joined!$I$3:$I$2000, FALSE), 7)</f>
        <v>VAV-2E-14</v>
      </c>
      <c r="AI46" t="s">
        <v>1436</v>
      </c>
    </row>
    <row r="47" spans="1:35" x14ac:dyDescent="0.2">
      <c r="A47" t="s">
        <v>438</v>
      </c>
      <c r="B47" t="str">
        <f>"B_01'" &amp; "Flr_0" &amp; INDEX(Joined!$A$3:$M$2000, MATCH($A47, Joined!$I$3:$I$2000, FALSE), 8)</f>
        <v>B_01'Flr_02</v>
      </c>
      <c r="C47" t="str">
        <f>INDEX(Joined!$A$3:$M$2000, MATCH($A47, Joined!$I$3:$I$2000, FALSE), 7)</f>
        <v>VAV-2E-15</v>
      </c>
      <c r="D47">
        <f>INDEX(Joined!$A$3:$M$2000, MATCH($A47, Joined!$I$3:$I$2000, FALSE), 5)</f>
        <v>150206</v>
      </c>
      <c r="E47" t="str">
        <f>INDEX(Joined!$A$3:$M$2000, MATCH($A47, Joined!$I$3:$I$2000, FALSE), 7)</f>
        <v>VAV-2E-15</v>
      </c>
      <c r="F47" t="s">
        <v>38</v>
      </c>
      <c r="G47" t="str">
        <f>INDEX(Schedule!$Q$2:$R$7, MATCH(ABT!$H47,Schedule!$Q$2:$Q$7, 0), 2)</f>
        <v>15007_ADXR_VAV_DXR2M10</v>
      </c>
      <c r="H47">
        <f>INDEX(Joined!$A$3:$M$2000, MATCH($A47, Joined!$I$3:$I$2000, FALSE), 6)</f>
        <v>15007</v>
      </c>
      <c r="I47" t="str">
        <f>INDEX(Joined!$A$3:$M$2000, MATCH($A47, Joined!$I$3:$I$2000, FALSE), 4)</f>
        <v>502</v>
      </c>
      <c r="J47" t="b">
        <v>0</v>
      </c>
      <c r="K47">
        <f>INDEX(Joined!$A$3:$M$2000, MATCH($A47, Joined!$I$3:$I$2000, FALSE), 3)</f>
        <v>6</v>
      </c>
      <c r="L47">
        <v>85</v>
      </c>
      <c r="M47">
        <v>38400</v>
      </c>
      <c r="N47" s="27">
        <f>PI()*(INDEX(Schedule!$A$1:$N$2000, MATCH($C47, VAV_Schedule_5_21[[#All],[UNIT TAG]], FALSE), 4)/2/12)^2</f>
        <v>0.54541539124822802</v>
      </c>
      <c r="O47" s="27">
        <f>INDEX(Schedule!$A$1:$N$2000, MATCH($C47, VAV_Schedule_5_21[[#All],[UNIT TAG]], FALSE), 4)</f>
        <v>10</v>
      </c>
      <c r="P47">
        <v>45.63</v>
      </c>
      <c r="Q47" s="27">
        <f>INDEX(Schedule!$A$1:$N$2000, MATCH($C47, VAV_Schedule_5_21[[#All],[UNIT TAG]], FALSE), 5)</f>
        <v>1010</v>
      </c>
      <c r="R47" s="27">
        <f>INDEX(Schedule!$A$1:$N$2000, MATCH($C47, VAV_Schedule_5_21[[#All],[UNIT TAG]], FALSE), 6)</f>
        <v>205</v>
      </c>
      <c r="S47" s="27">
        <f>INDEX(Schedule!$A$1:$N$2000, MATCH($C47, VAV_Schedule_5_21[[#All],[UNIT TAG]], FALSE), 5)</f>
        <v>1010</v>
      </c>
      <c r="T47" s="27">
        <f>INDEX(Schedule!$A$1:$N$2000, MATCH($C47, VAV_Schedule_5_21[[#All],[UNIT TAG]], FALSE), 6)</f>
        <v>205</v>
      </c>
      <c r="U47" s="27">
        <f>INDEX(Schedule!$A$1:$N$2000, MATCH($C47, VAV_Schedule_5_21[[#All],[UNIT TAG]], FALSE), 5)</f>
        <v>1010</v>
      </c>
      <c r="V47" s="27">
        <f>INDEX(Schedule!$A$1:$N$2000, MATCH($C47, VAV_Schedule_5_21[[#All],[UNIT TAG]], FALSE), 6)</f>
        <v>205</v>
      </c>
      <c r="W47" s="27">
        <f>INDEX(Schedule!$A$1:$N$2000, MATCH($C47, VAV_Schedule_5_21[[#All],[UNIT TAG]], FALSE), 6)</f>
        <v>205</v>
      </c>
      <c r="X47" s="27">
        <f>INDEX(Schedule!$A$1:$N$2000, MATCH($C47, VAV_Schedule_5_21[[#All],[UNIT TAG]], FALSE), 6)</f>
        <v>205</v>
      </c>
      <c r="Y47" s="27">
        <f>INDEX(Schedule!$A$1:$N$2000, MATCH($C47, VAV_Schedule_5_21[[#All],[UNIT TAG]], FALSE), 6)</f>
        <v>205</v>
      </c>
      <c r="Z47" s="27">
        <f>INDEX(Schedule!$A$1:$N$2000, MATCH($C47, VAV_Schedule_5_21[[#All],[UNIT TAG]], FALSE), 6)</f>
        <v>205</v>
      </c>
      <c r="AA47" s="27">
        <v>1000</v>
      </c>
      <c r="AB47" s="27">
        <v>1100</v>
      </c>
      <c r="AC47">
        <v>1400</v>
      </c>
      <c r="AD47" s="29" t="str">
        <f>IF(INDEX(Schedule!$A$1:$N$2000, MATCH($C47, VAV_Schedule_5_21[[#All],[UNIT TAG]], FALSE), 7)="-", 0, INDEX(Schedule!$A$1:$N$2000, MATCH($C47, VAV_Schedule_5_21[[#All],[UNIT TAG]], FALSE), 7))</f>
        <v>7</v>
      </c>
      <c r="AE47" t="str">
        <f>"B_01'" &amp; "Flr_0" &amp; INDEX(Joined!$A$3:$M$2000, MATCH($A47, Joined!$I$3:$I$2000, FALSE), 8)</f>
        <v>B_01'Flr_02</v>
      </c>
      <c r="AF47" t="str">
        <f>"R_" &amp; INDEX(Joined!$A$3:$M$2000, MATCH($A47, Joined!$I$3:$I$2000, FALSE), 7)</f>
        <v>R_VAV-2E-15</v>
      </c>
      <c r="AG47" t="str">
        <f>"B_01'" &amp; "Flr_0" &amp; INDEX(Joined!$A$3:$M$2000, MATCH($A47, Joined!$I$3:$I$2000, FALSE), 8)</f>
        <v>B_01'Flr_02</v>
      </c>
      <c r="AH47" t="str">
        <f>INDEX(Joined!$A$3:$M$2000, MATCH($A47, Joined!$I$3:$I$2000, FALSE), 7)</f>
        <v>VAV-2E-15</v>
      </c>
      <c r="AI47" t="s">
        <v>1437</v>
      </c>
    </row>
    <row r="48" spans="1:35" x14ac:dyDescent="0.2">
      <c r="A48" t="s">
        <v>439</v>
      </c>
      <c r="B48" t="str">
        <f>"B_01'" &amp; "Flr_0" &amp; INDEX(Joined!$A$3:$M$2000, MATCH($A48, Joined!$I$3:$I$2000, FALSE), 8)</f>
        <v>B_01'Flr_02</v>
      </c>
      <c r="C48" t="str">
        <f>INDEX(Joined!$A$3:$M$2000, MATCH($A48, Joined!$I$3:$I$2000, FALSE), 7)</f>
        <v>VAV-2E-16</v>
      </c>
      <c r="D48">
        <f>INDEX(Joined!$A$3:$M$2000, MATCH($A48, Joined!$I$3:$I$2000, FALSE), 5)</f>
        <v>150207</v>
      </c>
      <c r="E48" t="str">
        <f>INDEX(Joined!$A$3:$M$2000, MATCH($A48, Joined!$I$3:$I$2000, FALSE), 7)</f>
        <v>VAV-2E-16</v>
      </c>
      <c r="F48" t="s">
        <v>38</v>
      </c>
      <c r="G48" t="str">
        <f>INDEX(Schedule!$Q$2:$R$7, MATCH(ABT!$H48,Schedule!$Q$2:$Q$7, 0), 2)</f>
        <v>15006_ADXR_VAV_DXR2M10</v>
      </c>
      <c r="H48">
        <f>INDEX(Joined!$A$3:$M$2000, MATCH($A48, Joined!$I$3:$I$2000, FALSE), 6)</f>
        <v>15006</v>
      </c>
      <c r="I48" t="str">
        <f>INDEX(Joined!$A$3:$M$2000, MATCH($A48, Joined!$I$3:$I$2000, FALSE), 4)</f>
        <v>502</v>
      </c>
      <c r="J48" t="b">
        <v>0</v>
      </c>
      <c r="K48">
        <f>INDEX(Joined!$A$3:$M$2000, MATCH($A48, Joined!$I$3:$I$2000, FALSE), 3)</f>
        <v>7</v>
      </c>
      <c r="L48">
        <v>85</v>
      </c>
      <c r="M48">
        <v>38400</v>
      </c>
      <c r="N48" s="27">
        <f>PI()*(INDEX(Schedule!$A$1:$N$2000, MATCH($C48, VAV_Schedule_5_21[[#All],[UNIT TAG]], FALSE), 4)/2/12)^2</f>
        <v>0.19634954084936207</v>
      </c>
      <c r="O48" s="27">
        <f>INDEX(Schedule!$A$1:$N$2000, MATCH($C48, VAV_Schedule_5_21[[#All],[UNIT TAG]], FALSE), 4)</f>
        <v>6</v>
      </c>
      <c r="P48">
        <v>46.63</v>
      </c>
      <c r="Q48" s="27">
        <f>INDEX(Schedule!$A$1:$N$2000, MATCH($C48, VAV_Schedule_5_21[[#All],[UNIT TAG]], FALSE), 5)</f>
        <v>400</v>
      </c>
      <c r="R48" s="27">
        <f>INDEX(Schedule!$A$1:$N$2000, MATCH($C48, VAV_Schedule_5_21[[#All],[UNIT TAG]], FALSE), 6)</f>
        <v>80</v>
      </c>
      <c r="S48" s="27">
        <f>INDEX(Schedule!$A$1:$N$2000, MATCH($C48, VAV_Schedule_5_21[[#All],[UNIT TAG]], FALSE), 5)</f>
        <v>400</v>
      </c>
      <c r="T48" s="27">
        <f>INDEX(Schedule!$A$1:$N$2000, MATCH($C48, VAV_Schedule_5_21[[#All],[UNIT TAG]], FALSE), 6)</f>
        <v>80</v>
      </c>
      <c r="U48" s="27">
        <f>INDEX(Schedule!$A$1:$N$2000, MATCH($C48, VAV_Schedule_5_21[[#All],[UNIT TAG]], FALSE), 5)</f>
        <v>400</v>
      </c>
      <c r="V48" s="27">
        <f>INDEX(Schedule!$A$1:$N$2000, MATCH($C48, VAV_Schedule_5_21[[#All],[UNIT TAG]], FALSE), 6)</f>
        <v>80</v>
      </c>
      <c r="W48" s="27">
        <f>INDEX(Schedule!$A$1:$N$2000, MATCH($C48, VAV_Schedule_5_21[[#All],[UNIT TAG]], FALSE), 6)</f>
        <v>80</v>
      </c>
      <c r="X48" s="27">
        <f>INDEX(Schedule!$A$1:$N$2000, MATCH($C48, VAV_Schedule_5_21[[#All],[UNIT TAG]], FALSE), 6)</f>
        <v>80</v>
      </c>
      <c r="Y48" s="27">
        <f>INDEX(Schedule!$A$1:$N$2000, MATCH($C48, VAV_Schedule_5_21[[#All],[UNIT TAG]], FALSE), 6)</f>
        <v>80</v>
      </c>
      <c r="Z48" s="27">
        <f>INDEX(Schedule!$A$1:$N$2000, MATCH($C48, VAV_Schedule_5_21[[#All],[UNIT TAG]], FALSE), 6)</f>
        <v>80</v>
      </c>
      <c r="AA48" s="27">
        <v>1000</v>
      </c>
      <c r="AB48" s="27">
        <v>1100</v>
      </c>
      <c r="AC48">
        <v>1400</v>
      </c>
      <c r="AD48" s="29">
        <f>IF(INDEX(Schedule!$A$1:$N$2000, MATCH($C48, VAV_Schedule_5_21[[#All],[UNIT TAG]], FALSE), 7)="-", 0, INDEX(Schedule!$A$1:$N$2000, MATCH($C48, VAV_Schedule_5_21[[#All],[UNIT TAG]], FALSE), 7))</f>
        <v>0</v>
      </c>
      <c r="AE48" t="str">
        <f>"B_01'" &amp; "Flr_0" &amp; INDEX(Joined!$A$3:$M$2000, MATCH($A48, Joined!$I$3:$I$2000, FALSE), 8)</f>
        <v>B_01'Flr_02</v>
      </c>
      <c r="AF48" t="str">
        <f>"R_" &amp; INDEX(Joined!$A$3:$M$2000, MATCH($A48, Joined!$I$3:$I$2000, FALSE), 7)</f>
        <v>R_VAV-2E-16</v>
      </c>
      <c r="AG48" t="str">
        <f>"B_01'" &amp; "Flr_0" &amp; INDEX(Joined!$A$3:$M$2000, MATCH($A48, Joined!$I$3:$I$2000, FALSE), 8)</f>
        <v>B_01'Flr_02</v>
      </c>
      <c r="AH48" t="str">
        <f>INDEX(Joined!$A$3:$M$2000, MATCH($A48, Joined!$I$3:$I$2000, FALSE), 7)</f>
        <v>VAV-2E-16</v>
      </c>
      <c r="AI48" t="s">
        <v>1438</v>
      </c>
    </row>
    <row r="49" spans="1:35" x14ac:dyDescent="0.2">
      <c r="A49" t="s">
        <v>440</v>
      </c>
      <c r="B49" t="str">
        <f>"B_01'" &amp; "Flr_0" &amp; INDEX(Joined!$A$3:$M$2000, MATCH($A49, Joined!$I$3:$I$2000, FALSE), 8)</f>
        <v>B_01'Flr_02</v>
      </c>
      <c r="C49" t="str">
        <f>INDEX(Joined!$A$3:$M$2000, MATCH($A49, Joined!$I$3:$I$2000, FALSE), 7)</f>
        <v>VAV-2E-17</v>
      </c>
      <c r="D49">
        <f>INDEX(Joined!$A$3:$M$2000, MATCH($A49, Joined!$I$3:$I$2000, FALSE), 5)</f>
        <v>150208</v>
      </c>
      <c r="E49" t="str">
        <f>INDEX(Joined!$A$3:$M$2000, MATCH($A49, Joined!$I$3:$I$2000, FALSE), 7)</f>
        <v>VAV-2E-17</v>
      </c>
      <c r="F49" t="s">
        <v>38</v>
      </c>
      <c r="G49" t="str">
        <f>INDEX(Schedule!$Q$2:$R$7, MATCH(ABT!$H49,Schedule!$Q$2:$Q$7, 0), 2)</f>
        <v>15006_ADXR_VAV_DXR2M10</v>
      </c>
      <c r="H49">
        <f>INDEX(Joined!$A$3:$M$2000, MATCH($A49, Joined!$I$3:$I$2000, FALSE), 6)</f>
        <v>15006</v>
      </c>
      <c r="I49" t="str">
        <f>INDEX(Joined!$A$3:$M$2000, MATCH($A49, Joined!$I$3:$I$2000, FALSE), 4)</f>
        <v>502</v>
      </c>
      <c r="J49" t="b">
        <v>0</v>
      </c>
      <c r="K49">
        <f>INDEX(Joined!$A$3:$M$2000, MATCH($A49, Joined!$I$3:$I$2000, FALSE), 3)</f>
        <v>8</v>
      </c>
      <c r="L49">
        <v>85</v>
      </c>
      <c r="M49">
        <v>38400</v>
      </c>
      <c r="N49" s="27">
        <f>PI()*(INDEX(Schedule!$A$1:$N$2000, MATCH($C49, VAV_Schedule_5_21[[#All],[UNIT TAG]], FALSE), 4)/2/12)^2</f>
        <v>0.78539816339744828</v>
      </c>
      <c r="O49" s="27">
        <f>INDEX(Schedule!$A$1:$N$2000, MATCH($C49, VAV_Schedule_5_21[[#All],[UNIT TAG]], FALSE), 4)</f>
        <v>12</v>
      </c>
      <c r="P49">
        <v>47.63</v>
      </c>
      <c r="Q49" s="27">
        <f>INDEX(Schedule!$A$1:$N$2000, MATCH($C49, VAV_Schedule_5_21[[#All],[UNIT TAG]], FALSE), 5)</f>
        <v>1275</v>
      </c>
      <c r="R49" s="27">
        <f>INDEX(Schedule!$A$1:$N$2000, MATCH($C49, VAV_Schedule_5_21[[#All],[UNIT TAG]], FALSE), 6)</f>
        <v>255</v>
      </c>
      <c r="S49" s="27">
        <f>INDEX(Schedule!$A$1:$N$2000, MATCH($C49, VAV_Schedule_5_21[[#All],[UNIT TAG]], FALSE), 5)</f>
        <v>1275</v>
      </c>
      <c r="T49" s="27">
        <f>INDEX(Schedule!$A$1:$N$2000, MATCH($C49, VAV_Schedule_5_21[[#All],[UNIT TAG]], FALSE), 6)</f>
        <v>255</v>
      </c>
      <c r="U49" s="27">
        <f>INDEX(Schedule!$A$1:$N$2000, MATCH($C49, VAV_Schedule_5_21[[#All],[UNIT TAG]], FALSE), 5)</f>
        <v>1275</v>
      </c>
      <c r="V49" s="27">
        <f>INDEX(Schedule!$A$1:$N$2000, MATCH($C49, VAV_Schedule_5_21[[#All],[UNIT TAG]], FALSE), 6)</f>
        <v>255</v>
      </c>
      <c r="W49" s="27">
        <f>INDEX(Schedule!$A$1:$N$2000, MATCH($C49, VAV_Schedule_5_21[[#All],[UNIT TAG]], FALSE), 6)</f>
        <v>255</v>
      </c>
      <c r="X49" s="27">
        <f>INDEX(Schedule!$A$1:$N$2000, MATCH($C49, VAV_Schedule_5_21[[#All],[UNIT TAG]], FALSE), 6)</f>
        <v>255</v>
      </c>
      <c r="Y49" s="27">
        <f>INDEX(Schedule!$A$1:$N$2000, MATCH($C49, VAV_Schedule_5_21[[#All],[UNIT TAG]], FALSE), 6)</f>
        <v>255</v>
      </c>
      <c r="Z49" s="27">
        <f>INDEX(Schedule!$A$1:$N$2000, MATCH($C49, VAV_Schedule_5_21[[#All],[UNIT TAG]], FALSE), 6)</f>
        <v>255</v>
      </c>
      <c r="AA49" s="27">
        <v>1000</v>
      </c>
      <c r="AB49" s="27">
        <v>1100</v>
      </c>
      <c r="AC49">
        <v>1400</v>
      </c>
      <c r="AD49" s="29">
        <f>IF(INDEX(Schedule!$A$1:$N$2000, MATCH($C49, VAV_Schedule_5_21[[#All],[UNIT TAG]], FALSE), 7)="-", 0, INDEX(Schedule!$A$1:$N$2000, MATCH($C49, VAV_Schedule_5_21[[#All],[UNIT TAG]], FALSE), 7))</f>
        <v>0</v>
      </c>
      <c r="AE49" t="str">
        <f>"B_01'" &amp; "Flr_0" &amp; INDEX(Joined!$A$3:$M$2000, MATCH($A49, Joined!$I$3:$I$2000, FALSE), 8)</f>
        <v>B_01'Flr_02</v>
      </c>
      <c r="AF49" t="str">
        <f>"R_" &amp; INDEX(Joined!$A$3:$M$2000, MATCH($A49, Joined!$I$3:$I$2000, FALSE), 7)</f>
        <v>R_VAV-2E-17</v>
      </c>
      <c r="AG49" t="str">
        <f>"B_01'" &amp; "Flr_0" &amp; INDEX(Joined!$A$3:$M$2000, MATCH($A49, Joined!$I$3:$I$2000, FALSE), 8)</f>
        <v>B_01'Flr_02</v>
      </c>
      <c r="AH49" t="str">
        <f>INDEX(Joined!$A$3:$M$2000, MATCH($A49, Joined!$I$3:$I$2000, FALSE), 7)</f>
        <v>VAV-2E-17</v>
      </c>
      <c r="AI49" t="s">
        <v>1439</v>
      </c>
    </row>
    <row r="50" spans="1:35" x14ac:dyDescent="0.2">
      <c r="A50" t="s">
        <v>441</v>
      </c>
      <c r="B50" t="str">
        <f>"B_01'" &amp; "Flr_0" &amp; INDEX(Joined!$A$3:$M$2000, MATCH($A50, Joined!$I$3:$I$2000, FALSE), 8)</f>
        <v>B_01'Flr_02</v>
      </c>
      <c r="C50" t="str">
        <f>INDEX(Joined!$A$3:$M$2000, MATCH($A50, Joined!$I$3:$I$2000, FALSE), 7)</f>
        <v>VAV-2E-18</v>
      </c>
      <c r="D50">
        <f>INDEX(Joined!$A$3:$M$2000, MATCH($A50, Joined!$I$3:$I$2000, FALSE), 5)</f>
        <v>150209</v>
      </c>
      <c r="E50" t="str">
        <f>INDEX(Joined!$A$3:$M$2000, MATCH($A50, Joined!$I$3:$I$2000, FALSE), 7)</f>
        <v>VAV-2E-18</v>
      </c>
      <c r="F50" t="s">
        <v>38</v>
      </c>
      <c r="G50" t="str">
        <f>INDEX(Schedule!$Q$2:$R$7, MATCH(ABT!$H50,Schedule!$Q$2:$Q$7, 0), 2)</f>
        <v>15007_ADXR_VAV_DXR2M10</v>
      </c>
      <c r="H50">
        <f>INDEX(Joined!$A$3:$M$2000, MATCH($A50, Joined!$I$3:$I$2000, FALSE), 6)</f>
        <v>15007</v>
      </c>
      <c r="I50" t="str">
        <f>INDEX(Joined!$A$3:$M$2000, MATCH($A50, Joined!$I$3:$I$2000, FALSE), 4)</f>
        <v>502</v>
      </c>
      <c r="J50" t="b">
        <v>0</v>
      </c>
      <c r="K50">
        <f>INDEX(Joined!$A$3:$M$2000, MATCH($A50, Joined!$I$3:$I$2000, FALSE), 3)</f>
        <v>9</v>
      </c>
      <c r="L50">
        <v>85</v>
      </c>
      <c r="M50">
        <v>38400</v>
      </c>
      <c r="N50" s="27">
        <f>PI()*(INDEX(Schedule!$A$1:$N$2000, MATCH($C50, VAV_Schedule_5_21[[#All],[UNIT TAG]], FALSE), 4)/2/12)^2</f>
        <v>0.3490658503988659</v>
      </c>
      <c r="O50" s="27">
        <f>INDEX(Schedule!$A$1:$N$2000, MATCH($C50, VAV_Schedule_5_21[[#All],[UNIT TAG]], FALSE), 4)</f>
        <v>8</v>
      </c>
      <c r="P50">
        <v>48.63</v>
      </c>
      <c r="Q50" s="27">
        <f>INDEX(Schedule!$A$1:$N$2000, MATCH($C50, VAV_Schedule_5_21[[#All],[UNIT TAG]], FALSE), 5)</f>
        <v>640</v>
      </c>
      <c r="R50" s="27">
        <f>INDEX(Schedule!$A$1:$N$2000, MATCH($C50, VAV_Schedule_5_21[[#All],[UNIT TAG]], FALSE), 6)</f>
        <v>130</v>
      </c>
      <c r="S50" s="27">
        <f>INDEX(Schedule!$A$1:$N$2000, MATCH($C50, VAV_Schedule_5_21[[#All],[UNIT TAG]], FALSE), 5)</f>
        <v>640</v>
      </c>
      <c r="T50" s="27">
        <f>INDEX(Schedule!$A$1:$N$2000, MATCH($C50, VAV_Schedule_5_21[[#All],[UNIT TAG]], FALSE), 6)</f>
        <v>130</v>
      </c>
      <c r="U50" s="27">
        <f>INDEX(Schedule!$A$1:$N$2000, MATCH($C50, VAV_Schedule_5_21[[#All],[UNIT TAG]], FALSE), 5)</f>
        <v>640</v>
      </c>
      <c r="V50" s="27">
        <f>INDEX(Schedule!$A$1:$N$2000, MATCH($C50, VAV_Schedule_5_21[[#All],[UNIT TAG]], FALSE), 6)</f>
        <v>130</v>
      </c>
      <c r="W50" s="27">
        <f>INDEX(Schedule!$A$1:$N$2000, MATCH($C50, VAV_Schedule_5_21[[#All],[UNIT TAG]], FALSE), 6)</f>
        <v>130</v>
      </c>
      <c r="X50" s="27">
        <f>INDEX(Schedule!$A$1:$N$2000, MATCH($C50, VAV_Schedule_5_21[[#All],[UNIT TAG]], FALSE), 6)</f>
        <v>130</v>
      </c>
      <c r="Y50" s="27">
        <f>INDEX(Schedule!$A$1:$N$2000, MATCH($C50, VAV_Schedule_5_21[[#All],[UNIT TAG]], FALSE), 6)</f>
        <v>130</v>
      </c>
      <c r="Z50" s="27">
        <f>INDEX(Schedule!$A$1:$N$2000, MATCH($C50, VAV_Schedule_5_21[[#All],[UNIT TAG]], FALSE), 6)</f>
        <v>130</v>
      </c>
      <c r="AA50" s="27">
        <v>1000</v>
      </c>
      <c r="AB50" s="27">
        <v>1100</v>
      </c>
      <c r="AC50">
        <v>1400</v>
      </c>
      <c r="AD50" s="29" t="str">
        <f>IF(INDEX(Schedule!$A$1:$N$2000, MATCH($C50, VAV_Schedule_5_21[[#All],[UNIT TAG]], FALSE), 7)="-", 0, INDEX(Schedule!$A$1:$N$2000, MATCH($C50, VAV_Schedule_5_21[[#All],[UNIT TAG]], FALSE), 7))</f>
        <v>6</v>
      </c>
      <c r="AE50" t="str">
        <f>"B_01'" &amp; "Flr_0" &amp; INDEX(Joined!$A$3:$M$2000, MATCH($A50, Joined!$I$3:$I$2000, FALSE), 8)</f>
        <v>B_01'Flr_02</v>
      </c>
      <c r="AF50" t="str">
        <f>"R_" &amp; INDEX(Joined!$A$3:$M$2000, MATCH($A50, Joined!$I$3:$I$2000, FALSE), 7)</f>
        <v>R_VAV-2E-18</v>
      </c>
      <c r="AG50" t="str">
        <f>"B_01'" &amp; "Flr_0" &amp; INDEX(Joined!$A$3:$M$2000, MATCH($A50, Joined!$I$3:$I$2000, FALSE), 8)</f>
        <v>B_01'Flr_02</v>
      </c>
      <c r="AH50" t="str">
        <f>INDEX(Joined!$A$3:$M$2000, MATCH($A50, Joined!$I$3:$I$2000, FALSE), 7)</f>
        <v>VAV-2E-18</v>
      </c>
      <c r="AI50" t="s">
        <v>1440</v>
      </c>
    </row>
    <row r="51" spans="1:35" x14ac:dyDescent="0.2">
      <c r="A51" t="s">
        <v>442</v>
      </c>
      <c r="B51" t="str">
        <f>"B_01'" &amp; "Flr_0" &amp; INDEX(Joined!$A$3:$M$2000, MATCH($A51, Joined!$I$3:$I$2000, FALSE), 8)</f>
        <v>B_01'Flr_02</v>
      </c>
      <c r="C51" t="str">
        <f>INDEX(Joined!$A$3:$M$2000, MATCH($A51, Joined!$I$3:$I$2000, FALSE), 7)</f>
        <v>VAV-2E-19</v>
      </c>
      <c r="D51">
        <f>INDEX(Joined!$A$3:$M$2000, MATCH($A51, Joined!$I$3:$I$2000, FALSE), 5)</f>
        <v>150210</v>
      </c>
      <c r="E51" t="str">
        <f>INDEX(Joined!$A$3:$M$2000, MATCH($A51, Joined!$I$3:$I$2000, FALSE), 7)</f>
        <v>VAV-2E-19</v>
      </c>
      <c r="F51" t="s">
        <v>38</v>
      </c>
      <c r="G51" t="str">
        <f>INDEX(Schedule!$Q$2:$R$7, MATCH(ABT!$H51,Schedule!$Q$2:$Q$7, 0), 2)</f>
        <v>15007_ADXR_VAV_DXR2M10</v>
      </c>
      <c r="H51">
        <f>INDEX(Joined!$A$3:$M$2000, MATCH($A51, Joined!$I$3:$I$2000, FALSE), 6)</f>
        <v>15007</v>
      </c>
      <c r="I51" t="str">
        <f>INDEX(Joined!$A$3:$M$2000, MATCH($A51, Joined!$I$3:$I$2000, FALSE), 4)</f>
        <v>502</v>
      </c>
      <c r="J51" t="b">
        <v>0</v>
      </c>
      <c r="K51">
        <f>INDEX(Joined!$A$3:$M$2000, MATCH($A51, Joined!$I$3:$I$2000, FALSE), 3)</f>
        <v>10</v>
      </c>
      <c r="L51">
        <v>85</v>
      </c>
      <c r="M51">
        <v>38400</v>
      </c>
      <c r="N51" s="27">
        <f>PI()*(INDEX(Schedule!$A$1:$N$2000, MATCH($C51, VAV_Schedule_5_21[[#All],[UNIT TAG]], FALSE), 4)/2/12)^2</f>
        <v>0.54541539124822802</v>
      </c>
      <c r="O51" s="27">
        <f>INDEX(Schedule!$A$1:$N$2000, MATCH($C51, VAV_Schedule_5_21[[#All],[UNIT TAG]], FALSE), 4)</f>
        <v>10</v>
      </c>
      <c r="P51">
        <v>49.63</v>
      </c>
      <c r="Q51" s="27">
        <f>INDEX(Schedule!$A$1:$N$2000, MATCH($C51, VAV_Schedule_5_21[[#All],[UNIT TAG]], FALSE), 5)</f>
        <v>960</v>
      </c>
      <c r="R51" s="27">
        <f>INDEX(Schedule!$A$1:$N$2000, MATCH($C51, VAV_Schedule_5_21[[#All],[UNIT TAG]], FALSE), 6)</f>
        <v>195</v>
      </c>
      <c r="S51" s="27">
        <f>INDEX(Schedule!$A$1:$N$2000, MATCH($C51, VAV_Schedule_5_21[[#All],[UNIT TAG]], FALSE), 5)</f>
        <v>960</v>
      </c>
      <c r="T51" s="27">
        <f>INDEX(Schedule!$A$1:$N$2000, MATCH($C51, VAV_Schedule_5_21[[#All],[UNIT TAG]], FALSE), 6)</f>
        <v>195</v>
      </c>
      <c r="U51" s="27">
        <f>INDEX(Schedule!$A$1:$N$2000, MATCH($C51, VAV_Schedule_5_21[[#All],[UNIT TAG]], FALSE), 5)</f>
        <v>960</v>
      </c>
      <c r="V51" s="27">
        <f>INDEX(Schedule!$A$1:$N$2000, MATCH($C51, VAV_Schedule_5_21[[#All],[UNIT TAG]], FALSE), 6)</f>
        <v>195</v>
      </c>
      <c r="W51" s="27">
        <f>INDEX(Schedule!$A$1:$N$2000, MATCH($C51, VAV_Schedule_5_21[[#All],[UNIT TAG]], FALSE), 6)</f>
        <v>195</v>
      </c>
      <c r="X51" s="27">
        <f>INDEX(Schedule!$A$1:$N$2000, MATCH($C51, VAV_Schedule_5_21[[#All],[UNIT TAG]], FALSE), 6)</f>
        <v>195</v>
      </c>
      <c r="Y51" s="27">
        <f>INDEX(Schedule!$A$1:$N$2000, MATCH($C51, VAV_Schedule_5_21[[#All],[UNIT TAG]], FALSE), 6)</f>
        <v>195</v>
      </c>
      <c r="Z51" s="27">
        <f>INDEX(Schedule!$A$1:$N$2000, MATCH($C51, VAV_Schedule_5_21[[#All],[UNIT TAG]], FALSE), 6)</f>
        <v>195</v>
      </c>
      <c r="AA51" s="27">
        <v>1000</v>
      </c>
      <c r="AB51" s="27">
        <v>1100</v>
      </c>
      <c r="AC51">
        <v>1400</v>
      </c>
      <c r="AD51" s="29" t="str">
        <f>IF(INDEX(Schedule!$A$1:$N$2000, MATCH($C51, VAV_Schedule_5_21[[#All],[UNIT TAG]], FALSE), 7)="-", 0, INDEX(Schedule!$A$1:$N$2000, MATCH($C51, VAV_Schedule_5_21[[#All],[UNIT TAG]], FALSE), 7))</f>
        <v>6</v>
      </c>
      <c r="AE51" t="str">
        <f>"B_01'" &amp; "Flr_0" &amp; INDEX(Joined!$A$3:$M$2000, MATCH($A51, Joined!$I$3:$I$2000, FALSE), 8)</f>
        <v>B_01'Flr_02</v>
      </c>
      <c r="AF51" t="str">
        <f>"R_" &amp; INDEX(Joined!$A$3:$M$2000, MATCH($A51, Joined!$I$3:$I$2000, FALSE), 7)</f>
        <v>R_VAV-2E-19</v>
      </c>
      <c r="AG51" t="str">
        <f>"B_01'" &amp; "Flr_0" &amp; INDEX(Joined!$A$3:$M$2000, MATCH($A51, Joined!$I$3:$I$2000, FALSE), 8)</f>
        <v>B_01'Flr_02</v>
      </c>
      <c r="AH51" t="str">
        <f>INDEX(Joined!$A$3:$M$2000, MATCH($A51, Joined!$I$3:$I$2000, FALSE), 7)</f>
        <v>VAV-2E-19</v>
      </c>
      <c r="AI51" t="s">
        <v>1441</v>
      </c>
    </row>
    <row r="52" spans="1:35" x14ac:dyDescent="0.2">
      <c r="A52" t="s">
        <v>443</v>
      </c>
      <c r="B52" t="str">
        <f>"B_01'" &amp; "Flr_0" &amp; INDEX(Joined!$A$3:$M$2000, MATCH($A52, Joined!$I$3:$I$2000, FALSE), 8)</f>
        <v>B_01'Flr_02</v>
      </c>
      <c r="C52" t="str">
        <f>INDEX(Joined!$A$3:$M$2000, MATCH($A52, Joined!$I$3:$I$2000, FALSE), 7)</f>
        <v>VAV-2E-20</v>
      </c>
      <c r="D52">
        <f>INDEX(Joined!$A$3:$M$2000, MATCH($A52, Joined!$I$3:$I$2000, FALSE), 5)</f>
        <v>150211</v>
      </c>
      <c r="E52" t="str">
        <f>INDEX(Joined!$A$3:$M$2000, MATCH($A52, Joined!$I$3:$I$2000, FALSE), 7)</f>
        <v>VAV-2E-20</v>
      </c>
      <c r="F52" t="s">
        <v>38</v>
      </c>
      <c r="G52" t="str">
        <f>INDEX(Schedule!$Q$2:$R$7, MATCH(ABT!$H52,Schedule!$Q$2:$Q$7, 0), 2)</f>
        <v>15007_ADXR_VAV_DXR2M10</v>
      </c>
      <c r="H52">
        <f>INDEX(Joined!$A$3:$M$2000, MATCH($A52, Joined!$I$3:$I$2000, FALSE), 6)</f>
        <v>15007</v>
      </c>
      <c r="I52" t="str">
        <f>INDEX(Joined!$A$3:$M$2000, MATCH($A52, Joined!$I$3:$I$2000, FALSE), 4)</f>
        <v>502</v>
      </c>
      <c r="J52" t="b">
        <v>0</v>
      </c>
      <c r="K52">
        <f>INDEX(Joined!$A$3:$M$2000, MATCH($A52, Joined!$I$3:$I$2000, FALSE), 3)</f>
        <v>11</v>
      </c>
      <c r="L52">
        <v>85</v>
      </c>
      <c r="M52">
        <v>38400</v>
      </c>
      <c r="N52" s="27">
        <f>PI()*(INDEX(Schedule!$A$1:$N$2000, MATCH($C52, VAV_Schedule_5_21[[#All],[UNIT TAG]], FALSE), 4)/2/12)^2</f>
        <v>0.54541539124822802</v>
      </c>
      <c r="O52" s="27">
        <f>INDEX(Schedule!$A$1:$N$2000, MATCH($C52, VAV_Schedule_5_21[[#All],[UNIT TAG]], FALSE), 4)</f>
        <v>10</v>
      </c>
      <c r="P52">
        <v>50.63</v>
      </c>
      <c r="Q52" s="27">
        <f>INDEX(Schedule!$A$1:$N$2000, MATCH($C52, VAV_Schedule_5_21[[#All],[UNIT TAG]], FALSE), 5)</f>
        <v>875</v>
      </c>
      <c r="R52" s="27">
        <f>INDEX(Schedule!$A$1:$N$2000, MATCH($C52, VAV_Schedule_5_21[[#All],[UNIT TAG]], FALSE), 6)</f>
        <v>175</v>
      </c>
      <c r="S52" s="27">
        <f>INDEX(Schedule!$A$1:$N$2000, MATCH($C52, VAV_Schedule_5_21[[#All],[UNIT TAG]], FALSE), 5)</f>
        <v>875</v>
      </c>
      <c r="T52" s="27">
        <f>INDEX(Schedule!$A$1:$N$2000, MATCH($C52, VAV_Schedule_5_21[[#All],[UNIT TAG]], FALSE), 6)</f>
        <v>175</v>
      </c>
      <c r="U52" s="27">
        <f>INDEX(Schedule!$A$1:$N$2000, MATCH($C52, VAV_Schedule_5_21[[#All],[UNIT TAG]], FALSE), 5)</f>
        <v>875</v>
      </c>
      <c r="V52" s="27">
        <f>INDEX(Schedule!$A$1:$N$2000, MATCH($C52, VAV_Schedule_5_21[[#All],[UNIT TAG]], FALSE), 6)</f>
        <v>175</v>
      </c>
      <c r="W52" s="27">
        <f>INDEX(Schedule!$A$1:$N$2000, MATCH($C52, VAV_Schedule_5_21[[#All],[UNIT TAG]], FALSE), 6)</f>
        <v>175</v>
      </c>
      <c r="X52" s="27">
        <f>INDEX(Schedule!$A$1:$N$2000, MATCH($C52, VAV_Schedule_5_21[[#All],[UNIT TAG]], FALSE), 6)</f>
        <v>175</v>
      </c>
      <c r="Y52" s="27">
        <f>INDEX(Schedule!$A$1:$N$2000, MATCH($C52, VAV_Schedule_5_21[[#All],[UNIT TAG]], FALSE), 6)</f>
        <v>175</v>
      </c>
      <c r="Z52" s="27">
        <f>INDEX(Schedule!$A$1:$N$2000, MATCH($C52, VAV_Schedule_5_21[[#All],[UNIT TAG]], FALSE), 6)</f>
        <v>175</v>
      </c>
      <c r="AA52" s="27">
        <v>1000</v>
      </c>
      <c r="AB52" s="27">
        <v>1100</v>
      </c>
      <c r="AC52">
        <v>1400</v>
      </c>
      <c r="AD52" s="29" t="str">
        <f>IF(INDEX(Schedule!$A$1:$N$2000, MATCH($C52, VAV_Schedule_5_21[[#All],[UNIT TAG]], FALSE), 7)="-", 0, INDEX(Schedule!$A$1:$N$2000, MATCH($C52, VAV_Schedule_5_21[[#All],[UNIT TAG]], FALSE), 7))</f>
        <v>7</v>
      </c>
      <c r="AE52" t="str">
        <f>"B_01'" &amp; "Flr_0" &amp; INDEX(Joined!$A$3:$M$2000, MATCH($A52, Joined!$I$3:$I$2000, FALSE), 8)</f>
        <v>B_01'Flr_02</v>
      </c>
      <c r="AF52" t="str">
        <f>"R_" &amp; INDEX(Joined!$A$3:$M$2000, MATCH($A52, Joined!$I$3:$I$2000, FALSE), 7)</f>
        <v>R_VAV-2E-20</v>
      </c>
      <c r="AG52" t="str">
        <f>"B_01'" &amp; "Flr_0" &amp; INDEX(Joined!$A$3:$M$2000, MATCH($A52, Joined!$I$3:$I$2000, FALSE), 8)</f>
        <v>B_01'Flr_02</v>
      </c>
      <c r="AH52" t="str">
        <f>INDEX(Joined!$A$3:$M$2000, MATCH($A52, Joined!$I$3:$I$2000, FALSE), 7)</f>
        <v>VAV-2E-20</v>
      </c>
      <c r="AI52" t="s">
        <v>1442</v>
      </c>
    </row>
    <row r="53" spans="1:35" x14ac:dyDescent="0.2">
      <c r="A53" t="s">
        <v>433</v>
      </c>
      <c r="B53" t="str">
        <f>"B_01'" &amp; "Flr_0" &amp; INDEX(Joined!$A$3:$M$2000, MATCH($A53, Joined!$I$3:$I$2000, FALSE), 8)</f>
        <v>B_01'Flr_02</v>
      </c>
      <c r="C53" t="str">
        <f>INDEX(Joined!$A$3:$M$2000, MATCH($A53, Joined!$I$3:$I$2000, FALSE), 7)</f>
        <v>VAV-2E-9</v>
      </c>
      <c r="D53">
        <f>INDEX(Joined!$A$3:$M$2000, MATCH($A53, Joined!$I$3:$I$2000, FALSE), 5)</f>
        <v>150201</v>
      </c>
      <c r="E53" t="str">
        <f>INDEX(Joined!$A$3:$M$2000, MATCH($A53, Joined!$I$3:$I$2000, FALSE), 7)</f>
        <v>VAV-2E-9</v>
      </c>
      <c r="F53" t="s">
        <v>38</v>
      </c>
      <c r="G53" t="str">
        <f>INDEX(Schedule!$Q$2:$R$7, MATCH(ABT!$H53,Schedule!$Q$2:$Q$7, 0), 2)</f>
        <v>15007_ADXR_VAV_DXR2M10</v>
      </c>
      <c r="H53">
        <f>INDEX(Joined!$A$3:$M$2000, MATCH($A53, Joined!$I$3:$I$2000, FALSE), 6)</f>
        <v>15007</v>
      </c>
      <c r="I53" t="str">
        <f>INDEX(Joined!$A$3:$M$2000, MATCH($A53, Joined!$I$3:$I$2000, FALSE), 4)</f>
        <v>502</v>
      </c>
      <c r="J53" t="b">
        <v>0</v>
      </c>
      <c r="K53">
        <f>INDEX(Joined!$A$3:$M$2000, MATCH($A53, Joined!$I$3:$I$2000, FALSE), 3)</f>
        <v>1</v>
      </c>
      <c r="L53">
        <v>85</v>
      </c>
      <c r="M53">
        <v>38400</v>
      </c>
      <c r="N53" s="27">
        <f>PI()*(INDEX(Schedule!$A$1:$N$2000, MATCH($C53, VAV_Schedule_5_21[[#All],[UNIT TAG]], FALSE), 4)/2/12)^2</f>
        <v>0.78539816339744828</v>
      </c>
      <c r="O53" s="27">
        <f>INDEX(Schedule!$A$1:$N$2000, MATCH($C53, VAV_Schedule_5_21[[#All],[UNIT TAG]], FALSE), 4)</f>
        <v>12</v>
      </c>
      <c r="P53">
        <v>51.63</v>
      </c>
      <c r="Q53" s="27">
        <f>INDEX(Schedule!$A$1:$N$2000, MATCH($C53, VAV_Schedule_5_21[[#All],[UNIT TAG]], FALSE), 5)</f>
        <v>1400</v>
      </c>
      <c r="R53" s="27">
        <f>INDEX(Schedule!$A$1:$N$2000, MATCH($C53, VAV_Schedule_5_21[[#All],[UNIT TAG]], FALSE), 6)</f>
        <v>280</v>
      </c>
      <c r="S53" s="27">
        <f>INDEX(Schedule!$A$1:$N$2000, MATCH($C53, VAV_Schedule_5_21[[#All],[UNIT TAG]], FALSE), 5)</f>
        <v>1400</v>
      </c>
      <c r="T53" s="27">
        <f>INDEX(Schedule!$A$1:$N$2000, MATCH($C53, VAV_Schedule_5_21[[#All],[UNIT TAG]], FALSE), 6)</f>
        <v>280</v>
      </c>
      <c r="U53" s="27">
        <f>INDEX(Schedule!$A$1:$N$2000, MATCH($C53, VAV_Schedule_5_21[[#All],[UNIT TAG]], FALSE), 5)</f>
        <v>1400</v>
      </c>
      <c r="V53" s="27">
        <f>INDEX(Schedule!$A$1:$N$2000, MATCH($C53, VAV_Schedule_5_21[[#All],[UNIT TAG]], FALSE), 6)</f>
        <v>280</v>
      </c>
      <c r="W53" s="27">
        <f>INDEX(Schedule!$A$1:$N$2000, MATCH($C53, VAV_Schedule_5_21[[#All],[UNIT TAG]], FALSE), 6)</f>
        <v>280</v>
      </c>
      <c r="X53" s="27">
        <f>INDEX(Schedule!$A$1:$N$2000, MATCH($C53, VAV_Schedule_5_21[[#All],[UNIT TAG]], FALSE), 6)</f>
        <v>280</v>
      </c>
      <c r="Y53" s="27">
        <f>INDEX(Schedule!$A$1:$N$2000, MATCH($C53, VAV_Schedule_5_21[[#All],[UNIT TAG]], FALSE), 6)</f>
        <v>280</v>
      </c>
      <c r="Z53" s="27">
        <f>INDEX(Schedule!$A$1:$N$2000, MATCH($C53, VAV_Schedule_5_21[[#All],[UNIT TAG]], FALSE), 6)</f>
        <v>280</v>
      </c>
      <c r="AA53" s="27">
        <v>1000</v>
      </c>
      <c r="AB53" s="27">
        <v>1100</v>
      </c>
      <c r="AC53">
        <v>1400</v>
      </c>
      <c r="AD53" s="29" t="str">
        <f>IF(INDEX(Schedule!$A$1:$N$2000, MATCH($C53, VAV_Schedule_5_21[[#All],[UNIT TAG]], FALSE), 7)="-", 0, INDEX(Schedule!$A$1:$N$2000, MATCH($C53, VAV_Schedule_5_21[[#All],[UNIT TAG]], FALSE), 7))</f>
        <v>10</v>
      </c>
      <c r="AE53" t="str">
        <f>"B_01'" &amp; "Flr_0" &amp; INDEX(Joined!$A$3:$M$2000, MATCH($A53, Joined!$I$3:$I$2000, FALSE), 8)</f>
        <v>B_01'Flr_02</v>
      </c>
      <c r="AF53" t="str">
        <f>"R_" &amp; INDEX(Joined!$A$3:$M$2000, MATCH($A53, Joined!$I$3:$I$2000, FALSE), 7)</f>
        <v>R_VAV-2E-9</v>
      </c>
      <c r="AG53" t="str">
        <f>"B_01'" &amp; "Flr_0" &amp; INDEX(Joined!$A$3:$M$2000, MATCH($A53, Joined!$I$3:$I$2000, FALSE), 8)</f>
        <v>B_01'Flr_02</v>
      </c>
      <c r="AH53" t="str">
        <f>INDEX(Joined!$A$3:$M$2000, MATCH($A53, Joined!$I$3:$I$2000, FALSE), 7)</f>
        <v>VAV-2E-9</v>
      </c>
      <c r="AI53" t="s">
        <v>1443</v>
      </c>
    </row>
    <row r="54" spans="1:35" x14ac:dyDescent="0.2">
      <c r="A54" t="s">
        <v>450</v>
      </c>
      <c r="B54" t="str">
        <f>"B_01'" &amp; "Flr_0" &amp; INDEX(Joined!$A$3:$M$2000, MATCH($A54, Joined!$I$3:$I$2000, FALSE), 8)</f>
        <v>B_01'Flr_02</v>
      </c>
      <c r="C54" t="str">
        <f>INDEX(Joined!$A$3:$M$2000, MATCH($A54, Joined!$I$3:$I$2000, FALSE), 7)</f>
        <v>VAV-2N-11</v>
      </c>
      <c r="D54">
        <f>INDEX(Joined!$A$3:$M$2000, MATCH($A54, Joined!$I$3:$I$2000, FALSE), 5)</f>
        <v>150108</v>
      </c>
      <c r="E54" t="str">
        <f>INDEX(Joined!$A$3:$M$2000, MATCH($A54, Joined!$I$3:$I$2000, FALSE), 7)</f>
        <v>VAV-2N-11</v>
      </c>
      <c r="F54" t="s">
        <v>38</v>
      </c>
      <c r="G54" t="str">
        <f>INDEX(Schedule!$Q$2:$R$7, MATCH(ABT!$H54,Schedule!$Q$2:$Q$7, 0), 2)</f>
        <v>15006_ADXR_VAV_DXR2M10</v>
      </c>
      <c r="H54">
        <f>INDEX(Joined!$A$3:$M$2000, MATCH($A54, Joined!$I$3:$I$2000, FALSE), 6)</f>
        <v>15006</v>
      </c>
      <c r="I54" t="str">
        <f>INDEX(Joined!$A$3:$M$2000, MATCH($A54, Joined!$I$3:$I$2000, FALSE), 4)</f>
        <v>501</v>
      </c>
      <c r="J54" t="b">
        <v>0</v>
      </c>
      <c r="K54">
        <f>INDEX(Joined!$A$3:$M$2000, MATCH($A54, Joined!$I$3:$I$2000, FALSE), 3)</f>
        <v>8</v>
      </c>
      <c r="L54">
        <v>85</v>
      </c>
      <c r="M54">
        <v>38400</v>
      </c>
      <c r="N54" s="27">
        <f>PI()*(INDEX(Schedule!$A$1:$N$2000, MATCH($C54, VAV_Schedule_5_21[[#All],[UNIT TAG]], FALSE), 4)/2/12)^2</f>
        <v>0.54541539124822802</v>
      </c>
      <c r="O54" s="27">
        <f>INDEX(Schedule!$A$1:$N$2000, MATCH($C54, VAV_Schedule_5_21[[#All],[UNIT TAG]], FALSE), 4)</f>
        <v>10</v>
      </c>
      <c r="P54">
        <v>52.63</v>
      </c>
      <c r="Q54" s="27">
        <f>INDEX(Schedule!$A$1:$N$2000, MATCH($C54, VAV_Schedule_5_21[[#All],[UNIT TAG]], FALSE), 5)</f>
        <v>870</v>
      </c>
      <c r="R54" s="27">
        <f>INDEX(Schedule!$A$1:$N$2000, MATCH($C54, VAV_Schedule_5_21[[#All],[UNIT TAG]], FALSE), 6)</f>
        <v>175</v>
      </c>
      <c r="S54" s="27">
        <f>INDEX(Schedule!$A$1:$N$2000, MATCH($C54, VAV_Schedule_5_21[[#All],[UNIT TAG]], FALSE), 5)</f>
        <v>870</v>
      </c>
      <c r="T54" s="27">
        <f>INDEX(Schedule!$A$1:$N$2000, MATCH($C54, VAV_Schedule_5_21[[#All],[UNIT TAG]], FALSE), 6)</f>
        <v>175</v>
      </c>
      <c r="U54" s="27">
        <f>INDEX(Schedule!$A$1:$N$2000, MATCH($C54, VAV_Schedule_5_21[[#All],[UNIT TAG]], FALSE), 5)</f>
        <v>870</v>
      </c>
      <c r="V54" s="27">
        <f>INDEX(Schedule!$A$1:$N$2000, MATCH($C54, VAV_Schedule_5_21[[#All],[UNIT TAG]], FALSE), 6)</f>
        <v>175</v>
      </c>
      <c r="W54" s="27">
        <f>INDEX(Schedule!$A$1:$N$2000, MATCH($C54, VAV_Schedule_5_21[[#All],[UNIT TAG]], FALSE), 6)</f>
        <v>175</v>
      </c>
      <c r="X54" s="27">
        <f>INDEX(Schedule!$A$1:$N$2000, MATCH($C54, VAV_Schedule_5_21[[#All],[UNIT TAG]], FALSE), 6)</f>
        <v>175</v>
      </c>
      <c r="Y54" s="27">
        <f>INDEX(Schedule!$A$1:$N$2000, MATCH($C54, VAV_Schedule_5_21[[#All],[UNIT TAG]], FALSE), 6)</f>
        <v>175</v>
      </c>
      <c r="Z54" s="27">
        <f>INDEX(Schedule!$A$1:$N$2000, MATCH($C54, VAV_Schedule_5_21[[#All],[UNIT TAG]], FALSE), 6)</f>
        <v>175</v>
      </c>
      <c r="AA54" s="27">
        <v>1000</v>
      </c>
      <c r="AB54" s="27">
        <v>1100</v>
      </c>
      <c r="AC54">
        <v>1400</v>
      </c>
      <c r="AD54" s="29">
        <f>IF(INDEX(Schedule!$A$1:$N$2000, MATCH($C54, VAV_Schedule_5_21[[#All],[UNIT TAG]], FALSE), 7)="-", 0, INDEX(Schedule!$A$1:$N$2000, MATCH($C54, VAV_Schedule_5_21[[#All],[UNIT TAG]], FALSE), 7))</f>
        <v>0</v>
      </c>
      <c r="AE54" t="str">
        <f>"B_01'" &amp; "Flr_0" &amp; INDEX(Joined!$A$3:$M$2000, MATCH($A54, Joined!$I$3:$I$2000, FALSE), 8)</f>
        <v>B_01'Flr_02</v>
      </c>
      <c r="AF54" t="str">
        <f>"R_" &amp; INDEX(Joined!$A$3:$M$2000, MATCH($A54, Joined!$I$3:$I$2000, FALSE), 7)</f>
        <v>R_VAV-2N-11</v>
      </c>
      <c r="AG54" t="str">
        <f>"B_01'" &amp; "Flr_0" &amp; INDEX(Joined!$A$3:$M$2000, MATCH($A54, Joined!$I$3:$I$2000, FALSE), 8)</f>
        <v>B_01'Flr_02</v>
      </c>
      <c r="AH54" t="str">
        <f>INDEX(Joined!$A$3:$M$2000, MATCH($A54, Joined!$I$3:$I$2000, FALSE), 7)</f>
        <v>VAV-2N-11</v>
      </c>
      <c r="AI54" t="s">
        <v>1444</v>
      </c>
    </row>
    <row r="55" spans="1:35" x14ac:dyDescent="0.2">
      <c r="A55" t="s">
        <v>444</v>
      </c>
      <c r="B55" t="str">
        <f>"B_01'" &amp; "Flr_0" &amp; INDEX(Joined!$A$3:$M$2000, MATCH($A55, Joined!$I$3:$I$2000, FALSE), 8)</f>
        <v>B_01'Flr_02</v>
      </c>
      <c r="C55" t="str">
        <f>INDEX(Joined!$A$3:$M$2000, MATCH($A55, Joined!$I$3:$I$2000, FALSE), 7)</f>
        <v>VAV-2N-3</v>
      </c>
      <c r="D55">
        <f>INDEX(Joined!$A$3:$M$2000, MATCH($A55, Joined!$I$3:$I$2000, FALSE), 5)</f>
        <v>150101</v>
      </c>
      <c r="E55" t="str">
        <f>INDEX(Joined!$A$3:$M$2000, MATCH($A55, Joined!$I$3:$I$2000, FALSE), 7)</f>
        <v>VAV-2N-3</v>
      </c>
      <c r="F55" t="s">
        <v>38</v>
      </c>
      <c r="G55" t="str">
        <f>INDEX(Schedule!$Q$2:$R$7, MATCH(ABT!$H55,Schedule!$Q$2:$Q$7, 0), 2)</f>
        <v>15006_ADXR_VAV_DXR2M10</v>
      </c>
      <c r="H55">
        <f>INDEX(Joined!$A$3:$M$2000, MATCH($A55, Joined!$I$3:$I$2000, FALSE), 6)</f>
        <v>15006</v>
      </c>
      <c r="I55" t="str">
        <f>INDEX(Joined!$A$3:$M$2000, MATCH($A55, Joined!$I$3:$I$2000, FALSE), 4)</f>
        <v>501</v>
      </c>
      <c r="J55" t="b">
        <v>0</v>
      </c>
      <c r="K55">
        <f>INDEX(Joined!$A$3:$M$2000, MATCH($A55, Joined!$I$3:$I$2000, FALSE), 3)</f>
        <v>1</v>
      </c>
      <c r="L55">
        <v>85</v>
      </c>
      <c r="M55">
        <v>38400</v>
      </c>
      <c r="N55" s="27">
        <f>PI()*(INDEX(Schedule!$A$1:$N$2000, MATCH($C55, VAV_Schedule_5_21[[#All],[UNIT TAG]], FALSE), 4)/2/12)^2</f>
        <v>0.54541539124822802</v>
      </c>
      <c r="O55" s="27">
        <f>INDEX(Schedule!$A$1:$N$2000, MATCH($C55, VAV_Schedule_5_21[[#All],[UNIT TAG]], FALSE), 4)</f>
        <v>10</v>
      </c>
      <c r="P55">
        <v>53.63</v>
      </c>
      <c r="Q55" s="27">
        <f>INDEX(Schedule!$A$1:$N$2000, MATCH($C55, VAV_Schedule_5_21[[#All],[UNIT TAG]], FALSE), 5)</f>
        <v>930</v>
      </c>
      <c r="R55" s="27">
        <f>INDEX(Schedule!$A$1:$N$2000, MATCH($C55, VAV_Schedule_5_21[[#All],[UNIT TAG]], FALSE), 6)</f>
        <v>190</v>
      </c>
      <c r="S55" s="27">
        <f>INDEX(Schedule!$A$1:$N$2000, MATCH($C55, VAV_Schedule_5_21[[#All],[UNIT TAG]], FALSE), 5)</f>
        <v>930</v>
      </c>
      <c r="T55" s="27">
        <f>INDEX(Schedule!$A$1:$N$2000, MATCH($C55, VAV_Schedule_5_21[[#All],[UNIT TAG]], FALSE), 6)</f>
        <v>190</v>
      </c>
      <c r="U55" s="27">
        <f>INDEX(Schedule!$A$1:$N$2000, MATCH($C55, VAV_Schedule_5_21[[#All],[UNIT TAG]], FALSE), 5)</f>
        <v>930</v>
      </c>
      <c r="V55" s="27">
        <f>INDEX(Schedule!$A$1:$N$2000, MATCH($C55, VAV_Schedule_5_21[[#All],[UNIT TAG]], FALSE), 6)</f>
        <v>190</v>
      </c>
      <c r="W55" s="27">
        <f>INDEX(Schedule!$A$1:$N$2000, MATCH($C55, VAV_Schedule_5_21[[#All],[UNIT TAG]], FALSE), 6)</f>
        <v>190</v>
      </c>
      <c r="X55" s="27">
        <f>INDEX(Schedule!$A$1:$N$2000, MATCH($C55, VAV_Schedule_5_21[[#All],[UNIT TAG]], FALSE), 6)</f>
        <v>190</v>
      </c>
      <c r="Y55" s="27">
        <f>INDEX(Schedule!$A$1:$N$2000, MATCH($C55, VAV_Schedule_5_21[[#All],[UNIT TAG]], FALSE), 6)</f>
        <v>190</v>
      </c>
      <c r="Z55" s="27">
        <f>INDEX(Schedule!$A$1:$N$2000, MATCH($C55, VAV_Schedule_5_21[[#All],[UNIT TAG]], FALSE), 6)</f>
        <v>190</v>
      </c>
      <c r="AA55" s="27">
        <v>1000</v>
      </c>
      <c r="AB55" s="27">
        <v>1100</v>
      </c>
      <c r="AC55">
        <v>1400</v>
      </c>
      <c r="AD55" s="29">
        <f>IF(INDEX(Schedule!$A$1:$N$2000, MATCH($C55, VAV_Schedule_5_21[[#All],[UNIT TAG]], FALSE), 7)="-", 0, INDEX(Schedule!$A$1:$N$2000, MATCH($C55, VAV_Schedule_5_21[[#All],[UNIT TAG]], FALSE), 7))</f>
        <v>0</v>
      </c>
      <c r="AE55" t="str">
        <f>"B_01'" &amp; "Flr_0" &amp; INDEX(Joined!$A$3:$M$2000, MATCH($A55, Joined!$I$3:$I$2000, FALSE), 8)</f>
        <v>B_01'Flr_02</v>
      </c>
      <c r="AF55" t="str">
        <f>"R_" &amp; INDEX(Joined!$A$3:$M$2000, MATCH($A55, Joined!$I$3:$I$2000, FALSE), 7)</f>
        <v>R_VAV-2N-3</v>
      </c>
      <c r="AG55" t="str">
        <f>"B_01'" &amp; "Flr_0" &amp; INDEX(Joined!$A$3:$M$2000, MATCH($A55, Joined!$I$3:$I$2000, FALSE), 8)</f>
        <v>B_01'Flr_02</v>
      </c>
      <c r="AH55" t="str">
        <f>INDEX(Joined!$A$3:$M$2000, MATCH($A55, Joined!$I$3:$I$2000, FALSE), 7)</f>
        <v>VAV-2N-3</v>
      </c>
      <c r="AI55" t="s">
        <v>1445</v>
      </c>
    </row>
    <row r="56" spans="1:35" x14ac:dyDescent="0.2">
      <c r="A56" t="s">
        <v>445</v>
      </c>
      <c r="B56" t="str">
        <f>"B_01'" &amp; "Flr_0" &amp; INDEX(Joined!$A$3:$M$2000, MATCH($A56, Joined!$I$3:$I$2000, FALSE), 8)</f>
        <v>B_01'Flr_02</v>
      </c>
      <c r="C56" t="str">
        <f>INDEX(Joined!$A$3:$M$2000, MATCH($A56, Joined!$I$3:$I$2000, FALSE), 7)</f>
        <v>VAV-2N-4</v>
      </c>
      <c r="D56">
        <f>INDEX(Joined!$A$3:$M$2000, MATCH($A56, Joined!$I$3:$I$2000, FALSE), 5)</f>
        <v>150102</v>
      </c>
      <c r="E56" t="str">
        <f>INDEX(Joined!$A$3:$M$2000, MATCH($A56, Joined!$I$3:$I$2000, FALSE), 7)</f>
        <v>VAV-2N-4</v>
      </c>
      <c r="F56" t="s">
        <v>38</v>
      </c>
      <c r="G56" t="str">
        <f>INDEX(Schedule!$Q$2:$R$7, MATCH(ABT!$H56,Schedule!$Q$2:$Q$7, 0), 2)</f>
        <v>15006_ADXR_VAV_DXR2M10</v>
      </c>
      <c r="H56">
        <f>INDEX(Joined!$A$3:$M$2000, MATCH($A56, Joined!$I$3:$I$2000, FALSE), 6)</f>
        <v>15006</v>
      </c>
      <c r="I56" t="str">
        <f>INDEX(Joined!$A$3:$M$2000, MATCH($A56, Joined!$I$3:$I$2000, FALSE), 4)</f>
        <v>501</v>
      </c>
      <c r="J56" t="b">
        <v>0</v>
      </c>
      <c r="K56">
        <f>INDEX(Joined!$A$3:$M$2000, MATCH($A56, Joined!$I$3:$I$2000, FALSE), 3)</f>
        <v>2</v>
      </c>
      <c r="L56">
        <v>85</v>
      </c>
      <c r="M56">
        <v>38400</v>
      </c>
      <c r="N56" s="27">
        <f>PI()*(INDEX(Schedule!$A$1:$N$2000, MATCH($C56, VAV_Schedule_5_21[[#All],[UNIT TAG]], FALSE), 4)/2/12)^2</f>
        <v>0.3490658503988659</v>
      </c>
      <c r="O56" s="27">
        <f>INDEX(Schedule!$A$1:$N$2000, MATCH($C56, VAV_Schedule_5_21[[#All],[UNIT TAG]], FALSE), 4)</f>
        <v>8</v>
      </c>
      <c r="P56">
        <v>54.63</v>
      </c>
      <c r="Q56" s="27">
        <f>INDEX(Schedule!$A$1:$N$2000, MATCH($C56, VAV_Schedule_5_21[[#All],[UNIT TAG]], FALSE), 5)</f>
        <v>450</v>
      </c>
      <c r="R56" s="27">
        <f>INDEX(Schedule!$A$1:$N$2000, MATCH($C56, VAV_Schedule_5_21[[#All],[UNIT TAG]], FALSE), 6)</f>
        <v>90</v>
      </c>
      <c r="S56" s="27">
        <f>INDEX(Schedule!$A$1:$N$2000, MATCH($C56, VAV_Schedule_5_21[[#All],[UNIT TAG]], FALSE), 5)</f>
        <v>450</v>
      </c>
      <c r="T56" s="27">
        <f>INDEX(Schedule!$A$1:$N$2000, MATCH($C56, VAV_Schedule_5_21[[#All],[UNIT TAG]], FALSE), 6)</f>
        <v>90</v>
      </c>
      <c r="U56" s="27">
        <f>INDEX(Schedule!$A$1:$N$2000, MATCH($C56, VAV_Schedule_5_21[[#All],[UNIT TAG]], FALSE), 5)</f>
        <v>450</v>
      </c>
      <c r="V56" s="27">
        <f>INDEX(Schedule!$A$1:$N$2000, MATCH($C56, VAV_Schedule_5_21[[#All],[UNIT TAG]], FALSE), 6)</f>
        <v>90</v>
      </c>
      <c r="W56" s="27">
        <f>INDEX(Schedule!$A$1:$N$2000, MATCH($C56, VAV_Schedule_5_21[[#All],[UNIT TAG]], FALSE), 6)</f>
        <v>90</v>
      </c>
      <c r="X56" s="27">
        <f>INDEX(Schedule!$A$1:$N$2000, MATCH($C56, VAV_Schedule_5_21[[#All],[UNIT TAG]], FALSE), 6)</f>
        <v>90</v>
      </c>
      <c r="Y56" s="27">
        <f>INDEX(Schedule!$A$1:$N$2000, MATCH($C56, VAV_Schedule_5_21[[#All],[UNIT TAG]], FALSE), 6)</f>
        <v>90</v>
      </c>
      <c r="Z56" s="27">
        <f>INDEX(Schedule!$A$1:$N$2000, MATCH($C56, VAV_Schedule_5_21[[#All],[UNIT TAG]], FALSE), 6)</f>
        <v>90</v>
      </c>
      <c r="AA56" s="27">
        <v>1000</v>
      </c>
      <c r="AB56" s="27">
        <v>1100</v>
      </c>
      <c r="AC56">
        <v>1400</v>
      </c>
      <c r="AD56" s="29">
        <f>IF(INDEX(Schedule!$A$1:$N$2000, MATCH($C56, VAV_Schedule_5_21[[#All],[UNIT TAG]], FALSE), 7)="-", 0, INDEX(Schedule!$A$1:$N$2000, MATCH($C56, VAV_Schedule_5_21[[#All],[UNIT TAG]], FALSE), 7))</f>
        <v>0</v>
      </c>
      <c r="AE56" t="str">
        <f>"B_01'" &amp; "Flr_0" &amp; INDEX(Joined!$A$3:$M$2000, MATCH($A56, Joined!$I$3:$I$2000, FALSE), 8)</f>
        <v>B_01'Flr_02</v>
      </c>
      <c r="AF56" t="str">
        <f>"R_" &amp; INDEX(Joined!$A$3:$M$2000, MATCH($A56, Joined!$I$3:$I$2000, FALSE), 7)</f>
        <v>R_VAV-2N-4</v>
      </c>
      <c r="AG56" t="str">
        <f>"B_01'" &amp; "Flr_0" &amp; INDEX(Joined!$A$3:$M$2000, MATCH($A56, Joined!$I$3:$I$2000, FALSE), 8)</f>
        <v>B_01'Flr_02</v>
      </c>
      <c r="AH56" t="str">
        <f>INDEX(Joined!$A$3:$M$2000, MATCH($A56, Joined!$I$3:$I$2000, FALSE), 7)</f>
        <v>VAV-2N-4</v>
      </c>
      <c r="AI56" t="s">
        <v>1446</v>
      </c>
    </row>
    <row r="57" spans="1:35" x14ac:dyDescent="0.2">
      <c r="A57" t="s">
        <v>446</v>
      </c>
      <c r="B57" t="str">
        <f>"B_01'" &amp; "Flr_0" &amp; INDEX(Joined!$A$3:$M$2000, MATCH($A57, Joined!$I$3:$I$2000, FALSE), 8)</f>
        <v>B_01'Flr_02</v>
      </c>
      <c r="C57" t="str">
        <f>INDEX(Joined!$A$3:$M$2000, MATCH($A57, Joined!$I$3:$I$2000, FALSE), 7)</f>
        <v>VAV-2N-5</v>
      </c>
      <c r="D57">
        <f>INDEX(Joined!$A$3:$M$2000, MATCH($A57, Joined!$I$3:$I$2000, FALSE), 5)</f>
        <v>150103</v>
      </c>
      <c r="E57" t="str">
        <f>INDEX(Joined!$A$3:$M$2000, MATCH($A57, Joined!$I$3:$I$2000, FALSE), 7)</f>
        <v>VAV-2N-5</v>
      </c>
      <c r="F57" t="s">
        <v>38</v>
      </c>
      <c r="G57" t="str">
        <f>INDEX(Schedule!$Q$2:$R$7, MATCH(ABT!$H57,Schedule!$Q$2:$Q$7, 0), 2)</f>
        <v>15006_ADXR_VAV_DXR2M10</v>
      </c>
      <c r="H57">
        <f>INDEX(Joined!$A$3:$M$2000, MATCH($A57, Joined!$I$3:$I$2000, FALSE), 6)</f>
        <v>15006</v>
      </c>
      <c r="I57" t="str">
        <f>INDEX(Joined!$A$3:$M$2000, MATCH($A57, Joined!$I$3:$I$2000, FALSE), 4)</f>
        <v>501</v>
      </c>
      <c r="J57" t="b">
        <v>0</v>
      </c>
      <c r="K57">
        <f>INDEX(Joined!$A$3:$M$2000, MATCH($A57, Joined!$I$3:$I$2000, FALSE), 3)</f>
        <v>3</v>
      </c>
      <c r="L57">
        <v>85</v>
      </c>
      <c r="M57">
        <v>38400</v>
      </c>
      <c r="N57" s="27">
        <f>PI()*(INDEX(Schedule!$A$1:$N$2000, MATCH($C57, VAV_Schedule_5_21[[#All],[UNIT TAG]], FALSE), 4)/2/12)^2</f>
        <v>0.54541539124822802</v>
      </c>
      <c r="O57" s="27">
        <f>INDEX(Schedule!$A$1:$N$2000, MATCH($C57, VAV_Schedule_5_21[[#All],[UNIT TAG]], FALSE), 4)</f>
        <v>10</v>
      </c>
      <c r="P57">
        <v>55.63</v>
      </c>
      <c r="Q57" s="27">
        <f>INDEX(Schedule!$A$1:$N$2000, MATCH($C57, VAV_Schedule_5_21[[#All],[UNIT TAG]], FALSE), 5)</f>
        <v>850</v>
      </c>
      <c r="R57" s="27">
        <f>INDEX(Schedule!$A$1:$N$2000, MATCH($C57, VAV_Schedule_5_21[[#All],[UNIT TAG]], FALSE), 6)</f>
        <v>170</v>
      </c>
      <c r="S57" s="27">
        <f>INDEX(Schedule!$A$1:$N$2000, MATCH($C57, VAV_Schedule_5_21[[#All],[UNIT TAG]], FALSE), 5)</f>
        <v>850</v>
      </c>
      <c r="T57" s="27">
        <f>INDEX(Schedule!$A$1:$N$2000, MATCH($C57, VAV_Schedule_5_21[[#All],[UNIT TAG]], FALSE), 6)</f>
        <v>170</v>
      </c>
      <c r="U57" s="27">
        <f>INDEX(Schedule!$A$1:$N$2000, MATCH($C57, VAV_Schedule_5_21[[#All],[UNIT TAG]], FALSE), 5)</f>
        <v>850</v>
      </c>
      <c r="V57" s="27">
        <f>INDEX(Schedule!$A$1:$N$2000, MATCH($C57, VAV_Schedule_5_21[[#All],[UNIT TAG]], FALSE), 6)</f>
        <v>170</v>
      </c>
      <c r="W57" s="27">
        <f>INDEX(Schedule!$A$1:$N$2000, MATCH($C57, VAV_Schedule_5_21[[#All],[UNIT TAG]], FALSE), 6)</f>
        <v>170</v>
      </c>
      <c r="X57" s="27">
        <f>INDEX(Schedule!$A$1:$N$2000, MATCH($C57, VAV_Schedule_5_21[[#All],[UNIT TAG]], FALSE), 6)</f>
        <v>170</v>
      </c>
      <c r="Y57" s="27">
        <f>INDEX(Schedule!$A$1:$N$2000, MATCH($C57, VAV_Schedule_5_21[[#All],[UNIT TAG]], FALSE), 6)</f>
        <v>170</v>
      </c>
      <c r="Z57" s="27">
        <f>INDEX(Schedule!$A$1:$N$2000, MATCH($C57, VAV_Schedule_5_21[[#All],[UNIT TAG]], FALSE), 6)</f>
        <v>170</v>
      </c>
      <c r="AA57" s="27">
        <v>1000</v>
      </c>
      <c r="AB57" s="27">
        <v>1100</v>
      </c>
      <c r="AC57">
        <v>1400</v>
      </c>
      <c r="AD57" s="29">
        <f>IF(INDEX(Schedule!$A$1:$N$2000, MATCH($C57, VAV_Schedule_5_21[[#All],[UNIT TAG]], FALSE), 7)="-", 0, INDEX(Schedule!$A$1:$N$2000, MATCH($C57, VAV_Schedule_5_21[[#All],[UNIT TAG]], FALSE), 7))</f>
        <v>0</v>
      </c>
      <c r="AE57" t="str">
        <f>"B_01'" &amp; "Flr_0" &amp; INDEX(Joined!$A$3:$M$2000, MATCH($A57, Joined!$I$3:$I$2000, FALSE), 8)</f>
        <v>B_01'Flr_02</v>
      </c>
      <c r="AF57" t="str">
        <f>"R_" &amp; INDEX(Joined!$A$3:$M$2000, MATCH($A57, Joined!$I$3:$I$2000, FALSE), 7)</f>
        <v>R_VAV-2N-5</v>
      </c>
      <c r="AG57" t="str">
        <f>"B_01'" &amp; "Flr_0" &amp; INDEX(Joined!$A$3:$M$2000, MATCH($A57, Joined!$I$3:$I$2000, FALSE), 8)</f>
        <v>B_01'Flr_02</v>
      </c>
      <c r="AH57" t="str">
        <f>INDEX(Joined!$A$3:$M$2000, MATCH($A57, Joined!$I$3:$I$2000, FALSE), 7)</f>
        <v>VAV-2N-5</v>
      </c>
      <c r="AI57" t="s">
        <v>1447</v>
      </c>
    </row>
    <row r="58" spans="1:35" x14ac:dyDescent="0.2">
      <c r="A58" t="s">
        <v>447</v>
      </c>
      <c r="B58" t="str">
        <f>"B_01'" &amp; "Flr_0" &amp; INDEX(Joined!$A$3:$M$2000, MATCH($A58, Joined!$I$3:$I$2000, FALSE), 8)</f>
        <v>B_01'Flr_02</v>
      </c>
      <c r="C58" t="str">
        <f>INDEX(Joined!$A$3:$M$2000, MATCH($A58, Joined!$I$3:$I$2000, FALSE), 7)</f>
        <v>VAV-2N-6</v>
      </c>
      <c r="D58">
        <f>INDEX(Joined!$A$3:$M$2000, MATCH($A58, Joined!$I$3:$I$2000, FALSE), 5)</f>
        <v>150104</v>
      </c>
      <c r="E58" t="str">
        <f>INDEX(Joined!$A$3:$M$2000, MATCH($A58, Joined!$I$3:$I$2000, FALSE), 7)</f>
        <v>VAV-2N-6</v>
      </c>
      <c r="F58" t="s">
        <v>38</v>
      </c>
      <c r="G58" t="str">
        <f>INDEX(Schedule!$Q$2:$R$7, MATCH(ABT!$H58,Schedule!$Q$2:$Q$7, 0), 2)</f>
        <v>15006_ADXR_VAV_DXR2M10</v>
      </c>
      <c r="H58">
        <f>INDEX(Joined!$A$3:$M$2000, MATCH($A58, Joined!$I$3:$I$2000, FALSE), 6)</f>
        <v>15006</v>
      </c>
      <c r="I58" t="str">
        <f>INDEX(Joined!$A$3:$M$2000, MATCH($A58, Joined!$I$3:$I$2000, FALSE), 4)</f>
        <v>501</v>
      </c>
      <c r="J58" t="b">
        <v>0</v>
      </c>
      <c r="K58">
        <f>INDEX(Joined!$A$3:$M$2000, MATCH($A58, Joined!$I$3:$I$2000, FALSE), 3)</f>
        <v>4</v>
      </c>
      <c r="L58">
        <v>85</v>
      </c>
      <c r="M58">
        <v>38400</v>
      </c>
      <c r="N58" s="27">
        <f>PI()*(INDEX(Schedule!$A$1:$N$2000, MATCH($C58, VAV_Schedule_5_21[[#All],[UNIT TAG]], FALSE), 4)/2/12)^2</f>
        <v>0.54541539124822802</v>
      </c>
      <c r="O58" s="27">
        <f>INDEX(Schedule!$A$1:$N$2000, MATCH($C58, VAV_Schedule_5_21[[#All],[UNIT TAG]], FALSE), 4)</f>
        <v>10</v>
      </c>
      <c r="P58">
        <v>56.63</v>
      </c>
      <c r="Q58" s="27">
        <f>INDEX(Schedule!$A$1:$N$2000, MATCH($C58, VAV_Schedule_5_21[[#All],[UNIT TAG]], FALSE), 5)</f>
        <v>840</v>
      </c>
      <c r="R58" s="27">
        <f>INDEX(Schedule!$A$1:$N$2000, MATCH($C58, VAV_Schedule_5_21[[#All],[UNIT TAG]], FALSE), 6)</f>
        <v>170</v>
      </c>
      <c r="S58" s="27">
        <f>INDEX(Schedule!$A$1:$N$2000, MATCH($C58, VAV_Schedule_5_21[[#All],[UNIT TAG]], FALSE), 5)</f>
        <v>840</v>
      </c>
      <c r="T58" s="27">
        <f>INDEX(Schedule!$A$1:$N$2000, MATCH($C58, VAV_Schedule_5_21[[#All],[UNIT TAG]], FALSE), 6)</f>
        <v>170</v>
      </c>
      <c r="U58" s="27">
        <f>INDEX(Schedule!$A$1:$N$2000, MATCH($C58, VAV_Schedule_5_21[[#All],[UNIT TAG]], FALSE), 5)</f>
        <v>840</v>
      </c>
      <c r="V58" s="27">
        <f>INDEX(Schedule!$A$1:$N$2000, MATCH($C58, VAV_Schedule_5_21[[#All],[UNIT TAG]], FALSE), 6)</f>
        <v>170</v>
      </c>
      <c r="W58" s="27">
        <f>INDEX(Schedule!$A$1:$N$2000, MATCH($C58, VAV_Schedule_5_21[[#All],[UNIT TAG]], FALSE), 6)</f>
        <v>170</v>
      </c>
      <c r="X58" s="27">
        <f>INDEX(Schedule!$A$1:$N$2000, MATCH($C58, VAV_Schedule_5_21[[#All],[UNIT TAG]], FALSE), 6)</f>
        <v>170</v>
      </c>
      <c r="Y58" s="27">
        <f>INDEX(Schedule!$A$1:$N$2000, MATCH($C58, VAV_Schedule_5_21[[#All],[UNIT TAG]], FALSE), 6)</f>
        <v>170</v>
      </c>
      <c r="Z58" s="27">
        <f>INDEX(Schedule!$A$1:$N$2000, MATCH($C58, VAV_Schedule_5_21[[#All],[UNIT TAG]], FALSE), 6)</f>
        <v>170</v>
      </c>
      <c r="AA58" s="27">
        <v>1000</v>
      </c>
      <c r="AB58" s="27">
        <v>1100</v>
      </c>
      <c r="AC58">
        <v>1400</v>
      </c>
      <c r="AD58" s="29">
        <f>IF(INDEX(Schedule!$A$1:$N$2000, MATCH($C58, VAV_Schedule_5_21[[#All],[UNIT TAG]], FALSE), 7)="-", 0, INDEX(Schedule!$A$1:$N$2000, MATCH($C58, VAV_Schedule_5_21[[#All],[UNIT TAG]], FALSE), 7))</f>
        <v>0</v>
      </c>
      <c r="AE58" t="str">
        <f>"B_01'" &amp; "Flr_0" &amp; INDEX(Joined!$A$3:$M$2000, MATCH($A58, Joined!$I$3:$I$2000, FALSE), 8)</f>
        <v>B_01'Flr_02</v>
      </c>
      <c r="AF58" t="str">
        <f>"R_" &amp; INDEX(Joined!$A$3:$M$2000, MATCH($A58, Joined!$I$3:$I$2000, FALSE), 7)</f>
        <v>R_VAV-2N-6</v>
      </c>
      <c r="AG58" t="str">
        <f>"B_01'" &amp; "Flr_0" &amp; INDEX(Joined!$A$3:$M$2000, MATCH($A58, Joined!$I$3:$I$2000, FALSE), 8)</f>
        <v>B_01'Flr_02</v>
      </c>
      <c r="AH58" t="str">
        <f>INDEX(Joined!$A$3:$M$2000, MATCH($A58, Joined!$I$3:$I$2000, FALSE), 7)</f>
        <v>VAV-2N-6</v>
      </c>
      <c r="AI58" t="s">
        <v>1448</v>
      </c>
    </row>
    <row r="59" spans="1:35" x14ac:dyDescent="0.2">
      <c r="A59" t="s">
        <v>694</v>
      </c>
      <c r="B59" t="str">
        <f>"B_01'" &amp; "Flr_0" &amp; INDEX(Joined!$A$3:$M$2000, MATCH($A59, Joined!$I$3:$I$2000, FALSE), 8)</f>
        <v>B_01'Flr_02</v>
      </c>
      <c r="C59" t="str">
        <f>INDEX(Joined!$A$3:$M$2000, MATCH($A59, Joined!$I$3:$I$2000, FALSE), 7)</f>
        <v>VAV-2N-6A</v>
      </c>
      <c r="D59">
        <f>INDEX(Joined!$A$3:$M$2000, MATCH($A59, Joined!$I$3:$I$2000, FALSE), 5)</f>
        <v>150105</v>
      </c>
      <c r="E59" t="str">
        <f>INDEX(Joined!$A$3:$M$2000, MATCH($A59, Joined!$I$3:$I$2000, FALSE), 7)</f>
        <v>VAV-2N-6A</v>
      </c>
      <c r="F59" t="s">
        <v>38</v>
      </c>
      <c r="G59" t="str">
        <f>INDEX(Schedule!$Q$2:$R$7, MATCH(ABT!$H59,Schedule!$Q$2:$Q$7, 0), 2)</f>
        <v>15006_ADXR_VAV_DXR2M10</v>
      </c>
      <c r="H59">
        <f>INDEX(Joined!$A$3:$M$2000, MATCH($A59, Joined!$I$3:$I$2000, FALSE), 6)</f>
        <v>15006</v>
      </c>
      <c r="I59" t="str">
        <f>INDEX(Joined!$A$3:$M$2000, MATCH($A59, Joined!$I$3:$I$2000, FALSE), 4)</f>
        <v>501</v>
      </c>
      <c r="J59" t="b">
        <v>0</v>
      </c>
      <c r="K59">
        <f>INDEX(Joined!$A$3:$M$2000, MATCH($A59, Joined!$I$3:$I$2000, FALSE), 3)</f>
        <v>5</v>
      </c>
      <c r="L59">
        <v>85</v>
      </c>
      <c r="M59">
        <v>38400</v>
      </c>
      <c r="N59" s="27">
        <f>PI()*(INDEX(Schedule!$A$1:$N$2000, MATCH($C59, VAV_Schedule_5_21[[#All],[UNIT TAG]], FALSE), 4)/2/12)^2</f>
        <v>0.3490658503988659</v>
      </c>
      <c r="O59" s="27">
        <f>INDEX(Schedule!$A$1:$N$2000, MATCH($C59, VAV_Schedule_5_21[[#All],[UNIT TAG]], FALSE), 4)</f>
        <v>8</v>
      </c>
      <c r="P59">
        <v>57.63</v>
      </c>
      <c r="Q59" s="27">
        <f>INDEX(Schedule!$A$1:$N$2000, MATCH($C59, VAV_Schedule_5_21[[#All],[UNIT TAG]], FALSE), 5)</f>
        <v>550</v>
      </c>
      <c r="R59" s="27">
        <f>INDEX(Schedule!$A$1:$N$2000, MATCH($C59, VAV_Schedule_5_21[[#All],[UNIT TAG]], FALSE), 6)</f>
        <v>110</v>
      </c>
      <c r="S59" s="27">
        <f>INDEX(Schedule!$A$1:$N$2000, MATCH($C59, VAV_Schedule_5_21[[#All],[UNIT TAG]], FALSE), 5)</f>
        <v>550</v>
      </c>
      <c r="T59" s="27">
        <f>INDEX(Schedule!$A$1:$N$2000, MATCH($C59, VAV_Schedule_5_21[[#All],[UNIT TAG]], FALSE), 6)</f>
        <v>110</v>
      </c>
      <c r="U59" s="27">
        <f>INDEX(Schedule!$A$1:$N$2000, MATCH($C59, VAV_Schedule_5_21[[#All],[UNIT TAG]], FALSE), 5)</f>
        <v>550</v>
      </c>
      <c r="V59" s="27">
        <f>INDEX(Schedule!$A$1:$N$2000, MATCH($C59, VAV_Schedule_5_21[[#All],[UNIT TAG]], FALSE), 6)</f>
        <v>110</v>
      </c>
      <c r="W59" s="27">
        <f>INDEX(Schedule!$A$1:$N$2000, MATCH($C59, VAV_Schedule_5_21[[#All],[UNIT TAG]], FALSE), 6)</f>
        <v>110</v>
      </c>
      <c r="X59" s="27">
        <f>INDEX(Schedule!$A$1:$N$2000, MATCH($C59, VAV_Schedule_5_21[[#All],[UNIT TAG]], FALSE), 6)</f>
        <v>110</v>
      </c>
      <c r="Y59" s="27">
        <f>INDEX(Schedule!$A$1:$N$2000, MATCH($C59, VAV_Schedule_5_21[[#All],[UNIT TAG]], FALSE), 6)</f>
        <v>110</v>
      </c>
      <c r="Z59" s="27">
        <f>INDEX(Schedule!$A$1:$N$2000, MATCH($C59, VAV_Schedule_5_21[[#All],[UNIT TAG]], FALSE), 6)</f>
        <v>110</v>
      </c>
      <c r="AA59" s="27">
        <v>1000</v>
      </c>
      <c r="AB59" s="27">
        <v>1100</v>
      </c>
      <c r="AC59">
        <v>1400</v>
      </c>
      <c r="AD59" s="29">
        <f>IF(INDEX(Schedule!$A$1:$N$2000, MATCH($C59, VAV_Schedule_5_21[[#All],[UNIT TAG]], FALSE), 7)="-", 0, INDEX(Schedule!$A$1:$N$2000, MATCH($C59, VAV_Schedule_5_21[[#All],[UNIT TAG]], FALSE), 7))</f>
        <v>0</v>
      </c>
      <c r="AE59" t="str">
        <f>"B_01'" &amp; "Flr_0" &amp; INDEX(Joined!$A$3:$M$2000, MATCH($A59, Joined!$I$3:$I$2000, FALSE), 8)</f>
        <v>B_01'Flr_02</v>
      </c>
      <c r="AF59" t="str">
        <f>"R_" &amp; INDEX(Joined!$A$3:$M$2000, MATCH($A59, Joined!$I$3:$I$2000, FALSE), 7)</f>
        <v>R_VAV-2N-6A</v>
      </c>
      <c r="AG59" t="str">
        <f>"B_01'" &amp; "Flr_0" &amp; INDEX(Joined!$A$3:$M$2000, MATCH($A59, Joined!$I$3:$I$2000, FALSE), 8)</f>
        <v>B_01'Flr_02</v>
      </c>
      <c r="AH59" t="str">
        <f>INDEX(Joined!$A$3:$M$2000, MATCH($A59, Joined!$I$3:$I$2000, FALSE), 7)</f>
        <v>VAV-2N-6A</v>
      </c>
      <c r="AI59" t="s">
        <v>1449</v>
      </c>
    </row>
    <row r="60" spans="1:35" x14ac:dyDescent="0.2">
      <c r="A60" t="s">
        <v>448</v>
      </c>
      <c r="B60" t="str">
        <f>"B_01'" &amp; "Flr_0" &amp; INDEX(Joined!$A$3:$M$2000, MATCH($A60, Joined!$I$3:$I$2000, FALSE), 8)</f>
        <v>B_01'Flr_02</v>
      </c>
      <c r="C60" t="str">
        <f>INDEX(Joined!$A$3:$M$2000, MATCH($A60, Joined!$I$3:$I$2000, FALSE), 7)</f>
        <v>VAV-2N-7</v>
      </c>
      <c r="D60">
        <f>INDEX(Joined!$A$3:$M$2000, MATCH($A60, Joined!$I$3:$I$2000, FALSE), 5)</f>
        <v>150106</v>
      </c>
      <c r="E60" t="str">
        <f>INDEX(Joined!$A$3:$M$2000, MATCH($A60, Joined!$I$3:$I$2000, FALSE), 7)</f>
        <v>VAV-2N-7</v>
      </c>
      <c r="F60" t="s">
        <v>38</v>
      </c>
      <c r="G60" t="str">
        <f>INDEX(Schedule!$Q$2:$R$7, MATCH(ABT!$H60,Schedule!$Q$2:$Q$7, 0), 2)</f>
        <v>15006_ADXR_VAV_DXR2M10</v>
      </c>
      <c r="H60">
        <f>INDEX(Joined!$A$3:$M$2000, MATCH($A60, Joined!$I$3:$I$2000, FALSE), 6)</f>
        <v>15006</v>
      </c>
      <c r="I60" t="str">
        <f>INDEX(Joined!$A$3:$M$2000, MATCH($A60, Joined!$I$3:$I$2000, FALSE), 4)</f>
        <v>501</v>
      </c>
      <c r="J60" t="b">
        <v>0</v>
      </c>
      <c r="K60">
        <f>INDEX(Joined!$A$3:$M$2000, MATCH($A60, Joined!$I$3:$I$2000, FALSE), 3)</f>
        <v>6</v>
      </c>
      <c r="L60">
        <v>85</v>
      </c>
      <c r="M60">
        <v>38400</v>
      </c>
      <c r="N60" s="27">
        <f>PI()*(INDEX(Schedule!$A$1:$N$2000, MATCH($C60, VAV_Schedule_5_21[[#All],[UNIT TAG]], FALSE), 4)/2/12)^2</f>
        <v>0.54541539124822802</v>
      </c>
      <c r="O60" s="27">
        <f>INDEX(Schedule!$A$1:$N$2000, MATCH($C60, VAV_Schedule_5_21[[#All],[UNIT TAG]], FALSE), 4)</f>
        <v>10</v>
      </c>
      <c r="P60">
        <v>58.63</v>
      </c>
      <c r="Q60" s="27">
        <f>INDEX(Schedule!$A$1:$N$2000, MATCH($C60, VAV_Schedule_5_21[[#All],[UNIT TAG]], FALSE), 5)</f>
        <v>1100</v>
      </c>
      <c r="R60" s="27">
        <f>INDEX(Schedule!$A$1:$N$2000, MATCH($C60, VAV_Schedule_5_21[[#All],[UNIT TAG]], FALSE), 6)</f>
        <v>220</v>
      </c>
      <c r="S60" s="27">
        <f>INDEX(Schedule!$A$1:$N$2000, MATCH($C60, VAV_Schedule_5_21[[#All],[UNIT TAG]], FALSE), 5)</f>
        <v>1100</v>
      </c>
      <c r="T60" s="27">
        <f>INDEX(Schedule!$A$1:$N$2000, MATCH($C60, VAV_Schedule_5_21[[#All],[UNIT TAG]], FALSE), 6)</f>
        <v>220</v>
      </c>
      <c r="U60" s="27">
        <f>INDEX(Schedule!$A$1:$N$2000, MATCH($C60, VAV_Schedule_5_21[[#All],[UNIT TAG]], FALSE), 5)</f>
        <v>1100</v>
      </c>
      <c r="V60" s="27">
        <f>INDEX(Schedule!$A$1:$N$2000, MATCH($C60, VAV_Schedule_5_21[[#All],[UNIT TAG]], FALSE), 6)</f>
        <v>220</v>
      </c>
      <c r="W60" s="27">
        <f>INDEX(Schedule!$A$1:$N$2000, MATCH($C60, VAV_Schedule_5_21[[#All],[UNIT TAG]], FALSE), 6)</f>
        <v>220</v>
      </c>
      <c r="X60" s="27">
        <f>INDEX(Schedule!$A$1:$N$2000, MATCH($C60, VAV_Schedule_5_21[[#All],[UNIT TAG]], FALSE), 6)</f>
        <v>220</v>
      </c>
      <c r="Y60" s="27">
        <f>INDEX(Schedule!$A$1:$N$2000, MATCH($C60, VAV_Schedule_5_21[[#All],[UNIT TAG]], FALSE), 6)</f>
        <v>220</v>
      </c>
      <c r="Z60" s="27">
        <f>INDEX(Schedule!$A$1:$N$2000, MATCH($C60, VAV_Schedule_5_21[[#All],[UNIT TAG]], FALSE), 6)</f>
        <v>220</v>
      </c>
      <c r="AA60" s="27">
        <v>1000</v>
      </c>
      <c r="AB60" s="27">
        <v>1100</v>
      </c>
      <c r="AC60">
        <v>1400</v>
      </c>
      <c r="AD60" s="29">
        <f>IF(INDEX(Schedule!$A$1:$N$2000, MATCH($C60, VAV_Schedule_5_21[[#All],[UNIT TAG]], FALSE), 7)="-", 0, INDEX(Schedule!$A$1:$N$2000, MATCH($C60, VAV_Schedule_5_21[[#All],[UNIT TAG]], FALSE), 7))</f>
        <v>0</v>
      </c>
      <c r="AE60" t="str">
        <f>"B_01'" &amp; "Flr_0" &amp; INDEX(Joined!$A$3:$M$2000, MATCH($A60, Joined!$I$3:$I$2000, FALSE), 8)</f>
        <v>B_01'Flr_02</v>
      </c>
      <c r="AF60" t="str">
        <f>"R_" &amp; INDEX(Joined!$A$3:$M$2000, MATCH($A60, Joined!$I$3:$I$2000, FALSE), 7)</f>
        <v>R_VAV-2N-7</v>
      </c>
      <c r="AG60" t="str">
        <f>"B_01'" &amp; "Flr_0" &amp; INDEX(Joined!$A$3:$M$2000, MATCH($A60, Joined!$I$3:$I$2000, FALSE), 8)</f>
        <v>B_01'Flr_02</v>
      </c>
      <c r="AH60" t="str">
        <f>INDEX(Joined!$A$3:$M$2000, MATCH($A60, Joined!$I$3:$I$2000, FALSE), 7)</f>
        <v>VAV-2N-7</v>
      </c>
      <c r="AI60" t="s">
        <v>1450</v>
      </c>
    </row>
    <row r="61" spans="1:35" x14ac:dyDescent="0.2">
      <c r="A61" t="s">
        <v>449</v>
      </c>
      <c r="B61" t="str">
        <f>"B_01'" &amp; "Flr_0" &amp; INDEX(Joined!$A$3:$M$2000, MATCH($A61, Joined!$I$3:$I$2000, FALSE), 8)</f>
        <v>B_01'Flr_02</v>
      </c>
      <c r="C61" t="str">
        <f>INDEX(Joined!$A$3:$M$2000, MATCH($A61, Joined!$I$3:$I$2000, FALSE), 7)</f>
        <v>VAV-2N-8</v>
      </c>
      <c r="D61">
        <f>INDEX(Joined!$A$3:$M$2000, MATCH($A61, Joined!$I$3:$I$2000, FALSE), 5)</f>
        <v>150107</v>
      </c>
      <c r="E61" t="str">
        <f>INDEX(Joined!$A$3:$M$2000, MATCH($A61, Joined!$I$3:$I$2000, FALSE), 7)</f>
        <v>VAV-2N-8</v>
      </c>
      <c r="F61" t="s">
        <v>38</v>
      </c>
      <c r="G61" t="str">
        <f>INDEX(Schedule!$Q$2:$R$7, MATCH(ABT!$H61,Schedule!$Q$2:$Q$7, 0), 2)</f>
        <v>15006_ADXR_VAV_DXR2M10</v>
      </c>
      <c r="H61">
        <f>INDEX(Joined!$A$3:$M$2000, MATCH($A61, Joined!$I$3:$I$2000, FALSE), 6)</f>
        <v>15006</v>
      </c>
      <c r="I61" t="str">
        <f>INDEX(Joined!$A$3:$M$2000, MATCH($A61, Joined!$I$3:$I$2000, FALSE), 4)</f>
        <v>501</v>
      </c>
      <c r="J61" t="b">
        <v>0</v>
      </c>
      <c r="K61">
        <f>INDEX(Joined!$A$3:$M$2000, MATCH($A61, Joined!$I$3:$I$2000, FALSE), 3)</f>
        <v>7</v>
      </c>
      <c r="L61">
        <v>85</v>
      </c>
      <c r="M61">
        <v>38400</v>
      </c>
      <c r="N61" s="27">
        <f>PI()*(INDEX(Schedule!$A$1:$N$2000, MATCH($C61, VAV_Schedule_5_21[[#All],[UNIT TAG]], FALSE), 4)/2/12)^2</f>
        <v>1.0690141668465269</v>
      </c>
      <c r="O61" s="27">
        <f>INDEX(Schedule!$A$1:$N$2000, MATCH($C61, VAV_Schedule_5_21[[#All],[UNIT TAG]], FALSE), 4)</f>
        <v>14</v>
      </c>
      <c r="P61">
        <v>59.63</v>
      </c>
      <c r="Q61" s="27">
        <f>INDEX(Schedule!$A$1:$N$2000, MATCH($C61, VAV_Schedule_5_21[[#All],[UNIT TAG]], FALSE), 5)</f>
        <v>1680</v>
      </c>
      <c r="R61" s="27">
        <f>INDEX(Schedule!$A$1:$N$2000, MATCH($C61, VAV_Schedule_5_21[[#All],[UNIT TAG]], FALSE), 6)</f>
        <v>0</v>
      </c>
      <c r="S61" s="27">
        <f>INDEX(Schedule!$A$1:$N$2000, MATCH($C61, VAV_Schedule_5_21[[#All],[UNIT TAG]], FALSE), 5)</f>
        <v>1680</v>
      </c>
      <c r="T61" s="27">
        <f>INDEX(Schedule!$A$1:$N$2000, MATCH($C61, VAV_Schedule_5_21[[#All],[UNIT TAG]], FALSE), 6)</f>
        <v>0</v>
      </c>
      <c r="U61" s="27">
        <f>INDEX(Schedule!$A$1:$N$2000, MATCH($C61, VAV_Schedule_5_21[[#All],[UNIT TAG]], FALSE), 5)</f>
        <v>1680</v>
      </c>
      <c r="V61" s="27">
        <f>INDEX(Schedule!$A$1:$N$2000, MATCH($C61, VAV_Schedule_5_21[[#All],[UNIT TAG]], FALSE), 6)</f>
        <v>0</v>
      </c>
      <c r="W61" s="27">
        <f>INDEX(Schedule!$A$1:$N$2000, MATCH($C61, VAV_Schedule_5_21[[#All],[UNIT TAG]], FALSE), 6)</f>
        <v>0</v>
      </c>
      <c r="X61" s="27">
        <f>INDEX(Schedule!$A$1:$N$2000, MATCH($C61, VAV_Schedule_5_21[[#All],[UNIT TAG]], FALSE), 6)</f>
        <v>0</v>
      </c>
      <c r="Y61" s="27">
        <f>INDEX(Schedule!$A$1:$N$2000, MATCH($C61, VAV_Schedule_5_21[[#All],[UNIT TAG]], FALSE), 6)</f>
        <v>0</v>
      </c>
      <c r="Z61" s="27">
        <f>INDEX(Schedule!$A$1:$N$2000, MATCH($C61, VAV_Schedule_5_21[[#All],[UNIT TAG]], FALSE), 6)</f>
        <v>0</v>
      </c>
      <c r="AA61" s="27">
        <v>1000</v>
      </c>
      <c r="AB61" s="27">
        <v>1100</v>
      </c>
      <c r="AC61">
        <v>1400</v>
      </c>
      <c r="AD61" s="29">
        <f>IF(INDEX(Schedule!$A$1:$N$2000, MATCH($C61, VAV_Schedule_5_21[[#All],[UNIT TAG]], FALSE), 7)="-", 0, INDEX(Schedule!$A$1:$N$2000, MATCH($C61, VAV_Schedule_5_21[[#All],[UNIT TAG]], FALSE), 7))</f>
        <v>0</v>
      </c>
      <c r="AE61" t="str">
        <f>"B_01'" &amp; "Flr_0" &amp; INDEX(Joined!$A$3:$M$2000, MATCH($A61, Joined!$I$3:$I$2000, FALSE), 8)</f>
        <v>B_01'Flr_02</v>
      </c>
      <c r="AF61" t="str">
        <f>"R_" &amp; INDEX(Joined!$A$3:$M$2000, MATCH($A61, Joined!$I$3:$I$2000, FALSE), 7)</f>
        <v>R_VAV-2N-8</v>
      </c>
      <c r="AG61" t="str">
        <f>"B_01'" &amp; "Flr_0" &amp; INDEX(Joined!$A$3:$M$2000, MATCH($A61, Joined!$I$3:$I$2000, FALSE), 8)</f>
        <v>B_01'Flr_02</v>
      </c>
      <c r="AH61" t="str">
        <f>INDEX(Joined!$A$3:$M$2000, MATCH($A61, Joined!$I$3:$I$2000, FALSE), 7)</f>
        <v>VAV-2N-8</v>
      </c>
      <c r="AI61" t="s">
        <v>1451</v>
      </c>
    </row>
    <row r="62" spans="1:35" x14ac:dyDescent="0.2">
      <c r="A62" t="s">
        <v>451</v>
      </c>
      <c r="B62" t="str">
        <f>"B_01'" &amp; "Flr_0" &amp; INDEX(Joined!$A$3:$M$2000, MATCH($A62, Joined!$I$3:$I$2000, FALSE), 8)</f>
        <v>B_01'Flr_02</v>
      </c>
      <c r="C62" t="str">
        <f>INDEX(Joined!$A$3:$M$2000, MATCH($A62, Joined!$I$3:$I$2000, FALSE), 7)</f>
        <v>VAV-2W-1</v>
      </c>
      <c r="D62">
        <f>INDEX(Joined!$A$3:$M$2000, MATCH($A62, Joined!$I$3:$I$2000, FALSE), 5)</f>
        <v>150301</v>
      </c>
      <c r="E62" t="str">
        <f>INDEX(Joined!$A$3:$M$2000, MATCH($A62, Joined!$I$3:$I$2000, FALSE), 7)</f>
        <v>VAV-2W-1</v>
      </c>
      <c r="F62" t="s">
        <v>38</v>
      </c>
      <c r="G62" t="str">
        <f>INDEX(Schedule!$Q$2:$R$7, MATCH(ABT!$H62,Schedule!$Q$2:$Q$7, 0), 2)</f>
        <v>15007_ADXR_VAV_DXR2M10</v>
      </c>
      <c r="H62">
        <f>INDEX(Joined!$A$3:$M$2000, MATCH($A62, Joined!$I$3:$I$2000, FALSE), 6)</f>
        <v>15007</v>
      </c>
      <c r="I62" t="str">
        <f>INDEX(Joined!$A$3:$M$2000, MATCH($A62, Joined!$I$3:$I$2000, FALSE), 4)</f>
        <v>503</v>
      </c>
      <c r="J62" t="b">
        <v>0</v>
      </c>
      <c r="K62">
        <f>INDEX(Joined!$A$3:$M$2000, MATCH($A62, Joined!$I$3:$I$2000, FALSE), 3)</f>
        <v>1</v>
      </c>
      <c r="L62">
        <v>85</v>
      </c>
      <c r="M62">
        <v>38400</v>
      </c>
      <c r="N62" s="27">
        <f>PI()*(INDEX(Schedule!$A$1:$N$2000, MATCH($C62, VAV_Schedule_5_21[[#All],[UNIT TAG]], FALSE), 4)/2/12)^2</f>
        <v>0.54541539124822802</v>
      </c>
      <c r="O62" s="27">
        <f>INDEX(Schedule!$A$1:$N$2000, MATCH($C62, VAV_Schedule_5_21[[#All],[UNIT TAG]], FALSE), 4)</f>
        <v>10</v>
      </c>
      <c r="P62">
        <v>60.63</v>
      </c>
      <c r="Q62" s="27">
        <f>INDEX(Schedule!$A$1:$N$2000, MATCH($C62, VAV_Schedule_5_21[[#All],[UNIT TAG]], FALSE), 5)</f>
        <v>800</v>
      </c>
      <c r="R62" s="27">
        <f>INDEX(Schedule!$A$1:$N$2000, MATCH($C62, VAV_Schedule_5_21[[#All],[UNIT TAG]], FALSE), 6)</f>
        <v>160</v>
      </c>
      <c r="S62" s="27">
        <f>INDEX(Schedule!$A$1:$N$2000, MATCH($C62, VAV_Schedule_5_21[[#All],[UNIT TAG]], FALSE), 5)</f>
        <v>800</v>
      </c>
      <c r="T62" s="27">
        <f>INDEX(Schedule!$A$1:$N$2000, MATCH($C62, VAV_Schedule_5_21[[#All],[UNIT TAG]], FALSE), 6)</f>
        <v>160</v>
      </c>
      <c r="U62" s="27">
        <f>INDEX(Schedule!$A$1:$N$2000, MATCH($C62, VAV_Schedule_5_21[[#All],[UNIT TAG]], FALSE), 5)</f>
        <v>800</v>
      </c>
      <c r="V62" s="27">
        <f>INDEX(Schedule!$A$1:$N$2000, MATCH($C62, VAV_Schedule_5_21[[#All],[UNIT TAG]], FALSE), 6)</f>
        <v>160</v>
      </c>
      <c r="W62" s="27">
        <f>INDEX(Schedule!$A$1:$N$2000, MATCH($C62, VAV_Schedule_5_21[[#All],[UNIT TAG]], FALSE), 6)</f>
        <v>160</v>
      </c>
      <c r="X62" s="27">
        <f>INDEX(Schedule!$A$1:$N$2000, MATCH($C62, VAV_Schedule_5_21[[#All],[UNIT TAG]], FALSE), 6)</f>
        <v>160</v>
      </c>
      <c r="Y62" s="27">
        <f>INDEX(Schedule!$A$1:$N$2000, MATCH($C62, VAV_Schedule_5_21[[#All],[UNIT TAG]], FALSE), 6)</f>
        <v>160</v>
      </c>
      <c r="Z62" s="27">
        <f>INDEX(Schedule!$A$1:$N$2000, MATCH($C62, VAV_Schedule_5_21[[#All],[UNIT TAG]], FALSE), 6)</f>
        <v>160</v>
      </c>
      <c r="AA62" s="27">
        <v>1000</v>
      </c>
      <c r="AB62" s="27">
        <v>1100</v>
      </c>
      <c r="AC62">
        <v>1400</v>
      </c>
      <c r="AD62" s="29" t="str">
        <f>IF(INDEX(Schedule!$A$1:$N$2000, MATCH($C62, VAV_Schedule_5_21[[#All],[UNIT TAG]], FALSE), 7)="-", 0, INDEX(Schedule!$A$1:$N$2000, MATCH($C62, VAV_Schedule_5_21[[#All],[UNIT TAG]], FALSE), 7))</f>
        <v>6</v>
      </c>
      <c r="AE62" t="str">
        <f>"B_01'" &amp; "Flr_0" &amp; INDEX(Joined!$A$3:$M$2000, MATCH($A62, Joined!$I$3:$I$2000, FALSE), 8)</f>
        <v>B_01'Flr_02</v>
      </c>
      <c r="AF62" t="str">
        <f>"R_" &amp; INDEX(Joined!$A$3:$M$2000, MATCH($A62, Joined!$I$3:$I$2000, FALSE), 7)</f>
        <v>R_VAV-2W-1</v>
      </c>
      <c r="AG62" t="str">
        <f>"B_01'" &amp; "Flr_0" &amp; INDEX(Joined!$A$3:$M$2000, MATCH($A62, Joined!$I$3:$I$2000, FALSE), 8)</f>
        <v>B_01'Flr_02</v>
      </c>
      <c r="AH62" t="str">
        <f>INDEX(Joined!$A$3:$M$2000, MATCH($A62, Joined!$I$3:$I$2000, FALSE), 7)</f>
        <v>VAV-2W-1</v>
      </c>
      <c r="AI62" t="s">
        <v>1452</v>
      </c>
    </row>
    <row r="63" spans="1:35" x14ac:dyDescent="0.2">
      <c r="A63" t="s">
        <v>452</v>
      </c>
      <c r="B63" t="str">
        <f>"B_01'" &amp; "Flr_0" &amp; INDEX(Joined!$A$3:$M$2000, MATCH($A63, Joined!$I$3:$I$2000, FALSE), 8)</f>
        <v>B_01'Flr_02</v>
      </c>
      <c r="C63" t="str">
        <f>INDEX(Joined!$A$3:$M$2000, MATCH($A63, Joined!$I$3:$I$2000, FALSE), 7)</f>
        <v>VAV-2W-2</v>
      </c>
      <c r="D63">
        <f>INDEX(Joined!$A$3:$M$2000, MATCH($A63, Joined!$I$3:$I$2000, FALSE), 5)</f>
        <v>150302</v>
      </c>
      <c r="E63" t="str">
        <f>INDEX(Joined!$A$3:$M$2000, MATCH($A63, Joined!$I$3:$I$2000, FALSE), 7)</f>
        <v>VAV-2W-2</v>
      </c>
      <c r="F63" t="s">
        <v>38</v>
      </c>
      <c r="G63" t="str">
        <f>INDEX(Schedule!$Q$2:$R$7, MATCH(ABT!$H63,Schedule!$Q$2:$Q$7, 0), 2)</f>
        <v>15007_ADXR_VAV_DXR2M10</v>
      </c>
      <c r="H63">
        <f>INDEX(Joined!$A$3:$M$2000, MATCH($A63, Joined!$I$3:$I$2000, FALSE), 6)</f>
        <v>15007</v>
      </c>
      <c r="I63" t="str">
        <f>INDEX(Joined!$A$3:$M$2000, MATCH($A63, Joined!$I$3:$I$2000, FALSE), 4)</f>
        <v>503</v>
      </c>
      <c r="J63" t="b">
        <v>0</v>
      </c>
      <c r="K63">
        <f>INDEX(Joined!$A$3:$M$2000, MATCH($A63, Joined!$I$3:$I$2000, FALSE), 3)</f>
        <v>2</v>
      </c>
      <c r="L63">
        <v>85</v>
      </c>
      <c r="M63">
        <v>38400</v>
      </c>
      <c r="N63" s="27">
        <f>PI()*(INDEX(Schedule!$A$1:$N$2000, MATCH($C63, VAV_Schedule_5_21[[#All],[UNIT TAG]], FALSE), 4)/2/12)^2</f>
        <v>0.54541539124822802</v>
      </c>
      <c r="O63" s="27">
        <f>INDEX(Schedule!$A$1:$N$2000, MATCH($C63, VAV_Schedule_5_21[[#All],[UNIT TAG]], FALSE), 4)</f>
        <v>10</v>
      </c>
      <c r="P63">
        <v>61.63</v>
      </c>
      <c r="Q63" s="27">
        <f>INDEX(Schedule!$A$1:$N$2000, MATCH($C63, VAV_Schedule_5_21[[#All],[UNIT TAG]], FALSE), 5)</f>
        <v>1050</v>
      </c>
      <c r="R63" s="27">
        <f>INDEX(Schedule!$A$1:$N$2000, MATCH($C63, VAV_Schedule_5_21[[#All],[UNIT TAG]], FALSE), 6)</f>
        <v>210</v>
      </c>
      <c r="S63" s="27">
        <f>INDEX(Schedule!$A$1:$N$2000, MATCH($C63, VAV_Schedule_5_21[[#All],[UNIT TAG]], FALSE), 5)</f>
        <v>1050</v>
      </c>
      <c r="T63" s="27">
        <f>INDEX(Schedule!$A$1:$N$2000, MATCH($C63, VAV_Schedule_5_21[[#All],[UNIT TAG]], FALSE), 6)</f>
        <v>210</v>
      </c>
      <c r="U63" s="27">
        <f>INDEX(Schedule!$A$1:$N$2000, MATCH($C63, VAV_Schedule_5_21[[#All],[UNIT TAG]], FALSE), 5)</f>
        <v>1050</v>
      </c>
      <c r="V63" s="27">
        <f>INDEX(Schedule!$A$1:$N$2000, MATCH($C63, VAV_Schedule_5_21[[#All],[UNIT TAG]], FALSE), 6)</f>
        <v>210</v>
      </c>
      <c r="W63" s="27">
        <f>INDEX(Schedule!$A$1:$N$2000, MATCH($C63, VAV_Schedule_5_21[[#All],[UNIT TAG]], FALSE), 6)</f>
        <v>210</v>
      </c>
      <c r="X63" s="27">
        <f>INDEX(Schedule!$A$1:$N$2000, MATCH($C63, VAV_Schedule_5_21[[#All],[UNIT TAG]], FALSE), 6)</f>
        <v>210</v>
      </c>
      <c r="Y63" s="27">
        <f>INDEX(Schedule!$A$1:$N$2000, MATCH($C63, VAV_Schedule_5_21[[#All],[UNIT TAG]], FALSE), 6)</f>
        <v>210</v>
      </c>
      <c r="Z63" s="27">
        <f>INDEX(Schedule!$A$1:$N$2000, MATCH($C63, VAV_Schedule_5_21[[#All],[UNIT TAG]], FALSE), 6)</f>
        <v>210</v>
      </c>
      <c r="AA63" s="27">
        <v>1000</v>
      </c>
      <c r="AB63" s="27">
        <v>1100</v>
      </c>
      <c r="AC63">
        <v>1400</v>
      </c>
      <c r="AD63" s="29" t="str">
        <f>IF(INDEX(Schedule!$A$1:$N$2000, MATCH($C63, VAV_Schedule_5_21[[#All],[UNIT TAG]], FALSE), 7)="-", 0, INDEX(Schedule!$A$1:$N$2000, MATCH($C63, VAV_Schedule_5_21[[#All],[UNIT TAG]], FALSE), 7))</f>
        <v>8</v>
      </c>
      <c r="AE63" t="str">
        <f>"B_01'" &amp; "Flr_0" &amp; INDEX(Joined!$A$3:$M$2000, MATCH($A63, Joined!$I$3:$I$2000, FALSE), 8)</f>
        <v>B_01'Flr_02</v>
      </c>
      <c r="AF63" t="str">
        <f>"R_" &amp; INDEX(Joined!$A$3:$M$2000, MATCH($A63, Joined!$I$3:$I$2000, FALSE), 7)</f>
        <v>R_VAV-2W-2</v>
      </c>
      <c r="AG63" t="str">
        <f>"B_01'" &amp; "Flr_0" &amp; INDEX(Joined!$A$3:$M$2000, MATCH($A63, Joined!$I$3:$I$2000, FALSE), 8)</f>
        <v>B_01'Flr_02</v>
      </c>
      <c r="AH63" t="str">
        <f>INDEX(Joined!$A$3:$M$2000, MATCH($A63, Joined!$I$3:$I$2000, FALSE), 7)</f>
        <v>VAV-2W-2</v>
      </c>
      <c r="AI63" t="s">
        <v>1453</v>
      </c>
    </row>
    <row r="64" spans="1:35" x14ac:dyDescent="0.2">
      <c r="A64" t="s">
        <v>453</v>
      </c>
      <c r="B64" t="str">
        <f>"B_01'" &amp; "Flr_0" &amp; INDEX(Joined!$A$3:$M$2000, MATCH($A64, Joined!$I$3:$I$2000, FALSE), 8)</f>
        <v>B_01'Flr_02</v>
      </c>
      <c r="C64" t="str">
        <f>INDEX(Joined!$A$3:$M$2000, MATCH($A64, Joined!$I$3:$I$2000, FALSE), 7)</f>
        <v>VAV-2W-21</v>
      </c>
      <c r="D64">
        <f>INDEX(Joined!$A$3:$M$2000, MATCH($A64, Joined!$I$3:$I$2000, FALSE), 5)</f>
        <v>150303</v>
      </c>
      <c r="E64" t="str">
        <f>INDEX(Joined!$A$3:$M$2000, MATCH($A64, Joined!$I$3:$I$2000, FALSE), 7)</f>
        <v>VAV-2W-21</v>
      </c>
      <c r="F64" t="s">
        <v>38</v>
      </c>
      <c r="G64" t="str">
        <f>INDEX(Schedule!$Q$2:$R$7, MATCH(ABT!$H64,Schedule!$Q$2:$Q$7, 0), 2)</f>
        <v>15006_ADXR_VAV_DXR2M10</v>
      </c>
      <c r="H64">
        <f>INDEX(Joined!$A$3:$M$2000, MATCH($A64, Joined!$I$3:$I$2000, FALSE), 6)</f>
        <v>15006</v>
      </c>
      <c r="I64" t="str">
        <f>INDEX(Joined!$A$3:$M$2000, MATCH($A64, Joined!$I$3:$I$2000, FALSE), 4)</f>
        <v>503</v>
      </c>
      <c r="J64" t="b">
        <v>0</v>
      </c>
      <c r="K64">
        <f>INDEX(Joined!$A$3:$M$2000, MATCH($A64, Joined!$I$3:$I$2000, FALSE), 3)</f>
        <v>3</v>
      </c>
      <c r="L64">
        <v>85</v>
      </c>
      <c r="M64">
        <v>38400</v>
      </c>
      <c r="N64" s="27">
        <f>PI()*(INDEX(Schedule!$A$1:$N$2000, MATCH($C64, VAV_Schedule_5_21[[#All],[UNIT TAG]], FALSE), 4)/2/12)^2</f>
        <v>0.54541539124822802</v>
      </c>
      <c r="O64" s="27">
        <f>INDEX(Schedule!$A$1:$N$2000, MATCH($C64, VAV_Schedule_5_21[[#All],[UNIT TAG]], FALSE), 4)</f>
        <v>10</v>
      </c>
      <c r="P64">
        <v>62.63</v>
      </c>
      <c r="Q64" s="27">
        <f>INDEX(Schedule!$A$1:$N$2000, MATCH($C64, VAV_Schedule_5_21[[#All],[UNIT TAG]], FALSE), 5)</f>
        <v>840</v>
      </c>
      <c r="R64" s="27">
        <f>INDEX(Schedule!$A$1:$N$2000, MATCH($C64, VAV_Schedule_5_21[[#All],[UNIT TAG]], FALSE), 6)</f>
        <v>170</v>
      </c>
      <c r="S64" s="27">
        <f>INDEX(Schedule!$A$1:$N$2000, MATCH($C64, VAV_Schedule_5_21[[#All],[UNIT TAG]], FALSE), 5)</f>
        <v>840</v>
      </c>
      <c r="T64" s="27">
        <f>INDEX(Schedule!$A$1:$N$2000, MATCH($C64, VAV_Schedule_5_21[[#All],[UNIT TAG]], FALSE), 6)</f>
        <v>170</v>
      </c>
      <c r="U64" s="27">
        <f>INDEX(Schedule!$A$1:$N$2000, MATCH($C64, VAV_Schedule_5_21[[#All],[UNIT TAG]], FALSE), 5)</f>
        <v>840</v>
      </c>
      <c r="V64" s="27">
        <f>INDEX(Schedule!$A$1:$N$2000, MATCH($C64, VAV_Schedule_5_21[[#All],[UNIT TAG]], FALSE), 6)</f>
        <v>170</v>
      </c>
      <c r="W64" s="27">
        <f>INDEX(Schedule!$A$1:$N$2000, MATCH($C64, VAV_Schedule_5_21[[#All],[UNIT TAG]], FALSE), 6)</f>
        <v>170</v>
      </c>
      <c r="X64" s="27">
        <f>INDEX(Schedule!$A$1:$N$2000, MATCH($C64, VAV_Schedule_5_21[[#All],[UNIT TAG]], FALSE), 6)</f>
        <v>170</v>
      </c>
      <c r="Y64" s="27">
        <f>INDEX(Schedule!$A$1:$N$2000, MATCH($C64, VAV_Schedule_5_21[[#All],[UNIT TAG]], FALSE), 6)</f>
        <v>170</v>
      </c>
      <c r="Z64" s="27">
        <f>INDEX(Schedule!$A$1:$N$2000, MATCH($C64, VAV_Schedule_5_21[[#All],[UNIT TAG]], FALSE), 6)</f>
        <v>170</v>
      </c>
      <c r="AA64" s="27">
        <v>1000</v>
      </c>
      <c r="AB64" s="27">
        <v>1100</v>
      </c>
      <c r="AC64">
        <v>1400</v>
      </c>
      <c r="AD64" s="29">
        <f>IF(INDEX(Schedule!$A$1:$N$2000, MATCH($C64, VAV_Schedule_5_21[[#All],[UNIT TAG]], FALSE), 7)="-", 0, INDEX(Schedule!$A$1:$N$2000, MATCH($C64, VAV_Schedule_5_21[[#All],[UNIT TAG]], FALSE), 7))</f>
        <v>0</v>
      </c>
      <c r="AE64" t="str">
        <f>"B_01'" &amp; "Flr_0" &amp; INDEX(Joined!$A$3:$M$2000, MATCH($A64, Joined!$I$3:$I$2000, FALSE), 8)</f>
        <v>B_01'Flr_02</v>
      </c>
      <c r="AF64" t="str">
        <f>"R_" &amp; INDEX(Joined!$A$3:$M$2000, MATCH($A64, Joined!$I$3:$I$2000, FALSE), 7)</f>
        <v>R_VAV-2W-21</v>
      </c>
      <c r="AG64" t="str">
        <f>"B_01'" &amp; "Flr_0" &amp; INDEX(Joined!$A$3:$M$2000, MATCH($A64, Joined!$I$3:$I$2000, FALSE), 8)</f>
        <v>B_01'Flr_02</v>
      </c>
      <c r="AH64" t="str">
        <f>INDEX(Joined!$A$3:$M$2000, MATCH($A64, Joined!$I$3:$I$2000, FALSE), 7)</f>
        <v>VAV-2W-21</v>
      </c>
      <c r="AI64" t="s">
        <v>1454</v>
      </c>
    </row>
    <row r="65" spans="1:35" x14ac:dyDescent="0.2">
      <c r="A65" t="s">
        <v>454</v>
      </c>
      <c r="B65" t="str">
        <f>"B_01'" &amp; "Flr_0" &amp; INDEX(Joined!$A$3:$M$2000, MATCH($A65, Joined!$I$3:$I$2000, FALSE), 8)</f>
        <v>B_01'Flr_02</v>
      </c>
      <c r="C65" t="str">
        <f>INDEX(Joined!$A$3:$M$2000, MATCH($A65, Joined!$I$3:$I$2000, FALSE), 7)</f>
        <v>VAV-2W-22</v>
      </c>
      <c r="D65">
        <f>INDEX(Joined!$A$3:$M$2000, MATCH($A65, Joined!$I$3:$I$2000, FALSE), 5)</f>
        <v>150304</v>
      </c>
      <c r="E65" t="str">
        <f>INDEX(Joined!$A$3:$M$2000, MATCH($A65, Joined!$I$3:$I$2000, FALSE), 7)</f>
        <v>VAV-2W-22</v>
      </c>
      <c r="F65" t="s">
        <v>38</v>
      </c>
      <c r="G65" t="str">
        <f>INDEX(Schedule!$Q$2:$R$7, MATCH(ABT!$H65,Schedule!$Q$2:$Q$7, 0), 2)</f>
        <v>15007_ADXR_VAV_DXR2M10</v>
      </c>
      <c r="H65">
        <f>INDEX(Joined!$A$3:$M$2000, MATCH($A65, Joined!$I$3:$I$2000, FALSE), 6)</f>
        <v>15007</v>
      </c>
      <c r="I65" t="str">
        <f>INDEX(Joined!$A$3:$M$2000, MATCH($A65, Joined!$I$3:$I$2000, FALSE), 4)</f>
        <v>503</v>
      </c>
      <c r="J65" t="b">
        <v>0</v>
      </c>
      <c r="K65">
        <f>INDEX(Joined!$A$3:$M$2000, MATCH($A65, Joined!$I$3:$I$2000, FALSE), 3)</f>
        <v>4</v>
      </c>
      <c r="L65">
        <v>85</v>
      </c>
      <c r="M65">
        <v>38400</v>
      </c>
      <c r="N65" s="27">
        <f>PI()*(INDEX(Schedule!$A$1:$N$2000, MATCH($C65, VAV_Schedule_5_21[[#All],[UNIT TAG]], FALSE), 4)/2/12)^2</f>
        <v>0.54541539124822802</v>
      </c>
      <c r="O65" s="27">
        <f>INDEX(Schedule!$A$1:$N$2000, MATCH($C65, VAV_Schedule_5_21[[#All],[UNIT TAG]], FALSE), 4)</f>
        <v>10</v>
      </c>
      <c r="P65">
        <v>63.63</v>
      </c>
      <c r="Q65" s="27">
        <f>INDEX(Schedule!$A$1:$N$2000, MATCH($C65, VAV_Schedule_5_21[[#All],[UNIT TAG]], FALSE), 5)</f>
        <v>875</v>
      </c>
      <c r="R65" s="27">
        <f>INDEX(Schedule!$A$1:$N$2000, MATCH($C65, VAV_Schedule_5_21[[#All],[UNIT TAG]], FALSE), 6)</f>
        <v>175</v>
      </c>
      <c r="S65" s="27">
        <f>INDEX(Schedule!$A$1:$N$2000, MATCH($C65, VAV_Schedule_5_21[[#All],[UNIT TAG]], FALSE), 5)</f>
        <v>875</v>
      </c>
      <c r="T65" s="27">
        <f>INDEX(Schedule!$A$1:$N$2000, MATCH($C65, VAV_Schedule_5_21[[#All],[UNIT TAG]], FALSE), 6)</f>
        <v>175</v>
      </c>
      <c r="U65" s="27">
        <f>INDEX(Schedule!$A$1:$N$2000, MATCH($C65, VAV_Schedule_5_21[[#All],[UNIT TAG]], FALSE), 5)</f>
        <v>875</v>
      </c>
      <c r="V65" s="27">
        <f>INDEX(Schedule!$A$1:$N$2000, MATCH($C65, VAV_Schedule_5_21[[#All],[UNIT TAG]], FALSE), 6)</f>
        <v>175</v>
      </c>
      <c r="W65" s="27">
        <f>INDEX(Schedule!$A$1:$N$2000, MATCH($C65, VAV_Schedule_5_21[[#All],[UNIT TAG]], FALSE), 6)</f>
        <v>175</v>
      </c>
      <c r="X65" s="27">
        <f>INDEX(Schedule!$A$1:$N$2000, MATCH($C65, VAV_Schedule_5_21[[#All],[UNIT TAG]], FALSE), 6)</f>
        <v>175</v>
      </c>
      <c r="Y65" s="27">
        <f>INDEX(Schedule!$A$1:$N$2000, MATCH($C65, VAV_Schedule_5_21[[#All],[UNIT TAG]], FALSE), 6)</f>
        <v>175</v>
      </c>
      <c r="Z65" s="27">
        <f>INDEX(Schedule!$A$1:$N$2000, MATCH($C65, VAV_Schedule_5_21[[#All],[UNIT TAG]], FALSE), 6)</f>
        <v>175</v>
      </c>
      <c r="AA65" s="27">
        <v>1000</v>
      </c>
      <c r="AB65" s="27">
        <v>1100</v>
      </c>
      <c r="AC65">
        <v>1400</v>
      </c>
      <c r="AD65" s="29" t="str">
        <f>IF(INDEX(Schedule!$A$1:$N$2000, MATCH($C65, VAV_Schedule_5_21[[#All],[UNIT TAG]], FALSE), 7)="-", 0, INDEX(Schedule!$A$1:$N$2000, MATCH($C65, VAV_Schedule_5_21[[#All],[UNIT TAG]], FALSE), 7))</f>
        <v>7</v>
      </c>
      <c r="AE65" t="str">
        <f>"B_01'" &amp; "Flr_0" &amp; INDEX(Joined!$A$3:$M$2000, MATCH($A65, Joined!$I$3:$I$2000, FALSE), 8)</f>
        <v>B_01'Flr_02</v>
      </c>
      <c r="AF65" t="str">
        <f>"R_" &amp; INDEX(Joined!$A$3:$M$2000, MATCH($A65, Joined!$I$3:$I$2000, FALSE), 7)</f>
        <v>R_VAV-2W-22</v>
      </c>
      <c r="AG65" t="str">
        <f>"B_01'" &amp; "Flr_0" &amp; INDEX(Joined!$A$3:$M$2000, MATCH($A65, Joined!$I$3:$I$2000, FALSE), 8)</f>
        <v>B_01'Flr_02</v>
      </c>
      <c r="AH65" t="str">
        <f>INDEX(Joined!$A$3:$M$2000, MATCH($A65, Joined!$I$3:$I$2000, FALSE), 7)</f>
        <v>VAV-2W-22</v>
      </c>
      <c r="AI65" t="s">
        <v>1455</v>
      </c>
    </row>
    <row r="66" spans="1:35" x14ac:dyDescent="0.2">
      <c r="A66" t="s">
        <v>455</v>
      </c>
      <c r="B66" t="str">
        <f>"B_01'" &amp; "Flr_0" &amp; INDEX(Joined!$A$3:$M$2000, MATCH($A66, Joined!$I$3:$I$2000, FALSE), 8)</f>
        <v>B_01'Flr_02</v>
      </c>
      <c r="C66" t="str">
        <f>INDEX(Joined!$A$3:$M$2000, MATCH($A66, Joined!$I$3:$I$2000, FALSE), 7)</f>
        <v>VAV-2W-23</v>
      </c>
      <c r="D66">
        <f>INDEX(Joined!$A$3:$M$2000, MATCH($A66, Joined!$I$3:$I$2000, FALSE), 5)</f>
        <v>150305</v>
      </c>
      <c r="E66" t="str">
        <f>INDEX(Joined!$A$3:$M$2000, MATCH($A66, Joined!$I$3:$I$2000, FALSE), 7)</f>
        <v>VAV-2W-23</v>
      </c>
      <c r="F66" t="s">
        <v>38</v>
      </c>
      <c r="G66" t="str">
        <f>INDEX(Schedule!$Q$2:$R$7, MATCH(ABT!$H66,Schedule!$Q$2:$Q$7, 0), 2)</f>
        <v>15007_ADXR_VAV_DXR2M10</v>
      </c>
      <c r="H66">
        <f>INDEX(Joined!$A$3:$M$2000, MATCH($A66, Joined!$I$3:$I$2000, FALSE), 6)</f>
        <v>15007</v>
      </c>
      <c r="I66" t="str">
        <f>INDEX(Joined!$A$3:$M$2000, MATCH($A66, Joined!$I$3:$I$2000, FALSE), 4)</f>
        <v>503</v>
      </c>
      <c r="J66" t="b">
        <v>0</v>
      </c>
      <c r="K66">
        <f>INDEX(Joined!$A$3:$M$2000, MATCH($A66, Joined!$I$3:$I$2000, FALSE), 3)</f>
        <v>5</v>
      </c>
      <c r="L66">
        <v>85</v>
      </c>
      <c r="M66">
        <v>38400</v>
      </c>
      <c r="N66" s="27">
        <f>PI()*(INDEX(Schedule!$A$1:$N$2000, MATCH($C66, VAV_Schedule_5_21[[#All],[UNIT TAG]], FALSE), 4)/2/12)^2</f>
        <v>0.54541539124822802</v>
      </c>
      <c r="O66" s="27">
        <f>INDEX(Schedule!$A$1:$N$2000, MATCH($C66, VAV_Schedule_5_21[[#All],[UNIT TAG]], FALSE), 4)</f>
        <v>10</v>
      </c>
      <c r="P66">
        <v>64.63</v>
      </c>
      <c r="Q66" s="27">
        <f>INDEX(Schedule!$A$1:$N$2000, MATCH($C66, VAV_Schedule_5_21[[#All],[UNIT TAG]], FALSE), 5)</f>
        <v>960</v>
      </c>
      <c r="R66" s="27">
        <f>INDEX(Schedule!$A$1:$N$2000, MATCH($C66, VAV_Schedule_5_21[[#All],[UNIT TAG]], FALSE), 6)</f>
        <v>195</v>
      </c>
      <c r="S66" s="27">
        <f>INDEX(Schedule!$A$1:$N$2000, MATCH($C66, VAV_Schedule_5_21[[#All],[UNIT TAG]], FALSE), 5)</f>
        <v>960</v>
      </c>
      <c r="T66" s="27">
        <f>INDEX(Schedule!$A$1:$N$2000, MATCH($C66, VAV_Schedule_5_21[[#All],[UNIT TAG]], FALSE), 6)</f>
        <v>195</v>
      </c>
      <c r="U66" s="27">
        <f>INDEX(Schedule!$A$1:$N$2000, MATCH($C66, VAV_Schedule_5_21[[#All],[UNIT TAG]], FALSE), 5)</f>
        <v>960</v>
      </c>
      <c r="V66" s="27">
        <f>INDEX(Schedule!$A$1:$N$2000, MATCH($C66, VAV_Schedule_5_21[[#All],[UNIT TAG]], FALSE), 6)</f>
        <v>195</v>
      </c>
      <c r="W66" s="27">
        <f>INDEX(Schedule!$A$1:$N$2000, MATCH($C66, VAV_Schedule_5_21[[#All],[UNIT TAG]], FALSE), 6)</f>
        <v>195</v>
      </c>
      <c r="X66" s="27">
        <f>INDEX(Schedule!$A$1:$N$2000, MATCH($C66, VAV_Schedule_5_21[[#All],[UNIT TAG]], FALSE), 6)</f>
        <v>195</v>
      </c>
      <c r="Y66" s="27">
        <f>INDEX(Schedule!$A$1:$N$2000, MATCH($C66, VAV_Schedule_5_21[[#All],[UNIT TAG]], FALSE), 6)</f>
        <v>195</v>
      </c>
      <c r="Z66" s="27">
        <f>INDEX(Schedule!$A$1:$N$2000, MATCH($C66, VAV_Schedule_5_21[[#All],[UNIT TAG]], FALSE), 6)</f>
        <v>195</v>
      </c>
      <c r="AA66" s="27">
        <v>1000</v>
      </c>
      <c r="AB66" s="27">
        <v>1100</v>
      </c>
      <c r="AC66">
        <v>1400</v>
      </c>
      <c r="AD66" s="29" t="str">
        <f>IF(INDEX(Schedule!$A$1:$N$2000, MATCH($C66, VAV_Schedule_5_21[[#All],[UNIT TAG]], FALSE), 7)="-", 0, INDEX(Schedule!$A$1:$N$2000, MATCH($C66, VAV_Schedule_5_21[[#All],[UNIT TAG]], FALSE), 7))</f>
        <v>6</v>
      </c>
      <c r="AE66" t="str">
        <f>"B_01'" &amp; "Flr_0" &amp; INDEX(Joined!$A$3:$M$2000, MATCH($A66, Joined!$I$3:$I$2000, FALSE), 8)</f>
        <v>B_01'Flr_02</v>
      </c>
      <c r="AF66" t="str">
        <f>"R_" &amp; INDEX(Joined!$A$3:$M$2000, MATCH($A66, Joined!$I$3:$I$2000, FALSE), 7)</f>
        <v>R_VAV-2W-23</v>
      </c>
      <c r="AG66" t="str">
        <f>"B_01'" &amp; "Flr_0" &amp; INDEX(Joined!$A$3:$M$2000, MATCH($A66, Joined!$I$3:$I$2000, FALSE), 8)</f>
        <v>B_01'Flr_02</v>
      </c>
      <c r="AH66" t="str">
        <f>INDEX(Joined!$A$3:$M$2000, MATCH($A66, Joined!$I$3:$I$2000, FALSE), 7)</f>
        <v>VAV-2W-23</v>
      </c>
      <c r="AI66" t="s">
        <v>1456</v>
      </c>
    </row>
    <row r="67" spans="1:35" x14ac:dyDescent="0.2">
      <c r="A67" t="s">
        <v>456</v>
      </c>
      <c r="B67" t="str">
        <f>"B_01'" &amp; "Flr_0" &amp; INDEX(Joined!$A$3:$M$2000, MATCH($A67, Joined!$I$3:$I$2000, FALSE), 8)</f>
        <v>B_01'Flr_02</v>
      </c>
      <c r="C67" t="str">
        <f>INDEX(Joined!$A$3:$M$2000, MATCH($A67, Joined!$I$3:$I$2000, FALSE), 7)</f>
        <v>VAV-2W-24</v>
      </c>
      <c r="D67">
        <f>INDEX(Joined!$A$3:$M$2000, MATCH($A67, Joined!$I$3:$I$2000, FALSE), 5)</f>
        <v>150306</v>
      </c>
      <c r="E67" t="str">
        <f>INDEX(Joined!$A$3:$M$2000, MATCH($A67, Joined!$I$3:$I$2000, FALSE), 7)</f>
        <v>VAV-2W-24</v>
      </c>
      <c r="F67" t="s">
        <v>38</v>
      </c>
      <c r="G67" t="str">
        <f>INDEX(Schedule!$Q$2:$R$7, MATCH(ABT!$H67,Schedule!$Q$2:$Q$7, 0), 2)</f>
        <v>15007_ADXR_VAV_DXR2M10</v>
      </c>
      <c r="H67">
        <f>INDEX(Joined!$A$3:$M$2000, MATCH($A67, Joined!$I$3:$I$2000, FALSE), 6)</f>
        <v>15007</v>
      </c>
      <c r="I67" t="str">
        <f>INDEX(Joined!$A$3:$M$2000, MATCH($A67, Joined!$I$3:$I$2000, FALSE), 4)</f>
        <v>503</v>
      </c>
      <c r="J67" t="b">
        <v>0</v>
      </c>
      <c r="K67">
        <f>INDEX(Joined!$A$3:$M$2000, MATCH($A67, Joined!$I$3:$I$2000, FALSE), 3)</f>
        <v>6</v>
      </c>
      <c r="L67">
        <v>85</v>
      </c>
      <c r="M67">
        <v>38400</v>
      </c>
      <c r="N67" s="27">
        <f>PI()*(INDEX(Schedule!$A$1:$N$2000, MATCH($C67, VAV_Schedule_5_21[[#All],[UNIT TAG]], FALSE), 4)/2/12)^2</f>
        <v>0.3490658503988659</v>
      </c>
      <c r="O67" s="27">
        <f>INDEX(Schedule!$A$1:$N$2000, MATCH($C67, VAV_Schedule_5_21[[#All],[UNIT TAG]], FALSE), 4)</f>
        <v>8</v>
      </c>
      <c r="P67">
        <v>65.63</v>
      </c>
      <c r="Q67" s="27">
        <f>INDEX(Schedule!$A$1:$N$2000, MATCH($C67, VAV_Schedule_5_21[[#All],[UNIT TAG]], FALSE), 5)</f>
        <v>700</v>
      </c>
      <c r="R67" s="27">
        <f>INDEX(Schedule!$A$1:$N$2000, MATCH($C67, VAV_Schedule_5_21[[#All],[UNIT TAG]], FALSE), 6)</f>
        <v>140</v>
      </c>
      <c r="S67" s="27">
        <f>INDEX(Schedule!$A$1:$N$2000, MATCH($C67, VAV_Schedule_5_21[[#All],[UNIT TAG]], FALSE), 5)</f>
        <v>700</v>
      </c>
      <c r="T67" s="27">
        <f>INDEX(Schedule!$A$1:$N$2000, MATCH($C67, VAV_Schedule_5_21[[#All],[UNIT TAG]], FALSE), 6)</f>
        <v>140</v>
      </c>
      <c r="U67" s="27">
        <f>INDEX(Schedule!$A$1:$N$2000, MATCH($C67, VAV_Schedule_5_21[[#All],[UNIT TAG]], FALSE), 5)</f>
        <v>700</v>
      </c>
      <c r="V67" s="27">
        <f>INDEX(Schedule!$A$1:$N$2000, MATCH($C67, VAV_Schedule_5_21[[#All],[UNIT TAG]], FALSE), 6)</f>
        <v>140</v>
      </c>
      <c r="W67" s="27">
        <f>INDEX(Schedule!$A$1:$N$2000, MATCH($C67, VAV_Schedule_5_21[[#All],[UNIT TAG]], FALSE), 6)</f>
        <v>140</v>
      </c>
      <c r="X67" s="27">
        <f>INDEX(Schedule!$A$1:$N$2000, MATCH($C67, VAV_Schedule_5_21[[#All],[UNIT TAG]], FALSE), 6)</f>
        <v>140</v>
      </c>
      <c r="Y67" s="27">
        <f>INDEX(Schedule!$A$1:$N$2000, MATCH($C67, VAV_Schedule_5_21[[#All],[UNIT TAG]], FALSE), 6)</f>
        <v>140</v>
      </c>
      <c r="Z67" s="27">
        <f>INDEX(Schedule!$A$1:$N$2000, MATCH($C67, VAV_Schedule_5_21[[#All],[UNIT TAG]], FALSE), 6)</f>
        <v>140</v>
      </c>
      <c r="AA67" s="27">
        <v>1000</v>
      </c>
      <c r="AB67" s="27">
        <v>1100</v>
      </c>
      <c r="AC67">
        <v>1400</v>
      </c>
      <c r="AD67" s="29" t="str">
        <f>IF(INDEX(Schedule!$A$1:$N$2000, MATCH($C67, VAV_Schedule_5_21[[#All],[UNIT TAG]], FALSE), 7)="-", 0, INDEX(Schedule!$A$1:$N$2000, MATCH($C67, VAV_Schedule_5_21[[#All],[UNIT TAG]], FALSE), 7))</f>
        <v>6</v>
      </c>
      <c r="AE67" t="str">
        <f>"B_01'" &amp; "Flr_0" &amp; INDEX(Joined!$A$3:$M$2000, MATCH($A67, Joined!$I$3:$I$2000, FALSE), 8)</f>
        <v>B_01'Flr_02</v>
      </c>
      <c r="AF67" t="str">
        <f>"R_" &amp; INDEX(Joined!$A$3:$M$2000, MATCH($A67, Joined!$I$3:$I$2000, FALSE), 7)</f>
        <v>R_VAV-2W-24</v>
      </c>
      <c r="AG67" t="str">
        <f>"B_01'" &amp; "Flr_0" &amp; INDEX(Joined!$A$3:$M$2000, MATCH($A67, Joined!$I$3:$I$2000, FALSE), 8)</f>
        <v>B_01'Flr_02</v>
      </c>
      <c r="AH67" t="str">
        <f>INDEX(Joined!$A$3:$M$2000, MATCH($A67, Joined!$I$3:$I$2000, FALSE), 7)</f>
        <v>VAV-2W-24</v>
      </c>
      <c r="AI67" t="s">
        <v>1457</v>
      </c>
    </row>
    <row r="68" spans="1:35" x14ac:dyDescent="0.2">
      <c r="A68" t="s">
        <v>457</v>
      </c>
      <c r="B68" t="str">
        <f>"B_01'" &amp; "Flr_0" &amp; INDEX(Joined!$A$3:$M$2000, MATCH($A68, Joined!$I$3:$I$2000, FALSE), 8)</f>
        <v>B_01'Flr_02</v>
      </c>
      <c r="C68" t="str">
        <f>INDEX(Joined!$A$3:$M$2000, MATCH($A68, Joined!$I$3:$I$2000, FALSE), 7)</f>
        <v>VAV-2W-25</v>
      </c>
      <c r="D68">
        <f>INDEX(Joined!$A$3:$M$2000, MATCH($A68, Joined!$I$3:$I$2000, FALSE), 5)</f>
        <v>150307</v>
      </c>
      <c r="E68" t="str">
        <f>INDEX(Joined!$A$3:$M$2000, MATCH($A68, Joined!$I$3:$I$2000, FALSE), 7)</f>
        <v>VAV-2W-25</v>
      </c>
      <c r="F68" t="s">
        <v>38</v>
      </c>
      <c r="G68" t="str">
        <f>INDEX(Schedule!$Q$2:$R$7, MATCH(ABT!$H68,Schedule!$Q$2:$Q$7, 0), 2)</f>
        <v>15006_ADXR_VAV_DXR2M10</v>
      </c>
      <c r="H68">
        <f>INDEX(Joined!$A$3:$M$2000, MATCH($A68, Joined!$I$3:$I$2000, FALSE), 6)</f>
        <v>15006</v>
      </c>
      <c r="I68" t="str">
        <f>INDEX(Joined!$A$3:$M$2000, MATCH($A68, Joined!$I$3:$I$2000, FALSE), 4)</f>
        <v>503</v>
      </c>
      <c r="J68" t="b">
        <v>0</v>
      </c>
      <c r="K68">
        <f>INDEX(Joined!$A$3:$M$2000, MATCH($A68, Joined!$I$3:$I$2000, FALSE), 3)</f>
        <v>7</v>
      </c>
      <c r="L68">
        <v>85</v>
      </c>
      <c r="M68">
        <v>38400</v>
      </c>
      <c r="N68" s="27">
        <f>PI()*(INDEX(Schedule!$A$1:$N$2000, MATCH($C68, VAV_Schedule_5_21[[#All],[UNIT TAG]], FALSE), 4)/2/12)^2</f>
        <v>0.3490658503988659</v>
      </c>
      <c r="O68" s="27">
        <f>INDEX(Schedule!$A$1:$N$2000, MATCH($C68, VAV_Schedule_5_21[[#All],[UNIT TAG]], FALSE), 4)</f>
        <v>8</v>
      </c>
      <c r="P68">
        <v>66.63</v>
      </c>
      <c r="Q68" s="27">
        <f>INDEX(Schedule!$A$1:$N$2000, MATCH($C68, VAV_Schedule_5_21[[#All],[UNIT TAG]], FALSE), 5)</f>
        <v>650</v>
      </c>
      <c r="R68" s="27">
        <f>INDEX(Schedule!$A$1:$N$2000, MATCH($C68, VAV_Schedule_5_21[[#All],[UNIT TAG]], FALSE), 6)</f>
        <v>130</v>
      </c>
      <c r="S68" s="27">
        <f>INDEX(Schedule!$A$1:$N$2000, MATCH($C68, VAV_Schedule_5_21[[#All],[UNIT TAG]], FALSE), 5)</f>
        <v>650</v>
      </c>
      <c r="T68" s="27">
        <f>INDEX(Schedule!$A$1:$N$2000, MATCH($C68, VAV_Schedule_5_21[[#All],[UNIT TAG]], FALSE), 6)</f>
        <v>130</v>
      </c>
      <c r="U68" s="27">
        <f>INDEX(Schedule!$A$1:$N$2000, MATCH($C68, VAV_Schedule_5_21[[#All],[UNIT TAG]], FALSE), 5)</f>
        <v>650</v>
      </c>
      <c r="V68" s="27">
        <f>INDEX(Schedule!$A$1:$N$2000, MATCH($C68, VAV_Schedule_5_21[[#All],[UNIT TAG]], FALSE), 6)</f>
        <v>130</v>
      </c>
      <c r="W68" s="27">
        <f>INDEX(Schedule!$A$1:$N$2000, MATCH($C68, VAV_Schedule_5_21[[#All],[UNIT TAG]], FALSE), 6)</f>
        <v>130</v>
      </c>
      <c r="X68" s="27">
        <f>INDEX(Schedule!$A$1:$N$2000, MATCH($C68, VAV_Schedule_5_21[[#All],[UNIT TAG]], FALSE), 6)</f>
        <v>130</v>
      </c>
      <c r="Y68" s="27">
        <f>INDEX(Schedule!$A$1:$N$2000, MATCH($C68, VAV_Schedule_5_21[[#All],[UNIT TAG]], FALSE), 6)</f>
        <v>130</v>
      </c>
      <c r="Z68" s="27">
        <f>INDEX(Schedule!$A$1:$N$2000, MATCH($C68, VAV_Schedule_5_21[[#All],[UNIT TAG]], FALSE), 6)</f>
        <v>130</v>
      </c>
      <c r="AA68" s="27">
        <v>1000</v>
      </c>
      <c r="AB68" s="27">
        <v>1100</v>
      </c>
      <c r="AC68">
        <v>1400</v>
      </c>
      <c r="AD68" s="29">
        <f>IF(INDEX(Schedule!$A$1:$N$2000, MATCH($C68, VAV_Schedule_5_21[[#All],[UNIT TAG]], FALSE), 7)="-", 0, INDEX(Schedule!$A$1:$N$2000, MATCH($C68, VAV_Schedule_5_21[[#All],[UNIT TAG]], FALSE), 7))</f>
        <v>0</v>
      </c>
      <c r="AE68" t="str">
        <f>"B_01'" &amp; "Flr_0" &amp; INDEX(Joined!$A$3:$M$2000, MATCH($A68, Joined!$I$3:$I$2000, FALSE), 8)</f>
        <v>B_01'Flr_02</v>
      </c>
      <c r="AF68" t="str">
        <f>"R_" &amp; INDEX(Joined!$A$3:$M$2000, MATCH($A68, Joined!$I$3:$I$2000, FALSE), 7)</f>
        <v>R_VAV-2W-25</v>
      </c>
      <c r="AG68" t="str">
        <f>"B_01'" &amp; "Flr_0" &amp; INDEX(Joined!$A$3:$M$2000, MATCH($A68, Joined!$I$3:$I$2000, FALSE), 8)</f>
        <v>B_01'Flr_02</v>
      </c>
      <c r="AH68" t="str">
        <f>INDEX(Joined!$A$3:$M$2000, MATCH($A68, Joined!$I$3:$I$2000, FALSE), 7)</f>
        <v>VAV-2W-25</v>
      </c>
      <c r="AI68" t="s">
        <v>1458</v>
      </c>
    </row>
    <row r="69" spans="1:35" x14ac:dyDescent="0.2">
      <c r="A69" t="s">
        <v>458</v>
      </c>
      <c r="B69" t="str">
        <f>"B_01'" &amp; "Flr_0" &amp; INDEX(Joined!$A$3:$M$2000, MATCH($A69, Joined!$I$3:$I$2000, FALSE), 8)</f>
        <v>B_01'Flr_02</v>
      </c>
      <c r="C69" t="str">
        <f>INDEX(Joined!$A$3:$M$2000, MATCH($A69, Joined!$I$3:$I$2000, FALSE), 7)</f>
        <v>VAV-2W-26</v>
      </c>
      <c r="D69">
        <f>INDEX(Joined!$A$3:$M$2000, MATCH($A69, Joined!$I$3:$I$2000, FALSE), 5)</f>
        <v>150308</v>
      </c>
      <c r="E69" t="str">
        <f>INDEX(Joined!$A$3:$M$2000, MATCH($A69, Joined!$I$3:$I$2000, FALSE), 7)</f>
        <v>VAV-2W-26</v>
      </c>
      <c r="F69" t="s">
        <v>38</v>
      </c>
      <c r="G69" t="str">
        <f>INDEX(Schedule!$Q$2:$R$7, MATCH(ABT!$H69,Schedule!$Q$2:$Q$7, 0), 2)</f>
        <v>15006_ADXR_VAV_DXR2M10</v>
      </c>
      <c r="H69">
        <f>INDEX(Joined!$A$3:$M$2000, MATCH($A69, Joined!$I$3:$I$2000, FALSE), 6)</f>
        <v>15006</v>
      </c>
      <c r="I69" t="str">
        <f>INDEX(Joined!$A$3:$M$2000, MATCH($A69, Joined!$I$3:$I$2000, FALSE), 4)</f>
        <v>503</v>
      </c>
      <c r="J69" t="b">
        <v>0</v>
      </c>
      <c r="K69">
        <f>INDEX(Joined!$A$3:$M$2000, MATCH($A69, Joined!$I$3:$I$2000, FALSE), 3)</f>
        <v>8</v>
      </c>
      <c r="L69">
        <v>85</v>
      </c>
      <c r="M69">
        <v>38400</v>
      </c>
      <c r="N69" s="27">
        <f>PI()*(INDEX(Schedule!$A$1:$N$2000, MATCH($C69, VAV_Schedule_5_21[[#All],[UNIT TAG]], FALSE), 4)/2/12)^2</f>
        <v>0.19634954084936207</v>
      </c>
      <c r="O69" s="27">
        <f>INDEX(Schedule!$A$1:$N$2000, MATCH($C69, VAV_Schedule_5_21[[#All],[UNIT TAG]], FALSE), 4)</f>
        <v>6</v>
      </c>
      <c r="P69">
        <v>67.63</v>
      </c>
      <c r="Q69" s="27">
        <f>INDEX(Schedule!$A$1:$N$2000, MATCH($C69, VAV_Schedule_5_21[[#All],[UNIT TAG]], FALSE), 5)</f>
        <v>300</v>
      </c>
      <c r="R69" s="27">
        <f>INDEX(Schedule!$A$1:$N$2000, MATCH($C69, VAV_Schedule_5_21[[#All],[UNIT TAG]], FALSE), 6)</f>
        <v>60</v>
      </c>
      <c r="S69" s="27">
        <f>INDEX(Schedule!$A$1:$N$2000, MATCH($C69, VAV_Schedule_5_21[[#All],[UNIT TAG]], FALSE), 5)</f>
        <v>300</v>
      </c>
      <c r="T69" s="27">
        <f>INDEX(Schedule!$A$1:$N$2000, MATCH($C69, VAV_Schedule_5_21[[#All],[UNIT TAG]], FALSE), 6)</f>
        <v>60</v>
      </c>
      <c r="U69" s="27">
        <f>INDEX(Schedule!$A$1:$N$2000, MATCH($C69, VAV_Schedule_5_21[[#All],[UNIT TAG]], FALSE), 5)</f>
        <v>300</v>
      </c>
      <c r="V69" s="27">
        <f>INDEX(Schedule!$A$1:$N$2000, MATCH($C69, VAV_Schedule_5_21[[#All],[UNIT TAG]], FALSE), 6)</f>
        <v>60</v>
      </c>
      <c r="W69" s="27">
        <f>INDEX(Schedule!$A$1:$N$2000, MATCH($C69, VAV_Schedule_5_21[[#All],[UNIT TAG]], FALSE), 6)</f>
        <v>60</v>
      </c>
      <c r="X69" s="27">
        <f>INDEX(Schedule!$A$1:$N$2000, MATCH($C69, VAV_Schedule_5_21[[#All],[UNIT TAG]], FALSE), 6)</f>
        <v>60</v>
      </c>
      <c r="Y69" s="27">
        <f>INDEX(Schedule!$A$1:$N$2000, MATCH($C69, VAV_Schedule_5_21[[#All],[UNIT TAG]], FALSE), 6)</f>
        <v>60</v>
      </c>
      <c r="Z69" s="27">
        <f>INDEX(Schedule!$A$1:$N$2000, MATCH($C69, VAV_Schedule_5_21[[#All],[UNIT TAG]], FALSE), 6)</f>
        <v>60</v>
      </c>
      <c r="AA69" s="27">
        <v>1000</v>
      </c>
      <c r="AB69" s="27">
        <v>1100</v>
      </c>
      <c r="AC69">
        <v>1400</v>
      </c>
      <c r="AD69" s="29">
        <f>IF(INDEX(Schedule!$A$1:$N$2000, MATCH($C69, VAV_Schedule_5_21[[#All],[UNIT TAG]], FALSE), 7)="-", 0, INDEX(Schedule!$A$1:$N$2000, MATCH($C69, VAV_Schedule_5_21[[#All],[UNIT TAG]], FALSE), 7))</f>
        <v>0</v>
      </c>
      <c r="AE69" t="str">
        <f>"B_01'" &amp; "Flr_0" &amp; INDEX(Joined!$A$3:$M$2000, MATCH($A69, Joined!$I$3:$I$2000, FALSE), 8)</f>
        <v>B_01'Flr_02</v>
      </c>
      <c r="AF69" t="str">
        <f>"R_" &amp; INDEX(Joined!$A$3:$M$2000, MATCH($A69, Joined!$I$3:$I$2000, FALSE), 7)</f>
        <v>R_VAV-2W-26</v>
      </c>
      <c r="AG69" t="str">
        <f>"B_01'" &amp; "Flr_0" &amp; INDEX(Joined!$A$3:$M$2000, MATCH($A69, Joined!$I$3:$I$2000, FALSE), 8)</f>
        <v>B_01'Flr_02</v>
      </c>
      <c r="AH69" t="str">
        <f>INDEX(Joined!$A$3:$M$2000, MATCH($A69, Joined!$I$3:$I$2000, FALSE), 7)</f>
        <v>VAV-2W-26</v>
      </c>
      <c r="AI69" t="s">
        <v>1459</v>
      </c>
    </row>
    <row r="70" spans="1:35" x14ac:dyDescent="0.2">
      <c r="A70" t="s">
        <v>459</v>
      </c>
      <c r="B70" t="str">
        <f>"B_01'" &amp; "Flr_0" &amp; INDEX(Joined!$A$3:$M$2000, MATCH($A70, Joined!$I$3:$I$2000, FALSE), 8)</f>
        <v>B_01'Flr_02</v>
      </c>
      <c r="C70" t="str">
        <f>INDEX(Joined!$A$3:$M$2000, MATCH($A70, Joined!$I$3:$I$2000, FALSE), 7)</f>
        <v>VAV-2W-27</v>
      </c>
      <c r="D70">
        <f>INDEX(Joined!$A$3:$M$2000, MATCH($A70, Joined!$I$3:$I$2000, FALSE), 5)</f>
        <v>150309</v>
      </c>
      <c r="E70" t="str">
        <f>INDEX(Joined!$A$3:$M$2000, MATCH($A70, Joined!$I$3:$I$2000, FALSE), 7)</f>
        <v>VAV-2W-27</v>
      </c>
      <c r="F70" t="s">
        <v>38</v>
      </c>
      <c r="G70" t="str">
        <f>INDEX(Schedule!$Q$2:$R$7, MATCH(ABT!$H70,Schedule!$Q$2:$Q$7, 0), 2)</f>
        <v>15006_ADXR_VAV_DXR2M10</v>
      </c>
      <c r="H70">
        <f>INDEX(Joined!$A$3:$M$2000, MATCH($A70, Joined!$I$3:$I$2000, FALSE), 6)</f>
        <v>15006</v>
      </c>
      <c r="I70" t="str">
        <f>INDEX(Joined!$A$3:$M$2000, MATCH($A70, Joined!$I$3:$I$2000, FALSE), 4)</f>
        <v>503</v>
      </c>
      <c r="J70" t="b">
        <v>0</v>
      </c>
      <c r="K70">
        <f>INDEX(Joined!$A$3:$M$2000, MATCH($A70, Joined!$I$3:$I$2000, FALSE), 3)</f>
        <v>9</v>
      </c>
      <c r="L70">
        <v>85</v>
      </c>
      <c r="M70">
        <v>38400</v>
      </c>
      <c r="N70" s="27">
        <f>PI()*(INDEX(Schedule!$A$1:$N$2000, MATCH($C70, VAV_Schedule_5_21[[#All],[UNIT TAG]], FALSE), 4)/2/12)^2</f>
        <v>0.54541539124822802</v>
      </c>
      <c r="O70" s="27">
        <f>INDEX(Schedule!$A$1:$N$2000, MATCH($C70, VAV_Schedule_5_21[[#All],[UNIT TAG]], FALSE), 4)</f>
        <v>10</v>
      </c>
      <c r="P70">
        <v>68.63</v>
      </c>
      <c r="Q70" s="27">
        <f>INDEX(Schedule!$A$1:$N$2000, MATCH($C70, VAV_Schedule_5_21[[#All],[UNIT TAG]], FALSE), 5)</f>
        <v>1040</v>
      </c>
      <c r="R70" s="27">
        <f>INDEX(Schedule!$A$1:$N$2000, MATCH($C70, VAV_Schedule_5_21[[#All],[UNIT TAG]], FALSE), 6)</f>
        <v>210</v>
      </c>
      <c r="S70" s="27">
        <f>INDEX(Schedule!$A$1:$N$2000, MATCH($C70, VAV_Schedule_5_21[[#All],[UNIT TAG]], FALSE), 5)</f>
        <v>1040</v>
      </c>
      <c r="T70" s="27">
        <f>INDEX(Schedule!$A$1:$N$2000, MATCH($C70, VAV_Schedule_5_21[[#All],[UNIT TAG]], FALSE), 6)</f>
        <v>210</v>
      </c>
      <c r="U70" s="27">
        <f>INDEX(Schedule!$A$1:$N$2000, MATCH($C70, VAV_Schedule_5_21[[#All],[UNIT TAG]], FALSE), 5)</f>
        <v>1040</v>
      </c>
      <c r="V70" s="27">
        <f>INDEX(Schedule!$A$1:$N$2000, MATCH($C70, VAV_Schedule_5_21[[#All],[UNIT TAG]], FALSE), 6)</f>
        <v>210</v>
      </c>
      <c r="W70" s="27">
        <f>INDEX(Schedule!$A$1:$N$2000, MATCH($C70, VAV_Schedule_5_21[[#All],[UNIT TAG]], FALSE), 6)</f>
        <v>210</v>
      </c>
      <c r="X70" s="27">
        <f>INDEX(Schedule!$A$1:$N$2000, MATCH($C70, VAV_Schedule_5_21[[#All],[UNIT TAG]], FALSE), 6)</f>
        <v>210</v>
      </c>
      <c r="Y70" s="27">
        <f>INDEX(Schedule!$A$1:$N$2000, MATCH($C70, VAV_Schedule_5_21[[#All],[UNIT TAG]], FALSE), 6)</f>
        <v>210</v>
      </c>
      <c r="Z70" s="27">
        <f>INDEX(Schedule!$A$1:$N$2000, MATCH($C70, VAV_Schedule_5_21[[#All],[UNIT TAG]], FALSE), 6)</f>
        <v>210</v>
      </c>
      <c r="AA70" s="27">
        <v>1000</v>
      </c>
      <c r="AB70" s="27">
        <v>1100</v>
      </c>
      <c r="AC70">
        <v>1400</v>
      </c>
      <c r="AD70" s="29">
        <f>IF(INDEX(Schedule!$A$1:$N$2000, MATCH($C70, VAV_Schedule_5_21[[#All],[UNIT TAG]], FALSE), 7)="-", 0, INDEX(Schedule!$A$1:$N$2000, MATCH($C70, VAV_Schedule_5_21[[#All],[UNIT TAG]], FALSE), 7))</f>
        <v>0</v>
      </c>
      <c r="AE70" t="str">
        <f>"B_01'" &amp; "Flr_0" &amp; INDEX(Joined!$A$3:$M$2000, MATCH($A70, Joined!$I$3:$I$2000, FALSE), 8)</f>
        <v>B_01'Flr_02</v>
      </c>
      <c r="AF70" t="str">
        <f>"R_" &amp; INDEX(Joined!$A$3:$M$2000, MATCH($A70, Joined!$I$3:$I$2000, FALSE), 7)</f>
        <v>R_VAV-2W-27</v>
      </c>
      <c r="AG70" t="str">
        <f>"B_01'" &amp; "Flr_0" &amp; INDEX(Joined!$A$3:$M$2000, MATCH($A70, Joined!$I$3:$I$2000, FALSE), 8)</f>
        <v>B_01'Flr_02</v>
      </c>
      <c r="AH70" t="str">
        <f>INDEX(Joined!$A$3:$M$2000, MATCH($A70, Joined!$I$3:$I$2000, FALSE), 7)</f>
        <v>VAV-2W-27</v>
      </c>
      <c r="AI70" t="s">
        <v>1460</v>
      </c>
    </row>
    <row r="71" spans="1:35" x14ac:dyDescent="0.2">
      <c r="A71" t="s">
        <v>460</v>
      </c>
      <c r="B71" t="str">
        <f>"B_01'" &amp; "Flr_0" &amp; INDEX(Joined!$A$3:$M$2000, MATCH($A71, Joined!$I$3:$I$2000, FALSE), 8)</f>
        <v>B_01'Flr_02</v>
      </c>
      <c r="C71" t="str">
        <f>INDEX(Joined!$A$3:$M$2000, MATCH($A71, Joined!$I$3:$I$2000, FALSE), 7)</f>
        <v>VAV-2W-28</v>
      </c>
      <c r="D71">
        <f>INDEX(Joined!$A$3:$M$2000, MATCH($A71, Joined!$I$3:$I$2000, FALSE), 5)</f>
        <v>150310</v>
      </c>
      <c r="E71" t="str">
        <f>INDEX(Joined!$A$3:$M$2000, MATCH($A71, Joined!$I$3:$I$2000, FALSE), 7)</f>
        <v>VAV-2W-28</v>
      </c>
      <c r="F71" t="s">
        <v>38</v>
      </c>
      <c r="G71" t="str">
        <f>INDEX(Schedule!$Q$2:$R$7, MATCH(ABT!$H71,Schedule!$Q$2:$Q$7, 0), 2)</f>
        <v>15007_ADXR_VAV_DXR2M10</v>
      </c>
      <c r="H71">
        <f>INDEX(Joined!$A$3:$M$2000, MATCH($A71, Joined!$I$3:$I$2000, FALSE), 6)</f>
        <v>15007</v>
      </c>
      <c r="I71" t="str">
        <f>INDEX(Joined!$A$3:$M$2000, MATCH($A71, Joined!$I$3:$I$2000, FALSE), 4)</f>
        <v>503</v>
      </c>
      <c r="J71" t="b">
        <v>0</v>
      </c>
      <c r="K71">
        <f>INDEX(Joined!$A$3:$M$2000, MATCH($A71, Joined!$I$3:$I$2000, FALSE), 3)</f>
        <v>10</v>
      </c>
      <c r="L71">
        <v>85</v>
      </c>
      <c r="M71">
        <v>38400</v>
      </c>
      <c r="N71" s="27">
        <f>PI()*(INDEX(Schedule!$A$1:$N$2000, MATCH($C71, VAV_Schedule_5_21[[#All],[UNIT TAG]], FALSE), 4)/2/12)^2</f>
        <v>0.78539816339744828</v>
      </c>
      <c r="O71" s="27">
        <f>INDEX(Schedule!$A$1:$N$2000, MATCH($C71, VAV_Schedule_5_21[[#All],[UNIT TAG]], FALSE), 4)</f>
        <v>12</v>
      </c>
      <c r="P71">
        <v>69.63</v>
      </c>
      <c r="Q71" s="27">
        <f>INDEX(Schedule!$A$1:$N$2000, MATCH($C71, VAV_Schedule_5_21[[#All],[UNIT TAG]], FALSE), 5)</f>
        <v>1300</v>
      </c>
      <c r="R71" s="27">
        <f>INDEX(Schedule!$A$1:$N$2000, MATCH($C71, VAV_Schedule_5_21[[#All],[UNIT TAG]], FALSE), 6)</f>
        <v>260</v>
      </c>
      <c r="S71" s="27">
        <f>INDEX(Schedule!$A$1:$N$2000, MATCH($C71, VAV_Schedule_5_21[[#All],[UNIT TAG]], FALSE), 5)</f>
        <v>1300</v>
      </c>
      <c r="T71" s="27">
        <f>INDEX(Schedule!$A$1:$N$2000, MATCH($C71, VAV_Schedule_5_21[[#All],[UNIT TAG]], FALSE), 6)</f>
        <v>260</v>
      </c>
      <c r="U71" s="27">
        <f>INDEX(Schedule!$A$1:$N$2000, MATCH($C71, VAV_Schedule_5_21[[#All],[UNIT TAG]], FALSE), 5)</f>
        <v>1300</v>
      </c>
      <c r="V71" s="27">
        <f>INDEX(Schedule!$A$1:$N$2000, MATCH($C71, VAV_Schedule_5_21[[#All],[UNIT TAG]], FALSE), 6)</f>
        <v>260</v>
      </c>
      <c r="W71" s="27">
        <f>INDEX(Schedule!$A$1:$N$2000, MATCH($C71, VAV_Schedule_5_21[[#All],[UNIT TAG]], FALSE), 6)</f>
        <v>260</v>
      </c>
      <c r="X71" s="27">
        <f>INDEX(Schedule!$A$1:$N$2000, MATCH($C71, VAV_Schedule_5_21[[#All],[UNIT TAG]], FALSE), 6)</f>
        <v>260</v>
      </c>
      <c r="Y71" s="27">
        <f>INDEX(Schedule!$A$1:$N$2000, MATCH($C71, VAV_Schedule_5_21[[#All],[UNIT TAG]], FALSE), 6)</f>
        <v>260</v>
      </c>
      <c r="Z71" s="27">
        <f>INDEX(Schedule!$A$1:$N$2000, MATCH($C71, VAV_Schedule_5_21[[#All],[UNIT TAG]], FALSE), 6)</f>
        <v>260</v>
      </c>
      <c r="AA71" s="27">
        <v>1000</v>
      </c>
      <c r="AB71" s="27">
        <v>1100</v>
      </c>
      <c r="AC71">
        <v>1400</v>
      </c>
      <c r="AD71" s="29" t="str">
        <f>IF(INDEX(Schedule!$A$1:$N$2000, MATCH($C71, VAV_Schedule_5_21[[#All],[UNIT TAG]], FALSE), 7)="-", 0, INDEX(Schedule!$A$1:$N$2000, MATCH($C71, VAV_Schedule_5_21[[#All],[UNIT TAG]], FALSE), 7))</f>
        <v>7</v>
      </c>
      <c r="AE71" t="str">
        <f>"B_01'" &amp; "Flr_0" &amp; INDEX(Joined!$A$3:$M$2000, MATCH($A71, Joined!$I$3:$I$2000, FALSE), 8)</f>
        <v>B_01'Flr_02</v>
      </c>
      <c r="AF71" t="str">
        <f>"R_" &amp; INDEX(Joined!$A$3:$M$2000, MATCH($A71, Joined!$I$3:$I$2000, FALSE), 7)</f>
        <v>R_VAV-2W-28</v>
      </c>
      <c r="AG71" t="str">
        <f>"B_01'" &amp; "Flr_0" &amp; INDEX(Joined!$A$3:$M$2000, MATCH($A71, Joined!$I$3:$I$2000, FALSE), 8)</f>
        <v>B_01'Flr_02</v>
      </c>
      <c r="AH71" t="str">
        <f>INDEX(Joined!$A$3:$M$2000, MATCH($A71, Joined!$I$3:$I$2000, FALSE), 7)</f>
        <v>VAV-2W-28</v>
      </c>
      <c r="AI71" t="s">
        <v>1461</v>
      </c>
    </row>
    <row r="72" spans="1:35" x14ac:dyDescent="0.2">
      <c r="A72" t="s">
        <v>461</v>
      </c>
      <c r="B72" t="str">
        <f>"B_01'" &amp; "Flr_0" &amp; INDEX(Joined!$A$3:$M$2000, MATCH($A72, Joined!$I$3:$I$2000, FALSE), 8)</f>
        <v>B_01'Flr_02</v>
      </c>
      <c r="C72" t="str">
        <f>INDEX(Joined!$A$3:$M$2000, MATCH($A72, Joined!$I$3:$I$2000, FALSE), 7)</f>
        <v>VAV-2W-29</v>
      </c>
      <c r="D72">
        <f>INDEX(Joined!$A$3:$M$2000, MATCH($A72, Joined!$I$3:$I$2000, FALSE), 5)</f>
        <v>150311</v>
      </c>
      <c r="E72" t="str">
        <f>INDEX(Joined!$A$3:$M$2000, MATCH($A72, Joined!$I$3:$I$2000, FALSE), 7)</f>
        <v>VAV-2W-29</v>
      </c>
      <c r="F72" t="s">
        <v>38</v>
      </c>
      <c r="G72" t="str">
        <f>INDEX(Schedule!$Q$2:$R$7, MATCH(ABT!$H72,Schedule!$Q$2:$Q$7, 0), 2)</f>
        <v>15007_ADXR_VAV_DXR2M10</v>
      </c>
      <c r="H72">
        <f>INDEX(Joined!$A$3:$M$2000, MATCH($A72, Joined!$I$3:$I$2000, FALSE), 6)</f>
        <v>15007</v>
      </c>
      <c r="I72" t="str">
        <f>INDEX(Joined!$A$3:$M$2000, MATCH($A72, Joined!$I$3:$I$2000, FALSE), 4)</f>
        <v>503</v>
      </c>
      <c r="J72" t="b">
        <v>0</v>
      </c>
      <c r="K72">
        <f>INDEX(Joined!$A$3:$M$2000, MATCH($A72, Joined!$I$3:$I$2000, FALSE), 3)</f>
        <v>11</v>
      </c>
      <c r="L72">
        <v>85</v>
      </c>
      <c r="M72">
        <v>38400</v>
      </c>
      <c r="N72" s="27">
        <f>PI()*(INDEX(Schedule!$A$1:$N$2000, MATCH($C72, VAV_Schedule_5_21[[#All],[UNIT TAG]], FALSE), 4)/2/12)^2</f>
        <v>0.78539816339744828</v>
      </c>
      <c r="O72" s="27">
        <f>INDEX(Schedule!$A$1:$N$2000, MATCH($C72, VAV_Schedule_5_21[[#All],[UNIT TAG]], FALSE), 4)</f>
        <v>12</v>
      </c>
      <c r="P72">
        <v>70.63</v>
      </c>
      <c r="Q72" s="27">
        <f>INDEX(Schedule!$A$1:$N$2000, MATCH($C72, VAV_Schedule_5_21[[#All],[UNIT TAG]], FALSE), 5)</f>
        <v>1300</v>
      </c>
      <c r="R72" s="27">
        <f>INDEX(Schedule!$A$1:$N$2000, MATCH($C72, VAV_Schedule_5_21[[#All],[UNIT TAG]], FALSE), 6)</f>
        <v>260</v>
      </c>
      <c r="S72" s="27">
        <f>INDEX(Schedule!$A$1:$N$2000, MATCH($C72, VAV_Schedule_5_21[[#All],[UNIT TAG]], FALSE), 5)</f>
        <v>1300</v>
      </c>
      <c r="T72" s="27">
        <f>INDEX(Schedule!$A$1:$N$2000, MATCH($C72, VAV_Schedule_5_21[[#All],[UNIT TAG]], FALSE), 6)</f>
        <v>260</v>
      </c>
      <c r="U72" s="27">
        <f>INDEX(Schedule!$A$1:$N$2000, MATCH($C72, VAV_Schedule_5_21[[#All],[UNIT TAG]], FALSE), 5)</f>
        <v>1300</v>
      </c>
      <c r="V72" s="27">
        <f>INDEX(Schedule!$A$1:$N$2000, MATCH($C72, VAV_Schedule_5_21[[#All],[UNIT TAG]], FALSE), 6)</f>
        <v>260</v>
      </c>
      <c r="W72" s="27">
        <f>INDEX(Schedule!$A$1:$N$2000, MATCH($C72, VAV_Schedule_5_21[[#All],[UNIT TAG]], FALSE), 6)</f>
        <v>260</v>
      </c>
      <c r="X72" s="27">
        <f>INDEX(Schedule!$A$1:$N$2000, MATCH($C72, VAV_Schedule_5_21[[#All],[UNIT TAG]], FALSE), 6)</f>
        <v>260</v>
      </c>
      <c r="Y72" s="27">
        <f>INDEX(Schedule!$A$1:$N$2000, MATCH($C72, VAV_Schedule_5_21[[#All],[UNIT TAG]], FALSE), 6)</f>
        <v>260</v>
      </c>
      <c r="Z72" s="27">
        <f>INDEX(Schedule!$A$1:$N$2000, MATCH($C72, VAV_Schedule_5_21[[#All],[UNIT TAG]], FALSE), 6)</f>
        <v>260</v>
      </c>
      <c r="AA72" s="27">
        <v>1000</v>
      </c>
      <c r="AB72" s="27">
        <v>1100</v>
      </c>
      <c r="AC72">
        <v>1400</v>
      </c>
      <c r="AD72" s="29" t="str">
        <f>IF(INDEX(Schedule!$A$1:$N$2000, MATCH($C72, VAV_Schedule_5_21[[#All],[UNIT TAG]], FALSE), 7)="-", 0, INDEX(Schedule!$A$1:$N$2000, MATCH($C72, VAV_Schedule_5_21[[#All],[UNIT TAG]], FALSE), 7))</f>
        <v>7</v>
      </c>
      <c r="AE72" t="str">
        <f>"B_01'" &amp; "Flr_0" &amp; INDEX(Joined!$A$3:$M$2000, MATCH($A72, Joined!$I$3:$I$2000, FALSE), 8)</f>
        <v>B_01'Flr_02</v>
      </c>
      <c r="AF72" t="str">
        <f>"R_" &amp; INDEX(Joined!$A$3:$M$2000, MATCH($A72, Joined!$I$3:$I$2000, FALSE), 7)</f>
        <v>R_VAV-2W-29</v>
      </c>
      <c r="AG72" t="str">
        <f>"B_01'" &amp; "Flr_0" &amp; INDEX(Joined!$A$3:$M$2000, MATCH($A72, Joined!$I$3:$I$2000, FALSE), 8)</f>
        <v>B_01'Flr_02</v>
      </c>
      <c r="AH72" t="str">
        <f>INDEX(Joined!$A$3:$M$2000, MATCH($A72, Joined!$I$3:$I$2000, FALSE), 7)</f>
        <v>VAV-2W-29</v>
      </c>
      <c r="AI72" t="s">
        <v>1462</v>
      </c>
    </row>
    <row r="73" spans="1:35" x14ac:dyDescent="0.2">
      <c r="A73" t="s">
        <v>462</v>
      </c>
      <c r="B73" t="str">
        <f>"B_01'" &amp; "Flr_0" &amp; INDEX(Joined!$A$3:$M$2000, MATCH($A73, Joined!$I$3:$I$2000, FALSE), 8)</f>
        <v>B_01'Flr_03</v>
      </c>
      <c r="C73" t="str">
        <f>INDEX(Joined!$A$3:$M$2000, MATCH($A73, Joined!$I$3:$I$2000, FALSE), 7)</f>
        <v>VAV-3E-12</v>
      </c>
      <c r="D73">
        <f>INDEX(Joined!$A$3:$M$2000, MATCH($A73, Joined!$I$3:$I$2000, FALSE), 5)</f>
        <v>150501</v>
      </c>
      <c r="E73" t="str">
        <f>INDEX(Joined!$A$3:$M$2000, MATCH($A73, Joined!$I$3:$I$2000, FALSE), 7)</f>
        <v>VAV-3E-12</v>
      </c>
      <c r="F73" t="s">
        <v>38</v>
      </c>
      <c r="G73" t="str">
        <f>INDEX(Schedule!$Q$2:$R$7, MATCH(ABT!$H73,Schedule!$Q$2:$Q$7, 0), 2)</f>
        <v>15007_ADXR_VAV_DXR2M10</v>
      </c>
      <c r="H73">
        <f>INDEX(Joined!$A$3:$M$2000, MATCH($A73, Joined!$I$3:$I$2000, FALSE), 6)</f>
        <v>15007</v>
      </c>
      <c r="I73" t="str">
        <f>INDEX(Joined!$A$3:$M$2000, MATCH($A73, Joined!$I$3:$I$2000, FALSE), 4)</f>
        <v>505</v>
      </c>
      <c r="J73" t="b">
        <v>0</v>
      </c>
      <c r="K73">
        <f>INDEX(Joined!$A$3:$M$2000, MATCH($A73, Joined!$I$3:$I$2000, FALSE), 3)</f>
        <v>1</v>
      </c>
      <c r="L73">
        <v>85</v>
      </c>
      <c r="M73">
        <v>38400</v>
      </c>
      <c r="N73" s="27">
        <f>PI()*(INDEX(Schedule!$A$1:$N$2000, MATCH($C73, VAV_Schedule_5_21[[#All],[UNIT TAG]], FALSE), 4)/2/12)^2</f>
        <v>0.78539816339744828</v>
      </c>
      <c r="O73" s="27">
        <f>INDEX(Schedule!$A$1:$N$2000, MATCH($C73, VAV_Schedule_5_21[[#All],[UNIT TAG]], FALSE), 4)</f>
        <v>12</v>
      </c>
      <c r="P73">
        <v>71.63</v>
      </c>
      <c r="Q73" s="27">
        <f>INDEX(Schedule!$A$1:$N$2000, MATCH($C73, VAV_Schedule_5_21[[#All],[UNIT TAG]], FALSE), 5)</f>
        <v>1200</v>
      </c>
      <c r="R73" s="27">
        <f>INDEX(Schedule!$A$1:$N$2000, MATCH($C73, VAV_Schedule_5_21[[#All],[UNIT TAG]], FALSE), 6)</f>
        <v>240</v>
      </c>
      <c r="S73" s="27">
        <f>INDEX(Schedule!$A$1:$N$2000, MATCH($C73, VAV_Schedule_5_21[[#All],[UNIT TAG]], FALSE), 5)</f>
        <v>1200</v>
      </c>
      <c r="T73" s="27">
        <f>INDEX(Schedule!$A$1:$N$2000, MATCH($C73, VAV_Schedule_5_21[[#All],[UNIT TAG]], FALSE), 6)</f>
        <v>240</v>
      </c>
      <c r="U73" s="27">
        <f>INDEX(Schedule!$A$1:$N$2000, MATCH($C73, VAV_Schedule_5_21[[#All],[UNIT TAG]], FALSE), 5)</f>
        <v>1200</v>
      </c>
      <c r="V73" s="27">
        <f>INDEX(Schedule!$A$1:$N$2000, MATCH($C73, VAV_Schedule_5_21[[#All],[UNIT TAG]], FALSE), 6)</f>
        <v>240</v>
      </c>
      <c r="W73" s="27">
        <f>INDEX(Schedule!$A$1:$N$2000, MATCH($C73, VAV_Schedule_5_21[[#All],[UNIT TAG]], FALSE), 6)</f>
        <v>240</v>
      </c>
      <c r="X73" s="27">
        <f>INDEX(Schedule!$A$1:$N$2000, MATCH($C73, VAV_Schedule_5_21[[#All],[UNIT TAG]], FALSE), 6)</f>
        <v>240</v>
      </c>
      <c r="Y73" s="27">
        <f>INDEX(Schedule!$A$1:$N$2000, MATCH($C73, VAV_Schedule_5_21[[#All],[UNIT TAG]], FALSE), 6)</f>
        <v>240</v>
      </c>
      <c r="Z73" s="27">
        <f>INDEX(Schedule!$A$1:$N$2000, MATCH($C73, VAV_Schedule_5_21[[#All],[UNIT TAG]], FALSE), 6)</f>
        <v>240</v>
      </c>
      <c r="AA73" s="27">
        <v>1000</v>
      </c>
      <c r="AB73" s="27">
        <v>1100</v>
      </c>
      <c r="AC73">
        <v>1400</v>
      </c>
      <c r="AD73" s="29" t="str">
        <f>IF(INDEX(Schedule!$A$1:$N$2000, MATCH($C73, VAV_Schedule_5_21[[#All],[UNIT TAG]], FALSE), 7)="-", 0, INDEX(Schedule!$A$1:$N$2000, MATCH($C73, VAV_Schedule_5_21[[#All],[UNIT TAG]], FALSE), 7))</f>
        <v>12</v>
      </c>
      <c r="AE73" t="str">
        <f>"B_01'" &amp; "Flr_0" &amp; INDEX(Joined!$A$3:$M$2000, MATCH($A73, Joined!$I$3:$I$2000, FALSE), 8)</f>
        <v>B_01'Flr_03</v>
      </c>
      <c r="AF73" t="str">
        <f>"R_" &amp; INDEX(Joined!$A$3:$M$2000, MATCH($A73, Joined!$I$3:$I$2000, FALSE), 7)</f>
        <v>R_VAV-3E-12</v>
      </c>
      <c r="AG73" t="str">
        <f>"B_01'" &amp; "Flr_0" &amp; INDEX(Joined!$A$3:$M$2000, MATCH($A73, Joined!$I$3:$I$2000, FALSE), 8)</f>
        <v>B_01'Flr_03</v>
      </c>
      <c r="AH73" t="str">
        <f>INDEX(Joined!$A$3:$M$2000, MATCH($A73, Joined!$I$3:$I$2000, FALSE), 7)</f>
        <v>VAV-3E-12</v>
      </c>
      <c r="AI73" t="s">
        <v>887</v>
      </c>
    </row>
    <row r="74" spans="1:35" x14ac:dyDescent="0.2">
      <c r="A74" t="s">
        <v>463</v>
      </c>
      <c r="B74" t="str">
        <f>"B_01'" &amp; "Flr_0" &amp; INDEX(Joined!$A$3:$M$2000, MATCH($A74, Joined!$I$3:$I$2000, FALSE), 8)</f>
        <v>B_01'Flr_03</v>
      </c>
      <c r="C74" t="str">
        <f>INDEX(Joined!$A$3:$M$2000, MATCH($A74, Joined!$I$3:$I$2000, FALSE), 7)</f>
        <v>VAV-3E-13</v>
      </c>
      <c r="D74">
        <f>INDEX(Joined!$A$3:$M$2000, MATCH($A74, Joined!$I$3:$I$2000, FALSE), 5)</f>
        <v>150502</v>
      </c>
      <c r="E74" t="str">
        <f>INDEX(Joined!$A$3:$M$2000, MATCH($A74, Joined!$I$3:$I$2000, FALSE), 7)</f>
        <v>VAV-3E-13</v>
      </c>
      <c r="F74" t="s">
        <v>38</v>
      </c>
      <c r="G74" t="str">
        <f>INDEX(Schedule!$Q$2:$R$7, MATCH(ABT!$H74,Schedule!$Q$2:$Q$7, 0), 2)</f>
        <v>15007_ADXR_VAV_DXR2M10</v>
      </c>
      <c r="H74">
        <f>INDEX(Joined!$A$3:$M$2000, MATCH($A74, Joined!$I$3:$I$2000, FALSE), 6)</f>
        <v>15007</v>
      </c>
      <c r="I74" t="str">
        <f>INDEX(Joined!$A$3:$M$2000, MATCH($A74, Joined!$I$3:$I$2000, FALSE), 4)</f>
        <v>505</v>
      </c>
      <c r="J74" t="b">
        <v>0</v>
      </c>
      <c r="K74">
        <f>INDEX(Joined!$A$3:$M$2000, MATCH($A74, Joined!$I$3:$I$2000, FALSE), 3)</f>
        <v>2</v>
      </c>
      <c r="L74">
        <v>85</v>
      </c>
      <c r="M74">
        <v>38400</v>
      </c>
      <c r="N74" s="27">
        <f>PI()*(INDEX(Schedule!$A$1:$N$2000, MATCH($C74, VAV_Schedule_5_21[[#All],[UNIT TAG]], FALSE), 4)/2/12)^2</f>
        <v>0.3490658503988659</v>
      </c>
      <c r="O74" s="27">
        <f>INDEX(Schedule!$A$1:$N$2000, MATCH($C74, VAV_Schedule_5_21[[#All],[UNIT TAG]], FALSE), 4)</f>
        <v>8</v>
      </c>
      <c r="P74">
        <v>72.63</v>
      </c>
      <c r="Q74" s="27">
        <f>INDEX(Schedule!$A$1:$N$2000, MATCH($C74, VAV_Schedule_5_21[[#All],[UNIT TAG]], FALSE), 5)</f>
        <v>570</v>
      </c>
      <c r="R74" s="27">
        <f>INDEX(Schedule!$A$1:$N$2000, MATCH($C74, VAV_Schedule_5_21[[#All],[UNIT TAG]], FALSE), 6)</f>
        <v>115</v>
      </c>
      <c r="S74" s="27">
        <f>INDEX(Schedule!$A$1:$N$2000, MATCH($C74, VAV_Schedule_5_21[[#All],[UNIT TAG]], FALSE), 5)</f>
        <v>570</v>
      </c>
      <c r="T74" s="27">
        <f>INDEX(Schedule!$A$1:$N$2000, MATCH($C74, VAV_Schedule_5_21[[#All],[UNIT TAG]], FALSE), 6)</f>
        <v>115</v>
      </c>
      <c r="U74" s="27">
        <f>INDEX(Schedule!$A$1:$N$2000, MATCH($C74, VAV_Schedule_5_21[[#All],[UNIT TAG]], FALSE), 5)</f>
        <v>570</v>
      </c>
      <c r="V74" s="27">
        <f>INDEX(Schedule!$A$1:$N$2000, MATCH($C74, VAV_Schedule_5_21[[#All],[UNIT TAG]], FALSE), 6)</f>
        <v>115</v>
      </c>
      <c r="W74" s="27">
        <f>INDEX(Schedule!$A$1:$N$2000, MATCH($C74, VAV_Schedule_5_21[[#All],[UNIT TAG]], FALSE), 6)</f>
        <v>115</v>
      </c>
      <c r="X74" s="27">
        <f>INDEX(Schedule!$A$1:$N$2000, MATCH($C74, VAV_Schedule_5_21[[#All],[UNIT TAG]], FALSE), 6)</f>
        <v>115</v>
      </c>
      <c r="Y74" s="27">
        <f>INDEX(Schedule!$A$1:$N$2000, MATCH($C74, VAV_Schedule_5_21[[#All],[UNIT TAG]], FALSE), 6)</f>
        <v>115</v>
      </c>
      <c r="Z74" s="27">
        <f>INDEX(Schedule!$A$1:$N$2000, MATCH($C74, VAV_Schedule_5_21[[#All],[UNIT TAG]], FALSE), 6)</f>
        <v>115</v>
      </c>
      <c r="AA74" s="27">
        <v>1000</v>
      </c>
      <c r="AB74" s="27">
        <v>1100</v>
      </c>
      <c r="AC74">
        <v>1400</v>
      </c>
      <c r="AD74" s="29" t="str">
        <f>IF(INDEX(Schedule!$A$1:$N$2000, MATCH($C74, VAV_Schedule_5_21[[#All],[UNIT TAG]], FALSE), 7)="-", 0, INDEX(Schedule!$A$1:$N$2000, MATCH($C74, VAV_Schedule_5_21[[#All],[UNIT TAG]], FALSE), 7))</f>
        <v>5</v>
      </c>
      <c r="AE74" t="str">
        <f>"B_01'" &amp; "Flr_0" &amp; INDEX(Joined!$A$3:$M$2000, MATCH($A74, Joined!$I$3:$I$2000, FALSE), 8)</f>
        <v>B_01'Flr_03</v>
      </c>
      <c r="AF74" t="str">
        <f>"R_" &amp; INDEX(Joined!$A$3:$M$2000, MATCH($A74, Joined!$I$3:$I$2000, FALSE), 7)</f>
        <v>R_VAV-3E-13</v>
      </c>
      <c r="AG74" t="str">
        <f>"B_01'" &amp; "Flr_0" &amp; INDEX(Joined!$A$3:$M$2000, MATCH($A74, Joined!$I$3:$I$2000, FALSE), 8)</f>
        <v>B_01'Flr_03</v>
      </c>
      <c r="AH74" t="str">
        <f>INDEX(Joined!$A$3:$M$2000, MATCH($A74, Joined!$I$3:$I$2000, FALSE), 7)</f>
        <v>VAV-3E-13</v>
      </c>
      <c r="AI74" t="s">
        <v>888</v>
      </c>
    </row>
    <row r="75" spans="1:35" x14ac:dyDescent="0.2">
      <c r="A75" t="s">
        <v>464</v>
      </c>
      <c r="B75" t="str">
        <f>"B_01'" &amp; "Flr_0" &amp; INDEX(Joined!$A$3:$M$2000, MATCH($A75, Joined!$I$3:$I$2000, FALSE), 8)</f>
        <v>B_01'Flr_03</v>
      </c>
      <c r="C75" t="str">
        <f>INDEX(Joined!$A$3:$M$2000, MATCH($A75, Joined!$I$3:$I$2000, FALSE), 7)</f>
        <v>VAV-3E-14</v>
      </c>
      <c r="D75">
        <f>INDEX(Joined!$A$3:$M$2000, MATCH($A75, Joined!$I$3:$I$2000, FALSE), 5)</f>
        <v>150503</v>
      </c>
      <c r="E75" t="str">
        <f>INDEX(Joined!$A$3:$M$2000, MATCH($A75, Joined!$I$3:$I$2000, FALSE), 7)</f>
        <v>VAV-3E-14</v>
      </c>
      <c r="F75" t="s">
        <v>38</v>
      </c>
      <c r="G75" t="str">
        <f>INDEX(Schedule!$Q$2:$R$7, MATCH(ABT!$H75,Schedule!$Q$2:$Q$7, 0), 2)</f>
        <v>15007_ADXR_VAV_DXR2M10</v>
      </c>
      <c r="H75">
        <f>INDEX(Joined!$A$3:$M$2000, MATCH($A75, Joined!$I$3:$I$2000, FALSE), 6)</f>
        <v>15007</v>
      </c>
      <c r="I75" t="str">
        <f>INDEX(Joined!$A$3:$M$2000, MATCH($A75, Joined!$I$3:$I$2000, FALSE), 4)</f>
        <v>505</v>
      </c>
      <c r="J75" t="b">
        <v>0</v>
      </c>
      <c r="K75">
        <f>INDEX(Joined!$A$3:$M$2000, MATCH($A75, Joined!$I$3:$I$2000, FALSE), 3)</f>
        <v>3</v>
      </c>
      <c r="L75">
        <v>85</v>
      </c>
      <c r="M75">
        <v>38400</v>
      </c>
      <c r="N75" s="27">
        <f>PI()*(INDEX(Schedule!$A$1:$N$2000, MATCH($C75, VAV_Schedule_5_21[[#All],[UNIT TAG]], FALSE), 4)/2/12)^2</f>
        <v>0.3490658503988659</v>
      </c>
      <c r="O75" s="27">
        <f>INDEX(Schedule!$A$1:$N$2000, MATCH($C75, VAV_Schedule_5_21[[#All],[UNIT TAG]], FALSE), 4)</f>
        <v>8</v>
      </c>
      <c r="P75">
        <v>73.63</v>
      </c>
      <c r="Q75" s="27">
        <f>INDEX(Schedule!$A$1:$N$2000, MATCH($C75, VAV_Schedule_5_21[[#All],[UNIT TAG]], FALSE), 5)</f>
        <v>540</v>
      </c>
      <c r="R75" s="27">
        <f>INDEX(Schedule!$A$1:$N$2000, MATCH($C75, VAV_Schedule_5_21[[#All],[UNIT TAG]], FALSE), 6)</f>
        <v>110</v>
      </c>
      <c r="S75" s="27">
        <f>INDEX(Schedule!$A$1:$N$2000, MATCH($C75, VAV_Schedule_5_21[[#All],[UNIT TAG]], FALSE), 5)</f>
        <v>540</v>
      </c>
      <c r="T75" s="27">
        <f>INDEX(Schedule!$A$1:$N$2000, MATCH($C75, VAV_Schedule_5_21[[#All],[UNIT TAG]], FALSE), 6)</f>
        <v>110</v>
      </c>
      <c r="U75" s="27">
        <f>INDEX(Schedule!$A$1:$N$2000, MATCH($C75, VAV_Schedule_5_21[[#All],[UNIT TAG]], FALSE), 5)</f>
        <v>540</v>
      </c>
      <c r="V75" s="27">
        <f>INDEX(Schedule!$A$1:$N$2000, MATCH($C75, VAV_Schedule_5_21[[#All],[UNIT TAG]], FALSE), 6)</f>
        <v>110</v>
      </c>
      <c r="W75" s="27">
        <f>INDEX(Schedule!$A$1:$N$2000, MATCH($C75, VAV_Schedule_5_21[[#All],[UNIT TAG]], FALSE), 6)</f>
        <v>110</v>
      </c>
      <c r="X75" s="27">
        <f>INDEX(Schedule!$A$1:$N$2000, MATCH($C75, VAV_Schedule_5_21[[#All],[UNIT TAG]], FALSE), 6)</f>
        <v>110</v>
      </c>
      <c r="Y75" s="27">
        <f>INDEX(Schedule!$A$1:$N$2000, MATCH($C75, VAV_Schedule_5_21[[#All],[UNIT TAG]], FALSE), 6)</f>
        <v>110</v>
      </c>
      <c r="Z75" s="27">
        <f>INDEX(Schedule!$A$1:$N$2000, MATCH($C75, VAV_Schedule_5_21[[#All],[UNIT TAG]], FALSE), 6)</f>
        <v>110</v>
      </c>
      <c r="AA75" s="27">
        <v>1000</v>
      </c>
      <c r="AB75" s="27">
        <v>1100</v>
      </c>
      <c r="AC75">
        <v>1400</v>
      </c>
      <c r="AD75" s="29" t="str">
        <f>IF(INDEX(Schedule!$A$1:$N$2000, MATCH($C75, VAV_Schedule_5_21[[#All],[UNIT TAG]], FALSE), 7)="-", 0, INDEX(Schedule!$A$1:$N$2000, MATCH($C75, VAV_Schedule_5_21[[#All],[UNIT TAG]], FALSE), 7))</f>
        <v>5</v>
      </c>
      <c r="AE75" t="str">
        <f>"B_01'" &amp; "Flr_0" &amp; INDEX(Joined!$A$3:$M$2000, MATCH($A75, Joined!$I$3:$I$2000, FALSE), 8)</f>
        <v>B_01'Flr_03</v>
      </c>
      <c r="AF75" t="str">
        <f>"R_" &amp; INDEX(Joined!$A$3:$M$2000, MATCH($A75, Joined!$I$3:$I$2000, FALSE), 7)</f>
        <v>R_VAV-3E-14</v>
      </c>
      <c r="AG75" t="str">
        <f>"B_01'" &amp; "Flr_0" &amp; INDEX(Joined!$A$3:$M$2000, MATCH($A75, Joined!$I$3:$I$2000, FALSE), 8)</f>
        <v>B_01'Flr_03</v>
      </c>
      <c r="AH75" t="str">
        <f>INDEX(Joined!$A$3:$M$2000, MATCH($A75, Joined!$I$3:$I$2000, FALSE), 7)</f>
        <v>VAV-3E-14</v>
      </c>
      <c r="AI75" t="s">
        <v>889</v>
      </c>
    </row>
    <row r="76" spans="1:35" x14ac:dyDescent="0.2">
      <c r="A76" t="s">
        <v>465</v>
      </c>
      <c r="B76" t="str">
        <f>"B_01'" &amp; "Flr_0" &amp; INDEX(Joined!$A$3:$M$2000, MATCH($A76, Joined!$I$3:$I$2000, FALSE), 8)</f>
        <v>B_01'Flr_03</v>
      </c>
      <c r="C76" t="str">
        <f>INDEX(Joined!$A$3:$M$2000, MATCH($A76, Joined!$I$3:$I$2000, FALSE), 7)</f>
        <v>VAV-3E-15</v>
      </c>
      <c r="D76">
        <f>INDEX(Joined!$A$3:$M$2000, MATCH($A76, Joined!$I$3:$I$2000, FALSE), 5)</f>
        <v>150504</v>
      </c>
      <c r="E76" t="str">
        <f>INDEX(Joined!$A$3:$M$2000, MATCH($A76, Joined!$I$3:$I$2000, FALSE), 7)</f>
        <v>VAV-3E-15</v>
      </c>
      <c r="F76" t="s">
        <v>38</v>
      </c>
      <c r="G76" t="str">
        <f>INDEX(Schedule!$Q$2:$R$7, MATCH(ABT!$H76,Schedule!$Q$2:$Q$7, 0), 2)</f>
        <v>15007_ADXR_VAV_DXR2M10</v>
      </c>
      <c r="H76">
        <f>INDEX(Joined!$A$3:$M$2000, MATCH($A76, Joined!$I$3:$I$2000, FALSE), 6)</f>
        <v>15007</v>
      </c>
      <c r="I76" t="str">
        <f>INDEX(Joined!$A$3:$M$2000, MATCH($A76, Joined!$I$3:$I$2000, FALSE), 4)</f>
        <v>505</v>
      </c>
      <c r="J76" t="b">
        <v>0</v>
      </c>
      <c r="K76">
        <f>INDEX(Joined!$A$3:$M$2000, MATCH($A76, Joined!$I$3:$I$2000, FALSE), 3)</f>
        <v>4</v>
      </c>
      <c r="L76">
        <v>85</v>
      </c>
      <c r="M76">
        <v>38400</v>
      </c>
      <c r="N76" s="27">
        <f>PI()*(INDEX(Schedule!$A$1:$N$2000, MATCH($C76, VAV_Schedule_5_21[[#All],[UNIT TAG]], FALSE), 4)/2/12)^2</f>
        <v>0.3490658503988659</v>
      </c>
      <c r="O76" s="27">
        <f>INDEX(Schedule!$A$1:$N$2000, MATCH($C76, VAV_Schedule_5_21[[#All],[UNIT TAG]], FALSE), 4)</f>
        <v>8</v>
      </c>
      <c r="P76">
        <v>74.63</v>
      </c>
      <c r="Q76" s="27">
        <f>INDEX(Schedule!$A$1:$N$2000, MATCH($C76, VAV_Schedule_5_21[[#All],[UNIT TAG]], FALSE), 5)</f>
        <v>500</v>
      </c>
      <c r="R76" s="27">
        <f>INDEX(Schedule!$A$1:$N$2000, MATCH($C76, VAV_Schedule_5_21[[#All],[UNIT TAG]], FALSE), 6)</f>
        <v>100</v>
      </c>
      <c r="S76" s="27">
        <f>INDEX(Schedule!$A$1:$N$2000, MATCH($C76, VAV_Schedule_5_21[[#All],[UNIT TAG]], FALSE), 5)</f>
        <v>500</v>
      </c>
      <c r="T76" s="27">
        <f>INDEX(Schedule!$A$1:$N$2000, MATCH($C76, VAV_Schedule_5_21[[#All],[UNIT TAG]], FALSE), 6)</f>
        <v>100</v>
      </c>
      <c r="U76" s="27">
        <f>INDEX(Schedule!$A$1:$N$2000, MATCH($C76, VAV_Schedule_5_21[[#All],[UNIT TAG]], FALSE), 5)</f>
        <v>500</v>
      </c>
      <c r="V76" s="27">
        <f>INDEX(Schedule!$A$1:$N$2000, MATCH($C76, VAV_Schedule_5_21[[#All],[UNIT TAG]], FALSE), 6)</f>
        <v>100</v>
      </c>
      <c r="W76" s="27">
        <f>INDEX(Schedule!$A$1:$N$2000, MATCH($C76, VAV_Schedule_5_21[[#All],[UNIT TAG]], FALSE), 6)</f>
        <v>100</v>
      </c>
      <c r="X76" s="27">
        <f>INDEX(Schedule!$A$1:$N$2000, MATCH($C76, VAV_Schedule_5_21[[#All],[UNIT TAG]], FALSE), 6)</f>
        <v>100</v>
      </c>
      <c r="Y76" s="27">
        <f>INDEX(Schedule!$A$1:$N$2000, MATCH($C76, VAV_Schedule_5_21[[#All],[UNIT TAG]], FALSE), 6)</f>
        <v>100</v>
      </c>
      <c r="Z76" s="27">
        <f>INDEX(Schedule!$A$1:$N$2000, MATCH($C76, VAV_Schedule_5_21[[#All],[UNIT TAG]], FALSE), 6)</f>
        <v>100</v>
      </c>
      <c r="AA76" s="27">
        <v>1000</v>
      </c>
      <c r="AB76" s="27">
        <v>1100</v>
      </c>
      <c r="AC76">
        <v>1400</v>
      </c>
      <c r="AD76" s="29" t="str">
        <f>IF(INDEX(Schedule!$A$1:$N$2000, MATCH($C76, VAV_Schedule_5_21[[#All],[UNIT TAG]], FALSE), 7)="-", 0, INDEX(Schedule!$A$1:$N$2000, MATCH($C76, VAV_Schedule_5_21[[#All],[UNIT TAG]], FALSE), 7))</f>
        <v>5</v>
      </c>
      <c r="AE76" t="str">
        <f>"B_01'" &amp; "Flr_0" &amp; INDEX(Joined!$A$3:$M$2000, MATCH($A76, Joined!$I$3:$I$2000, FALSE), 8)</f>
        <v>B_01'Flr_03</v>
      </c>
      <c r="AF76" t="str">
        <f>"R_" &amp; INDEX(Joined!$A$3:$M$2000, MATCH($A76, Joined!$I$3:$I$2000, FALSE), 7)</f>
        <v>R_VAV-3E-15</v>
      </c>
      <c r="AG76" t="str">
        <f>"B_01'" &amp; "Flr_0" &amp; INDEX(Joined!$A$3:$M$2000, MATCH($A76, Joined!$I$3:$I$2000, FALSE), 8)</f>
        <v>B_01'Flr_03</v>
      </c>
      <c r="AH76" t="str">
        <f>INDEX(Joined!$A$3:$M$2000, MATCH($A76, Joined!$I$3:$I$2000, FALSE), 7)</f>
        <v>VAV-3E-15</v>
      </c>
      <c r="AI76" t="s">
        <v>890</v>
      </c>
    </row>
    <row r="77" spans="1:35" x14ac:dyDescent="0.2">
      <c r="A77" t="s">
        <v>466</v>
      </c>
      <c r="B77" t="str">
        <f>"B_01'" &amp; "Flr_0" &amp; INDEX(Joined!$A$3:$M$2000, MATCH($A77, Joined!$I$3:$I$2000, FALSE), 8)</f>
        <v>B_01'Flr_03</v>
      </c>
      <c r="C77" t="str">
        <f>INDEX(Joined!$A$3:$M$2000, MATCH($A77, Joined!$I$3:$I$2000, FALSE), 7)</f>
        <v>VAV-3E-16</v>
      </c>
      <c r="D77">
        <f>INDEX(Joined!$A$3:$M$2000, MATCH($A77, Joined!$I$3:$I$2000, FALSE), 5)</f>
        <v>150505</v>
      </c>
      <c r="E77" t="str">
        <f>INDEX(Joined!$A$3:$M$2000, MATCH($A77, Joined!$I$3:$I$2000, FALSE), 7)</f>
        <v>VAV-3E-16</v>
      </c>
      <c r="F77" t="s">
        <v>38</v>
      </c>
      <c r="G77" t="str">
        <f>INDEX(Schedule!$Q$2:$R$7, MATCH(ABT!$H77,Schedule!$Q$2:$Q$7, 0), 2)</f>
        <v>15007_ADXR_VAV_DXR2M10</v>
      </c>
      <c r="H77">
        <f>INDEX(Joined!$A$3:$M$2000, MATCH($A77, Joined!$I$3:$I$2000, FALSE), 6)</f>
        <v>15007</v>
      </c>
      <c r="I77" t="str">
        <f>INDEX(Joined!$A$3:$M$2000, MATCH($A77, Joined!$I$3:$I$2000, FALSE), 4)</f>
        <v>505</v>
      </c>
      <c r="J77" t="b">
        <v>0</v>
      </c>
      <c r="K77">
        <f>INDEX(Joined!$A$3:$M$2000, MATCH($A77, Joined!$I$3:$I$2000, FALSE), 3)</f>
        <v>5</v>
      </c>
      <c r="L77">
        <v>85</v>
      </c>
      <c r="M77">
        <v>38400</v>
      </c>
      <c r="N77" s="27">
        <f>PI()*(INDEX(Schedule!$A$1:$N$2000, MATCH($C77, VAV_Schedule_5_21[[#All],[UNIT TAG]], FALSE), 4)/2/12)^2</f>
        <v>0.54541539124822802</v>
      </c>
      <c r="O77" s="27">
        <f>INDEX(Schedule!$A$1:$N$2000, MATCH($C77, VAV_Schedule_5_21[[#All],[UNIT TAG]], FALSE), 4)</f>
        <v>10</v>
      </c>
      <c r="P77">
        <v>75.63</v>
      </c>
      <c r="Q77" s="27">
        <f>INDEX(Schedule!$A$1:$N$2000, MATCH($C77, VAV_Schedule_5_21[[#All],[UNIT TAG]], FALSE), 5)</f>
        <v>1050</v>
      </c>
      <c r="R77" s="27">
        <f>INDEX(Schedule!$A$1:$N$2000, MATCH($C77, VAV_Schedule_5_21[[#All],[UNIT TAG]], FALSE), 6)</f>
        <v>210</v>
      </c>
      <c r="S77" s="27">
        <f>INDEX(Schedule!$A$1:$N$2000, MATCH($C77, VAV_Schedule_5_21[[#All],[UNIT TAG]], FALSE), 5)</f>
        <v>1050</v>
      </c>
      <c r="T77" s="27">
        <f>INDEX(Schedule!$A$1:$N$2000, MATCH($C77, VAV_Schedule_5_21[[#All],[UNIT TAG]], FALSE), 6)</f>
        <v>210</v>
      </c>
      <c r="U77" s="27">
        <f>INDEX(Schedule!$A$1:$N$2000, MATCH($C77, VAV_Schedule_5_21[[#All],[UNIT TAG]], FALSE), 5)</f>
        <v>1050</v>
      </c>
      <c r="V77" s="27">
        <f>INDEX(Schedule!$A$1:$N$2000, MATCH($C77, VAV_Schedule_5_21[[#All],[UNIT TAG]], FALSE), 6)</f>
        <v>210</v>
      </c>
      <c r="W77" s="27">
        <f>INDEX(Schedule!$A$1:$N$2000, MATCH($C77, VAV_Schedule_5_21[[#All],[UNIT TAG]], FALSE), 6)</f>
        <v>210</v>
      </c>
      <c r="X77" s="27">
        <f>INDEX(Schedule!$A$1:$N$2000, MATCH($C77, VAV_Schedule_5_21[[#All],[UNIT TAG]], FALSE), 6)</f>
        <v>210</v>
      </c>
      <c r="Y77" s="27">
        <f>INDEX(Schedule!$A$1:$N$2000, MATCH($C77, VAV_Schedule_5_21[[#All],[UNIT TAG]], FALSE), 6)</f>
        <v>210</v>
      </c>
      <c r="Z77" s="27">
        <f>INDEX(Schedule!$A$1:$N$2000, MATCH($C77, VAV_Schedule_5_21[[#All],[UNIT TAG]], FALSE), 6)</f>
        <v>210</v>
      </c>
      <c r="AA77" s="27">
        <v>1000</v>
      </c>
      <c r="AB77" s="27">
        <v>1100</v>
      </c>
      <c r="AC77">
        <v>1400</v>
      </c>
      <c r="AD77" s="29" t="str">
        <f>IF(INDEX(Schedule!$A$1:$N$2000, MATCH($C77, VAV_Schedule_5_21[[#All],[UNIT TAG]], FALSE), 7)="-", 0, INDEX(Schedule!$A$1:$N$2000, MATCH($C77, VAV_Schedule_5_21[[#All],[UNIT TAG]], FALSE), 7))</f>
        <v>7</v>
      </c>
      <c r="AE77" t="str">
        <f>"B_01'" &amp; "Flr_0" &amp; INDEX(Joined!$A$3:$M$2000, MATCH($A77, Joined!$I$3:$I$2000, FALSE), 8)</f>
        <v>B_01'Flr_03</v>
      </c>
      <c r="AF77" t="str">
        <f>"R_" &amp; INDEX(Joined!$A$3:$M$2000, MATCH($A77, Joined!$I$3:$I$2000, FALSE), 7)</f>
        <v>R_VAV-3E-16</v>
      </c>
      <c r="AG77" t="str">
        <f>"B_01'" &amp; "Flr_0" &amp; INDEX(Joined!$A$3:$M$2000, MATCH($A77, Joined!$I$3:$I$2000, FALSE), 8)</f>
        <v>B_01'Flr_03</v>
      </c>
      <c r="AH77" t="str">
        <f>INDEX(Joined!$A$3:$M$2000, MATCH($A77, Joined!$I$3:$I$2000, FALSE), 7)</f>
        <v>VAV-3E-16</v>
      </c>
      <c r="AI77" t="s">
        <v>891</v>
      </c>
    </row>
    <row r="78" spans="1:35" x14ac:dyDescent="0.2">
      <c r="A78" t="s">
        <v>467</v>
      </c>
      <c r="B78" t="str">
        <f>"B_01'" &amp; "Flr_0" &amp; INDEX(Joined!$A$3:$M$2000, MATCH($A78, Joined!$I$3:$I$2000, FALSE), 8)</f>
        <v>B_01'Flr_03</v>
      </c>
      <c r="C78" t="str">
        <f>INDEX(Joined!$A$3:$M$2000, MATCH($A78, Joined!$I$3:$I$2000, FALSE), 7)</f>
        <v>VAV-3E-17</v>
      </c>
      <c r="D78">
        <f>INDEX(Joined!$A$3:$M$2000, MATCH($A78, Joined!$I$3:$I$2000, FALSE), 5)</f>
        <v>150506</v>
      </c>
      <c r="E78" t="str">
        <f>INDEX(Joined!$A$3:$M$2000, MATCH($A78, Joined!$I$3:$I$2000, FALSE), 7)</f>
        <v>VAV-3E-17</v>
      </c>
      <c r="F78" t="s">
        <v>38</v>
      </c>
      <c r="G78" t="str">
        <f>INDEX(Schedule!$Q$2:$R$7, MATCH(ABT!$H78,Schedule!$Q$2:$Q$7, 0), 2)</f>
        <v>15006_ADXR_VAV_DXR2M10</v>
      </c>
      <c r="H78">
        <f>INDEX(Joined!$A$3:$M$2000, MATCH($A78, Joined!$I$3:$I$2000, FALSE), 6)</f>
        <v>15006</v>
      </c>
      <c r="I78" t="str">
        <f>INDEX(Joined!$A$3:$M$2000, MATCH($A78, Joined!$I$3:$I$2000, FALSE), 4)</f>
        <v>505</v>
      </c>
      <c r="J78" t="b">
        <v>0</v>
      </c>
      <c r="K78">
        <f>INDEX(Joined!$A$3:$M$2000, MATCH($A78, Joined!$I$3:$I$2000, FALSE), 3)</f>
        <v>6</v>
      </c>
      <c r="L78">
        <v>85</v>
      </c>
      <c r="M78">
        <v>38400</v>
      </c>
      <c r="N78" s="27">
        <f>PI()*(INDEX(Schedule!$A$1:$N$2000, MATCH($C78, VAV_Schedule_5_21[[#All],[UNIT TAG]], FALSE), 4)/2/12)^2</f>
        <v>0.19634954084936207</v>
      </c>
      <c r="O78" s="27">
        <f>INDEX(Schedule!$A$1:$N$2000, MATCH($C78, VAV_Schedule_5_21[[#All],[UNIT TAG]], FALSE), 4)</f>
        <v>6</v>
      </c>
      <c r="P78">
        <v>76.63</v>
      </c>
      <c r="Q78" s="27">
        <f>INDEX(Schedule!$A$1:$N$2000, MATCH($C78, VAV_Schedule_5_21[[#All],[UNIT TAG]], FALSE), 5)</f>
        <v>400</v>
      </c>
      <c r="R78" s="27">
        <f>INDEX(Schedule!$A$1:$N$2000, MATCH($C78, VAV_Schedule_5_21[[#All],[UNIT TAG]], FALSE), 6)</f>
        <v>80</v>
      </c>
      <c r="S78" s="27">
        <f>INDEX(Schedule!$A$1:$N$2000, MATCH($C78, VAV_Schedule_5_21[[#All],[UNIT TAG]], FALSE), 5)</f>
        <v>400</v>
      </c>
      <c r="T78" s="27">
        <f>INDEX(Schedule!$A$1:$N$2000, MATCH($C78, VAV_Schedule_5_21[[#All],[UNIT TAG]], FALSE), 6)</f>
        <v>80</v>
      </c>
      <c r="U78" s="27">
        <f>INDEX(Schedule!$A$1:$N$2000, MATCH($C78, VAV_Schedule_5_21[[#All],[UNIT TAG]], FALSE), 5)</f>
        <v>400</v>
      </c>
      <c r="V78" s="27">
        <f>INDEX(Schedule!$A$1:$N$2000, MATCH($C78, VAV_Schedule_5_21[[#All],[UNIT TAG]], FALSE), 6)</f>
        <v>80</v>
      </c>
      <c r="W78" s="27">
        <f>INDEX(Schedule!$A$1:$N$2000, MATCH($C78, VAV_Schedule_5_21[[#All],[UNIT TAG]], FALSE), 6)</f>
        <v>80</v>
      </c>
      <c r="X78" s="27">
        <f>INDEX(Schedule!$A$1:$N$2000, MATCH($C78, VAV_Schedule_5_21[[#All],[UNIT TAG]], FALSE), 6)</f>
        <v>80</v>
      </c>
      <c r="Y78" s="27">
        <f>INDEX(Schedule!$A$1:$N$2000, MATCH($C78, VAV_Schedule_5_21[[#All],[UNIT TAG]], FALSE), 6)</f>
        <v>80</v>
      </c>
      <c r="Z78" s="27">
        <f>INDEX(Schedule!$A$1:$N$2000, MATCH($C78, VAV_Schedule_5_21[[#All],[UNIT TAG]], FALSE), 6)</f>
        <v>80</v>
      </c>
      <c r="AA78" s="27">
        <v>1000</v>
      </c>
      <c r="AB78" s="27">
        <v>1100</v>
      </c>
      <c r="AC78">
        <v>1400</v>
      </c>
      <c r="AD78" s="29">
        <f>IF(INDEX(Schedule!$A$1:$N$2000, MATCH($C78, VAV_Schedule_5_21[[#All],[UNIT TAG]], FALSE), 7)="-", 0, INDEX(Schedule!$A$1:$N$2000, MATCH($C78, VAV_Schedule_5_21[[#All],[UNIT TAG]], FALSE), 7))</f>
        <v>0</v>
      </c>
      <c r="AE78" t="str">
        <f>"B_01'" &amp; "Flr_0" &amp; INDEX(Joined!$A$3:$M$2000, MATCH($A78, Joined!$I$3:$I$2000, FALSE), 8)</f>
        <v>B_01'Flr_03</v>
      </c>
      <c r="AF78" t="str">
        <f>"R_" &amp; INDEX(Joined!$A$3:$M$2000, MATCH($A78, Joined!$I$3:$I$2000, FALSE), 7)</f>
        <v>R_VAV-3E-17</v>
      </c>
      <c r="AG78" t="str">
        <f>"B_01'" &amp; "Flr_0" &amp; INDEX(Joined!$A$3:$M$2000, MATCH($A78, Joined!$I$3:$I$2000, FALSE), 8)</f>
        <v>B_01'Flr_03</v>
      </c>
      <c r="AH78" t="str">
        <f>INDEX(Joined!$A$3:$M$2000, MATCH($A78, Joined!$I$3:$I$2000, FALSE), 7)</f>
        <v>VAV-3E-17</v>
      </c>
      <c r="AI78" t="s">
        <v>892</v>
      </c>
    </row>
    <row r="79" spans="1:35" x14ac:dyDescent="0.2">
      <c r="A79" t="s">
        <v>468</v>
      </c>
      <c r="B79" t="str">
        <f>"B_01'" &amp; "Flr_0" &amp; INDEX(Joined!$A$3:$M$2000, MATCH($A79, Joined!$I$3:$I$2000, FALSE), 8)</f>
        <v>B_01'Flr_03</v>
      </c>
      <c r="C79" t="str">
        <f>INDEX(Joined!$A$3:$M$2000, MATCH($A79, Joined!$I$3:$I$2000, FALSE), 7)</f>
        <v>VAV-3E-18</v>
      </c>
      <c r="D79">
        <f>INDEX(Joined!$A$3:$M$2000, MATCH($A79, Joined!$I$3:$I$2000, FALSE), 5)</f>
        <v>150507</v>
      </c>
      <c r="E79" t="str">
        <f>INDEX(Joined!$A$3:$M$2000, MATCH($A79, Joined!$I$3:$I$2000, FALSE), 7)</f>
        <v>VAV-3E-18</v>
      </c>
      <c r="F79" t="s">
        <v>38</v>
      </c>
      <c r="G79" t="str">
        <f>INDEX(Schedule!$Q$2:$R$7, MATCH(ABT!$H79,Schedule!$Q$2:$Q$7, 0), 2)</f>
        <v>15007_ADXR_VAV_DXR2M10</v>
      </c>
      <c r="H79">
        <f>INDEX(Joined!$A$3:$M$2000, MATCH($A79, Joined!$I$3:$I$2000, FALSE), 6)</f>
        <v>15007</v>
      </c>
      <c r="I79" t="str">
        <f>INDEX(Joined!$A$3:$M$2000, MATCH($A79, Joined!$I$3:$I$2000, FALSE), 4)</f>
        <v>505</v>
      </c>
      <c r="J79" t="b">
        <v>0</v>
      </c>
      <c r="K79">
        <f>INDEX(Joined!$A$3:$M$2000, MATCH($A79, Joined!$I$3:$I$2000, FALSE), 3)</f>
        <v>7</v>
      </c>
      <c r="L79">
        <v>85</v>
      </c>
      <c r="M79">
        <v>38400</v>
      </c>
      <c r="N79" s="27">
        <f>PI()*(INDEX(Schedule!$A$1:$N$2000, MATCH($C79, VAV_Schedule_5_21[[#All],[UNIT TAG]], FALSE), 4)/2/12)^2</f>
        <v>0.54541539124822802</v>
      </c>
      <c r="O79" s="27">
        <f>INDEX(Schedule!$A$1:$N$2000, MATCH($C79, VAV_Schedule_5_21[[#All],[UNIT TAG]], FALSE), 4)</f>
        <v>10</v>
      </c>
      <c r="P79">
        <v>77.63</v>
      </c>
      <c r="Q79" s="27">
        <f>INDEX(Schedule!$A$1:$N$2000, MATCH($C79, VAV_Schedule_5_21[[#All],[UNIT TAG]], FALSE), 5)</f>
        <v>840</v>
      </c>
      <c r="R79" s="27">
        <f>INDEX(Schedule!$A$1:$N$2000, MATCH($C79, VAV_Schedule_5_21[[#All],[UNIT TAG]], FALSE), 6)</f>
        <v>170</v>
      </c>
      <c r="S79" s="27">
        <f>INDEX(Schedule!$A$1:$N$2000, MATCH($C79, VAV_Schedule_5_21[[#All],[UNIT TAG]], FALSE), 5)</f>
        <v>840</v>
      </c>
      <c r="T79" s="27">
        <f>INDEX(Schedule!$A$1:$N$2000, MATCH($C79, VAV_Schedule_5_21[[#All],[UNIT TAG]], FALSE), 6)</f>
        <v>170</v>
      </c>
      <c r="U79" s="27">
        <f>INDEX(Schedule!$A$1:$N$2000, MATCH($C79, VAV_Schedule_5_21[[#All],[UNIT TAG]], FALSE), 5)</f>
        <v>840</v>
      </c>
      <c r="V79" s="27">
        <f>INDEX(Schedule!$A$1:$N$2000, MATCH($C79, VAV_Schedule_5_21[[#All],[UNIT TAG]], FALSE), 6)</f>
        <v>170</v>
      </c>
      <c r="W79" s="27">
        <f>INDEX(Schedule!$A$1:$N$2000, MATCH($C79, VAV_Schedule_5_21[[#All],[UNIT TAG]], FALSE), 6)</f>
        <v>170</v>
      </c>
      <c r="X79" s="27">
        <f>INDEX(Schedule!$A$1:$N$2000, MATCH($C79, VAV_Schedule_5_21[[#All],[UNIT TAG]], FALSE), 6)</f>
        <v>170</v>
      </c>
      <c r="Y79" s="27">
        <f>INDEX(Schedule!$A$1:$N$2000, MATCH($C79, VAV_Schedule_5_21[[#All],[UNIT TAG]], FALSE), 6)</f>
        <v>170</v>
      </c>
      <c r="Z79" s="27">
        <f>INDEX(Schedule!$A$1:$N$2000, MATCH($C79, VAV_Schedule_5_21[[#All],[UNIT TAG]], FALSE), 6)</f>
        <v>170</v>
      </c>
      <c r="AA79" s="27">
        <v>1000</v>
      </c>
      <c r="AB79" s="27">
        <v>1100</v>
      </c>
      <c r="AC79">
        <v>1400</v>
      </c>
      <c r="AD79" s="29" t="str">
        <f>IF(INDEX(Schedule!$A$1:$N$2000, MATCH($C79, VAV_Schedule_5_21[[#All],[UNIT TAG]], FALSE), 7)="-", 0, INDEX(Schedule!$A$1:$N$2000, MATCH($C79, VAV_Schedule_5_21[[#All],[UNIT TAG]], FALSE), 7))</f>
        <v>6</v>
      </c>
      <c r="AE79" t="str">
        <f>"B_01'" &amp; "Flr_0" &amp; INDEX(Joined!$A$3:$M$2000, MATCH($A79, Joined!$I$3:$I$2000, FALSE), 8)</f>
        <v>B_01'Flr_03</v>
      </c>
      <c r="AF79" t="str">
        <f>"R_" &amp; INDEX(Joined!$A$3:$M$2000, MATCH($A79, Joined!$I$3:$I$2000, FALSE), 7)</f>
        <v>R_VAV-3E-18</v>
      </c>
      <c r="AG79" t="str">
        <f>"B_01'" &amp; "Flr_0" &amp; INDEX(Joined!$A$3:$M$2000, MATCH($A79, Joined!$I$3:$I$2000, FALSE), 8)</f>
        <v>B_01'Flr_03</v>
      </c>
      <c r="AH79" t="str">
        <f>INDEX(Joined!$A$3:$M$2000, MATCH($A79, Joined!$I$3:$I$2000, FALSE), 7)</f>
        <v>VAV-3E-18</v>
      </c>
      <c r="AI79" t="s">
        <v>893</v>
      </c>
    </row>
    <row r="80" spans="1:35" x14ac:dyDescent="0.2">
      <c r="A80" t="s">
        <v>469</v>
      </c>
      <c r="B80" t="str">
        <f>"B_01'" &amp; "Flr_0" &amp; INDEX(Joined!$A$3:$M$2000, MATCH($A80, Joined!$I$3:$I$2000, FALSE), 8)</f>
        <v>B_01'Flr_03</v>
      </c>
      <c r="C80" t="str">
        <f>INDEX(Joined!$A$3:$M$2000, MATCH($A80, Joined!$I$3:$I$2000, FALSE), 7)</f>
        <v>VAV-3E-19</v>
      </c>
      <c r="D80">
        <f>INDEX(Joined!$A$3:$M$2000, MATCH($A80, Joined!$I$3:$I$2000, FALSE), 5)</f>
        <v>150508</v>
      </c>
      <c r="E80" t="str">
        <f>INDEX(Joined!$A$3:$M$2000, MATCH($A80, Joined!$I$3:$I$2000, FALSE), 7)</f>
        <v>VAV-3E-19</v>
      </c>
      <c r="F80" t="s">
        <v>38</v>
      </c>
      <c r="G80" t="str">
        <f>INDEX(Schedule!$Q$2:$R$7, MATCH(ABT!$H80,Schedule!$Q$2:$Q$7, 0), 2)</f>
        <v>15007_ADXR_VAV_DXR2M10</v>
      </c>
      <c r="H80">
        <f>INDEX(Joined!$A$3:$M$2000, MATCH($A80, Joined!$I$3:$I$2000, FALSE), 6)</f>
        <v>15007</v>
      </c>
      <c r="I80" t="str">
        <f>INDEX(Joined!$A$3:$M$2000, MATCH($A80, Joined!$I$3:$I$2000, FALSE), 4)</f>
        <v>505</v>
      </c>
      <c r="J80" t="b">
        <v>0</v>
      </c>
      <c r="K80">
        <f>INDEX(Joined!$A$3:$M$2000, MATCH($A80, Joined!$I$3:$I$2000, FALSE), 3)</f>
        <v>8</v>
      </c>
      <c r="L80">
        <v>85</v>
      </c>
      <c r="M80">
        <v>38400</v>
      </c>
      <c r="N80" s="27">
        <f>PI()*(INDEX(Schedule!$A$1:$N$2000, MATCH($C80, VAV_Schedule_5_21[[#All],[UNIT TAG]], FALSE), 4)/2/12)^2</f>
        <v>0.54541539124822802</v>
      </c>
      <c r="O80" s="27">
        <f>INDEX(Schedule!$A$1:$N$2000, MATCH($C80, VAV_Schedule_5_21[[#All],[UNIT TAG]], FALSE), 4)</f>
        <v>10</v>
      </c>
      <c r="P80">
        <v>78.63</v>
      </c>
      <c r="Q80" s="27">
        <f>INDEX(Schedule!$A$1:$N$2000, MATCH($C80, VAV_Schedule_5_21[[#All],[UNIT TAG]], FALSE), 5)</f>
        <v>1050</v>
      </c>
      <c r="R80" s="27">
        <f>INDEX(Schedule!$A$1:$N$2000, MATCH($C80, VAV_Schedule_5_21[[#All],[UNIT TAG]], FALSE), 6)</f>
        <v>210</v>
      </c>
      <c r="S80" s="27">
        <f>INDEX(Schedule!$A$1:$N$2000, MATCH($C80, VAV_Schedule_5_21[[#All],[UNIT TAG]], FALSE), 5)</f>
        <v>1050</v>
      </c>
      <c r="T80" s="27">
        <f>INDEX(Schedule!$A$1:$N$2000, MATCH($C80, VAV_Schedule_5_21[[#All],[UNIT TAG]], FALSE), 6)</f>
        <v>210</v>
      </c>
      <c r="U80" s="27">
        <f>INDEX(Schedule!$A$1:$N$2000, MATCH($C80, VAV_Schedule_5_21[[#All],[UNIT TAG]], FALSE), 5)</f>
        <v>1050</v>
      </c>
      <c r="V80" s="27">
        <f>INDEX(Schedule!$A$1:$N$2000, MATCH($C80, VAV_Schedule_5_21[[#All],[UNIT TAG]], FALSE), 6)</f>
        <v>210</v>
      </c>
      <c r="W80" s="27">
        <f>INDEX(Schedule!$A$1:$N$2000, MATCH($C80, VAV_Schedule_5_21[[#All],[UNIT TAG]], FALSE), 6)</f>
        <v>210</v>
      </c>
      <c r="X80" s="27">
        <f>INDEX(Schedule!$A$1:$N$2000, MATCH($C80, VAV_Schedule_5_21[[#All],[UNIT TAG]], FALSE), 6)</f>
        <v>210</v>
      </c>
      <c r="Y80" s="27">
        <f>INDEX(Schedule!$A$1:$N$2000, MATCH($C80, VAV_Schedule_5_21[[#All],[UNIT TAG]], FALSE), 6)</f>
        <v>210</v>
      </c>
      <c r="Z80" s="27">
        <f>INDEX(Schedule!$A$1:$N$2000, MATCH($C80, VAV_Schedule_5_21[[#All],[UNIT TAG]], FALSE), 6)</f>
        <v>210</v>
      </c>
      <c r="AA80" s="27">
        <v>1000</v>
      </c>
      <c r="AB80" s="27">
        <v>1100</v>
      </c>
      <c r="AC80">
        <v>1400</v>
      </c>
      <c r="AD80" s="29" t="str">
        <f>IF(INDEX(Schedule!$A$1:$N$2000, MATCH($C80, VAV_Schedule_5_21[[#All],[UNIT TAG]], FALSE), 7)="-", 0, INDEX(Schedule!$A$1:$N$2000, MATCH($C80, VAV_Schedule_5_21[[#All],[UNIT TAG]], FALSE), 7))</f>
        <v>7</v>
      </c>
      <c r="AE80" t="str">
        <f>"B_01'" &amp; "Flr_0" &amp; INDEX(Joined!$A$3:$M$2000, MATCH($A80, Joined!$I$3:$I$2000, FALSE), 8)</f>
        <v>B_01'Flr_03</v>
      </c>
      <c r="AF80" t="str">
        <f>"R_" &amp; INDEX(Joined!$A$3:$M$2000, MATCH($A80, Joined!$I$3:$I$2000, FALSE), 7)</f>
        <v>R_VAV-3E-19</v>
      </c>
      <c r="AG80" t="str">
        <f>"B_01'" &amp; "Flr_0" &amp; INDEX(Joined!$A$3:$M$2000, MATCH($A80, Joined!$I$3:$I$2000, FALSE), 8)</f>
        <v>B_01'Flr_03</v>
      </c>
      <c r="AH80" t="str">
        <f>INDEX(Joined!$A$3:$M$2000, MATCH($A80, Joined!$I$3:$I$2000, FALSE), 7)</f>
        <v>VAV-3E-19</v>
      </c>
      <c r="AI80" t="s">
        <v>894</v>
      </c>
    </row>
    <row r="81" spans="1:35" x14ac:dyDescent="0.2">
      <c r="A81" t="s">
        <v>470</v>
      </c>
      <c r="B81" t="str">
        <f>"B_01'" &amp; "Flr_0" &amp; INDEX(Joined!$A$3:$M$2000, MATCH($A81, Joined!$I$3:$I$2000, FALSE), 8)</f>
        <v>B_01'Flr_03</v>
      </c>
      <c r="C81" t="str">
        <f>INDEX(Joined!$A$3:$M$2000, MATCH($A81, Joined!$I$3:$I$2000, FALSE), 7)</f>
        <v>VAV-3E-20</v>
      </c>
      <c r="D81">
        <f>INDEX(Joined!$A$3:$M$2000, MATCH($A81, Joined!$I$3:$I$2000, FALSE), 5)</f>
        <v>150509</v>
      </c>
      <c r="E81" t="str">
        <f>INDEX(Joined!$A$3:$M$2000, MATCH($A81, Joined!$I$3:$I$2000, FALSE), 7)</f>
        <v>VAV-3E-20</v>
      </c>
      <c r="F81" t="s">
        <v>38</v>
      </c>
      <c r="G81" t="str">
        <f>INDEX(Schedule!$Q$2:$R$7, MATCH(ABT!$H81,Schedule!$Q$2:$Q$7, 0), 2)</f>
        <v>15007_ADXR_VAV_DXR2M10</v>
      </c>
      <c r="H81">
        <f>INDEX(Joined!$A$3:$M$2000, MATCH($A81, Joined!$I$3:$I$2000, FALSE), 6)</f>
        <v>15007</v>
      </c>
      <c r="I81" t="str">
        <f>INDEX(Joined!$A$3:$M$2000, MATCH($A81, Joined!$I$3:$I$2000, FALSE), 4)</f>
        <v>505</v>
      </c>
      <c r="J81" t="b">
        <v>0</v>
      </c>
      <c r="K81">
        <f>INDEX(Joined!$A$3:$M$2000, MATCH($A81, Joined!$I$3:$I$2000, FALSE), 3)</f>
        <v>9</v>
      </c>
      <c r="L81">
        <v>85</v>
      </c>
      <c r="M81">
        <v>38400</v>
      </c>
      <c r="N81" s="27">
        <f>PI()*(INDEX(Schedule!$A$1:$N$2000, MATCH($C81, VAV_Schedule_5_21[[#All],[UNIT TAG]], FALSE), 4)/2/12)^2</f>
        <v>0.3490658503988659</v>
      </c>
      <c r="O81" s="27">
        <f>INDEX(Schedule!$A$1:$N$2000, MATCH($C81, VAV_Schedule_5_21[[#All],[UNIT TAG]], FALSE), 4)</f>
        <v>8</v>
      </c>
      <c r="P81">
        <v>79.63</v>
      </c>
      <c r="Q81" s="27">
        <f>INDEX(Schedule!$A$1:$N$2000, MATCH($C81, VAV_Schedule_5_21[[#All],[UNIT TAG]], FALSE), 5)</f>
        <v>640</v>
      </c>
      <c r="R81" s="27">
        <f>INDEX(Schedule!$A$1:$N$2000, MATCH($C81, VAV_Schedule_5_21[[#All],[UNIT TAG]], FALSE), 6)</f>
        <v>130</v>
      </c>
      <c r="S81" s="27">
        <f>INDEX(Schedule!$A$1:$N$2000, MATCH($C81, VAV_Schedule_5_21[[#All],[UNIT TAG]], FALSE), 5)</f>
        <v>640</v>
      </c>
      <c r="T81" s="27">
        <f>INDEX(Schedule!$A$1:$N$2000, MATCH($C81, VAV_Schedule_5_21[[#All],[UNIT TAG]], FALSE), 6)</f>
        <v>130</v>
      </c>
      <c r="U81" s="27">
        <f>INDEX(Schedule!$A$1:$N$2000, MATCH($C81, VAV_Schedule_5_21[[#All],[UNIT TAG]], FALSE), 5)</f>
        <v>640</v>
      </c>
      <c r="V81" s="27">
        <f>INDEX(Schedule!$A$1:$N$2000, MATCH($C81, VAV_Schedule_5_21[[#All],[UNIT TAG]], FALSE), 6)</f>
        <v>130</v>
      </c>
      <c r="W81" s="27">
        <f>INDEX(Schedule!$A$1:$N$2000, MATCH($C81, VAV_Schedule_5_21[[#All],[UNIT TAG]], FALSE), 6)</f>
        <v>130</v>
      </c>
      <c r="X81" s="27">
        <f>INDEX(Schedule!$A$1:$N$2000, MATCH($C81, VAV_Schedule_5_21[[#All],[UNIT TAG]], FALSE), 6)</f>
        <v>130</v>
      </c>
      <c r="Y81" s="27">
        <f>INDEX(Schedule!$A$1:$N$2000, MATCH($C81, VAV_Schedule_5_21[[#All],[UNIT TAG]], FALSE), 6)</f>
        <v>130</v>
      </c>
      <c r="Z81" s="27">
        <f>INDEX(Schedule!$A$1:$N$2000, MATCH($C81, VAV_Schedule_5_21[[#All],[UNIT TAG]], FALSE), 6)</f>
        <v>130</v>
      </c>
      <c r="AA81" s="27">
        <v>1000</v>
      </c>
      <c r="AB81" s="27">
        <v>1100</v>
      </c>
      <c r="AC81">
        <v>1400</v>
      </c>
      <c r="AD81" s="29" t="str">
        <f>IF(INDEX(Schedule!$A$1:$N$2000, MATCH($C81, VAV_Schedule_5_21[[#All],[UNIT TAG]], FALSE), 7)="-", 0, INDEX(Schedule!$A$1:$N$2000, MATCH($C81, VAV_Schedule_5_21[[#All],[UNIT TAG]], FALSE), 7))</f>
        <v>6</v>
      </c>
      <c r="AE81" t="str">
        <f>"B_01'" &amp; "Flr_0" &amp; INDEX(Joined!$A$3:$M$2000, MATCH($A81, Joined!$I$3:$I$2000, FALSE), 8)</f>
        <v>B_01'Flr_03</v>
      </c>
      <c r="AF81" t="str">
        <f>"R_" &amp; INDEX(Joined!$A$3:$M$2000, MATCH($A81, Joined!$I$3:$I$2000, FALSE), 7)</f>
        <v>R_VAV-3E-20</v>
      </c>
      <c r="AG81" t="str">
        <f>"B_01'" &amp; "Flr_0" &amp; INDEX(Joined!$A$3:$M$2000, MATCH($A81, Joined!$I$3:$I$2000, FALSE), 8)</f>
        <v>B_01'Flr_03</v>
      </c>
      <c r="AH81" t="str">
        <f>INDEX(Joined!$A$3:$M$2000, MATCH($A81, Joined!$I$3:$I$2000, FALSE), 7)</f>
        <v>VAV-3E-20</v>
      </c>
      <c r="AI81" t="s">
        <v>895</v>
      </c>
    </row>
    <row r="82" spans="1:35" x14ac:dyDescent="0.2">
      <c r="A82" t="s">
        <v>471</v>
      </c>
      <c r="B82" t="str">
        <f>"B_01'" &amp; "Flr_0" &amp; INDEX(Joined!$A$3:$M$2000, MATCH($A82, Joined!$I$3:$I$2000, FALSE), 8)</f>
        <v>B_01'Flr_03</v>
      </c>
      <c r="C82" t="str">
        <f>INDEX(Joined!$A$3:$M$2000, MATCH($A82, Joined!$I$3:$I$2000, FALSE), 7)</f>
        <v>VAV-3E-21</v>
      </c>
      <c r="D82">
        <f>INDEX(Joined!$A$3:$M$2000, MATCH($A82, Joined!$I$3:$I$2000, FALSE), 5)</f>
        <v>150510</v>
      </c>
      <c r="E82" t="str">
        <f>INDEX(Joined!$A$3:$M$2000, MATCH($A82, Joined!$I$3:$I$2000, FALSE), 7)</f>
        <v>VAV-3E-21</v>
      </c>
      <c r="F82" t="s">
        <v>38</v>
      </c>
      <c r="G82" t="str">
        <f>INDEX(Schedule!$Q$2:$R$7, MATCH(ABT!$H82,Schedule!$Q$2:$Q$7, 0), 2)</f>
        <v>15007_ADXR_VAV_DXR2M10</v>
      </c>
      <c r="H82">
        <f>INDEX(Joined!$A$3:$M$2000, MATCH($A82, Joined!$I$3:$I$2000, FALSE), 6)</f>
        <v>15007</v>
      </c>
      <c r="I82" t="str">
        <f>INDEX(Joined!$A$3:$M$2000, MATCH($A82, Joined!$I$3:$I$2000, FALSE), 4)</f>
        <v>505</v>
      </c>
      <c r="J82" t="b">
        <v>0</v>
      </c>
      <c r="K82">
        <f>INDEX(Joined!$A$3:$M$2000, MATCH($A82, Joined!$I$3:$I$2000, FALSE), 3)</f>
        <v>10</v>
      </c>
      <c r="L82">
        <v>85</v>
      </c>
      <c r="M82">
        <v>38400</v>
      </c>
      <c r="N82" s="27">
        <f>PI()*(INDEX(Schedule!$A$1:$N$2000, MATCH($C82, VAV_Schedule_5_21[[#All],[UNIT TAG]], FALSE), 4)/2/12)^2</f>
        <v>0.54541539124822802</v>
      </c>
      <c r="O82" s="27">
        <f>INDEX(Schedule!$A$1:$N$2000, MATCH($C82, VAV_Schedule_5_21[[#All],[UNIT TAG]], FALSE), 4)</f>
        <v>10</v>
      </c>
      <c r="P82">
        <v>80.63</v>
      </c>
      <c r="Q82" s="27">
        <f>INDEX(Schedule!$A$1:$N$2000, MATCH($C82, VAV_Schedule_5_21[[#All],[UNIT TAG]], FALSE), 5)</f>
        <v>860</v>
      </c>
      <c r="R82" s="27">
        <f>INDEX(Schedule!$A$1:$N$2000, MATCH($C82, VAV_Schedule_5_21[[#All],[UNIT TAG]], FALSE), 6)</f>
        <v>175</v>
      </c>
      <c r="S82" s="27">
        <f>INDEX(Schedule!$A$1:$N$2000, MATCH($C82, VAV_Schedule_5_21[[#All],[UNIT TAG]], FALSE), 5)</f>
        <v>860</v>
      </c>
      <c r="T82" s="27">
        <f>INDEX(Schedule!$A$1:$N$2000, MATCH($C82, VAV_Schedule_5_21[[#All],[UNIT TAG]], FALSE), 6)</f>
        <v>175</v>
      </c>
      <c r="U82" s="27">
        <f>INDEX(Schedule!$A$1:$N$2000, MATCH($C82, VAV_Schedule_5_21[[#All],[UNIT TAG]], FALSE), 5)</f>
        <v>860</v>
      </c>
      <c r="V82" s="27">
        <f>INDEX(Schedule!$A$1:$N$2000, MATCH($C82, VAV_Schedule_5_21[[#All],[UNIT TAG]], FALSE), 6)</f>
        <v>175</v>
      </c>
      <c r="W82" s="27">
        <f>INDEX(Schedule!$A$1:$N$2000, MATCH($C82, VAV_Schedule_5_21[[#All],[UNIT TAG]], FALSE), 6)</f>
        <v>175</v>
      </c>
      <c r="X82" s="27">
        <f>INDEX(Schedule!$A$1:$N$2000, MATCH($C82, VAV_Schedule_5_21[[#All],[UNIT TAG]], FALSE), 6)</f>
        <v>175</v>
      </c>
      <c r="Y82" s="27">
        <f>INDEX(Schedule!$A$1:$N$2000, MATCH($C82, VAV_Schedule_5_21[[#All],[UNIT TAG]], FALSE), 6)</f>
        <v>175</v>
      </c>
      <c r="Z82" s="27">
        <f>INDEX(Schedule!$A$1:$N$2000, MATCH($C82, VAV_Schedule_5_21[[#All],[UNIT TAG]], FALSE), 6)</f>
        <v>175</v>
      </c>
      <c r="AA82" s="27">
        <v>1000</v>
      </c>
      <c r="AB82" s="27">
        <v>1100</v>
      </c>
      <c r="AC82">
        <v>1400</v>
      </c>
      <c r="AD82" s="29" t="str">
        <f>IF(INDEX(Schedule!$A$1:$N$2000, MATCH($C82, VAV_Schedule_5_21[[#All],[UNIT TAG]], FALSE), 7)="-", 0, INDEX(Schedule!$A$1:$N$2000, MATCH($C82, VAV_Schedule_5_21[[#All],[UNIT TAG]], FALSE), 7))</f>
        <v>6</v>
      </c>
      <c r="AE82" t="str">
        <f>"B_01'" &amp; "Flr_0" &amp; INDEX(Joined!$A$3:$M$2000, MATCH($A82, Joined!$I$3:$I$2000, FALSE), 8)</f>
        <v>B_01'Flr_03</v>
      </c>
      <c r="AF82" t="str">
        <f>"R_" &amp; INDEX(Joined!$A$3:$M$2000, MATCH($A82, Joined!$I$3:$I$2000, FALSE), 7)</f>
        <v>R_VAV-3E-21</v>
      </c>
      <c r="AG82" t="str">
        <f>"B_01'" &amp; "Flr_0" &amp; INDEX(Joined!$A$3:$M$2000, MATCH($A82, Joined!$I$3:$I$2000, FALSE), 8)</f>
        <v>B_01'Flr_03</v>
      </c>
      <c r="AH82" t="str">
        <f>INDEX(Joined!$A$3:$M$2000, MATCH($A82, Joined!$I$3:$I$2000, FALSE), 7)</f>
        <v>VAV-3E-21</v>
      </c>
      <c r="AI82" t="s">
        <v>896</v>
      </c>
    </row>
    <row r="83" spans="1:35" x14ac:dyDescent="0.2">
      <c r="A83" t="s">
        <v>472</v>
      </c>
      <c r="B83" t="str">
        <f>"B_01'" &amp; "Flr_0" &amp; INDEX(Joined!$A$3:$M$2000, MATCH($A83, Joined!$I$3:$I$2000, FALSE), 8)</f>
        <v>B_01'Flr_03</v>
      </c>
      <c r="C83" t="str">
        <f>INDEX(Joined!$A$3:$M$2000, MATCH($A83, Joined!$I$3:$I$2000, FALSE), 7)</f>
        <v>VAV-3E-22</v>
      </c>
      <c r="D83">
        <f>INDEX(Joined!$A$3:$M$2000, MATCH($A83, Joined!$I$3:$I$2000, FALSE), 5)</f>
        <v>150511</v>
      </c>
      <c r="E83" t="str">
        <f>INDEX(Joined!$A$3:$M$2000, MATCH($A83, Joined!$I$3:$I$2000, FALSE), 7)</f>
        <v>VAV-3E-22</v>
      </c>
      <c r="F83" t="s">
        <v>38</v>
      </c>
      <c r="G83" t="str">
        <f>INDEX(Schedule!$Q$2:$R$7, MATCH(ABT!$H83,Schedule!$Q$2:$Q$7, 0), 2)</f>
        <v>15007_ADXR_VAV_DXR2M10</v>
      </c>
      <c r="H83">
        <f>INDEX(Joined!$A$3:$M$2000, MATCH($A83, Joined!$I$3:$I$2000, FALSE), 6)</f>
        <v>15007</v>
      </c>
      <c r="I83" t="str">
        <f>INDEX(Joined!$A$3:$M$2000, MATCH($A83, Joined!$I$3:$I$2000, FALSE), 4)</f>
        <v>505</v>
      </c>
      <c r="J83" t="b">
        <v>0</v>
      </c>
      <c r="K83">
        <f>INDEX(Joined!$A$3:$M$2000, MATCH($A83, Joined!$I$3:$I$2000, FALSE), 3)</f>
        <v>11</v>
      </c>
      <c r="L83">
        <v>85</v>
      </c>
      <c r="M83">
        <v>38400</v>
      </c>
      <c r="N83" s="27">
        <f>PI()*(INDEX(Schedule!$A$1:$N$2000, MATCH($C83, VAV_Schedule_5_21[[#All],[UNIT TAG]], FALSE), 4)/2/12)^2</f>
        <v>0.3490658503988659</v>
      </c>
      <c r="O83" s="27">
        <f>INDEX(Schedule!$A$1:$N$2000, MATCH($C83, VAV_Schedule_5_21[[#All],[UNIT TAG]], FALSE), 4)</f>
        <v>8</v>
      </c>
      <c r="P83">
        <v>81.63</v>
      </c>
      <c r="Q83" s="27">
        <f>INDEX(Schedule!$A$1:$N$2000, MATCH($C83, VAV_Schedule_5_21[[#All],[UNIT TAG]], FALSE), 5)</f>
        <v>700</v>
      </c>
      <c r="R83" s="27">
        <f>INDEX(Schedule!$A$1:$N$2000, MATCH($C83, VAV_Schedule_5_21[[#All],[UNIT TAG]], FALSE), 6)</f>
        <v>140</v>
      </c>
      <c r="S83" s="27">
        <f>INDEX(Schedule!$A$1:$N$2000, MATCH($C83, VAV_Schedule_5_21[[#All],[UNIT TAG]], FALSE), 5)</f>
        <v>700</v>
      </c>
      <c r="T83" s="27">
        <f>INDEX(Schedule!$A$1:$N$2000, MATCH($C83, VAV_Schedule_5_21[[#All],[UNIT TAG]], FALSE), 6)</f>
        <v>140</v>
      </c>
      <c r="U83" s="27">
        <f>INDEX(Schedule!$A$1:$N$2000, MATCH($C83, VAV_Schedule_5_21[[#All],[UNIT TAG]], FALSE), 5)</f>
        <v>700</v>
      </c>
      <c r="V83" s="27">
        <f>INDEX(Schedule!$A$1:$N$2000, MATCH($C83, VAV_Schedule_5_21[[#All],[UNIT TAG]], FALSE), 6)</f>
        <v>140</v>
      </c>
      <c r="W83" s="27">
        <f>INDEX(Schedule!$A$1:$N$2000, MATCH($C83, VAV_Schedule_5_21[[#All],[UNIT TAG]], FALSE), 6)</f>
        <v>140</v>
      </c>
      <c r="X83" s="27">
        <f>INDEX(Schedule!$A$1:$N$2000, MATCH($C83, VAV_Schedule_5_21[[#All],[UNIT TAG]], FALSE), 6)</f>
        <v>140</v>
      </c>
      <c r="Y83" s="27">
        <f>INDEX(Schedule!$A$1:$N$2000, MATCH($C83, VAV_Schedule_5_21[[#All],[UNIT TAG]], FALSE), 6)</f>
        <v>140</v>
      </c>
      <c r="Z83" s="27">
        <f>INDEX(Schedule!$A$1:$N$2000, MATCH($C83, VAV_Schedule_5_21[[#All],[UNIT TAG]], FALSE), 6)</f>
        <v>140</v>
      </c>
      <c r="AA83" s="27">
        <v>1000</v>
      </c>
      <c r="AB83" s="27">
        <v>1100</v>
      </c>
      <c r="AC83">
        <v>1400</v>
      </c>
      <c r="AD83" s="29" t="str">
        <f>IF(INDEX(Schedule!$A$1:$N$2000, MATCH($C83, VAV_Schedule_5_21[[#All],[UNIT TAG]], FALSE), 7)="-", 0, INDEX(Schedule!$A$1:$N$2000, MATCH($C83, VAV_Schedule_5_21[[#All],[UNIT TAG]], FALSE), 7))</f>
        <v>6</v>
      </c>
      <c r="AE83" t="str">
        <f>"B_01'" &amp; "Flr_0" &amp; INDEX(Joined!$A$3:$M$2000, MATCH($A83, Joined!$I$3:$I$2000, FALSE), 8)</f>
        <v>B_01'Flr_03</v>
      </c>
      <c r="AF83" t="str">
        <f>"R_" &amp; INDEX(Joined!$A$3:$M$2000, MATCH($A83, Joined!$I$3:$I$2000, FALSE), 7)</f>
        <v>R_VAV-3E-22</v>
      </c>
      <c r="AG83" t="str">
        <f>"B_01'" &amp; "Flr_0" &amp; INDEX(Joined!$A$3:$M$2000, MATCH($A83, Joined!$I$3:$I$2000, FALSE), 8)</f>
        <v>B_01'Flr_03</v>
      </c>
      <c r="AH83" t="str">
        <f>INDEX(Joined!$A$3:$M$2000, MATCH($A83, Joined!$I$3:$I$2000, FALSE), 7)</f>
        <v>VAV-3E-22</v>
      </c>
      <c r="AI83" t="s">
        <v>897</v>
      </c>
    </row>
    <row r="84" spans="1:35" x14ac:dyDescent="0.2">
      <c r="A84" t="s">
        <v>473</v>
      </c>
      <c r="B84" t="str">
        <f>"B_01'" &amp; "Flr_0" &amp; INDEX(Joined!$A$3:$M$2000, MATCH($A84, Joined!$I$3:$I$2000, FALSE), 8)</f>
        <v>B_01'Flr_03</v>
      </c>
      <c r="C84" t="str">
        <f>INDEX(Joined!$A$3:$M$2000, MATCH($A84, Joined!$I$3:$I$2000, FALSE), 7)</f>
        <v>VAV-3E-23</v>
      </c>
      <c r="D84">
        <f>INDEX(Joined!$A$3:$M$2000, MATCH($A84, Joined!$I$3:$I$2000, FALSE), 5)</f>
        <v>150512</v>
      </c>
      <c r="E84" t="str">
        <f>INDEX(Joined!$A$3:$M$2000, MATCH($A84, Joined!$I$3:$I$2000, FALSE), 7)</f>
        <v>VAV-3E-23</v>
      </c>
      <c r="F84" t="s">
        <v>38</v>
      </c>
      <c r="G84" t="str">
        <f>INDEX(Schedule!$Q$2:$R$7, MATCH(ABT!$H84,Schedule!$Q$2:$Q$7, 0), 2)</f>
        <v>15006_ADXR_VAV_DXR2M10</v>
      </c>
      <c r="H84">
        <f>INDEX(Joined!$A$3:$M$2000, MATCH($A84, Joined!$I$3:$I$2000, FALSE), 6)</f>
        <v>15006</v>
      </c>
      <c r="I84" t="str">
        <f>INDEX(Joined!$A$3:$M$2000, MATCH($A84, Joined!$I$3:$I$2000, FALSE), 4)</f>
        <v>505</v>
      </c>
      <c r="J84" t="b">
        <v>0</v>
      </c>
      <c r="K84">
        <f>INDEX(Joined!$A$3:$M$2000, MATCH($A84, Joined!$I$3:$I$2000, FALSE), 3)</f>
        <v>12</v>
      </c>
      <c r="L84">
        <v>85</v>
      </c>
      <c r="M84">
        <v>38400</v>
      </c>
      <c r="N84" s="27">
        <f>PI()*(INDEX(Schedule!$A$1:$N$2000, MATCH($C84, VAV_Schedule_5_21[[#All],[UNIT TAG]], FALSE), 4)/2/12)^2</f>
        <v>0.78539816339744828</v>
      </c>
      <c r="O84" s="27">
        <f>INDEX(Schedule!$A$1:$N$2000, MATCH($C84, VAV_Schedule_5_21[[#All],[UNIT TAG]], FALSE), 4)</f>
        <v>12</v>
      </c>
      <c r="P84">
        <v>82.63</v>
      </c>
      <c r="Q84" s="27">
        <f>INDEX(Schedule!$A$1:$N$2000, MATCH($C84, VAV_Schedule_5_21[[#All],[UNIT TAG]], FALSE), 5)</f>
        <v>1280</v>
      </c>
      <c r="R84" s="27">
        <f>INDEX(Schedule!$A$1:$N$2000, MATCH($C84, VAV_Schedule_5_21[[#All],[UNIT TAG]], FALSE), 6)</f>
        <v>260</v>
      </c>
      <c r="S84" s="27">
        <f>INDEX(Schedule!$A$1:$N$2000, MATCH($C84, VAV_Schedule_5_21[[#All],[UNIT TAG]], FALSE), 5)</f>
        <v>1280</v>
      </c>
      <c r="T84" s="27">
        <f>INDEX(Schedule!$A$1:$N$2000, MATCH($C84, VAV_Schedule_5_21[[#All],[UNIT TAG]], FALSE), 6)</f>
        <v>260</v>
      </c>
      <c r="U84" s="27">
        <f>INDEX(Schedule!$A$1:$N$2000, MATCH($C84, VAV_Schedule_5_21[[#All],[UNIT TAG]], FALSE), 5)</f>
        <v>1280</v>
      </c>
      <c r="V84" s="27">
        <f>INDEX(Schedule!$A$1:$N$2000, MATCH($C84, VAV_Schedule_5_21[[#All],[UNIT TAG]], FALSE), 6)</f>
        <v>260</v>
      </c>
      <c r="W84" s="27">
        <f>INDEX(Schedule!$A$1:$N$2000, MATCH($C84, VAV_Schedule_5_21[[#All],[UNIT TAG]], FALSE), 6)</f>
        <v>260</v>
      </c>
      <c r="X84" s="27">
        <f>INDEX(Schedule!$A$1:$N$2000, MATCH($C84, VAV_Schedule_5_21[[#All],[UNIT TAG]], FALSE), 6)</f>
        <v>260</v>
      </c>
      <c r="Y84" s="27">
        <f>INDEX(Schedule!$A$1:$N$2000, MATCH($C84, VAV_Schedule_5_21[[#All],[UNIT TAG]], FALSE), 6)</f>
        <v>260</v>
      </c>
      <c r="Z84" s="27">
        <f>INDEX(Schedule!$A$1:$N$2000, MATCH($C84, VAV_Schedule_5_21[[#All],[UNIT TAG]], FALSE), 6)</f>
        <v>260</v>
      </c>
      <c r="AA84" s="27">
        <v>1000</v>
      </c>
      <c r="AB84" s="27">
        <v>1100</v>
      </c>
      <c r="AC84">
        <v>1400</v>
      </c>
      <c r="AD84" s="29">
        <f>IF(INDEX(Schedule!$A$1:$N$2000, MATCH($C84, VAV_Schedule_5_21[[#All],[UNIT TAG]], FALSE), 7)="-", 0, INDEX(Schedule!$A$1:$N$2000, MATCH($C84, VAV_Schedule_5_21[[#All],[UNIT TAG]], FALSE), 7))</f>
        <v>0</v>
      </c>
      <c r="AE84" t="str">
        <f>"B_01'" &amp; "Flr_0" &amp; INDEX(Joined!$A$3:$M$2000, MATCH($A84, Joined!$I$3:$I$2000, FALSE), 8)</f>
        <v>B_01'Flr_03</v>
      </c>
      <c r="AF84" t="str">
        <f>"R_" &amp; INDEX(Joined!$A$3:$M$2000, MATCH($A84, Joined!$I$3:$I$2000, FALSE), 7)</f>
        <v>R_VAV-3E-23</v>
      </c>
      <c r="AG84" t="str">
        <f>"B_01'" &amp; "Flr_0" &amp; INDEX(Joined!$A$3:$M$2000, MATCH($A84, Joined!$I$3:$I$2000, FALSE), 8)</f>
        <v>B_01'Flr_03</v>
      </c>
      <c r="AH84" t="str">
        <f>INDEX(Joined!$A$3:$M$2000, MATCH($A84, Joined!$I$3:$I$2000, FALSE), 7)</f>
        <v>VAV-3E-23</v>
      </c>
      <c r="AI84" t="s">
        <v>898</v>
      </c>
    </row>
    <row r="85" spans="1:35" x14ac:dyDescent="0.2">
      <c r="A85" t="s">
        <v>474</v>
      </c>
      <c r="B85" t="str">
        <f>"B_01'" &amp; "Flr_0" &amp; INDEX(Joined!$A$3:$M$2000, MATCH($A85, Joined!$I$3:$I$2000, FALSE), 8)</f>
        <v>B_01'Flr_03</v>
      </c>
      <c r="C85" t="str">
        <f>INDEX(Joined!$A$3:$M$2000, MATCH($A85, Joined!$I$3:$I$2000, FALSE), 7)</f>
        <v>VAV-3E-24</v>
      </c>
      <c r="D85">
        <f>INDEX(Joined!$A$3:$M$2000, MATCH($A85, Joined!$I$3:$I$2000, FALSE), 5)</f>
        <v>150513</v>
      </c>
      <c r="E85" t="str">
        <f>INDEX(Joined!$A$3:$M$2000, MATCH($A85, Joined!$I$3:$I$2000, FALSE), 7)</f>
        <v>VAV-3E-24</v>
      </c>
      <c r="F85" t="s">
        <v>38</v>
      </c>
      <c r="G85" t="str">
        <f>INDEX(Schedule!$Q$2:$R$7, MATCH(ABT!$H85,Schedule!$Q$2:$Q$7, 0), 2)</f>
        <v>15006_ADXR_VAV_DXR2M10</v>
      </c>
      <c r="H85">
        <f>INDEX(Joined!$A$3:$M$2000, MATCH($A85, Joined!$I$3:$I$2000, FALSE), 6)</f>
        <v>15006</v>
      </c>
      <c r="I85" t="str">
        <f>INDEX(Joined!$A$3:$M$2000, MATCH($A85, Joined!$I$3:$I$2000, FALSE), 4)</f>
        <v>505</v>
      </c>
      <c r="J85" t="b">
        <v>0</v>
      </c>
      <c r="K85">
        <f>INDEX(Joined!$A$3:$M$2000, MATCH($A85, Joined!$I$3:$I$2000, FALSE), 3)</f>
        <v>13</v>
      </c>
      <c r="L85">
        <v>85</v>
      </c>
      <c r="M85">
        <v>38400</v>
      </c>
      <c r="N85" s="27">
        <f>PI()*(INDEX(Schedule!$A$1:$N$2000, MATCH($C85, VAV_Schedule_5_21[[#All],[UNIT TAG]], FALSE), 4)/2/12)^2</f>
        <v>0.3490658503988659</v>
      </c>
      <c r="O85" s="27">
        <f>INDEX(Schedule!$A$1:$N$2000, MATCH($C85, VAV_Schedule_5_21[[#All],[UNIT TAG]], FALSE), 4)</f>
        <v>8</v>
      </c>
      <c r="P85">
        <v>83.63</v>
      </c>
      <c r="Q85" s="27">
        <f>INDEX(Schedule!$A$1:$N$2000, MATCH($C85, VAV_Schedule_5_21[[#All],[UNIT TAG]], FALSE), 5)</f>
        <v>600</v>
      </c>
      <c r="R85" s="27">
        <f>INDEX(Schedule!$A$1:$N$2000, MATCH($C85, VAV_Schedule_5_21[[#All],[UNIT TAG]], FALSE), 6)</f>
        <v>120</v>
      </c>
      <c r="S85" s="27">
        <f>INDEX(Schedule!$A$1:$N$2000, MATCH($C85, VAV_Schedule_5_21[[#All],[UNIT TAG]], FALSE), 5)</f>
        <v>600</v>
      </c>
      <c r="T85" s="27">
        <f>INDEX(Schedule!$A$1:$N$2000, MATCH($C85, VAV_Schedule_5_21[[#All],[UNIT TAG]], FALSE), 6)</f>
        <v>120</v>
      </c>
      <c r="U85" s="27">
        <f>INDEX(Schedule!$A$1:$N$2000, MATCH($C85, VAV_Schedule_5_21[[#All],[UNIT TAG]], FALSE), 5)</f>
        <v>600</v>
      </c>
      <c r="V85" s="27">
        <f>INDEX(Schedule!$A$1:$N$2000, MATCH($C85, VAV_Schedule_5_21[[#All],[UNIT TAG]], FALSE), 6)</f>
        <v>120</v>
      </c>
      <c r="W85" s="27">
        <f>INDEX(Schedule!$A$1:$N$2000, MATCH($C85, VAV_Schedule_5_21[[#All],[UNIT TAG]], FALSE), 6)</f>
        <v>120</v>
      </c>
      <c r="X85" s="27">
        <f>INDEX(Schedule!$A$1:$N$2000, MATCH($C85, VAV_Schedule_5_21[[#All],[UNIT TAG]], FALSE), 6)</f>
        <v>120</v>
      </c>
      <c r="Y85" s="27">
        <f>INDEX(Schedule!$A$1:$N$2000, MATCH($C85, VAV_Schedule_5_21[[#All],[UNIT TAG]], FALSE), 6)</f>
        <v>120</v>
      </c>
      <c r="Z85" s="27">
        <f>INDEX(Schedule!$A$1:$N$2000, MATCH($C85, VAV_Schedule_5_21[[#All],[UNIT TAG]], FALSE), 6)</f>
        <v>120</v>
      </c>
      <c r="AA85" s="27">
        <v>1000</v>
      </c>
      <c r="AB85" s="27">
        <v>1100</v>
      </c>
      <c r="AC85">
        <v>1400</v>
      </c>
      <c r="AD85" s="29">
        <f>IF(INDEX(Schedule!$A$1:$N$2000, MATCH($C85, VAV_Schedule_5_21[[#All],[UNIT TAG]], FALSE), 7)="-", 0, INDEX(Schedule!$A$1:$N$2000, MATCH($C85, VAV_Schedule_5_21[[#All],[UNIT TAG]], FALSE), 7))</f>
        <v>0</v>
      </c>
      <c r="AE85" t="str">
        <f>"B_01'" &amp; "Flr_0" &amp; INDEX(Joined!$A$3:$M$2000, MATCH($A85, Joined!$I$3:$I$2000, FALSE), 8)</f>
        <v>B_01'Flr_03</v>
      </c>
      <c r="AF85" t="str">
        <f>"R_" &amp; INDEX(Joined!$A$3:$M$2000, MATCH($A85, Joined!$I$3:$I$2000, FALSE), 7)</f>
        <v>R_VAV-3E-24</v>
      </c>
      <c r="AG85" t="str">
        <f>"B_01'" &amp; "Flr_0" &amp; INDEX(Joined!$A$3:$M$2000, MATCH($A85, Joined!$I$3:$I$2000, FALSE), 8)</f>
        <v>B_01'Flr_03</v>
      </c>
      <c r="AH85" t="str">
        <f>INDEX(Joined!$A$3:$M$2000, MATCH($A85, Joined!$I$3:$I$2000, FALSE), 7)</f>
        <v>VAV-3E-24</v>
      </c>
      <c r="AI85" t="s">
        <v>899</v>
      </c>
    </row>
    <row r="86" spans="1:35" x14ac:dyDescent="0.2">
      <c r="A86" t="s">
        <v>475</v>
      </c>
      <c r="B86" t="str">
        <f>"B_01'" &amp; "Flr_0" &amp; INDEX(Joined!$A$3:$M$2000, MATCH($A86, Joined!$I$3:$I$2000, FALSE), 8)</f>
        <v>B_01'Flr_03</v>
      </c>
      <c r="C86" t="str">
        <f>INDEX(Joined!$A$3:$M$2000, MATCH($A86, Joined!$I$3:$I$2000, FALSE), 7)</f>
        <v>VAV-3E-25</v>
      </c>
      <c r="D86">
        <f>INDEX(Joined!$A$3:$M$2000, MATCH($A86, Joined!$I$3:$I$2000, FALSE), 5)</f>
        <v>150514</v>
      </c>
      <c r="E86" t="str">
        <f>INDEX(Joined!$A$3:$M$2000, MATCH($A86, Joined!$I$3:$I$2000, FALSE), 7)</f>
        <v>VAV-3E-25</v>
      </c>
      <c r="F86" t="s">
        <v>38</v>
      </c>
      <c r="G86" t="str">
        <f>INDEX(Schedule!$Q$2:$R$7, MATCH(ABT!$H86,Schedule!$Q$2:$Q$7, 0), 2)</f>
        <v>15006_ADXR_VAV_DXR2M10</v>
      </c>
      <c r="H86">
        <f>INDEX(Joined!$A$3:$M$2000, MATCH($A86, Joined!$I$3:$I$2000, FALSE), 6)</f>
        <v>15006</v>
      </c>
      <c r="I86" t="str">
        <f>INDEX(Joined!$A$3:$M$2000, MATCH($A86, Joined!$I$3:$I$2000, FALSE), 4)</f>
        <v>505</v>
      </c>
      <c r="J86" t="b">
        <v>0</v>
      </c>
      <c r="K86">
        <f>INDEX(Joined!$A$3:$M$2000, MATCH($A86, Joined!$I$3:$I$2000, FALSE), 3)</f>
        <v>14</v>
      </c>
      <c r="L86">
        <v>85</v>
      </c>
      <c r="M86">
        <v>38400</v>
      </c>
      <c r="N86" s="27">
        <f>PI()*(INDEX(Schedule!$A$1:$N$2000, MATCH($C86, VAV_Schedule_5_21[[#All],[UNIT TAG]], FALSE), 4)/2/12)^2</f>
        <v>0.78539816339744828</v>
      </c>
      <c r="O86" s="27">
        <f>INDEX(Schedule!$A$1:$N$2000, MATCH($C86, VAV_Schedule_5_21[[#All],[UNIT TAG]], FALSE), 4)</f>
        <v>12</v>
      </c>
      <c r="P86">
        <v>84.63</v>
      </c>
      <c r="Q86" s="27">
        <f>INDEX(Schedule!$A$1:$N$2000, MATCH($C86, VAV_Schedule_5_21[[#All],[UNIT TAG]], FALSE), 5)</f>
        <v>1300</v>
      </c>
      <c r="R86" s="27">
        <f>INDEX(Schedule!$A$1:$N$2000, MATCH($C86, VAV_Schedule_5_21[[#All],[UNIT TAG]], FALSE), 6)</f>
        <v>260</v>
      </c>
      <c r="S86" s="27">
        <f>INDEX(Schedule!$A$1:$N$2000, MATCH($C86, VAV_Schedule_5_21[[#All],[UNIT TAG]], FALSE), 5)</f>
        <v>1300</v>
      </c>
      <c r="T86" s="27">
        <f>INDEX(Schedule!$A$1:$N$2000, MATCH($C86, VAV_Schedule_5_21[[#All],[UNIT TAG]], FALSE), 6)</f>
        <v>260</v>
      </c>
      <c r="U86" s="27">
        <f>INDEX(Schedule!$A$1:$N$2000, MATCH($C86, VAV_Schedule_5_21[[#All],[UNIT TAG]], FALSE), 5)</f>
        <v>1300</v>
      </c>
      <c r="V86" s="27">
        <f>INDEX(Schedule!$A$1:$N$2000, MATCH($C86, VAV_Schedule_5_21[[#All],[UNIT TAG]], FALSE), 6)</f>
        <v>260</v>
      </c>
      <c r="W86" s="27">
        <f>INDEX(Schedule!$A$1:$N$2000, MATCH($C86, VAV_Schedule_5_21[[#All],[UNIT TAG]], FALSE), 6)</f>
        <v>260</v>
      </c>
      <c r="X86" s="27">
        <f>INDEX(Schedule!$A$1:$N$2000, MATCH($C86, VAV_Schedule_5_21[[#All],[UNIT TAG]], FALSE), 6)</f>
        <v>260</v>
      </c>
      <c r="Y86" s="27">
        <f>INDEX(Schedule!$A$1:$N$2000, MATCH($C86, VAV_Schedule_5_21[[#All],[UNIT TAG]], FALSE), 6)</f>
        <v>260</v>
      </c>
      <c r="Z86" s="27">
        <f>INDEX(Schedule!$A$1:$N$2000, MATCH($C86, VAV_Schedule_5_21[[#All],[UNIT TAG]], FALSE), 6)</f>
        <v>260</v>
      </c>
      <c r="AA86" s="27">
        <v>1000</v>
      </c>
      <c r="AB86" s="27">
        <v>1100</v>
      </c>
      <c r="AC86">
        <v>1400</v>
      </c>
      <c r="AD86" s="29">
        <f>IF(INDEX(Schedule!$A$1:$N$2000, MATCH($C86, VAV_Schedule_5_21[[#All],[UNIT TAG]], FALSE), 7)="-", 0, INDEX(Schedule!$A$1:$N$2000, MATCH($C86, VAV_Schedule_5_21[[#All],[UNIT TAG]], FALSE), 7))</f>
        <v>0</v>
      </c>
      <c r="AE86" t="str">
        <f>"B_01'" &amp; "Flr_0" &amp; INDEX(Joined!$A$3:$M$2000, MATCH($A86, Joined!$I$3:$I$2000, FALSE), 8)</f>
        <v>B_01'Flr_03</v>
      </c>
      <c r="AF86" t="str">
        <f>"R_" &amp; INDEX(Joined!$A$3:$M$2000, MATCH($A86, Joined!$I$3:$I$2000, FALSE), 7)</f>
        <v>R_VAV-3E-25</v>
      </c>
      <c r="AG86" t="str">
        <f>"B_01'" &amp; "Flr_0" &amp; INDEX(Joined!$A$3:$M$2000, MATCH($A86, Joined!$I$3:$I$2000, FALSE), 8)</f>
        <v>B_01'Flr_03</v>
      </c>
      <c r="AH86" t="str">
        <f>INDEX(Joined!$A$3:$M$2000, MATCH($A86, Joined!$I$3:$I$2000, FALSE), 7)</f>
        <v>VAV-3E-25</v>
      </c>
      <c r="AI86" t="s">
        <v>900</v>
      </c>
    </row>
    <row r="87" spans="1:35" x14ac:dyDescent="0.2">
      <c r="A87" t="s">
        <v>476</v>
      </c>
      <c r="B87" t="str">
        <f>"B_01'" &amp; "Flr_0" &amp; INDEX(Joined!$A$3:$M$2000, MATCH($A87, Joined!$I$3:$I$2000, FALSE), 8)</f>
        <v>B_01'Flr_03</v>
      </c>
      <c r="C87" t="str">
        <f>INDEX(Joined!$A$3:$M$2000, MATCH($A87, Joined!$I$3:$I$2000, FALSE), 7)</f>
        <v>VAV-3E-26</v>
      </c>
      <c r="D87">
        <f>INDEX(Joined!$A$3:$M$2000, MATCH($A87, Joined!$I$3:$I$2000, FALSE), 5)</f>
        <v>150515</v>
      </c>
      <c r="E87" t="str">
        <f>INDEX(Joined!$A$3:$M$2000, MATCH($A87, Joined!$I$3:$I$2000, FALSE), 7)</f>
        <v>VAV-3E-26</v>
      </c>
      <c r="F87" t="s">
        <v>38</v>
      </c>
      <c r="G87" t="str">
        <f>INDEX(Schedule!$Q$2:$R$7, MATCH(ABT!$H87,Schedule!$Q$2:$Q$7, 0), 2)</f>
        <v>15006_ADXR_VAV_DXR2M10</v>
      </c>
      <c r="H87">
        <f>INDEX(Joined!$A$3:$M$2000, MATCH($A87, Joined!$I$3:$I$2000, FALSE), 6)</f>
        <v>15006</v>
      </c>
      <c r="I87" t="str">
        <f>INDEX(Joined!$A$3:$M$2000, MATCH($A87, Joined!$I$3:$I$2000, FALSE), 4)</f>
        <v>505</v>
      </c>
      <c r="J87" t="b">
        <v>0</v>
      </c>
      <c r="K87">
        <f>INDEX(Joined!$A$3:$M$2000, MATCH($A87, Joined!$I$3:$I$2000, FALSE), 3)</f>
        <v>15</v>
      </c>
      <c r="L87">
        <v>85</v>
      </c>
      <c r="M87">
        <v>38400</v>
      </c>
      <c r="N87" s="27">
        <f>PI()*(INDEX(Schedule!$A$1:$N$2000, MATCH($C87, VAV_Schedule_5_21[[#All],[UNIT TAG]], FALSE), 4)/2/12)^2</f>
        <v>0.3490658503988659</v>
      </c>
      <c r="O87" s="27">
        <f>INDEX(Schedule!$A$1:$N$2000, MATCH($C87, VAV_Schedule_5_21[[#All],[UNIT TAG]], FALSE), 4)</f>
        <v>8</v>
      </c>
      <c r="P87">
        <v>85.63</v>
      </c>
      <c r="Q87" s="27">
        <f>INDEX(Schedule!$A$1:$N$2000, MATCH($C87, VAV_Schedule_5_21[[#All],[UNIT TAG]], FALSE), 5)</f>
        <v>450</v>
      </c>
      <c r="R87" s="27">
        <f>INDEX(Schedule!$A$1:$N$2000, MATCH($C87, VAV_Schedule_5_21[[#All],[UNIT TAG]], FALSE), 6)</f>
        <v>90</v>
      </c>
      <c r="S87" s="27">
        <f>INDEX(Schedule!$A$1:$N$2000, MATCH($C87, VAV_Schedule_5_21[[#All],[UNIT TAG]], FALSE), 5)</f>
        <v>450</v>
      </c>
      <c r="T87" s="27">
        <f>INDEX(Schedule!$A$1:$N$2000, MATCH($C87, VAV_Schedule_5_21[[#All],[UNIT TAG]], FALSE), 6)</f>
        <v>90</v>
      </c>
      <c r="U87" s="27">
        <f>INDEX(Schedule!$A$1:$N$2000, MATCH($C87, VAV_Schedule_5_21[[#All],[UNIT TAG]], FALSE), 5)</f>
        <v>450</v>
      </c>
      <c r="V87" s="27">
        <f>INDEX(Schedule!$A$1:$N$2000, MATCH($C87, VAV_Schedule_5_21[[#All],[UNIT TAG]], FALSE), 6)</f>
        <v>90</v>
      </c>
      <c r="W87" s="27">
        <f>INDEX(Schedule!$A$1:$N$2000, MATCH($C87, VAV_Schedule_5_21[[#All],[UNIT TAG]], FALSE), 6)</f>
        <v>90</v>
      </c>
      <c r="X87" s="27">
        <f>INDEX(Schedule!$A$1:$N$2000, MATCH($C87, VAV_Schedule_5_21[[#All],[UNIT TAG]], FALSE), 6)</f>
        <v>90</v>
      </c>
      <c r="Y87" s="27">
        <f>INDEX(Schedule!$A$1:$N$2000, MATCH($C87, VAV_Schedule_5_21[[#All],[UNIT TAG]], FALSE), 6)</f>
        <v>90</v>
      </c>
      <c r="Z87" s="27">
        <f>INDEX(Schedule!$A$1:$N$2000, MATCH($C87, VAV_Schedule_5_21[[#All],[UNIT TAG]], FALSE), 6)</f>
        <v>90</v>
      </c>
      <c r="AA87" s="27">
        <v>1000</v>
      </c>
      <c r="AB87" s="27">
        <v>1100</v>
      </c>
      <c r="AC87">
        <v>1400</v>
      </c>
      <c r="AD87" s="29">
        <f>IF(INDEX(Schedule!$A$1:$N$2000, MATCH($C87, VAV_Schedule_5_21[[#All],[UNIT TAG]], FALSE), 7)="-", 0, INDEX(Schedule!$A$1:$N$2000, MATCH($C87, VAV_Schedule_5_21[[#All],[UNIT TAG]], FALSE), 7))</f>
        <v>0</v>
      </c>
      <c r="AE87" t="str">
        <f>"B_01'" &amp; "Flr_0" &amp; INDEX(Joined!$A$3:$M$2000, MATCH($A87, Joined!$I$3:$I$2000, FALSE), 8)</f>
        <v>B_01'Flr_03</v>
      </c>
      <c r="AF87" t="str">
        <f>"R_" &amp; INDEX(Joined!$A$3:$M$2000, MATCH($A87, Joined!$I$3:$I$2000, FALSE), 7)</f>
        <v>R_VAV-3E-26</v>
      </c>
      <c r="AG87" t="str">
        <f>"B_01'" &amp; "Flr_0" &amp; INDEX(Joined!$A$3:$M$2000, MATCH($A87, Joined!$I$3:$I$2000, FALSE), 8)</f>
        <v>B_01'Flr_03</v>
      </c>
      <c r="AH87" t="str">
        <f>INDEX(Joined!$A$3:$M$2000, MATCH($A87, Joined!$I$3:$I$2000, FALSE), 7)</f>
        <v>VAV-3E-26</v>
      </c>
      <c r="AI87" t="s">
        <v>901</v>
      </c>
    </row>
    <row r="88" spans="1:35" x14ac:dyDescent="0.2">
      <c r="A88" t="s">
        <v>477</v>
      </c>
      <c r="B88" t="str">
        <f>"B_01'" &amp; "Flr_0" &amp; INDEX(Joined!$A$3:$M$2000, MATCH($A88, Joined!$I$3:$I$2000, FALSE), 8)</f>
        <v>B_01'Flr_03</v>
      </c>
      <c r="C88" t="str">
        <f>INDEX(Joined!$A$3:$M$2000, MATCH($A88, Joined!$I$3:$I$2000, FALSE), 7)</f>
        <v>VAV-3E-27</v>
      </c>
      <c r="D88">
        <f>INDEX(Joined!$A$3:$M$2000, MATCH($A88, Joined!$I$3:$I$2000, FALSE), 5)</f>
        <v>150516</v>
      </c>
      <c r="E88" t="str">
        <f>INDEX(Joined!$A$3:$M$2000, MATCH($A88, Joined!$I$3:$I$2000, FALSE), 7)</f>
        <v>VAV-3E-27</v>
      </c>
      <c r="F88" t="s">
        <v>38</v>
      </c>
      <c r="G88" t="str">
        <f>INDEX(Schedule!$Q$2:$R$7, MATCH(ABT!$H88,Schedule!$Q$2:$Q$7, 0), 2)</f>
        <v>15006_ADXR_VAV_DXR2M10</v>
      </c>
      <c r="H88">
        <f>INDEX(Joined!$A$3:$M$2000, MATCH($A88, Joined!$I$3:$I$2000, FALSE), 6)</f>
        <v>15006</v>
      </c>
      <c r="I88" t="str">
        <f>INDEX(Joined!$A$3:$M$2000, MATCH($A88, Joined!$I$3:$I$2000, FALSE), 4)</f>
        <v>505</v>
      </c>
      <c r="J88" t="b">
        <v>0</v>
      </c>
      <c r="K88">
        <f>INDEX(Joined!$A$3:$M$2000, MATCH($A88, Joined!$I$3:$I$2000, FALSE), 3)</f>
        <v>16</v>
      </c>
      <c r="L88">
        <v>85</v>
      </c>
      <c r="M88">
        <v>38400</v>
      </c>
      <c r="N88" s="27">
        <f>PI()*(INDEX(Schedule!$A$1:$N$2000, MATCH($C88, VAV_Schedule_5_21[[#All],[UNIT TAG]], FALSE), 4)/2/12)^2</f>
        <v>0.54541539124822802</v>
      </c>
      <c r="O88" s="27">
        <f>INDEX(Schedule!$A$1:$N$2000, MATCH($C88, VAV_Schedule_5_21[[#All],[UNIT TAG]], FALSE), 4)</f>
        <v>10</v>
      </c>
      <c r="P88">
        <v>86.63</v>
      </c>
      <c r="Q88" s="27">
        <f>INDEX(Schedule!$A$1:$N$2000, MATCH($C88, VAV_Schedule_5_21[[#All],[UNIT TAG]], FALSE), 5)</f>
        <v>925</v>
      </c>
      <c r="R88" s="27">
        <f>INDEX(Schedule!$A$1:$N$2000, MATCH($C88, VAV_Schedule_5_21[[#All],[UNIT TAG]], FALSE), 6)</f>
        <v>0</v>
      </c>
      <c r="S88" s="27">
        <f>INDEX(Schedule!$A$1:$N$2000, MATCH($C88, VAV_Schedule_5_21[[#All],[UNIT TAG]], FALSE), 5)</f>
        <v>925</v>
      </c>
      <c r="T88" s="27">
        <f>INDEX(Schedule!$A$1:$N$2000, MATCH($C88, VAV_Schedule_5_21[[#All],[UNIT TAG]], FALSE), 6)</f>
        <v>0</v>
      </c>
      <c r="U88" s="27">
        <f>INDEX(Schedule!$A$1:$N$2000, MATCH($C88, VAV_Schedule_5_21[[#All],[UNIT TAG]], FALSE), 5)</f>
        <v>925</v>
      </c>
      <c r="V88" s="27">
        <f>INDEX(Schedule!$A$1:$N$2000, MATCH($C88, VAV_Schedule_5_21[[#All],[UNIT TAG]], FALSE), 6)</f>
        <v>0</v>
      </c>
      <c r="W88" s="27">
        <f>INDEX(Schedule!$A$1:$N$2000, MATCH($C88, VAV_Schedule_5_21[[#All],[UNIT TAG]], FALSE), 6)</f>
        <v>0</v>
      </c>
      <c r="X88" s="27">
        <f>INDEX(Schedule!$A$1:$N$2000, MATCH($C88, VAV_Schedule_5_21[[#All],[UNIT TAG]], FALSE), 6)</f>
        <v>0</v>
      </c>
      <c r="Y88" s="27">
        <f>INDEX(Schedule!$A$1:$N$2000, MATCH($C88, VAV_Schedule_5_21[[#All],[UNIT TAG]], FALSE), 6)</f>
        <v>0</v>
      </c>
      <c r="Z88" s="27">
        <f>INDEX(Schedule!$A$1:$N$2000, MATCH($C88, VAV_Schedule_5_21[[#All],[UNIT TAG]], FALSE), 6)</f>
        <v>0</v>
      </c>
      <c r="AA88" s="27">
        <v>1000</v>
      </c>
      <c r="AB88" s="27">
        <v>1100</v>
      </c>
      <c r="AC88">
        <v>1400</v>
      </c>
      <c r="AD88" s="29">
        <f>IF(INDEX(Schedule!$A$1:$N$2000, MATCH($C88, VAV_Schedule_5_21[[#All],[UNIT TAG]], FALSE), 7)="-", 0, INDEX(Schedule!$A$1:$N$2000, MATCH($C88, VAV_Schedule_5_21[[#All],[UNIT TAG]], FALSE), 7))</f>
        <v>0</v>
      </c>
      <c r="AE88" t="str">
        <f>"B_01'" &amp; "Flr_0" &amp; INDEX(Joined!$A$3:$M$2000, MATCH($A88, Joined!$I$3:$I$2000, FALSE), 8)</f>
        <v>B_01'Flr_03</v>
      </c>
      <c r="AF88" t="str">
        <f>"R_" &amp; INDEX(Joined!$A$3:$M$2000, MATCH($A88, Joined!$I$3:$I$2000, FALSE), 7)</f>
        <v>R_VAV-3E-27</v>
      </c>
      <c r="AG88" t="str">
        <f>"B_01'" &amp; "Flr_0" &amp; INDEX(Joined!$A$3:$M$2000, MATCH($A88, Joined!$I$3:$I$2000, FALSE), 8)</f>
        <v>B_01'Flr_03</v>
      </c>
      <c r="AH88" t="str">
        <f>INDEX(Joined!$A$3:$M$2000, MATCH($A88, Joined!$I$3:$I$2000, FALSE), 7)</f>
        <v>VAV-3E-27</v>
      </c>
      <c r="AI88" t="s">
        <v>902</v>
      </c>
    </row>
    <row r="89" spans="1:35" x14ac:dyDescent="0.2">
      <c r="A89" t="s">
        <v>483</v>
      </c>
      <c r="B89" t="str">
        <f>"B_01'" &amp; "Flr_0" &amp; INDEX(Joined!$A$3:$M$2000, MATCH($A89, Joined!$I$3:$I$2000, FALSE), 8)</f>
        <v>B_01'Flr_03</v>
      </c>
      <c r="C89" t="str">
        <f>INDEX(Joined!$A$3:$M$2000, MATCH($A89, Joined!$I$3:$I$2000, FALSE), 7)</f>
        <v>VAV-3N-10</v>
      </c>
      <c r="D89">
        <f>INDEX(Joined!$A$3:$M$2000, MATCH($A89, Joined!$I$3:$I$2000, FALSE), 5)</f>
        <v>150407</v>
      </c>
      <c r="E89" t="str">
        <f>INDEX(Joined!$A$3:$M$2000, MATCH($A89, Joined!$I$3:$I$2000, FALSE), 7)</f>
        <v>VAV-3N-10</v>
      </c>
      <c r="F89" t="s">
        <v>38</v>
      </c>
      <c r="G89" t="str">
        <f>INDEX(Schedule!$Q$2:$R$7, MATCH(ABT!$H89,Schedule!$Q$2:$Q$7, 0), 2)</f>
        <v>15006_ADXR_VAV_DXR2M10</v>
      </c>
      <c r="H89">
        <f>INDEX(Joined!$A$3:$M$2000, MATCH($A89, Joined!$I$3:$I$2000, FALSE), 6)</f>
        <v>15006</v>
      </c>
      <c r="I89" t="str">
        <f>INDEX(Joined!$A$3:$M$2000, MATCH($A89, Joined!$I$3:$I$2000, FALSE), 4)</f>
        <v>504</v>
      </c>
      <c r="J89" t="b">
        <v>0</v>
      </c>
      <c r="K89">
        <f>INDEX(Joined!$A$3:$M$2000, MATCH($A89, Joined!$I$3:$I$2000, FALSE), 3)</f>
        <v>7</v>
      </c>
      <c r="L89">
        <v>85</v>
      </c>
      <c r="M89">
        <v>38400</v>
      </c>
      <c r="N89" s="27">
        <f>PI()*(INDEX(Schedule!$A$1:$N$2000, MATCH($C89, VAV_Schedule_5_21[[#All],[UNIT TAG]], FALSE), 4)/2/12)^2</f>
        <v>0.54541539124822802</v>
      </c>
      <c r="O89" s="27">
        <f>INDEX(Schedule!$A$1:$N$2000, MATCH($C89, VAV_Schedule_5_21[[#All],[UNIT TAG]], FALSE), 4)</f>
        <v>10</v>
      </c>
      <c r="P89">
        <v>87.63</v>
      </c>
      <c r="Q89" s="27">
        <f>INDEX(Schedule!$A$1:$N$2000, MATCH($C89, VAV_Schedule_5_21[[#All],[UNIT TAG]], FALSE), 5)</f>
        <v>1100</v>
      </c>
      <c r="R89" s="27">
        <f>INDEX(Schedule!$A$1:$N$2000, MATCH($C89, VAV_Schedule_5_21[[#All],[UNIT TAG]], FALSE), 6)</f>
        <v>220</v>
      </c>
      <c r="S89" s="27">
        <f>INDEX(Schedule!$A$1:$N$2000, MATCH($C89, VAV_Schedule_5_21[[#All],[UNIT TAG]], FALSE), 5)</f>
        <v>1100</v>
      </c>
      <c r="T89" s="27">
        <f>INDEX(Schedule!$A$1:$N$2000, MATCH($C89, VAV_Schedule_5_21[[#All],[UNIT TAG]], FALSE), 6)</f>
        <v>220</v>
      </c>
      <c r="U89" s="27">
        <f>INDEX(Schedule!$A$1:$N$2000, MATCH($C89, VAV_Schedule_5_21[[#All],[UNIT TAG]], FALSE), 5)</f>
        <v>1100</v>
      </c>
      <c r="V89" s="27">
        <f>INDEX(Schedule!$A$1:$N$2000, MATCH($C89, VAV_Schedule_5_21[[#All],[UNIT TAG]], FALSE), 6)</f>
        <v>220</v>
      </c>
      <c r="W89" s="27">
        <f>INDEX(Schedule!$A$1:$N$2000, MATCH($C89, VAV_Schedule_5_21[[#All],[UNIT TAG]], FALSE), 6)</f>
        <v>220</v>
      </c>
      <c r="X89" s="27">
        <f>INDEX(Schedule!$A$1:$N$2000, MATCH($C89, VAV_Schedule_5_21[[#All],[UNIT TAG]], FALSE), 6)</f>
        <v>220</v>
      </c>
      <c r="Y89" s="27">
        <f>INDEX(Schedule!$A$1:$N$2000, MATCH($C89, VAV_Schedule_5_21[[#All],[UNIT TAG]], FALSE), 6)</f>
        <v>220</v>
      </c>
      <c r="Z89" s="27">
        <f>INDEX(Schedule!$A$1:$N$2000, MATCH($C89, VAV_Schedule_5_21[[#All],[UNIT TAG]], FALSE), 6)</f>
        <v>220</v>
      </c>
      <c r="AA89" s="27">
        <v>1000</v>
      </c>
      <c r="AB89" s="27">
        <v>1100</v>
      </c>
      <c r="AC89">
        <v>1400</v>
      </c>
      <c r="AD89" s="29">
        <f>IF(INDEX(Schedule!$A$1:$N$2000, MATCH($C89, VAV_Schedule_5_21[[#All],[UNIT TAG]], FALSE), 7)="-", 0, INDEX(Schedule!$A$1:$N$2000, MATCH($C89, VAV_Schedule_5_21[[#All],[UNIT TAG]], FALSE), 7))</f>
        <v>0</v>
      </c>
      <c r="AE89" t="str">
        <f>"B_01'" &amp; "Flr_0" &amp; INDEX(Joined!$A$3:$M$2000, MATCH($A89, Joined!$I$3:$I$2000, FALSE), 8)</f>
        <v>B_01'Flr_03</v>
      </c>
      <c r="AF89" t="str">
        <f>"R_" &amp; INDEX(Joined!$A$3:$M$2000, MATCH($A89, Joined!$I$3:$I$2000, FALSE), 7)</f>
        <v>R_VAV-3N-10</v>
      </c>
      <c r="AG89" t="str">
        <f>"B_01'" &amp; "Flr_0" &amp; INDEX(Joined!$A$3:$M$2000, MATCH($A89, Joined!$I$3:$I$2000, FALSE), 8)</f>
        <v>B_01'Flr_03</v>
      </c>
      <c r="AH89" t="str">
        <f>INDEX(Joined!$A$3:$M$2000, MATCH($A89, Joined!$I$3:$I$2000, FALSE), 7)</f>
        <v>VAV-3N-10</v>
      </c>
      <c r="AI89" t="s">
        <v>903</v>
      </c>
    </row>
    <row r="90" spans="1:35" x14ac:dyDescent="0.2">
      <c r="A90" t="s">
        <v>484</v>
      </c>
      <c r="B90" t="str">
        <f>"B_01'" &amp; "Flr_0" &amp; INDEX(Joined!$A$3:$M$2000, MATCH($A90, Joined!$I$3:$I$2000, FALSE), 8)</f>
        <v>B_01'Flr_03</v>
      </c>
      <c r="C90" t="str">
        <f>INDEX(Joined!$A$3:$M$2000, MATCH($A90, Joined!$I$3:$I$2000, FALSE), 7)</f>
        <v>VAV-3N-11</v>
      </c>
      <c r="D90">
        <f>INDEX(Joined!$A$3:$M$2000, MATCH($A90, Joined!$I$3:$I$2000, FALSE), 5)</f>
        <v>150408</v>
      </c>
      <c r="E90" t="str">
        <f>INDEX(Joined!$A$3:$M$2000, MATCH($A90, Joined!$I$3:$I$2000, FALSE), 7)</f>
        <v>VAV-3N-11</v>
      </c>
      <c r="F90" t="s">
        <v>38</v>
      </c>
      <c r="G90" t="str">
        <f>INDEX(Schedule!$Q$2:$R$7, MATCH(ABT!$H90,Schedule!$Q$2:$Q$7, 0), 2)</f>
        <v>15006_ADXR_VAV_DXR2M10</v>
      </c>
      <c r="H90">
        <f>INDEX(Joined!$A$3:$M$2000, MATCH($A90, Joined!$I$3:$I$2000, FALSE), 6)</f>
        <v>15006</v>
      </c>
      <c r="I90" t="str">
        <f>INDEX(Joined!$A$3:$M$2000, MATCH($A90, Joined!$I$3:$I$2000, FALSE), 4)</f>
        <v>504</v>
      </c>
      <c r="J90" t="b">
        <v>0</v>
      </c>
      <c r="K90">
        <f>INDEX(Joined!$A$3:$M$2000, MATCH($A90, Joined!$I$3:$I$2000, FALSE), 3)</f>
        <v>8</v>
      </c>
      <c r="L90">
        <v>85</v>
      </c>
      <c r="M90">
        <v>38400</v>
      </c>
      <c r="N90" s="27">
        <f>PI()*(INDEX(Schedule!$A$1:$N$2000, MATCH($C90, VAV_Schedule_5_21[[#All],[UNIT TAG]], FALSE), 4)/2/12)^2</f>
        <v>0.54541539124822802</v>
      </c>
      <c r="O90" s="27">
        <f>INDEX(Schedule!$A$1:$N$2000, MATCH($C90, VAV_Schedule_5_21[[#All],[UNIT TAG]], FALSE), 4)</f>
        <v>10</v>
      </c>
      <c r="P90">
        <v>88.63</v>
      </c>
      <c r="Q90" s="27">
        <f>INDEX(Schedule!$A$1:$N$2000, MATCH($C90, VAV_Schedule_5_21[[#All],[UNIT TAG]], FALSE), 5)</f>
        <v>970</v>
      </c>
      <c r="R90" s="27">
        <f>INDEX(Schedule!$A$1:$N$2000, MATCH($C90, VAV_Schedule_5_21[[#All],[UNIT TAG]], FALSE), 6)</f>
        <v>195</v>
      </c>
      <c r="S90" s="27">
        <f>INDEX(Schedule!$A$1:$N$2000, MATCH($C90, VAV_Schedule_5_21[[#All],[UNIT TAG]], FALSE), 5)</f>
        <v>970</v>
      </c>
      <c r="T90" s="27">
        <f>INDEX(Schedule!$A$1:$N$2000, MATCH($C90, VAV_Schedule_5_21[[#All],[UNIT TAG]], FALSE), 6)</f>
        <v>195</v>
      </c>
      <c r="U90" s="27">
        <f>INDEX(Schedule!$A$1:$N$2000, MATCH($C90, VAV_Schedule_5_21[[#All],[UNIT TAG]], FALSE), 5)</f>
        <v>970</v>
      </c>
      <c r="V90" s="27">
        <f>INDEX(Schedule!$A$1:$N$2000, MATCH($C90, VAV_Schedule_5_21[[#All],[UNIT TAG]], FALSE), 6)</f>
        <v>195</v>
      </c>
      <c r="W90" s="27">
        <f>INDEX(Schedule!$A$1:$N$2000, MATCH($C90, VAV_Schedule_5_21[[#All],[UNIT TAG]], FALSE), 6)</f>
        <v>195</v>
      </c>
      <c r="X90" s="27">
        <f>INDEX(Schedule!$A$1:$N$2000, MATCH($C90, VAV_Schedule_5_21[[#All],[UNIT TAG]], FALSE), 6)</f>
        <v>195</v>
      </c>
      <c r="Y90" s="27">
        <f>INDEX(Schedule!$A$1:$N$2000, MATCH($C90, VAV_Schedule_5_21[[#All],[UNIT TAG]], FALSE), 6)</f>
        <v>195</v>
      </c>
      <c r="Z90" s="27">
        <f>INDEX(Schedule!$A$1:$N$2000, MATCH($C90, VAV_Schedule_5_21[[#All],[UNIT TAG]], FALSE), 6)</f>
        <v>195</v>
      </c>
      <c r="AA90" s="27">
        <v>1000</v>
      </c>
      <c r="AB90" s="27">
        <v>1100</v>
      </c>
      <c r="AC90">
        <v>1400</v>
      </c>
      <c r="AD90" s="29">
        <f>IF(INDEX(Schedule!$A$1:$N$2000, MATCH($C90, VAV_Schedule_5_21[[#All],[UNIT TAG]], FALSE), 7)="-", 0, INDEX(Schedule!$A$1:$N$2000, MATCH($C90, VAV_Schedule_5_21[[#All],[UNIT TAG]], FALSE), 7))</f>
        <v>0</v>
      </c>
      <c r="AE90" t="str">
        <f>"B_01'" &amp; "Flr_0" &amp; INDEX(Joined!$A$3:$M$2000, MATCH($A90, Joined!$I$3:$I$2000, FALSE), 8)</f>
        <v>B_01'Flr_03</v>
      </c>
      <c r="AF90" t="str">
        <f>"R_" &amp; INDEX(Joined!$A$3:$M$2000, MATCH($A90, Joined!$I$3:$I$2000, FALSE), 7)</f>
        <v>R_VAV-3N-11</v>
      </c>
      <c r="AG90" t="str">
        <f>"B_01'" &amp; "Flr_0" &amp; INDEX(Joined!$A$3:$M$2000, MATCH($A90, Joined!$I$3:$I$2000, FALSE), 8)</f>
        <v>B_01'Flr_03</v>
      </c>
      <c r="AH90" t="str">
        <f>INDEX(Joined!$A$3:$M$2000, MATCH($A90, Joined!$I$3:$I$2000, FALSE), 7)</f>
        <v>VAV-3N-11</v>
      </c>
      <c r="AI90" t="s">
        <v>904</v>
      </c>
    </row>
    <row r="91" spans="1:35" x14ac:dyDescent="0.2">
      <c r="A91" t="s">
        <v>478</v>
      </c>
      <c r="B91" t="str">
        <f>"B_01'" &amp; "Flr_0" &amp; INDEX(Joined!$A$3:$M$2000, MATCH($A91, Joined!$I$3:$I$2000, FALSE), 8)</f>
        <v>B_01'Flr_03</v>
      </c>
      <c r="C91" t="str">
        <f>INDEX(Joined!$A$3:$M$2000, MATCH($A91, Joined!$I$3:$I$2000, FALSE), 7)</f>
        <v>VAV-3N-5</v>
      </c>
      <c r="D91">
        <f>INDEX(Joined!$A$3:$M$2000, MATCH($A91, Joined!$I$3:$I$2000, FALSE), 5)</f>
        <v>150401</v>
      </c>
      <c r="E91" t="str">
        <f>INDEX(Joined!$A$3:$M$2000, MATCH($A91, Joined!$I$3:$I$2000, FALSE), 7)</f>
        <v>VAV-3N-5</v>
      </c>
      <c r="F91" t="s">
        <v>38</v>
      </c>
      <c r="G91" t="str">
        <f>INDEX(Schedule!$Q$2:$R$7, MATCH(ABT!$H91,Schedule!$Q$2:$Q$7, 0), 2)</f>
        <v>15006_ADXR_VAV_DXR2M10</v>
      </c>
      <c r="H91">
        <f>INDEX(Joined!$A$3:$M$2000, MATCH($A91, Joined!$I$3:$I$2000, FALSE), 6)</f>
        <v>15006</v>
      </c>
      <c r="I91" t="str">
        <f>INDEX(Joined!$A$3:$M$2000, MATCH($A91, Joined!$I$3:$I$2000, FALSE), 4)</f>
        <v>504</v>
      </c>
      <c r="J91" t="b">
        <v>0</v>
      </c>
      <c r="K91">
        <f>INDEX(Joined!$A$3:$M$2000, MATCH($A91, Joined!$I$3:$I$2000, FALSE), 3)</f>
        <v>1</v>
      </c>
      <c r="L91">
        <v>85</v>
      </c>
      <c r="M91">
        <v>38400</v>
      </c>
      <c r="N91" s="27">
        <f>PI()*(INDEX(Schedule!$A$1:$N$2000, MATCH($C91, VAV_Schedule_5_21[[#All],[UNIT TAG]], FALSE), 4)/2/12)^2</f>
        <v>0.78539816339744828</v>
      </c>
      <c r="O91" s="27">
        <f>INDEX(Schedule!$A$1:$N$2000, MATCH($C91, VAV_Schedule_5_21[[#All],[UNIT TAG]], FALSE), 4)</f>
        <v>12</v>
      </c>
      <c r="P91">
        <v>89.63</v>
      </c>
      <c r="Q91" s="27">
        <f>INDEX(Schedule!$A$1:$N$2000, MATCH($C91, VAV_Schedule_5_21[[#All],[UNIT TAG]], FALSE), 5)</f>
        <v>1200</v>
      </c>
      <c r="R91" s="27">
        <f>INDEX(Schedule!$A$1:$N$2000, MATCH($C91, VAV_Schedule_5_21[[#All],[UNIT TAG]], FALSE), 6)</f>
        <v>240</v>
      </c>
      <c r="S91" s="27">
        <f>INDEX(Schedule!$A$1:$N$2000, MATCH($C91, VAV_Schedule_5_21[[#All],[UNIT TAG]], FALSE), 5)</f>
        <v>1200</v>
      </c>
      <c r="T91" s="27">
        <f>INDEX(Schedule!$A$1:$N$2000, MATCH($C91, VAV_Schedule_5_21[[#All],[UNIT TAG]], FALSE), 6)</f>
        <v>240</v>
      </c>
      <c r="U91" s="27">
        <f>INDEX(Schedule!$A$1:$N$2000, MATCH($C91, VAV_Schedule_5_21[[#All],[UNIT TAG]], FALSE), 5)</f>
        <v>1200</v>
      </c>
      <c r="V91" s="27">
        <f>INDEX(Schedule!$A$1:$N$2000, MATCH($C91, VAV_Schedule_5_21[[#All],[UNIT TAG]], FALSE), 6)</f>
        <v>240</v>
      </c>
      <c r="W91" s="27">
        <f>INDEX(Schedule!$A$1:$N$2000, MATCH($C91, VAV_Schedule_5_21[[#All],[UNIT TAG]], FALSE), 6)</f>
        <v>240</v>
      </c>
      <c r="X91" s="27">
        <f>INDEX(Schedule!$A$1:$N$2000, MATCH($C91, VAV_Schedule_5_21[[#All],[UNIT TAG]], FALSE), 6)</f>
        <v>240</v>
      </c>
      <c r="Y91" s="27">
        <f>INDEX(Schedule!$A$1:$N$2000, MATCH($C91, VAV_Schedule_5_21[[#All],[UNIT TAG]], FALSE), 6)</f>
        <v>240</v>
      </c>
      <c r="Z91" s="27">
        <f>INDEX(Schedule!$A$1:$N$2000, MATCH($C91, VAV_Schedule_5_21[[#All],[UNIT TAG]], FALSE), 6)</f>
        <v>240</v>
      </c>
      <c r="AA91" s="27">
        <v>1000</v>
      </c>
      <c r="AB91" s="27">
        <v>1100</v>
      </c>
      <c r="AC91">
        <v>1400</v>
      </c>
      <c r="AD91" s="29">
        <f>IF(INDEX(Schedule!$A$1:$N$2000, MATCH($C91, VAV_Schedule_5_21[[#All],[UNIT TAG]], FALSE), 7)="-", 0, INDEX(Schedule!$A$1:$N$2000, MATCH($C91, VAV_Schedule_5_21[[#All],[UNIT TAG]], FALSE), 7))</f>
        <v>0</v>
      </c>
      <c r="AE91" t="str">
        <f>"B_01'" &amp; "Flr_0" &amp; INDEX(Joined!$A$3:$M$2000, MATCH($A91, Joined!$I$3:$I$2000, FALSE), 8)</f>
        <v>B_01'Flr_03</v>
      </c>
      <c r="AF91" t="str">
        <f>"R_" &amp; INDEX(Joined!$A$3:$M$2000, MATCH($A91, Joined!$I$3:$I$2000, FALSE), 7)</f>
        <v>R_VAV-3N-5</v>
      </c>
      <c r="AG91" t="str">
        <f>"B_01'" &amp; "Flr_0" &amp; INDEX(Joined!$A$3:$M$2000, MATCH($A91, Joined!$I$3:$I$2000, FALSE), 8)</f>
        <v>B_01'Flr_03</v>
      </c>
      <c r="AH91" t="str">
        <f>INDEX(Joined!$A$3:$M$2000, MATCH($A91, Joined!$I$3:$I$2000, FALSE), 7)</f>
        <v>VAV-3N-5</v>
      </c>
      <c r="AI91" t="s">
        <v>905</v>
      </c>
    </row>
    <row r="92" spans="1:35" x14ac:dyDescent="0.2">
      <c r="A92" t="s">
        <v>479</v>
      </c>
      <c r="B92" t="str">
        <f>"B_01'" &amp; "Flr_0" &amp; INDEX(Joined!$A$3:$M$2000, MATCH($A92, Joined!$I$3:$I$2000, FALSE), 8)</f>
        <v>B_01'Flr_03</v>
      </c>
      <c r="C92" t="str">
        <f>INDEX(Joined!$A$3:$M$2000, MATCH($A92, Joined!$I$3:$I$2000, FALSE), 7)</f>
        <v>VAV-3N-6</v>
      </c>
      <c r="D92">
        <f>INDEX(Joined!$A$3:$M$2000, MATCH($A92, Joined!$I$3:$I$2000, FALSE), 5)</f>
        <v>150402</v>
      </c>
      <c r="E92" t="str">
        <f>INDEX(Joined!$A$3:$M$2000, MATCH($A92, Joined!$I$3:$I$2000, FALSE), 7)</f>
        <v>VAV-3N-6</v>
      </c>
      <c r="F92" t="s">
        <v>38</v>
      </c>
      <c r="G92" t="str">
        <f>INDEX(Schedule!$Q$2:$R$7, MATCH(ABT!$H92,Schedule!$Q$2:$Q$7, 0), 2)</f>
        <v>15006_ADXR_VAV_DXR2M10</v>
      </c>
      <c r="H92">
        <f>INDEX(Joined!$A$3:$M$2000, MATCH($A92, Joined!$I$3:$I$2000, FALSE), 6)</f>
        <v>15006</v>
      </c>
      <c r="I92" t="str">
        <f>INDEX(Joined!$A$3:$M$2000, MATCH($A92, Joined!$I$3:$I$2000, FALSE), 4)</f>
        <v>504</v>
      </c>
      <c r="J92" t="b">
        <v>0</v>
      </c>
      <c r="K92">
        <f>INDEX(Joined!$A$3:$M$2000, MATCH($A92, Joined!$I$3:$I$2000, FALSE), 3)</f>
        <v>2</v>
      </c>
      <c r="L92">
        <v>85</v>
      </c>
      <c r="M92">
        <v>38400</v>
      </c>
      <c r="N92" s="27">
        <f>PI()*(INDEX(Schedule!$A$1:$N$2000, MATCH($C92, VAV_Schedule_5_21[[#All],[UNIT TAG]], FALSE), 4)/2/12)^2</f>
        <v>0.54541539124822802</v>
      </c>
      <c r="O92" s="27">
        <f>INDEX(Schedule!$A$1:$N$2000, MATCH($C92, VAV_Schedule_5_21[[#All],[UNIT TAG]], FALSE), 4)</f>
        <v>10</v>
      </c>
      <c r="P92">
        <v>90.63</v>
      </c>
      <c r="Q92" s="27">
        <f>INDEX(Schedule!$A$1:$N$2000, MATCH($C92, VAV_Schedule_5_21[[#All],[UNIT TAG]], FALSE), 5)</f>
        <v>950</v>
      </c>
      <c r="R92" s="27">
        <f>INDEX(Schedule!$A$1:$N$2000, MATCH($C92, VAV_Schedule_5_21[[#All],[UNIT TAG]], FALSE), 6)</f>
        <v>190</v>
      </c>
      <c r="S92" s="27">
        <f>INDEX(Schedule!$A$1:$N$2000, MATCH($C92, VAV_Schedule_5_21[[#All],[UNIT TAG]], FALSE), 5)</f>
        <v>950</v>
      </c>
      <c r="T92" s="27">
        <f>INDEX(Schedule!$A$1:$N$2000, MATCH($C92, VAV_Schedule_5_21[[#All],[UNIT TAG]], FALSE), 6)</f>
        <v>190</v>
      </c>
      <c r="U92" s="27">
        <f>INDEX(Schedule!$A$1:$N$2000, MATCH($C92, VAV_Schedule_5_21[[#All],[UNIT TAG]], FALSE), 5)</f>
        <v>950</v>
      </c>
      <c r="V92" s="27">
        <f>INDEX(Schedule!$A$1:$N$2000, MATCH($C92, VAV_Schedule_5_21[[#All],[UNIT TAG]], FALSE), 6)</f>
        <v>190</v>
      </c>
      <c r="W92" s="27">
        <f>INDEX(Schedule!$A$1:$N$2000, MATCH($C92, VAV_Schedule_5_21[[#All],[UNIT TAG]], FALSE), 6)</f>
        <v>190</v>
      </c>
      <c r="X92" s="27">
        <f>INDEX(Schedule!$A$1:$N$2000, MATCH($C92, VAV_Schedule_5_21[[#All],[UNIT TAG]], FALSE), 6)</f>
        <v>190</v>
      </c>
      <c r="Y92" s="27">
        <f>INDEX(Schedule!$A$1:$N$2000, MATCH($C92, VAV_Schedule_5_21[[#All],[UNIT TAG]], FALSE), 6)</f>
        <v>190</v>
      </c>
      <c r="Z92" s="27">
        <f>INDEX(Schedule!$A$1:$N$2000, MATCH($C92, VAV_Schedule_5_21[[#All],[UNIT TAG]], FALSE), 6)</f>
        <v>190</v>
      </c>
      <c r="AA92" s="27">
        <v>1000</v>
      </c>
      <c r="AB92" s="27">
        <v>1100</v>
      </c>
      <c r="AC92">
        <v>1400</v>
      </c>
      <c r="AD92" s="29">
        <f>IF(INDEX(Schedule!$A$1:$N$2000, MATCH($C92, VAV_Schedule_5_21[[#All],[UNIT TAG]], FALSE), 7)="-", 0, INDEX(Schedule!$A$1:$N$2000, MATCH($C92, VAV_Schedule_5_21[[#All],[UNIT TAG]], FALSE), 7))</f>
        <v>0</v>
      </c>
      <c r="AE92" t="str">
        <f>"B_01'" &amp; "Flr_0" &amp; INDEX(Joined!$A$3:$M$2000, MATCH($A92, Joined!$I$3:$I$2000, FALSE), 8)</f>
        <v>B_01'Flr_03</v>
      </c>
      <c r="AF92" t="str">
        <f>"R_" &amp; INDEX(Joined!$A$3:$M$2000, MATCH($A92, Joined!$I$3:$I$2000, FALSE), 7)</f>
        <v>R_VAV-3N-6</v>
      </c>
      <c r="AG92" t="str">
        <f>"B_01'" &amp; "Flr_0" &amp; INDEX(Joined!$A$3:$M$2000, MATCH($A92, Joined!$I$3:$I$2000, FALSE), 8)</f>
        <v>B_01'Flr_03</v>
      </c>
      <c r="AH92" t="str">
        <f>INDEX(Joined!$A$3:$M$2000, MATCH($A92, Joined!$I$3:$I$2000, FALSE), 7)</f>
        <v>VAV-3N-6</v>
      </c>
      <c r="AI92" t="s">
        <v>906</v>
      </c>
    </row>
    <row r="93" spans="1:35" x14ac:dyDescent="0.2">
      <c r="A93" t="s">
        <v>480</v>
      </c>
      <c r="B93" t="str">
        <f>"B_01'" &amp; "Flr_0" &amp; INDEX(Joined!$A$3:$M$2000, MATCH($A93, Joined!$I$3:$I$2000, FALSE), 8)</f>
        <v>B_01'Flr_03</v>
      </c>
      <c r="C93" t="str">
        <f>INDEX(Joined!$A$3:$M$2000, MATCH($A93, Joined!$I$3:$I$2000, FALSE), 7)</f>
        <v>VAV-3N-7</v>
      </c>
      <c r="D93">
        <f>INDEX(Joined!$A$3:$M$2000, MATCH($A93, Joined!$I$3:$I$2000, FALSE), 5)</f>
        <v>150403</v>
      </c>
      <c r="E93" t="str">
        <f>INDEX(Joined!$A$3:$M$2000, MATCH($A93, Joined!$I$3:$I$2000, FALSE), 7)</f>
        <v>VAV-3N-7</v>
      </c>
      <c r="F93" t="s">
        <v>38</v>
      </c>
      <c r="G93" t="str">
        <f>INDEX(Schedule!$Q$2:$R$7, MATCH(ABT!$H93,Schedule!$Q$2:$Q$7, 0), 2)</f>
        <v>15006_ADXR_VAV_DXR2M10</v>
      </c>
      <c r="H93">
        <f>INDEX(Joined!$A$3:$M$2000, MATCH($A93, Joined!$I$3:$I$2000, FALSE), 6)</f>
        <v>15006</v>
      </c>
      <c r="I93" t="str">
        <f>INDEX(Joined!$A$3:$M$2000, MATCH($A93, Joined!$I$3:$I$2000, FALSE), 4)</f>
        <v>504</v>
      </c>
      <c r="J93" t="b">
        <v>0</v>
      </c>
      <c r="K93">
        <f>INDEX(Joined!$A$3:$M$2000, MATCH($A93, Joined!$I$3:$I$2000, FALSE), 3)</f>
        <v>3</v>
      </c>
      <c r="L93">
        <v>85</v>
      </c>
      <c r="M93">
        <v>38400</v>
      </c>
      <c r="N93" s="27">
        <f>PI()*(INDEX(Schedule!$A$1:$N$2000, MATCH($C93, VAV_Schedule_5_21[[#All],[UNIT TAG]], FALSE), 4)/2/12)^2</f>
        <v>0.54541539124822802</v>
      </c>
      <c r="O93" s="27">
        <f>INDEX(Schedule!$A$1:$N$2000, MATCH($C93, VAV_Schedule_5_21[[#All],[UNIT TAG]], FALSE), 4)</f>
        <v>10</v>
      </c>
      <c r="P93">
        <v>91.63</v>
      </c>
      <c r="Q93" s="27">
        <f>INDEX(Schedule!$A$1:$N$2000, MATCH($C93, VAV_Schedule_5_21[[#All],[UNIT TAG]], FALSE), 5)</f>
        <v>1090</v>
      </c>
      <c r="R93" s="27">
        <f>INDEX(Schedule!$A$1:$N$2000, MATCH($C93, VAV_Schedule_5_21[[#All],[UNIT TAG]], FALSE), 6)</f>
        <v>220</v>
      </c>
      <c r="S93" s="27">
        <f>INDEX(Schedule!$A$1:$N$2000, MATCH($C93, VAV_Schedule_5_21[[#All],[UNIT TAG]], FALSE), 5)</f>
        <v>1090</v>
      </c>
      <c r="T93" s="27">
        <f>INDEX(Schedule!$A$1:$N$2000, MATCH($C93, VAV_Schedule_5_21[[#All],[UNIT TAG]], FALSE), 6)</f>
        <v>220</v>
      </c>
      <c r="U93" s="27">
        <f>INDEX(Schedule!$A$1:$N$2000, MATCH($C93, VAV_Schedule_5_21[[#All],[UNIT TAG]], FALSE), 5)</f>
        <v>1090</v>
      </c>
      <c r="V93" s="27">
        <f>INDEX(Schedule!$A$1:$N$2000, MATCH($C93, VAV_Schedule_5_21[[#All],[UNIT TAG]], FALSE), 6)</f>
        <v>220</v>
      </c>
      <c r="W93" s="27">
        <f>INDEX(Schedule!$A$1:$N$2000, MATCH($C93, VAV_Schedule_5_21[[#All],[UNIT TAG]], FALSE), 6)</f>
        <v>220</v>
      </c>
      <c r="X93" s="27">
        <f>INDEX(Schedule!$A$1:$N$2000, MATCH($C93, VAV_Schedule_5_21[[#All],[UNIT TAG]], FALSE), 6)</f>
        <v>220</v>
      </c>
      <c r="Y93" s="27">
        <f>INDEX(Schedule!$A$1:$N$2000, MATCH($C93, VAV_Schedule_5_21[[#All],[UNIT TAG]], FALSE), 6)</f>
        <v>220</v>
      </c>
      <c r="Z93" s="27">
        <f>INDEX(Schedule!$A$1:$N$2000, MATCH($C93, VAV_Schedule_5_21[[#All],[UNIT TAG]], FALSE), 6)</f>
        <v>220</v>
      </c>
      <c r="AA93" s="27">
        <v>1000</v>
      </c>
      <c r="AB93" s="27">
        <v>1100</v>
      </c>
      <c r="AC93">
        <v>1400</v>
      </c>
      <c r="AD93" s="29">
        <f>IF(INDEX(Schedule!$A$1:$N$2000, MATCH($C93, VAV_Schedule_5_21[[#All],[UNIT TAG]], FALSE), 7)="-", 0, INDEX(Schedule!$A$1:$N$2000, MATCH($C93, VAV_Schedule_5_21[[#All],[UNIT TAG]], FALSE), 7))</f>
        <v>0</v>
      </c>
      <c r="AE93" t="str">
        <f>"B_01'" &amp; "Flr_0" &amp; INDEX(Joined!$A$3:$M$2000, MATCH($A93, Joined!$I$3:$I$2000, FALSE), 8)</f>
        <v>B_01'Flr_03</v>
      </c>
      <c r="AF93" t="str">
        <f>"R_" &amp; INDEX(Joined!$A$3:$M$2000, MATCH($A93, Joined!$I$3:$I$2000, FALSE), 7)</f>
        <v>R_VAV-3N-7</v>
      </c>
      <c r="AG93" t="str">
        <f>"B_01'" &amp; "Flr_0" &amp; INDEX(Joined!$A$3:$M$2000, MATCH($A93, Joined!$I$3:$I$2000, FALSE), 8)</f>
        <v>B_01'Flr_03</v>
      </c>
      <c r="AH93" t="str">
        <f>INDEX(Joined!$A$3:$M$2000, MATCH($A93, Joined!$I$3:$I$2000, FALSE), 7)</f>
        <v>VAV-3N-7</v>
      </c>
      <c r="AI93" t="s">
        <v>907</v>
      </c>
    </row>
    <row r="94" spans="1:35" x14ac:dyDescent="0.2">
      <c r="A94" t="s">
        <v>695</v>
      </c>
      <c r="B94" t="str">
        <f>"B_01'" &amp; "Flr_0" &amp; INDEX(Joined!$A$3:$M$2000, MATCH($A94, Joined!$I$3:$I$2000, FALSE), 8)</f>
        <v>B_01'Flr_03</v>
      </c>
      <c r="C94" t="str">
        <f>INDEX(Joined!$A$3:$M$2000, MATCH($A94, Joined!$I$3:$I$2000, FALSE), 7)</f>
        <v>VAV-3N-7A</v>
      </c>
      <c r="D94">
        <f>INDEX(Joined!$A$3:$M$2000, MATCH($A94, Joined!$I$3:$I$2000, FALSE), 5)</f>
        <v>150404</v>
      </c>
      <c r="E94" t="str">
        <f>INDEX(Joined!$A$3:$M$2000, MATCH($A94, Joined!$I$3:$I$2000, FALSE), 7)</f>
        <v>VAV-3N-7A</v>
      </c>
      <c r="F94" t="s">
        <v>38</v>
      </c>
      <c r="G94" t="str">
        <f>INDEX(Schedule!$Q$2:$R$7, MATCH(ABT!$H94,Schedule!$Q$2:$Q$7, 0), 2)</f>
        <v>15006_ADXR_VAV_DXR2M10</v>
      </c>
      <c r="H94">
        <f>INDEX(Joined!$A$3:$M$2000, MATCH($A94, Joined!$I$3:$I$2000, FALSE), 6)</f>
        <v>15006</v>
      </c>
      <c r="I94" t="str">
        <f>INDEX(Joined!$A$3:$M$2000, MATCH($A94, Joined!$I$3:$I$2000, FALSE), 4)</f>
        <v>504</v>
      </c>
      <c r="J94" t="b">
        <v>0</v>
      </c>
      <c r="K94">
        <f>INDEX(Joined!$A$3:$M$2000, MATCH($A94, Joined!$I$3:$I$2000, FALSE), 3)</f>
        <v>4</v>
      </c>
      <c r="L94">
        <v>85</v>
      </c>
      <c r="M94">
        <v>38400</v>
      </c>
      <c r="N94" s="27">
        <f>PI()*(INDEX(Schedule!$A$1:$N$2000, MATCH($C94, VAV_Schedule_5_21[[#All],[UNIT TAG]], FALSE), 4)/2/12)^2</f>
        <v>0.3490658503988659</v>
      </c>
      <c r="O94" s="27">
        <f>INDEX(Schedule!$A$1:$N$2000, MATCH($C94, VAV_Schedule_5_21[[#All],[UNIT TAG]], FALSE), 4)</f>
        <v>8</v>
      </c>
      <c r="P94">
        <v>92.63</v>
      </c>
      <c r="Q94" s="27">
        <f>INDEX(Schedule!$A$1:$N$2000, MATCH($C94, VAV_Schedule_5_21[[#All],[UNIT TAG]], FALSE), 5)</f>
        <v>550</v>
      </c>
      <c r="R94" s="27">
        <f>INDEX(Schedule!$A$1:$N$2000, MATCH($C94, VAV_Schedule_5_21[[#All],[UNIT TAG]], FALSE), 6)</f>
        <v>110</v>
      </c>
      <c r="S94" s="27">
        <f>INDEX(Schedule!$A$1:$N$2000, MATCH($C94, VAV_Schedule_5_21[[#All],[UNIT TAG]], FALSE), 5)</f>
        <v>550</v>
      </c>
      <c r="T94" s="27">
        <f>INDEX(Schedule!$A$1:$N$2000, MATCH($C94, VAV_Schedule_5_21[[#All],[UNIT TAG]], FALSE), 6)</f>
        <v>110</v>
      </c>
      <c r="U94" s="27">
        <f>INDEX(Schedule!$A$1:$N$2000, MATCH($C94, VAV_Schedule_5_21[[#All],[UNIT TAG]], FALSE), 5)</f>
        <v>550</v>
      </c>
      <c r="V94" s="27">
        <f>INDEX(Schedule!$A$1:$N$2000, MATCH($C94, VAV_Schedule_5_21[[#All],[UNIT TAG]], FALSE), 6)</f>
        <v>110</v>
      </c>
      <c r="W94" s="27">
        <f>INDEX(Schedule!$A$1:$N$2000, MATCH($C94, VAV_Schedule_5_21[[#All],[UNIT TAG]], FALSE), 6)</f>
        <v>110</v>
      </c>
      <c r="X94" s="27">
        <f>INDEX(Schedule!$A$1:$N$2000, MATCH($C94, VAV_Schedule_5_21[[#All],[UNIT TAG]], FALSE), 6)</f>
        <v>110</v>
      </c>
      <c r="Y94" s="27">
        <f>INDEX(Schedule!$A$1:$N$2000, MATCH($C94, VAV_Schedule_5_21[[#All],[UNIT TAG]], FALSE), 6)</f>
        <v>110</v>
      </c>
      <c r="Z94" s="27">
        <f>INDEX(Schedule!$A$1:$N$2000, MATCH($C94, VAV_Schedule_5_21[[#All],[UNIT TAG]], FALSE), 6)</f>
        <v>110</v>
      </c>
      <c r="AA94" s="27">
        <v>1000</v>
      </c>
      <c r="AB94" s="27">
        <v>1100</v>
      </c>
      <c r="AC94">
        <v>1400</v>
      </c>
      <c r="AD94" s="29">
        <f>IF(INDEX(Schedule!$A$1:$N$2000, MATCH($C94, VAV_Schedule_5_21[[#All],[UNIT TAG]], FALSE), 7)="-", 0, INDEX(Schedule!$A$1:$N$2000, MATCH($C94, VAV_Schedule_5_21[[#All],[UNIT TAG]], FALSE), 7))</f>
        <v>0</v>
      </c>
      <c r="AE94" t="str">
        <f>"B_01'" &amp; "Flr_0" &amp; INDEX(Joined!$A$3:$M$2000, MATCH($A94, Joined!$I$3:$I$2000, FALSE), 8)</f>
        <v>B_01'Flr_03</v>
      </c>
      <c r="AF94" t="str">
        <f>"R_" &amp; INDEX(Joined!$A$3:$M$2000, MATCH($A94, Joined!$I$3:$I$2000, FALSE), 7)</f>
        <v>R_VAV-3N-7A</v>
      </c>
      <c r="AG94" t="str">
        <f>"B_01'" &amp; "Flr_0" &amp; INDEX(Joined!$A$3:$M$2000, MATCH($A94, Joined!$I$3:$I$2000, FALSE), 8)</f>
        <v>B_01'Flr_03</v>
      </c>
      <c r="AH94" t="str">
        <f>INDEX(Joined!$A$3:$M$2000, MATCH($A94, Joined!$I$3:$I$2000, FALSE), 7)</f>
        <v>VAV-3N-7A</v>
      </c>
      <c r="AI94" t="s">
        <v>908</v>
      </c>
    </row>
    <row r="95" spans="1:35" x14ac:dyDescent="0.2">
      <c r="A95" t="s">
        <v>481</v>
      </c>
      <c r="B95" t="str">
        <f>"B_01'" &amp; "Flr_0" &amp; INDEX(Joined!$A$3:$M$2000, MATCH($A95, Joined!$I$3:$I$2000, FALSE), 8)</f>
        <v>B_01'Flr_03</v>
      </c>
      <c r="C95" t="str">
        <f>INDEX(Joined!$A$3:$M$2000, MATCH($A95, Joined!$I$3:$I$2000, FALSE), 7)</f>
        <v>VAV-3N-8</v>
      </c>
      <c r="D95">
        <f>INDEX(Joined!$A$3:$M$2000, MATCH($A95, Joined!$I$3:$I$2000, FALSE), 5)</f>
        <v>150405</v>
      </c>
      <c r="E95" t="str">
        <f>INDEX(Joined!$A$3:$M$2000, MATCH($A95, Joined!$I$3:$I$2000, FALSE), 7)</f>
        <v>VAV-3N-8</v>
      </c>
      <c r="F95" t="s">
        <v>38</v>
      </c>
      <c r="G95" t="str">
        <f>INDEX(Schedule!$Q$2:$R$7, MATCH(ABT!$H95,Schedule!$Q$2:$Q$7, 0), 2)</f>
        <v>15008_ADXR_VAV_DXRM10_Hum</v>
      </c>
      <c r="H95">
        <f>INDEX(Joined!$A$3:$M$2000, MATCH($A95, Joined!$I$3:$I$2000, FALSE), 6)</f>
        <v>15008</v>
      </c>
      <c r="I95" t="str">
        <f>INDEX(Joined!$A$3:$M$2000, MATCH($A95, Joined!$I$3:$I$2000, FALSE), 4)</f>
        <v>504</v>
      </c>
      <c r="J95" t="b">
        <v>0</v>
      </c>
      <c r="K95">
        <f>INDEX(Joined!$A$3:$M$2000, MATCH($A95, Joined!$I$3:$I$2000, FALSE), 3)</f>
        <v>5</v>
      </c>
      <c r="L95">
        <v>85</v>
      </c>
      <c r="M95">
        <v>38400</v>
      </c>
      <c r="N95" s="27">
        <f>PI()*(INDEX(Schedule!$A$1:$N$2000, MATCH($C95, VAV_Schedule_5_21[[#All],[UNIT TAG]], FALSE), 4)/2/12)^2</f>
        <v>0.54541539124822802</v>
      </c>
      <c r="O95" s="27">
        <f>INDEX(Schedule!$A$1:$N$2000, MATCH($C95, VAV_Schedule_5_21[[#All],[UNIT TAG]], FALSE), 4)</f>
        <v>10</v>
      </c>
      <c r="P95">
        <v>93.63</v>
      </c>
      <c r="Q95" s="27">
        <f>INDEX(Schedule!$A$1:$N$2000, MATCH($C95, VAV_Schedule_5_21[[#All],[UNIT TAG]], FALSE), 5)</f>
        <v>1060</v>
      </c>
      <c r="R95" s="27">
        <f>INDEX(Schedule!$A$1:$N$2000, MATCH($C95, VAV_Schedule_5_21[[#All],[UNIT TAG]], FALSE), 6)</f>
        <v>0</v>
      </c>
      <c r="S95" s="27">
        <f>INDEX(Schedule!$A$1:$N$2000, MATCH($C95, VAV_Schedule_5_21[[#All],[UNIT TAG]], FALSE), 5)</f>
        <v>1060</v>
      </c>
      <c r="T95" s="27">
        <f>INDEX(Schedule!$A$1:$N$2000, MATCH($C95, VAV_Schedule_5_21[[#All],[UNIT TAG]], FALSE), 6)</f>
        <v>0</v>
      </c>
      <c r="U95" s="27">
        <f>INDEX(Schedule!$A$1:$N$2000, MATCH($C95, VAV_Schedule_5_21[[#All],[UNIT TAG]], FALSE), 5)</f>
        <v>1060</v>
      </c>
      <c r="V95" s="27">
        <f>INDEX(Schedule!$A$1:$N$2000, MATCH($C95, VAV_Schedule_5_21[[#All],[UNIT TAG]], FALSE), 6)</f>
        <v>0</v>
      </c>
      <c r="W95" s="27">
        <f>INDEX(Schedule!$A$1:$N$2000, MATCH($C95, VAV_Schedule_5_21[[#All],[UNIT TAG]], FALSE), 6)</f>
        <v>0</v>
      </c>
      <c r="X95" s="27">
        <f>INDEX(Schedule!$A$1:$N$2000, MATCH($C95, VAV_Schedule_5_21[[#All],[UNIT TAG]], FALSE), 6)</f>
        <v>0</v>
      </c>
      <c r="Y95" s="27">
        <f>INDEX(Schedule!$A$1:$N$2000, MATCH($C95, VAV_Schedule_5_21[[#All],[UNIT TAG]], FALSE), 6)</f>
        <v>0</v>
      </c>
      <c r="Z95" s="27">
        <f>INDEX(Schedule!$A$1:$N$2000, MATCH($C95, VAV_Schedule_5_21[[#All],[UNIT TAG]], FALSE), 6)</f>
        <v>0</v>
      </c>
      <c r="AA95" s="27">
        <v>1000</v>
      </c>
      <c r="AB95" s="27">
        <v>1100</v>
      </c>
      <c r="AC95">
        <v>1400</v>
      </c>
      <c r="AD95" s="29">
        <f>IF(INDEX(Schedule!$A$1:$N$2000, MATCH($C95, VAV_Schedule_5_21[[#All],[UNIT TAG]], FALSE), 7)="-", 0, INDEX(Schedule!$A$1:$N$2000, MATCH($C95, VAV_Schedule_5_21[[#All],[UNIT TAG]], FALSE), 7))</f>
        <v>0</v>
      </c>
      <c r="AE95" t="str">
        <f>"B_01'" &amp; "Flr_0" &amp; INDEX(Joined!$A$3:$M$2000, MATCH($A95, Joined!$I$3:$I$2000, FALSE), 8)</f>
        <v>B_01'Flr_03</v>
      </c>
      <c r="AF95" t="str">
        <f>"R_" &amp; INDEX(Joined!$A$3:$M$2000, MATCH($A95, Joined!$I$3:$I$2000, FALSE), 7)</f>
        <v>R_VAV-3N-8</v>
      </c>
      <c r="AG95" t="str">
        <f>"B_01'" &amp; "Flr_0" &amp; INDEX(Joined!$A$3:$M$2000, MATCH($A95, Joined!$I$3:$I$2000, FALSE), 8)</f>
        <v>B_01'Flr_03</v>
      </c>
      <c r="AH95" t="str">
        <f>INDEX(Joined!$A$3:$M$2000, MATCH($A95, Joined!$I$3:$I$2000, FALSE), 7)</f>
        <v>VAV-3N-8</v>
      </c>
      <c r="AI95" t="s">
        <v>960</v>
      </c>
    </row>
    <row r="96" spans="1:35" x14ac:dyDescent="0.2">
      <c r="A96" t="s">
        <v>482</v>
      </c>
      <c r="B96" t="str">
        <f>"B_01'" &amp; "Flr_0" &amp; INDEX(Joined!$A$3:$M$2000, MATCH($A96, Joined!$I$3:$I$2000, FALSE), 8)</f>
        <v>B_01'Flr_03</v>
      </c>
      <c r="C96" t="str">
        <f>INDEX(Joined!$A$3:$M$2000, MATCH($A96, Joined!$I$3:$I$2000, FALSE), 7)</f>
        <v>VAV-3N-9</v>
      </c>
      <c r="D96">
        <f>INDEX(Joined!$A$3:$M$2000, MATCH($A96, Joined!$I$3:$I$2000, FALSE), 5)</f>
        <v>150406</v>
      </c>
      <c r="E96" t="str">
        <f>INDEX(Joined!$A$3:$M$2000, MATCH($A96, Joined!$I$3:$I$2000, FALSE), 7)</f>
        <v>VAV-3N-9</v>
      </c>
      <c r="F96" t="s">
        <v>38</v>
      </c>
      <c r="G96" t="str">
        <f>INDEX(Schedule!$Q$2:$R$7, MATCH(ABT!$H96,Schedule!$Q$2:$Q$7, 0), 2)</f>
        <v>15006_ADXR_VAV_DXR2M10</v>
      </c>
      <c r="H96">
        <f>INDEX(Joined!$A$3:$M$2000, MATCH($A96, Joined!$I$3:$I$2000, FALSE), 6)</f>
        <v>15006</v>
      </c>
      <c r="I96" t="str">
        <f>INDEX(Joined!$A$3:$M$2000, MATCH($A96, Joined!$I$3:$I$2000, FALSE), 4)</f>
        <v>504</v>
      </c>
      <c r="J96" t="b">
        <v>0</v>
      </c>
      <c r="K96">
        <f>INDEX(Joined!$A$3:$M$2000, MATCH($A96, Joined!$I$3:$I$2000, FALSE), 3)</f>
        <v>6</v>
      </c>
      <c r="L96">
        <v>85</v>
      </c>
      <c r="M96">
        <v>38400</v>
      </c>
      <c r="N96" s="27">
        <f>PI()*(INDEX(Schedule!$A$1:$N$2000, MATCH($C96, VAV_Schedule_5_21[[#All],[UNIT TAG]], FALSE), 4)/2/12)^2</f>
        <v>0.3490658503988659</v>
      </c>
      <c r="O96" s="27">
        <f>INDEX(Schedule!$A$1:$N$2000, MATCH($C96, VAV_Schedule_5_21[[#All],[UNIT TAG]], FALSE), 4)</f>
        <v>8</v>
      </c>
      <c r="P96">
        <v>94.63</v>
      </c>
      <c r="Q96" s="27">
        <f>INDEX(Schedule!$A$1:$N$2000, MATCH($C96, VAV_Schedule_5_21[[#All],[UNIT TAG]], FALSE), 5)</f>
        <v>600</v>
      </c>
      <c r="R96" s="27">
        <f>INDEX(Schedule!$A$1:$N$2000, MATCH($C96, VAV_Schedule_5_21[[#All],[UNIT TAG]], FALSE), 6)</f>
        <v>120</v>
      </c>
      <c r="S96" s="27">
        <f>INDEX(Schedule!$A$1:$N$2000, MATCH($C96, VAV_Schedule_5_21[[#All],[UNIT TAG]], FALSE), 5)</f>
        <v>600</v>
      </c>
      <c r="T96" s="27">
        <f>INDEX(Schedule!$A$1:$N$2000, MATCH($C96, VAV_Schedule_5_21[[#All],[UNIT TAG]], FALSE), 6)</f>
        <v>120</v>
      </c>
      <c r="U96" s="27">
        <f>INDEX(Schedule!$A$1:$N$2000, MATCH($C96, VAV_Schedule_5_21[[#All],[UNIT TAG]], FALSE), 5)</f>
        <v>600</v>
      </c>
      <c r="V96" s="27">
        <f>INDEX(Schedule!$A$1:$N$2000, MATCH($C96, VAV_Schedule_5_21[[#All],[UNIT TAG]], FALSE), 6)</f>
        <v>120</v>
      </c>
      <c r="W96" s="27">
        <f>INDEX(Schedule!$A$1:$N$2000, MATCH($C96, VAV_Schedule_5_21[[#All],[UNIT TAG]], FALSE), 6)</f>
        <v>120</v>
      </c>
      <c r="X96" s="27">
        <f>INDEX(Schedule!$A$1:$N$2000, MATCH($C96, VAV_Schedule_5_21[[#All],[UNIT TAG]], FALSE), 6)</f>
        <v>120</v>
      </c>
      <c r="Y96" s="27">
        <f>INDEX(Schedule!$A$1:$N$2000, MATCH($C96, VAV_Schedule_5_21[[#All],[UNIT TAG]], FALSE), 6)</f>
        <v>120</v>
      </c>
      <c r="Z96" s="27">
        <f>INDEX(Schedule!$A$1:$N$2000, MATCH($C96, VAV_Schedule_5_21[[#All],[UNIT TAG]], FALSE), 6)</f>
        <v>120</v>
      </c>
      <c r="AA96" s="27">
        <v>1000</v>
      </c>
      <c r="AB96" s="27">
        <v>1100</v>
      </c>
      <c r="AC96">
        <v>1400</v>
      </c>
      <c r="AD96" s="29">
        <f>IF(INDEX(Schedule!$A$1:$N$2000, MATCH($C96, VAV_Schedule_5_21[[#All],[UNIT TAG]], FALSE), 7)="-", 0, INDEX(Schedule!$A$1:$N$2000, MATCH($C96, VAV_Schedule_5_21[[#All],[UNIT TAG]], FALSE), 7))</f>
        <v>0</v>
      </c>
      <c r="AE96" t="str">
        <f>"B_01'" &amp; "Flr_0" &amp; INDEX(Joined!$A$3:$M$2000, MATCH($A96, Joined!$I$3:$I$2000, FALSE), 8)</f>
        <v>B_01'Flr_03</v>
      </c>
      <c r="AF96" t="str">
        <f>"R_" &amp; INDEX(Joined!$A$3:$M$2000, MATCH($A96, Joined!$I$3:$I$2000, FALSE), 7)</f>
        <v>R_VAV-3N-9</v>
      </c>
      <c r="AG96" t="str">
        <f>"B_01'" &amp; "Flr_0" &amp; INDEX(Joined!$A$3:$M$2000, MATCH($A96, Joined!$I$3:$I$2000, FALSE), 8)</f>
        <v>B_01'Flr_03</v>
      </c>
      <c r="AH96" t="str">
        <f>INDEX(Joined!$A$3:$M$2000, MATCH($A96, Joined!$I$3:$I$2000, FALSE), 7)</f>
        <v>VAV-3N-9</v>
      </c>
      <c r="AI96" t="s">
        <v>909</v>
      </c>
    </row>
    <row r="97" spans="1:35" x14ac:dyDescent="0.2">
      <c r="A97" t="s">
        <v>485</v>
      </c>
      <c r="B97" t="str">
        <f>"B_01'" &amp; "Flr_0" &amp; INDEX(Joined!$A$3:$M$2000, MATCH($A97, Joined!$I$3:$I$2000, FALSE), 8)</f>
        <v>B_01'Flr_03</v>
      </c>
      <c r="C97" t="str">
        <f>INDEX(Joined!$A$3:$M$2000, MATCH($A97, Joined!$I$3:$I$2000, FALSE), 7)</f>
        <v>VAV-3W-1</v>
      </c>
      <c r="D97">
        <f>INDEX(Joined!$A$3:$M$2000, MATCH($A97, Joined!$I$3:$I$2000, FALSE), 5)</f>
        <v>150601</v>
      </c>
      <c r="E97" t="str">
        <f>INDEX(Joined!$A$3:$M$2000, MATCH($A97, Joined!$I$3:$I$2000, FALSE), 7)</f>
        <v>VAV-3W-1</v>
      </c>
      <c r="F97" t="s">
        <v>38</v>
      </c>
      <c r="G97" t="str">
        <f>INDEX(Schedule!$Q$2:$R$7, MATCH(ABT!$H97,Schedule!$Q$2:$Q$7, 0), 2)</f>
        <v>15007_ADXR_VAV_DXR2M10</v>
      </c>
      <c r="H97">
        <f>INDEX(Joined!$A$3:$M$2000, MATCH($A97, Joined!$I$3:$I$2000, FALSE), 6)</f>
        <v>15007</v>
      </c>
      <c r="I97" t="str">
        <f>INDEX(Joined!$A$3:$M$2000, MATCH($A97, Joined!$I$3:$I$2000, FALSE), 4)</f>
        <v>506</v>
      </c>
      <c r="J97" t="b">
        <v>0</v>
      </c>
      <c r="K97">
        <f>INDEX(Joined!$A$3:$M$2000, MATCH($A97, Joined!$I$3:$I$2000, FALSE), 3)</f>
        <v>1</v>
      </c>
      <c r="L97">
        <v>85</v>
      </c>
      <c r="M97">
        <v>38400</v>
      </c>
      <c r="N97" s="27">
        <f>PI()*(INDEX(Schedule!$A$1:$N$2000, MATCH($C97, VAV_Schedule_5_21[[#All],[UNIT TAG]], FALSE), 4)/2/12)^2</f>
        <v>0.3490658503988659</v>
      </c>
      <c r="O97" s="27">
        <f>INDEX(Schedule!$A$1:$N$2000, MATCH($C97, VAV_Schedule_5_21[[#All],[UNIT TAG]], FALSE), 4)</f>
        <v>8</v>
      </c>
      <c r="P97">
        <v>95.63</v>
      </c>
      <c r="Q97" s="27">
        <f>INDEX(Schedule!$A$1:$N$2000, MATCH($C97, VAV_Schedule_5_21[[#All],[UNIT TAG]], FALSE), 5)</f>
        <v>580</v>
      </c>
      <c r="R97" s="27">
        <f>INDEX(Schedule!$A$1:$N$2000, MATCH($C97, VAV_Schedule_5_21[[#All],[UNIT TAG]], FALSE), 6)</f>
        <v>120</v>
      </c>
      <c r="S97" s="27">
        <f>INDEX(Schedule!$A$1:$N$2000, MATCH($C97, VAV_Schedule_5_21[[#All],[UNIT TAG]], FALSE), 5)</f>
        <v>580</v>
      </c>
      <c r="T97" s="27">
        <f>INDEX(Schedule!$A$1:$N$2000, MATCH($C97, VAV_Schedule_5_21[[#All],[UNIT TAG]], FALSE), 6)</f>
        <v>120</v>
      </c>
      <c r="U97" s="27">
        <f>INDEX(Schedule!$A$1:$N$2000, MATCH($C97, VAV_Schedule_5_21[[#All],[UNIT TAG]], FALSE), 5)</f>
        <v>580</v>
      </c>
      <c r="V97" s="27">
        <f>INDEX(Schedule!$A$1:$N$2000, MATCH($C97, VAV_Schedule_5_21[[#All],[UNIT TAG]], FALSE), 6)</f>
        <v>120</v>
      </c>
      <c r="W97" s="27">
        <f>INDEX(Schedule!$A$1:$N$2000, MATCH($C97, VAV_Schedule_5_21[[#All],[UNIT TAG]], FALSE), 6)</f>
        <v>120</v>
      </c>
      <c r="X97" s="27">
        <f>INDEX(Schedule!$A$1:$N$2000, MATCH($C97, VAV_Schedule_5_21[[#All],[UNIT TAG]], FALSE), 6)</f>
        <v>120</v>
      </c>
      <c r="Y97" s="27">
        <f>INDEX(Schedule!$A$1:$N$2000, MATCH($C97, VAV_Schedule_5_21[[#All],[UNIT TAG]], FALSE), 6)</f>
        <v>120</v>
      </c>
      <c r="Z97" s="27">
        <f>INDEX(Schedule!$A$1:$N$2000, MATCH($C97, VAV_Schedule_5_21[[#All],[UNIT TAG]], FALSE), 6)</f>
        <v>120</v>
      </c>
      <c r="AA97" s="27">
        <v>1000</v>
      </c>
      <c r="AB97" s="27">
        <v>1100</v>
      </c>
      <c r="AC97">
        <v>1400</v>
      </c>
      <c r="AD97" s="29" t="str">
        <f>IF(INDEX(Schedule!$A$1:$N$2000, MATCH($C97, VAV_Schedule_5_21[[#All],[UNIT TAG]], FALSE), 7)="-", 0, INDEX(Schedule!$A$1:$N$2000, MATCH($C97, VAV_Schedule_5_21[[#All],[UNIT TAG]], FALSE), 7))</f>
        <v>5</v>
      </c>
      <c r="AE97" t="str">
        <f>"B_01'" &amp; "Flr_0" &amp; INDEX(Joined!$A$3:$M$2000, MATCH($A97, Joined!$I$3:$I$2000, FALSE), 8)</f>
        <v>B_01'Flr_03</v>
      </c>
      <c r="AF97" t="str">
        <f>"R_" &amp; INDEX(Joined!$A$3:$M$2000, MATCH($A97, Joined!$I$3:$I$2000, FALSE), 7)</f>
        <v>R_VAV-3W-1</v>
      </c>
      <c r="AG97" t="str">
        <f>"B_01'" &amp; "Flr_0" &amp; INDEX(Joined!$A$3:$M$2000, MATCH($A97, Joined!$I$3:$I$2000, FALSE), 8)</f>
        <v>B_01'Flr_03</v>
      </c>
      <c r="AH97" t="str">
        <f>INDEX(Joined!$A$3:$M$2000, MATCH($A97, Joined!$I$3:$I$2000, FALSE), 7)</f>
        <v>VAV-3W-1</v>
      </c>
      <c r="AI97" t="s">
        <v>910</v>
      </c>
    </row>
    <row r="98" spans="1:35" x14ac:dyDescent="0.2">
      <c r="A98" t="s">
        <v>486</v>
      </c>
      <c r="B98" t="str">
        <f>"B_01'" &amp; "Flr_0" &amp; INDEX(Joined!$A$3:$M$2000, MATCH($A98, Joined!$I$3:$I$2000, FALSE), 8)</f>
        <v>B_01'Flr_03</v>
      </c>
      <c r="C98" t="str">
        <f>INDEX(Joined!$A$3:$M$2000, MATCH($A98, Joined!$I$3:$I$2000, FALSE), 7)</f>
        <v>VAV-3W-2</v>
      </c>
      <c r="D98">
        <f>INDEX(Joined!$A$3:$M$2000, MATCH($A98, Joined!$I$3:$I$2000, FALSE), 5)</f>
        <v>150602</v>
      </c>
      <c r="E98" t="str">
        <f>INDEX(Joined!$A$3:$M$2000, MATCH($A98, Joined!$I$3:$I$2000, FALSE), 7)</f>
        <v>VAV-3W-2</v>
      </c>
      <c r="F98" t="s">
        <v>38</v>
      </c>
      <c r="G98" t="str">
        <f>INDEX(Schedule!$Q$2:$R$7, MATCH(ABT!$H98,Schedule!$Q$2:$Q$7, 0), 2)</f>
        <v>15007_ADXR_VAV_DXR2M10</v>
      </c>
      <c r="H98">
        <f>INDEX(Joined!$A$3:$M$2000, MATCH($A98, Joined!$I$3:$I$2000, FALSE), 6)</f>
        <v>15007</v>
      </c>
      <c r="I98" t="str">
        <f>INDEX(Joined!$A$3:$M$2000, MATCH($A98, Joined!$I$3:$I$2000, FALSE), 4)</f>
        <v>506</v>
      </c>
      <c r="J98" t="b">
        <v>0</v>
      </c>
      <c r="K98">
        <f>INDEX(Joined!$A$3:$M$2000, MATCH($A98, Joined!$I$3:$I$2000, FALSE), 3)</f>
        <v>2</v>
      </c>
      <c r="L98">
        <v>85</v>
      </c>
      <c r="M98">
        <v>38400</v>
      </c>
      <c r="N98" s="27">
        <f>PI()*(INDEX(Schedule!$A$1:$N$2000, MATCH($C98, VAV_Schedule_5_21[[#All],[UNIT TAG]], FALSE), 4)/2/12)^2</f>
        <v>0.3490658503988659</v>
      </c>
      <c r="O98" s="27">
        <f>INDEX(Schedule!$A$1:$N$2000, MATCH($C98, VAV_Schedule_5_21[[#All],[UNIT TAG]], FALSE), 4)</f>
        <v>8</v>
      </c>
      <c r="P98">
        <v>96.63</v>
      </c>
      <c r="Q98" s="27">
        <f>INDEX(Schedule!$A$1:$N$2000, MATCH($C98, VAV_Schedule_5_21[[#All],[UNIT TAG]], FALSE), 5)</f>
        <v>540</v>
      </c>
      <c r="R98" s="27">
        <f>INDEX(Schedule!$A$1:$N$2000, MATCH($C98, VAV_Schedule_5_21[[#All],[UNIT TAG]], FALSE), 6)</f>
        <v>110</v>
      </c>
      <c r="S98" s="27">
        <f>INDEX(Schedule!$A$1:$N$2000, MATCH($C98, VAV_Schedule_5_21[[#All],[UNIT TAG]], FALSE), 5)</f>
        <v>540</v>
      </c>
      <c r="T98" s="27">
        <f>INDEX(Schedule!$A$1:$N$2000, MATCH($C98, VAV_Schedule_5_21[[#All],[UNIT TAG]], FALSE), 6)</f>
        <v>110</v>
      </c>
      <c r="U98" s="27">
        <f>INDEX(Schedule!$A$1:$N$2000, MATCH($C98, VAV_Schedule_5_21[[#All],[UNIT TAG]], FALSE), 5)</f>
        <v>540</v>
      </c>
      <c r="V98" s="27">
        <f>INDEX(Schedule!$A$1:$N$2000, MATCH($C98, VAV_Schedule_5_21[[#All],[UNIT TAG]], FALSE), 6)</f>
        <v>110</v>
      </c>
      <c r="W98" s="27">
        <f>INDEX(Schedule!$A$1:$N$2000, MATCH($C98, VAV_Schedule_5_21[[#All],[UNIT TAG]], FALSE), 6)</f>
        <v>110</v>
      </c>
      <c r="X98" s="27">
        <f>INDEX(Schedule!$A$1:$N$2000, MATCH($C98, VAV_Schedule_5_21[[#All],[UNIT TAG]], FALSE), 6)</f>
        <v>110</v>
      </c>
      <c r="Y98" s="27">
        <f>INDEX(Schedule!$A$1:$N$2000, MATCH($C98, VAV_Schedule_5_21[[#All],[UNIT TAG]], FALSE), 6)</f>
        <v>110</v>
      </c>
      <c r="Z98" s="27">
        <f>INDEX(Schedule!$A$1:$N$2000, MATCH($C98, VAV_Schedule_5_21[[#All],[UNIT TAG]], FALSE), 6)</f>
        <v>110</v>
      </c>
      <c r="AA98" s="27">
        <v>1000</v>
      </c>
      <c r="AB98" s="27">
        <v>1100</v>
      </c>
      <c r="AC98">
        <v>1400</v>
      </c>
      <c r="AD98" s="29" t="str">
        <f>IF(INDEX(Schedule!$A$1:$N$2000, MATCH($C98, VAV_Schedule_5_21[[#All],[UNIT TAG]], FALSE), 7)="-", 0, INDEX(Schedule!$A$1:$N$2000, MATCH($C98, VAV_Schedule_5_21[[#All],[UNIT TAG]], FALSE), 7))</f>
        <v>5</v>
      </c>
      <c r="AE98" t="str">
        <f>"B_01'" &amp; "Flr_0" &amp; INDEX(Joined!$A$3:$M$2000, MATCH($A98, Joined!$I$3:$I$2000, FALSE), 8)</f>
        <v>B_01'Flr_03</v>
      </c>
      <c r="AF98" t="str">
        <f>"R_" &amp; INDEX(Joined!$A$3:$M$2000, MATCH($A98, Joined!$I$3:$I$2000, FALSE), 7)</f>
        <v>R_VAV-3W-2</v>
      </c>
      <c r="AG98" t="str">
        <f>"B_01'" &amp; "Flr_0" &amp; INDEX(Joined!$A$3:$M$2000, MATCH($A98, Joined!$I$3:$I$2000, FALSE), 8)</f>
        <v>B_01'Flr_03</v>
      </c>
      <c r="AH98" t="str">
        <f>INDEX(Joined!$A$3:$M$2000, MATCH($A98, Joined!$I$3:$I$2000, FALSE), 7)</f>
        <v>VAV-3W-2</v>
      </c>
      <c r="AI98" t="s">
        <v>911</v>
      </c>
    </row>
    <row r="99" spans="1:35" x14ac:dyDescent="0.2">
      <c r="A99" t="s">
        <v>489</v>
      </c>
      <c r="B99" t="str">
        <f>"B_01'" &amp; "Flr_0" &amp; INDEX(Joined!$A$3:$M$2000, MATCH($A99, Joined!$I$3:$I$2000, FALSE), 8)</f>
        <v>B_01'Flr_03</v>
      </c>
      <c r="C99" t="str">
        <f>INDEX(Joined!$A$3:$M$2000, MATCH($A99, Joined!$I$3:$I$2000, FALSE), 7)</f>
        <v>VAV-3W-28</v>
      </c>
      <c r="D99">
        <f>INDEX(Joined!$A$3:$M$2000, MATCH($A99, Joined!$I$3:$I$2000, FALSE), 5)</f>
        <v>150605</v>
      </c>
      <c r="E99" t="str">
        <f>INDEX(Joined!$A$3:$M$2000, MATCH($A99, Joined!$I$3:$I$2000, FALSE), 7)</f>
        <v>VAV-3W-28</v>
      </c>
      <c r="F99" t="s">
        <v>38</v>
      </c>
      <c r="G99" t="str">
        <f>INDEX(Schedule!$Q$2:$R$7, MATCH(ABT!$H99,Schedule!$Q$2:$Q$7, 0), 2)</f>
        <v>15006_ADXR_VAV_DXR2M10</v>
      </c>
      <c r="H99">
        <f>INDEX(Joined!$A$3:$M$2000, MATCH($A99, Joined!$I$3:$I$2000, FALSE), 6)</f>
        <v>15006</v>
      </c>
      <c r="I99" t="str">
        <f>INDEX(Joined!$A$3:$M$2000, MATCH($A99, Joined!$I$3:$I$2000, FALSE), 4)</f>
        <v>506</v>
      </c>
      <c r="J99" t="b">
        <v>0</v>
      </c>
      <c r="K99">
        <f>INDEX(Joined!$A$3:$M$2000, MATCH($A99, Joined!$I$3:$I$2000, FALSE), 3)</f>
        <v>5</v>
      </c>
      <c r="L99">
        <v>85</v>
      </c>
      <c r="M99">
        <v>38400</v>
      </c>
      <c r="N99" s="27">
        <f>PI()*(INDEX(Schedule!$A$1:$N$2000, MATCH($C99, VAV_Schedule_5_21[[#All],[UNIT TAG]], FALSE), 4)/2/12)^2</f>
        <v>0.3490658503988659</v>
      </c>
      <c r="O99" s="27">
        <f>INDEX(Schedule!$A$1:$N$2000, MATCH($C99, VAV_Schedule_5_21[[#All],[UNIT TAG]], FALSE), 4)</f>
        <v>8</v>
      </c>
      <c r="P99">
        <v>97.63</v>
      </c>
      <c r="Q99" s="27">
        <f>INDEX(Schedule!$A$1:$N$2000, MATCH($C99, VAV_Schedule_5_21[[#All],[UNIT TAG]], FALSE), 5)</f>
        <v>560</v>
      </c>
      <c r="R99" s="27">
        <f>INDEX(Schedule!$A$1:$N$2000, MATCH($C99, VAV_Schedule_5_21[[#All],[UNIT TAG]], FALSE), 6)</f>
        <v>115</v>
      </c>
      <c r="S99" s="27">
        <f>INDEX(Schedule!$A$1:$N$2000, MATCH($C99, VAV_Schedule_5_21[[#All],[UNIT TAG]], FALSE), 5)</f>
        <v>560</v>
      </c>
      <c r="T99" s="27">
        <f>INDEX(Schedule!$A$1:$N$2000, MATCH($C99, VAV_Schedule_5_21[[#All],[UNIT TAG]], FALSE), 6)</f>
        <v>115</v>
      </c>
      <c r="U99" s="27">
        <f>INDEX(Schedule!$A$1:$N$2000, MATCH($C99, VAV_Schedule_5_21[[#All],[UNIT TAG]], FALSE), 5)</f>
        <v>560</v>
      </c>
      <c r="V99" s="27">
        <f>INDEX(Schedule!$A$1:$N$2000, MATCH($C99, VAV_Schedule_5_21[[#All],[UNIT TAG]], FALSE), 6)</f>
        <v>115</v>
      </c>
      <c r="W99" s="27">
        <f>INDEX(Schedule!$A$1:$N$2000, MATCH($C99, VAV_Schedule_5_21[[#All],[UNIT TAG]], FALSE), 6)</f>
        <v>115</v>
      </c>
      <c r="X99" s="27">
        <f>INDEX(Schedule!$A$1:$N$2000, MATCH($C99, VAV_Schedule_5_21[[#All],[UNIT TAG]], FALSE), 6)</f>
        <v>115</v>
      </c>
      <c r="Y99" s="27">
        <f>INDEX(Schedule!$A$1:$N$2000, MATCH($C99, VAV_Schedule_5_21[[#All],[UNIT TAG]], FALSE), 6)</f>
        <v>115</v>
      </c>
      <c r="Z99" s="27">
        <f>INDEX(Schedule!$A$1:$N$2000, MATCH($C99, VAV_Schedule_5_21[[#All],[UNIT TAG]], FALSE), 6)</f>
        <v>115</v>
      </c>
      <c r="AA99" s="27">
        <v>1000</v>
      </c>
      <c r="AB99" s="27">
        <v>1100</v>
      </c>
      <c r="AC99">
        <v>1400</v>
      </c>
      <c r="AD99" s="29">
        <f>IF(INDEX(Schedule!$A$1:$N$2000, MATCH($C99, VAV_Schedule_5_21[[#All],[UNIT TAG]], FALSE), 7)="-", 0, INDEX(Schedule!$A$1:$N$2000, MATCH($C99, VAV_Schedule_5_21[[#All],[UNIT TAG]], FALSE), 7))</f>
        <v>0</v>
      </c>
      <c r="AE99" t="str">
        <f>"B_01'" &amp; "Flr_0" &amp; INDEX(Joined!$A$3:$M$2000, MATCH($A99, Joined!$I$3:$I$2000, FALSE), 8)</f>
        <v>B_01'Flr_03</v>
      </c>
      <c r="AF99" t="str">
        <f>"R_" &amp; INDEX(Joined!$A$3:$M$2000, MATCH($A99, Joined!$I$3:$I$2000, FALSE), 7)</f>
        <v>R_VAV-3W-28</v>
      </c>
      <c r="AG99" t="str">
        <f>"B_01'" &amp; "Flr_0" &amp; INDEX(Joined!$A$3:$M$2000, MATCH($A99, Joined!$I$3:$I$2000, FALSE), 8)</f>
        <v>B_01'Flr_03</v>
      </c>
      <c r="AH99" t="str">
        <f>INDEX(Joined!$A$3:$M$2000, MATCH($A99, Joined!$I$3:$I$2000, FALSE), 7)</f>
        <v>VAV-3W-28</v>
      </c>
      <c r="AI99" t="s">
        <v>912</v>
      </c>
    </row>
    <row r="100" spans="1:35" x14ac:dyDescent="0.2">
      <c r="A100" t="s">
        <v>490</v>
      </c>
      <c r="B100" t="str">
        <f>"B_01'" &amp; "Flr_0" &amp; INDEX(Joined!$A$3:$M$2000, MATCH($A100, Joined!$I$3:$I$2000, FALSE), 8)</f>
        <v>B_01'Flr_03</v>
      </c>
      <c r="C100" t="str">
        <f>INDEX(Joined!$A$3:$M$2000, MATCH($A100, Joined!$I$3:$I$2000, FALSE), 7)</f>
        <v>VAV-3W-29</v>
      </c>
      <c r="D100">
        <f>INDEX(Joined!$A$3:$M$2000, MATCH($A100, Joined!$I$3:$I$2000, FALSE), 5)</f>
        <v>150606</v>
      </c>
      <c r="E100" t="str">
        <f>INDEX(Joined!$A$3:$M$2000, MATCH($A100, Joined!$I$3:$I$2000, FALSE), 7)</f>
        <v>VAV-3W-29</v>
      </c>
      <c r="F100" t="s">
        <v>38</v>
      </c>
      <c r="G100" t="str">
        <f>INDEX(Schedule!$Q$2:$R$7, MATCH(ABT!$H100,Schedule!$Q$2:$Q$7, 0), 2)</f>
        <v>15006_ADXR_VAV_DXR2M10</v>
      </c>
      <c r="H100">
        <f>INDEX(Joined!$A$3:$M$2000, MATCH($A100, Joined!$I$3:$I$2000, FALSE), 6)</f>
        <v>15006</v>
      </c>
      <c r="I100" t="str">
        <f>INDEX(Joined!$A$3:$M$2000, MATCH($A100, Joined!$I$3:$I$2000, FALSE), 4)</f>
        <v>506</v>
      </c>
      <c r="J100" t="b">
        <v>0</v>
      </c>
      <c r="K100">
        <f>INDEX(Joined!$A$3:$M$2000, MATCH($A100, Joined!$I$3:$I$2000, FALSE), 3)</f>
        <v>6</v>
      </c>
      <c r="L100">
        <v>85</v>
      </c>
      <c r="M100">
        <v>38400</v>
      </c>
      <c r="N100" s="27">
        <f>PI()*(INDEX(Schedule!$A$1:$N$2000, MATCH($C100, VAV_Schedule_5_21[[#All],[UNIT TAG]], FALSE), 4)/2/12)^2</f>
        <v>0.78539816339744828</v>
      </c>
      <c r="O100" s="27">
        <f>INDEX(Schedule!$A$1:$N$2000, MATCH($C100, VAV_Schedule_5_21[[#All],[UNIT TAG]], FALSE), 4)</f>
        <v>12</v>
      </c>
      <c r="P100">
        <v>98.63</v>
      </c>
      <c r="Q100" s="27">
        <f>INDEX(Schedule!$A$1:$N$2000, MATCH($C100, VAV_Schedule_5_21[[#All],[UNIT TAG]], FALSE), 5)</f>
        <v>1180</v>
      </c>
      <c r="R100" s="27">
        <f>INDEX(Schedule!$A$1:$N$2000, MATCH($C100, VAV_Schedule_5_21[[#All],[UNIT TAG]], FALSE), 6)</f>
        <v>240</v>
      </c>
      <c r="S100" s="27">
        <f>INDEX(Schedule!$A$1:$N$2000, MATCH($C100, VAV_Schedule_5_21[[#All],[UNIT TAG]], FALSE), 5)</f>
        <v>1180</v>
      </c>
      <c r="T100" s="27">
        <f>INDEX(Schedule!$A$1:$N$2000, MATCH($C100, VAV_Schedule_5_21[[#All],[UNIT TAG]], FALSE), 6)</f>
        <v>240</v>
      </c>
      <c r="U100" s="27">
        <f>INDEX(Schedule!$A$1:$N$2000, MATCH($C100, VAV_Schedule_5_21[[#All],[UNIT TAG]], FALSE), 5)</f>
        <v>1180</v>
      </c>
      <c r="V100" s="27">
        <f>INDEX(Schedule!$A$1:$N$2000, MATCH($C100, VAV_Schedule_5_21[[#All],[UNIT TAG]], FALSE), 6)</f>
        <v>240</v>
      </c>
      <c r="W100" s="27">
        <f>INDEX(Schedule!$A$1:$N$2000, MATCH($C100, VAV_Schedule_5_21[[#All],[UNIT TAG]], FALSE), 6)</f>
        <v>240</v>
      </c>
      <c r="X100" s="27">
        <f>INDEX(Schedule!$A$1:$N$2000, MATCH($C100, VAV_Schedule_5_21[[#All],[UNIT TAG]], FALSE), 6)</f>
        <v>240</v>
      </c>
      <c r="Y100" s="27">
        <f>INDEX(Schedule!$A$1:$N$2000, MATCH($C100, VAV_Schedule_5_21[[#All],[UNIT TAG]], FALSE), 6)</f>
        <v>240</v>
      </c>
      <c r="Z100" s="27">
        <f>INDEX(Schedule!$A$1:$N$2000, MATCH($C100, VAV_Schedule_5_21[[#All],[UNIT TAG]], FALSE), 6)</f>
        <v>240</v>
      </c>
      <c r="AA100" s="27">
        <v>1000</v>
      </c>
      <c r="AB100" s="27">
        <v>1100</v>
      </c>
      <c r="AC100">
        <v>1400</v>
      </c>
      <c r="AD100" s="29">
        <f>IF(INDEX(Schedule!$A$1:$N$2000, MATCH($C100, VAV_Schedule_5_21[[#All],[UNIT TAG]], FALSE), 7)="-", 0, INDEX(Schedule!$A$1:$N$2000, MATCH($C100, VAV_Schedule_5_21[[#All],[UNIT TAG]], FALSE), 7))</f>
        <v>0</v>
      </c>
      <c r="AE100" t="str">
        <f>"B_01'" &amp; "Flr_0" &amp; INDEX(Joined!$A$3:$M$2000, MATCH($A100, Joined!$I$3:$I$2000, FALSE), 8)</f>
        <v>B_01'Flr_03</v>
      </c>
      <c r="AF100" t="str">
        <f>"R_" &amp; INDEX(Joined!$A$3:$M$2000, MATCH($A100, Joined!$I$3:$I$2000, FALSE), 7)</f>
        <v>R_VAV-3W-29</v>
      </c>
      <c r="AG100" t="str">
        <f>"B_01'" &amp; "Flr_0" &amp; INDEX(Joined!$A$3:$M$2000, MATCH($A100, Joined!$I$3:$I$2000, FALSE), 8)</f>
        <v>B_01'Flr_03</v>
      </c>
      <c r="AH100" t="str">
        <f>INDEX(Joined!$A$3:$M$2000, MATCH($A100, Joined!$I$3:$I$2000, FALSE), 7)</f>
        <v>VAV-3W-29</v>
      </c>
      <c r="AI100" t="s">
        <v>913</v>
      </c>
    </row>
    <row r="101" spans="1:35" x14ac:dyDescent="0.2">
      <c r="A101" t="s">
        <v>487</v>
      </c>
      <c r="B101" t="str">
        <f>"B_01'" &amp; "Flr_0" &amp; INDEX(Joined!$A$3:$M$2000, MATCH($A101, Joined!$I$3:$I$2000, FALSE), 8)</f>
        <v>B_01'Flr_03</v>
      </c>
      <c r="C101" t="str">
        <f>INDEX(Joined!$A$3:$M$2000, MATCH($A101, Joined!$I$3:$I$2000, FALSE), 7)</f>
        <v>VAV-3W-3</v>
      </c>
      <c r="D101">
        <f>INDEX(Joined!$A$3:$M$2000, MATCH($A101, Joined!$I$3:$I$2000, FALSE), 5)</f>
        <v>150603</v>
      </c>
      <c r="E101" t="str">
        <f>INDEX(Joined!$A$3:$M$2000, MATCH($A101, Joined!$I$3:$I$2000, FALSE), 7)</f>
        <v>VAV-3W-3</v>
      </c>
      <c r="F101" t="s">
        <v>38</v>
      </c>
      <c r="G101" t="str">
        <f>INDEX(Schedule!$Q$2:$R$7, MATCH(ABT!$H101,Schedule!$Q$2:$Q$7, 0), 2)</f>
        <v>15007_ADXR_VAV_DXR2M10</v>
      </c>
      <c r="H101">
        <f>INDEX(Joined!$A$3:$M$2000, MATCH($A101, Joined!$I$3:$I$2000, FALSE), 6)</f>
        <v>15007</v>
      </c>
      <c r="I101" t="str">
        <f>INDEX(Joined!$A$3:$M$2000, MATCH($A101, Joined!$I$3:$I$2000, FALSE), 4)</f>
        <v>506</v>
      </c>
      <c r="J101" t="b">
        <v>0</v>
      </c>
      <c r="K101">
        <f>INDEX(Joined!$A$3:$M$2000, MATCH($A101, Joined!$I$3:$I$2000, FALSE), 3)</f>
        <v>3</v>
      </c>
      <c r="L101">
        <v>85</v>
      </c>
      <c r="M101">
        <v>38400</v>
      </c>
      <c r="N101" s="27">
        <f>PI()*(INDEX(Schedule!$A$1:$N$2000, MATCH($C101, VAV_Schedule_5_21[[#All],[UNIT TAG]], FALSE), 4)/2/12)^2</f>
        <v>0.3490658503988659</v>
      </c>
      <c r="O101" s="27">
        <f>INDEX(Schedule!$A$1:$N$2000, MATCH($C101, VAV_Schedule_5_21[[#All],[UNIT TAG]], FALSE), 4)</f>
        <v>8</v>
      </c>
      <c r="P101">
        <v>99.63</v>
      </c>
      <c r="Q101" s="27">
        <f>INDEX(Schedule!$A$1:$N$2000, MATCH($C101, VAV_Schedule_5_21[[#All],[UNIT TAG]], FALSE), 5)</f>
        <v>500</v>
      </c>
      <c r="R101" s="27">
        <f>INDEX(Schedule!$A$1:$N$2000, MATCH($C101, VAV_Schedule_5_21[[#All],[UNIT TAG]], FALSE), 6)</f>
        <v>100</v>
      </c>
      <c r="S101" s="27">
        <f>INDEX(Schedule!$A$1:$N$2000, MATCH($C101, VAV_Schedule_5_21[[#All],[UNIT TAG]], FALSE), 5)</f>
        <v>500</v>
      </c>
      <c r="T101" s="27">
        <f>INDEX(Schedule!$A$1:$N$2000, MATCH($C101, VAV_Schedule_5_21[[#All],[UNIT TAG]], FALSE), 6)</f>
        <v>100</v>
      </c>
      <c r="U101" s="27">
        <f>INDEX(Schedule!$A$1:$N$2000, MATCH($C101, VAV_Schedule_5_21[[#All],[UNIT TAG]], FALSE), 5)</f>
        <v>500</v>
      </c>
      <c r="V101" s="27">
        <f>INDEX(Schedule!$A$1:$N$2000, MATCH($C101, VAV_Schedule_5_21[[#All],[UNIT TAG]], FALSE), 6)</f>
        <v>100</v>
      </c>
      <c r="W101" s="27">
        <f>INDEX(Schedule!$A$1:$N$2000, MATCH($C101, VAV_Schedule_5_21[[#All],[UNIT TAG]], FALSE), 6)</f>
        <v>100</v>
      </c>
      <c r="X101" s="27">
        <f>INDEX(Schedule!$A$1:$N$2000, MATCH($C101, VAV_Schedule_5_21[[#All],[UNIT TAG]], FALSE), 6)</f>
        <v>100</v>
      </c>
      <c r="Y101" s="27">
        <f>INDEX(Schedule!$A$1:$N$2000, MATCH($C101, VAV_Schedule_5_21[[#All],[UNIT TAG]], FALSE), 6)</f>
        <v>100</v>
      </c>
      <c r="Z101" s="27">
        <f>INDEX(Schedule!$A$1:$N$2000, MATCH($C101, VAV_Schedule_5_21[[#All],[UNIT TAG]], FALSE), 6)</f>
        <v>100</v>
      </c>
      <c r="AA101" s="27">
        <v>1000</v>
      </c>
      <c r="AB101" s="27">
        <v>1100</v>
      </c>
      <c r="AC101">
        <v>1400</v>
      </c>
      <c r="AD101" s="29" t="str">
        <f>IF(INDEX(Schedule!$A$1:$N$2000, MATCH($C101, VAV_Schedule_5_21[[#All],[UNIT TAG]], FALSE), 7)="-", 0, INDEX(Schedule!$A$1:$N$2000, MATCH($C101, VAV_Schedule_5_21[[#All],[UNIT TAG]], FALSE), 7))</f>
        <v>5</v>
      </c>
      <c r="AE101" t="str">
        <f>"B_01'" &amp; "Flr_0" &amp; INDEX(Joined!$A$3:$M$2000, MATCH($A101, Joined!$I$3:$I$2000, FALSE), 8)</f>
        <v>B_01'Flr_03</v>
      </c>
      <c r="AF101" t="str">
        <f>"R_" &amp; INDEX(Joined!$A$3:$M$2000, MATCH($A101, Joined!$I$3:$I$2000, FALSE), 7)</f>
        <v>R_VAV-3W-3</v>
      </c>
      <c r="AG101" t="str">
        <f>"B_01'" &amp; "Flr_0" &amp; INDEX(Joined!$A$3:$M$2000, MATCH($A101, Joined!$I$3:$I$2000, FALSE), 8)</f>
        <v>B_01'Flr_03</v>
      </c>
      <c r="AH101" t="str">
        <f>INDEX(Joined!$A$3:$M$2000, MATCH($A101, Joined!$I$3:$I$2000, FALSE), 7)</f>
        <v>VAV-3W-3</v>
      </c>
      <c r="AI101" t="s">
        <v>914</v>
      </c>
    </row>
    <row r="102" spans="1:35" x14ac:dyDescent="0.2">
      <c r="A102" t="s">
        <v>491</v>
      </c>
      <c r="B102" t="str">
        <f>"B_01'" &amp; "Flr_0" &amp; INDEX(Joined!$A$3:$M$2000, MATCH($A102, Joined!$I$3:$I$2000, FALSE), 8)</f>
        <v>B_01'Flr_03</v>
      </c>
      <c r="C102" t="str">
        <f>INDEX(Joined!$A$3:$M$2000, MATCH($A102, Joined!$I$3:$I$2000, FALSE), 7)</f>
        <v>VAV-3W-30</v>
      </c>
      <c r="D102">
        <f>INDEX(Joined!$A$3:$M$2000, MATCH($A102, Joined!$I$3:$I$2000, FALSE), 5)</f>
        <v>150607</v>
      </c>
      <c r="E102" t="str">
        <f>INDEX(Joined!$A$3:$M$2000, MATCH($A102, Joined!$I$3:$I$2000, FALSE), 7)</f>
        <v>VAV-3W-30</v>
      </c>
      <c r="F102" t="s">
        <v>38</v>
      </c>
      <c r="G102" t="str">
        <f>INDEX(Schedule!$Q$2:$R$7, MATCH(ABT!$H102,Schedule!$Q$2:$Q$7, 0), 2)</f>
        <v>15007_ADXR_VAV_DXR2M10</v>
      </c>
      <c r="H102">
        <f>INDEX(Joined!$A$3:$M$2000, MATCH($A102, Joined!$I$3:$I$2000, FALSE), 6)</f>
        <v>15007</v>
      </c>
      <c r="I102" t="str">
        <f>INDEX(Joined!$A$3:$M$2000, MATCH($A102, Joined!$I$3:$I$2000, FALSE), 4)</f>
        <v>506</v>
      </c>
      <c r="J102" t="b">
        <v>0</v>
      </c>
      <c r="K102">
        <f>INDEX(Joined!$A$3:$M$2000, MATCH($A102, Joined!$I$3:$I$2000, FALSE), 3)</f>
        <v>7</v>
      </c>
      <c r="L102">
        <v>85</v>
      </c>
      <c r="M102">
        <v>38400</v>
      </c>
      <c r="N102" s="27">
        <f>PI()*(INDEX(Schedule!$A$1:$N$2000, MATCH($C102, VAV_Schedule_5_21[[#All],[UNIT TAG]], FALSE), 4)/2/12)^2</f>
        <v>0.3490658503988659</v>
      </c>
      <c r="O102" s="27">
        <f>INDEX(Schedule!$A$1:$N$2000, MATCH($C102, VAV_Schedule_5_21[[#All],[UNIT TAG]], FALSE), 4)</f>
        <v>8</v>
      </c>
      <c r="P102">
        <v>100.63</v>
      </c>
      <c r="Q102" s="27">
        <f>INDEX(Schedule!$A$1:$N$2000, MATCH($C102, VAV_Schedule_5_21[[#All],[UNIT TAG]], FALSE), 5)</f>
        <v>640</v>
      </c>
      <c r="R102" s="27">
        <f>INDEX(Schedule!$A$1:$N$2000, MATCH($C102, VAV_Schedule_5_21[[#All],[UNIT TAG]], FALSE), 6)</f>
        <v>130</v>
      </c>
      <c r="S102" s="27">
        <f>INDEX(Schedule!$A$1:$N$2000, MATCH($C102, VAV_Schedule_5_21[[#All],[UNIT TAG]], FALSE), 5)</f>
        <v>640</v>
      </c>
      <c r="T102" s="27">
        <f>INDEX(Schedule!$A$1:$N$2000, MATCH($C102, VAV_Schedule_5_21[[#All],[UNIT TAG]], FALSE), 6)</f>
        <v>130</v>
      </c>
      <c r="U102" s="27">
        <f>INDEX(Schedule!$A$1:$N$2000, MATCH($C102, VAV_Schedule_5_21[[#All],[UNIT TAG]], FALSE), 5)</f>
        <v>640</v>
      </c>
      <c r="V102" s="27">
        <f>INDEX(Schedule!$A$1:$N$2000, MATCH($C102, VAV_Schedule_5_21[[#All],[UNIT TAG]], FALSE), 6)</f>
        <v>130</v>
      </c>
      <c r="W102" s="27">
        <f>INDEX(Schedule!$A$1:$N$2000, MATCH($C102, VAV_Schedule_5_21[[#All],[UNIT TAG]], FALSE), 6)</f>
        <v>130</v>
      </c>
      <c r="X102" s="27">
        <f>INDEX(Schedule!$A$1:$N$2000, MATCH($C102, VAV_Schedule_5_21[[#All],[UNIT TAG]], FALSE), 6)</f>
        <v>130</v>
      </c>
      <c r="Y102" s="27">
        <f>INDEX(Schedule!$A$1:$N$2000, MATCH($C102, VAV_Schedule_5_21[[#All],[UNIT TAG]], FALSE), 6)</f>
        <v>130</v>
      </c>
      <c r="Z102" s="27">
        <f>INDEX(Schedule!$A$1:$N$2000, MATCH($C102, VAV_Schedule_5_21[[#All],[UNIT TAG]], FALSE), 6)</f>
        <v>130</v>
      </c>
      <c r="AA102" s="27">
        <v>1000</v>
      </c>
      <c r="AB102" s="27">
        <v>1100</v>
      </c>
      <c r="AC102">
        <v>1400</v>
      </c>
      <c r="AD102" s="29" t="str">
        <f>IF(INDEX(Schedule!$A$1:$N$2000, MATCH($C102, VAV_Schedule_5_21[[#All],[UNIT TAG]], FALSE), 7)="-", 0, INDEX(Schedule!$A$1:$N$2000, MATCH($C102, VAV_Schedule_5_21[[#All],[UNIT TAG]], FALSE), 7))</f>
        <v>6</v>
      </c>
      <c r="AE102" t="str">
        <f>"B_01'" &amp; "Flr_0" &amp; INDEX(Joined!$A$3:$M$2000, MATCH($A102, Joined!$I$3:$I$2000, FALSE), 8)</f>
        <v>B_01'Flr_03</v>
      </c>
      <c r="AF102" t="str">
        <f>"R_" &amp; INDEX(Joined!$A$3:$M$2000, MATCH($A102, Joined!$I$3:$I$2000, FALSE), 7)</f>
        <v>R_VAV-3W-30</v>
      </c>
      <c r="AG102" t="str">
        <f>"B_01'" &amp; "Flr_0" &amp; INDEX(Joined!$A$3:$M$2000, MATCH($A102, Joined!$I$3:$I$2000, FALSE), 8)</f>
        <v>B_01'Flr_03</v>
      </c>
      <c r="AH102" t="str">
        <f>INDEX(Joined!$A$3:$M$2000, MATCH($A102, Joined!$I$3:$I$2000, FALSE), 7)</f>
        <v>VAV-3W-30</v>
      </c>
      <c r="AI102" t="s">
        <v>915</v>
      </c>
    </row>
    <row r="103" spans="1:35" x14ac:dyDescent="0.2">
      <c r="A103" t="s">
        <v>492</v>
      </c>
      <c r="B103" t="str">
        <f>"B_01'" &amp; "Flr_0" &amp; INDEX(Joined!$A$3:$M$2000, MATCH($A103, Joined!$I$3:$I$2000, FALSE), 8)</f>
        <v>B_01'Flr_03</v>
      </c>
      <c r="C103" t="str">
        <f>INDEX(Joined!$A$3:$M$2000, MATCH($A103, Joined!$I$3:$I$2000, FALSE), 7)</f>
        <v>VAV-3W-31</v>
      </c>
      <c r="D103">
        <f>INDEX(Joined!$A$3:$M$2000, MATCH($A103, Joined!$I$3:$I$2000, FALSE), 5)</f>
        <v>150608</v>
      </c>
      <c r="E103" t="str">
        <f>INDEX(Joined!$A$3:$M$2000, MATCH($A103, Joined!$I$3:$I$2000, FALSE), 7)</f>
        <v>VAV-3W-31</v>
      </c>
      <c r="F103" t="s">
        <v>38</v>
      </c>
      <c r="G103" t="str">
        <f>INDEX(Schedule!$Q$2:$R$7, MATCH(ABT!$H103,Schedule!$Q$2:$Q$7, 0), 2)</f>
        <v>15007_ADXR_VAV_DXR2M10</v>
      </c>
      <c r="H103">
        <f>INDEX(Joined!$A$3:$M$2000, MATCH($A103, Joined!$I$3:$I$2000, FALSE), 6)</f>
        <v>15007</v>
      </c>
      <c r="I103" t="str">
        <f>INDEX(Joined!$A$3:$M$2000, MATCH($A103, Joined!$I$3:$I$2000, FALSE), 4)</f>
        <v>506</v>
      </c>
      <c r="J103" t="b">
        <v>0</v>
      </c>
      <c r="K103">
        <f>INDEX(Joined!$A$3:$M$2000, MATCH($A103, Joined!$I$3:$I$2000, FALSE), 3)</f>
        <v>8</v>
      </c>
      <c r="L103">
        <v>85</v>
      </c>
      <c r="M103">
        <v>38400</v>
      </c>
      <c r="N103" s="27">
        <f>PI()*(INDEX(Schedule!$A$1:$N$2000, MATCH($C103, VAV_Schedule_5_21[[#All],[UNIT TAG]], FALSE), 4)/2/12)^2</f>
        <v>0.54541539124822802</v>
      </c>
      <c r="O103" s="27">
        <f>INDEX(Schedule!$A$1:$N$2000, MATCH($C103, VAV_Schedule_5_21[[#All],[UNIT TAG]], FALSE), 4)</f>
        <v>10</v>
      </c>
      <c r="P103">
        <v>101.63</v>
      </c>
      <c r="Q103" s="27">
        <f>INDEX(Schedule!$A$1:$N$2000, MATCH($C103, VAV_Schedule_5_21[[#All],[UNIT TAG]], FALSE), 5)</f>
        <v>860</v>
      </c>
      <c r="R103" s="27">
        <f>INDEX(Schedule!$A$1:$N$2000, MATCH($C103, VAV_Schedule_5_21[[#All],[UNIT TAG]], FALSE), 6)</f>
        <v>175</v>
      </c>
      <c r="S103" s="27">
        <f>INDEX(Schedule!$A$1:$N$2000, MATCH($C103, VAV_Schedule_5_21[[#All],[UNIT TAG]], FALSE), 5)</f>
        <v>860</v>
      </c>
      <c r="T103" s="27">
        <f>INDEX(Schedule!$A$1:$N$2000, MATCH($C103, VAV_Schedule_5_21[[#All],[UNIT TAG]], FALSE), 6)</f>
        <v>175</v>
      </c>
      <c r="U103" s="27">
        <f>INDEX(Schedule!$A$1:$N$2000, MATCH($C103, VAV_Schedule_5_21[[#All],[UNIT TAG]], FALSE), 5)</f>
        <v>860</v>
      </c>
      <c r="V103" s="27">
        <f>INDEX(Schedule!$A$1:$N$2000, MATCH($C103, VAV_Schedule_5_21[[#All],[UNIT TAG]], FALSE), 6)</f>
        <v>175</v>
      </c>
      <c r="W103" s="27">
        <f>INDEX(Schedule!$A$1:$N$2000, MATCH($C103, VAV_Schedule_5_21[[#All],[UNIT TAG]], FALSE), 6)</f>
        <v>175</v>
      </c>
      <c r="X103" s="27">
        <f>INDEX(Schedule!$A$1:$N$2000, MATCH($C103, VAV_Schedule_5_21[[#All],[UNIT TAG]], FALSE), 6)</f>
        <v>175</v>
      </c>
      <c r="Y103" s="27">
        <f>INDEX(Schedule!$A$1:$N$2000, MATCH($C103, VAV_Schedule_5_21[[#All],[UNIT TAG]], FALSE), 6)</f>
        <v>175</v>
      </c>
      <c r="Z103" s="27">
        <f>INDEX(Schedule!$A$1:$N$2000, MATCH($C103, VAV_Schedule_5_21[[#All],[UNIT TAG]], FALSE), 6)</f>
        <v>175</v>
      </c>
      <c r="AA103" s="27">
        <v>1000</v>
      </c>
      <c r="AB103" s="27">
        <v>1100</v>
      </c>
      <c r="AC103">
        <v>1400</v>
      </c>
      <c r="AD103" s="29" t="str">
        <f>IF(INDEX(Schedule!$A$1:$N$2000, MATCH($C103, VAV_Schedule_5_21[[#All],[UNIT TAG]], FALSE), 7)="-", 0, INDEX(Schedule!$A$1:$N$2000, MATCH($C103, VAV_Schedule_5_21[[#All],[UNIT TAG]], FALSE), 7))</f>
        <v>6</v>
      </c>
      <c r="AE103" t="str">
        <f>"B_01'" &amp; "Flr_0" &amp; INDEX(Joined!$A$3:$M$2000, MATCH($A103, Joined!$I$3:$I$2000, FALSE), 8)</f>
        <v>B_01'Flr_03</v>
      </c>
      <c r="AF103" t="str">
        <f>"R_" &amp; INDEX(Joined!$A$3:$M$2000, MATCH($A103, Joined!$I$3:$I$2000, FALSE), 7)</f>
        <v>R_VAV-3W-31</v>
      </c>
      <c r="AG103" t="str">
        <f>"B_01'" &amp; "Flr_0" &amp; INDEX(Joined!$A$3:$M$2000, MATCH($A103, Joined!$I$3:$I$2000, FALSE), 8)</f>
        <v>B_01'Flr_03</v>
      </c>
      <c r="AH103" t="str">
        <f>INDEX(Joined!$A$3:$M$2000, MATCH($A103, Joined!$I$3:$I$2000, FALSE), 7)</f>
        <v>VAV-3W-31</v>
      </c>
      <c r="AI103" t="s">
        <v>916</v>
      </c>
    </row>
    <row r="104" spans="1:35" x14ac:dyDescent="0.2">
      <c r="A104" t="s">
        <v>493</v>
      </c>
      <c r="B104" t="str">
        <f>"B_01'" &amp; "Flr_0" &amp; INDEX(Joined!$A$3:$M$2000, MATCH($A104, Joined!$I$3:$I$2000, FALSE), 8)</f>
        <v>B_01'Flr_03</v>
      </c>
      <c r="C104" t="str">
        <f>INDEX(Joined!$A$3:$M$2000, MATCH($A104, Joined!$I$3:$I$2000, FALSE), 7)</f>
        <v>VAV-3W-32</v>
      </c>
      <c r="D104">
        <f>INDEX(Joined!$A$3:$M$2000, MATCH($A104, Joined!$I$3:$I$2000, FALSE), 5)</f>
        <v>150609</v>
      </c>
      <c r="E104" t="str">
        <f>INDEX(Joined!$A$3:$M$2000, MATCH($A104, Joined!$I$3:$I$2000, FALSE), 7)</f>
        <v>VAV-3W-32</v>
      </c>
      <c r="F104" t="s">
        <v>38</v>
      </c>
      <c r="G104" t="str">
        <f>INDEX(Schedule!$Q$2:$R$7, MATCH(ABT!$H104,Schedule!$Q$2:$Q$7, 0), 2)</f>
        <v>15007_ADXR_VAV_DXR2M10</v>
      </c>
      <c r="H104">
        <f>INDEX(Joined!$A$3:$M$2000, MATCH($A104, Joined!$I$3:$I$2000, FALSE), 6)</f>
        <v>15007</v>
      </c>
      <c r="I104" t="str">
        <f>INDEX(Joined!$A$3:$M$2000, MATCH($A104, Joined!$I$3:$I$2000, FALSE), 4)</f>
        <v>506</v>
      </c>
      <c r="J104" t="b">
        <v>0</v>
      </c>
      <c r="K104">
        <f>INDEX(Joined!$A$3:$M$2000, MATCH($A104, Joined!$I$3:$I$2000, FALSE), 3)</f>
        <v>9</v>
      </c>
      <c r="L104">
        <v>85</v>
      </c>
      <c r="M104">
        <v>38400</v>
      </c>
      <c r="N104" s="27">
        <f>PI()*(INDEX(Schedule!$A$1:$N$2000, MATCH($C104, VAV_Schedule_5_21[[#All],[UNIT TAG]], FALSE), 4)/2/12)^2</f>
        <v>0.3490658503988659</v>
      </c>
      <c r="O104" s="27">
        <f>INDEX(Schedule!$A$1:$N$2000, MATCH($C104, VAV_Schedule_5_21[[#All],[UNIT TAG]], FALSE), 4)</f>
        <v>8</v>
      </c>
      <c r="P104">
        <v>102.63</v>
      </c>
      <c r="Q104" s="27">
        <f>INDEX(Schedule!$A$1:$N$2000, MATCH($C104, VAV_Schedule_5_21[[#All],[UNIT TAG]], FALSE), 5)</f>
        <v>700</v>
      </c>
      <c r="R104" s="27">
        <f>INDEX(Schedule!$A$1:$N$2000, MATCH($C104, VAV_Schedule_5_21[[#All],[UNIT TAG]], FALSE), 6)</f>
        <v>140</v>
      </c>
      <c r="S104" s="27">
        <f>INDEX(Schedule!$A$1:$N$2000, MATCH($C104, VAV_Schedule_5_21[[#All],[UNIT TAG]], FALSE), 5)</f>
        <v>700</v>
      </c>
      <c r="T104" s="27">
        <f>INDEX(Schedule!$A$1:$N$2000, MATCH($C104, VAV_Schedule_5_21[[#All],[UNIT TAG]], FALSE), 6)</f>
        <v>140</v>
      </c>
      <c r="U104" s="27">
        <f>INDEX(Schedule!$A$1:$N$2000, MATCH($C104, VAV_Schedule_5_21[[#All],[UNIT TAG]], FALSE), 5)</f>
        <v>700</v>
      </c>
      <c r="V104" s="27">
        <f>INDEX(Schedule!$A$1:$N$2000, MATCH($C104, VAV_Schedule_5_21[[#All],[UNIT TAG]], FALSE), 6)</f>
        <v>140</v>
      </c>
      <c r="W104" s="27">
        <f>INDEX(Schedule!$A$1:$N$2000, MATCH($C104, VAV_Schedule_5_21[[#All],[UNIT TAG]], FALSE), 6)</f>
        <v>140</v>
      </c>
      <c r="X104" s="27">
        <f>INDEX(Schedule!$A$1:$N$2000, MATCH($C104, VAV_Schedule_5_21[[#All],[UNIT TAG]], FALSE), 6)</f>
        <v>140</v>
      </c>
      <c r="Y104" s="27">
        <f>INDEX(Schedule!$A$1:$N$2000, MATCH($C104, VAV_Schedule_5_21[[#All],[UNIT TAG]], FALSE), 6)</f>
        <v>140</v>
      </c>
      <c r="Z104" s="27">
        <f>INDEX(Schedule!$A$1:$N$2000, MATCH($C104, VAV_Schedule_5_21[[#All],[UNIT TAG]], FALSE), 6)</f>
        <v>140</v>
      </c>
      <c r="AA104" s="27">
        <v>1000</v>
      </c>
      <c r="AB104" s="27">
        <v>1100</v>
      </c>
      <c r="AC104">
        <v>1400</v>
      </c>
      <c r="AD104" s="29" t="str">
        <f>IF(INDEX(Schedule!$A$1:$N$2000, MATCH($C104, VAV_Schedule_5_21[[#All],[UNIT TAG]], FALSE), 7)="-", 0, INDEX(Schedule!$A$1:$N$2000, MATCH($C104, VAV_Schedule_5_21[[#All],[UNIT TAG]], FALSE), 7))</f>
        <v>6</v>
      </c>
      <c r="AE104" t="str">
        <f>"B_01'" &amp; "Flr_0" &amp; INDEX(Joined!$A$3:$M$2000, MATCH($A104, Joined!$I$3:$I$2000, FALSE), 8)</f>
        <v>B_01'Flr_03</v>
      </c>
      <c r="AF104" t="str">
        <f>"R_" &amp; INDEX(Joined!$A$3:$M$2000, MATCH($A104, Joined!$I$3:$I$2000, FALSE), 7)</f>
        <v>R_VAV-3W-32</v>
      </c>
      <c r="AG104" t="str">
        <f>"B_01'" &amp; "Flr_0" &amp; INDEX(Joined!$A$3:$M$2000, MATCH($A104, Joined!$I$3:$I$2000, FALSE), 8)</f>
        <v>B_01'Flr_03</v>
      </c>
      <c r="AH104" t="str">
        <f>INDEX(Joined!$A$3:$M$2000, MATCH($A104, Joined!$I$3:$I$2000, FALSE), 7)</f>
        <v>VAV-3W-32</v>
      </c>
      <c r="AI104" t="s">
        <v>917</v>
      </c>
    </row>
    <row r="105" spans="1:35" x14ac:dyDescent="0.2">
      <c r="A105" t="s">
        <v>494</v>
      </c>
      <c r="B105" t="str">
        <f>"B_01'" &amp; "Flr_0" &amp; INDEX(Joined!$A$3:$M$2000, MATCH($A105, Joined!$I$3:$I$2000, FALSE), 8)</f>
        <v>B_01'Flr_03</v>
      </c>
      <c r="C105" t="str">
        <f>INDEX(Joined!$A$3:$M$2000, MATCH($A105, Joined!$I$3:$I$2000, FALSE), 7)</f>
        <v>VAV-3W-33</v>
      </c>
      <c r="D105">
        <f>INDEX(Joined!$A$3:$M$2000, MATCH($A105, Joined!$I$3:$I$2000, FALSE), 5)</f>
        <v>150610</v>
      </c>
      <c r="E105" t="str">
        <f>INDEX(Joined!$A$3:$M$2000, MATCH($A105, Joined!$I$3:$I$2000, FALSE), 7)</f>
        <v>VAV-3W-33</v>
      </c>
      <c r="F105" t="s">
        <v>38</v>
      </c>
      <c r="G105" t="str">
        <f>INDEX(Schedule!$Q$2:$R$7, MATCH(ABT!$H105,Schedule!$Q$2:$Q$7, 0), 2)</f>
        <v>15006_ADXR_VAV_DXR2M10</v>
      </c>
      <c r="H105">
        <f>INDEX(Joined!$A$3:$M$2000, MATCH($A105, Joined!$I$3:$I$2000, FALSE), 6)</f>
        <v>15006</v>
      </c>
      <c r="I105" t="str">
        <f>INDEX(Joined!$A$3:$M$2000, MATCH($A105, Joined!$I$3:$I$2000, FALSE), 4)</f>
        <v>506</v>
      </c>
      <c r="J105" t="b">
        <v>0</v>
      </c>
      <c r="K105">
        <f>INDEX(Joined!$A$3:$M$2000, MATCH($A105, Joined!$I$3:$I$2000, FALSE), 3)</f>
        <v>10</v>
      </c>
      <c r="L105">
        <v>85</v>
      </c>
      <c r="M105">
        <v>38400</v>
      </c>
      <c r="N105" s="27">
        <f>PI()*(INDEX(Schedule!$A$1:$N$2000, MATCH($C105, VAV_Schedule_5_21[[#All],[UNIT TAG]], FALSE), 4)/2/12)^2</f>
        <v>0.78539816339744828</v>
      </c>
      <c r="O105" s="27">
        <f>INDEX(Schedule!$A$1:$N$2000, MATCH($C105, VAV_Schedule_5_21[[#All],[UNIT TAG]], FALSE), 4)</f>
        <v>12</v>
      </c>
      <c r="P105">
        <v>103.63</v>
      </c>
      <c r="Q105" s="27">
        <f>INDEX(Schedule!$A$1:$N$2000, MATCH($C105, VAV_Schedule_5_21[[#All],[UNIT TAG]], FALSE), 5)</f>
        <v>1260</v>
      </c>
      <c r="R105" s="27">
        <f>INDEX(Schedule!$A$1:$N$2000, MATCH($C105, VAV_Schedule_5_21[[#All],[UNIT TAG]], FALSE), 6)</f>
        <v>255</v>
      </c>
      <c r="S105" s="27">
        <f>INDEX(Schedule!$A$1:$N$2000, MATCH($C105, VAV_Schedule_5_21[[#All],[UNIT TAG]], FALSE), 5)</f>
        <v>1260</v>
      </c>
      <c r="T105" s="27">
        <f>INDEX(Schedule!$A$1:$N$2000, MATCH($C105, VAV_Schedule_5_21[[#All],[UNIT TAG]], FALSE), 6)</f>
        <v>255</v>
      </c>
      <c r="U105" s="27">
        <f>INDEX(Schedule!$A$1:$N$2000, MATCH($C105, VAV_Schedule_5_21[[#All],[UNIT TAG]], FALSE), 5)</f>
        <v>1260</v>
      </c>
      <c r="V105" s="27">
        <f>INDEX(Schedule!$A$1:$N$2000, MATCH($C105, VAV_Schedule_5_21[[#All],[UNIT TAG]], FALSE), 6)</f>
        <v>255</v>
      </c>
      <c r="W105" s="27">
        <f>INDEX(Schedule!$A$1:$N$2000, MATCH($C105, VAV_Schedule_5_21[[#All],[UNIT TAG]], FALSE), 6)</f>
        <v>255</v>
      </c>
      <c r="X105" s="27">
        <f>INDEX(Schedule!$A$1:$N$2000, MATCH($C105, VAV_Schedule_5_21[[#All],[UNIT TAG]], FALSE), 6)</f>
        <v>255</v>
      </c>
      <c r="Y105" s="27">
        <f>INDEX(Schedule!$A$1:$N$2000, MATCH($C105, VAV_Schedule_5_21[[#All],[UNIT TAG]], FALSE), 6)</f>
        <v>255</v>
      </c>
      <c r="Z105" s="27">
        <f>INDEX(Schedule!$A$1:$N$2000, MATCH($C105, VAV_Schedule_5_21[[#All],[UNIT TAG]], FALSE), 6)</f>
        <v>255</v>
      </c>
      <c r="AA105" s="27">
        <v>1000</v>
      </c>
      <c r="AB105" s="27">
        <v>1100</v>
      </c>
      <c r="AC105">
        <v>1400</v>
      </c>
      <c r="AD105" s="29">
        <f>IF(INDEX(Schedule!$A$1:$N$2000, MATCH($C105, VAV_Schedule_5_21[[#All],[UNIT TAG]], FALSE), 7)="-", 0, INDEX(Schedule!$A$1:$N$2000, MATCH($C105, VAV_Schedule_5_21[[#All],[UNIT TAG]], FALSE), 7))</f>
        <v>0</v>
      </c>
      <c r="AE105" t="str">
        <f>"B_01'" &amp; "Flr_0" &amp; INDEX(Joined!$A$3:$M$2000, MATCH($A105, Joined!$I$3:$I$2000, FALSE), 8)</f>
        <v>B_01'Flr_03</v>
      </c>
      <c r="AF105" t="str">
        <f>"R_" &amp; INDEX(Joined!$A$3:$M$2000, MATCH($A105, Joined!$I$3:$I$2000, FALSE), 7)</f>
        <v>R_VAV-3W-33</v>
      </c>
      <c r="AG105" t="str">
        <f>"B_01'" &amp; "Flr_0" &amp; INDEX(Joined!$A$3:$M$2000, MATCH($A105, Joined!$I$3:$I$2000, FALSE), 8)</f>
        <v>B_01'Flr_03</v>
      </c>
      <c r="AH105" t="str">
        <f>INDEX(Joined!$A$3:$M$2000, MATCH($A105, Joined!$I$3:$I$2000, FALSE), 7)</f>
        <v>VAV-3W-33</v>
      </c>
      <c r="AI105" t="s">
        <v>918</v>
      </c>
    </row>
    <row r="106" spans="1:35" x14ac:dyDescent="0.2">
      <c r="A106" t="s">
        <v>495</v>
      </c>
      <c r="B106" t="str">
        <f>"B_01'" &amp; "Flr_0" &amp; INDEX(Joined!$A$3:$M$2000, MATCH($A106, Joined!$I$3:$I$2000, FALSE), 8)</f>
        <v>B_01'Flr_03</v>
      </c>
      <c r="C106" t="str">
        <f>INDEX(Joined!$A$3:$M$2000, MATCH($A106, Joined!$I$3:$I$2000, FALSE), 7)</f>
        <v>VAV-3W-34</v>
      </c>
      <c r="D106">
        <f>INDEX(Joined!$A$3:$M$2000, MATCH($A106, Joined!$I$3:$I$2000, FALSE), 5)</f>
        <v>150611</v>
      </c>
      <c r="E106" t="str">
        <f>INDEX(Joined!$A$3:$M$2000, MATCH($A106, Joined!$I$3:$I$2000, FALSE), 7)</f>
        <v>VAV-3W-34</v>
      </c>
      <c r="F106" t="s">
        <v>38</v>
      </c>
      <c r="G106" t="str">
        <f>INDEX(Schedule!$Q$2:$R$7, MATCH(ABT!$H106,Schedule!$Q$2:$Q$7, 0), 2)</f>
        <v>15006_ADXR_VAV_DXR2M10</v>
      </c>
      <c r="H106">
        <f>INDEX(Joined!$A$3:$M$2000, MATCH($A106, Joined!$I$3:$I$2000, FALSE), 6)</f>
        <v>15006</v>
      </c>
      <c r="I106" t="str">
        <f>INDEX(Joined!$A$3:$M$2000, MATCH($A106, Joined!$I$3:$I$2000, FALSE), 4)</f>
        <v>506</v>
      </c>
      <c r="J106" t="b">
        <v>0</v>
      </c>
      <c r="K106">
        <f>INDEX(Joined!$A$3:$M$2000, MATCH($A106, Joined!$I$3:$I$2000, FALSE), 3)</f>
        <v>11</v>
      </c>
      <c r="L106">
        <v>85</v>
      </c>
      <c r="M106">
        <v>38400</v>
      </c>
      <c r="N106" s="27">
        <f>PI()*(INDEX(Schedule!$A$1:$N$2000, MATCH($C106, VAV_Schedule_5_21[[#All],[UNIT TAG]], FALSE), 4)/2/12)^2</f>
        <v>0.3490658503988659</v>
      </c>
      <c r="O106" s="27">
        <f>INDEX(Schedule!$A$1:$N$2000, MATCH($C106, VAV_Schedule_5_21[[#All],[UNIT TAG]], FALSE), 4)</f>
        <v>8</v>
      </c>
      <c r="P106">
        <v>104.63</v>
      </c>
      <c r="Q106" s="27">
        <f>INDEX(Schedule!$A$1:$N$2000, MATCH($C106, VAV_Schedule_5_21[[#All],[UNIT TAG]], FALSE), 5)</f>
        <v>600</v>
      </c>
      <c r="R106" s="27">
        <f>INDEX(Schedule!$A$1:$N$2000, MATCH($C106, VAV_Schedule_5_21[[#All],[UNIT TAG]], FALSE), 6)</f>
        <v>120</v>
      </c>
      <c r="S106" s="27">
        <f>INDEX(Schedule!$A$1:$N$2000, MATCH($C106, VAV_Schedule_5_21[[#All],[UNIT TAG]], FALSE), 5)</f>
        <v>600</v>
      </c>
      <c r="T106" s="27">
        <f>INDEX(Schedule!$A$1:$N$2000, MATCH($C106, VAV_Schedule_5_21[[#All],[UNIT TAG]], FALSE), 6)</f>
        <v>120</v>
      </c>
      <c r="U106" s="27">
        <f>INDEX(Schedule!$A$1:$N$2000, MATCH($C106, VAV_Schedule_5_21[[#All],[UNIT TAG]], FALSE), 5)</f>
        <v>600</v>
      </c>
      <c r="V106" s="27">
        <f>INDEX(Schedule!$A$1:$N$2000, MATCH($C106, VAV_Schedule_5_21[[#All],[UNIT TAG]], FALSE), 6)</f>
        <v>120</v>
      </c>
      <c r="W106" s="27">
        <f>INDEX(Schedule!$A$1:$N$2000, MATCH($C106, VAV_Schedule_5_21[[#All],[UNIT TAG]], FALSE), 6)</f>
        <v>120</v>
      </c>
      <c r="X106" s="27">
        <f>INDEX(Schedule!$A$1:$N$2000, MATCH($C106, VAV_Schedule_5_21[[#All],[UNIT TAG]], FALSE), 6)</f>
        <v>120</v>
      </c>
      <c r="Y106" s="27">
        <f>INDEX(Schedule!$A$1:$N$2000, MATCH($C106, VAV_Schedule_5_21[[#All],[UNIT TAG]], FALSE), 6)</f>
        <v>120</v>
      </c>
      <c r="Z106" s="27">
        <f>INDEX(Schedule!$A$1:$N$2000, MATCH($C106, VAV_Schedule_5_21[[#All],[UNIT TAG]], FALSE), 6)</f>
        <v>120</v>
      </c>
      <c r="AA106" s="27">
        <v>1000</v>
      </c>
      <c r="AB106" s="27">
        <v>1100</v>
      </c>
      <c r="AC106">
        <v>1400</v>
      </c>
      <c r="AD106" s="29">
        <f>IF(INDEX(Schedule!$A$1:$N$2000, MATCH($C106, VAV_Schedule_5_21[[#All],[UNIT TAG]], FALSE), 7)="-", 0, INDEX(Schedule!$A$1:$N$2000, MATCH($C106, VAV_Schedule_5_21[[#All],[UNIT TAG]], FALSE), 7))</f>
        <v>0</v>
      </c>
      <c r="AE106" t="str">
        <f>"B_01'" &amp; "Flr_0" &amp; INDEX(Joined!$A$3:$M$2000, MATCH($A106, Joined!$I$3:$I$2000, FALSE), 8)</f>
        <v>B_01'Flr_03</v>
      </c>
      <c r="AF106" t="str">
        <f>"R_" &amp; INDEX(Joined!$A$3:$M$2000, MATCH($A106, Joined!$I$3:$I$2000, FALSE), 7)</f>
        <v>R_VAV-3W-34</v>
      </c>
      <c r="AG106" t="str">
        <f>"B_01'" &amp; "Flr_0" &amp; INDEX(Joined!$A$3:$M$2000, MATCH($A106, Joined!$I$3:$I$2000, FALSE), 8)</f>
        <v>B_01'Flr_03</v>
      </c>
      <c r="AH106" t="str">
        <f>INDEX(Joined!$A$3:$M$2000, MATCH($A106, Joined!$I$3:$I$2000, FALSE), 7)</f>
        <v>VAV-3W-34</v>
      </c>
      <c r="AI106" t="s">
        <v>919</v>
      </c>
    </row>
    <row r="107" spans="1:35" x14ac:dyDescent="0.2">
      <c r="A107" t="s">
        <v>496</v>
      </c>
      <c r="B107" t="str">
        <f>"B_01'" &amp; "Flr_0" &amp; INDEX(Joined!$A$3:$M$2000, MATCH($A107, Joined!$I$3:$I$2000, FALSE), 8)</f>
        <v>B_01'Flr_03</v>
      </c>
      <c r="C107" t="str">
        <f>INDEX(Joined!$A$3:$M$2000, MATCH($A107, Joined!$I$3:$I$2000, FALSE), 7)</f>
        <v>VAV-3W-35</v>
      </c>
      <c r="D107">
        <f>INDEX(Joined!$A$3:$M$2000, MATCH($A107, Joined!$I$3:$I$2000, FALSE), 5)</f>
        <v>150612</v>
      </c>
      <c r="E107" t="str">
        <f>INDEX(Joined!$A$3:$M$2000, MATCH($A107, Joined!$I$3:$I$2000, FALSE), 7)</f>
        <v>VAV-3W-35</v>
      </c>
      <c r="F107" t="s">
        <v>38</v>
      </c>
      <c r="G107" t="str">
        <f>INDEX(Schedule!$Q$2:$R$7, MATCH(ABT!$H107,Schedule!$Q$2:$Q$7, 0), 2)</f>
        <v>15007_ADXR_VAV_DXR2M10</v>
      </c>
      <c r="H107">
        <f>INDEX(Joined!$A$3:$M$2000, MATCH($A107, Joined!$I$3:$I$2000, FALSE), 6)</f>
        <v>15007</v>
      </c>
      <c r="I107" t="str">
        <f>INDEX(Joined!$A$3:$M$2000, MATCH($A107, Joined!$I$3:$I$2000, FALSE), 4)</f>
        <v>506</v>
      </c>
      <c r="J107" t="b">
        <v>0</v>
      </c>
      <c r="K107">
        <f>INDEX(Joined!$A$3:$M$2000, MATCH($A107, Joined!$I$3:$I$2000, FALSE), 3)</f>
        <v>12</v>
      </c>
      <c r="L107">
        <v>85</v>
      </c>
      <c r="M107">
        <v>38400</v>
      </c>
      <c r="N107" s="27">
        <f>PI()*(INDEX(Schedule!$A$1:$N$2000, MATCH($C107, VAV_Schedule_5_21[[#All],[UNIT TAG]], FALSE), 4)/2/12)^2</f>
        <v>0.78539816339744828</v>
      </c>
      <c r="O107" s="27">
        <f>INDEX(Schedule!$A$1:$N$2000, MATCH($C107, VAV_Schedule_5_21[[#All],[UNIT TAG]], FALSE), 4)</f>
        <v>12</v>
      </c>
      <c r="P107">
        <v>105.63</v>
      </c>
      <c r="Q107" s="27">
        <f>INDEX(Schedule!$A$1:$N$2000, MATCH($C107, VAV_Schedule_5_21[[#All],[UNIT TAG]], FALSE), 5)</f>
        <v>1200</v>
      </c>
      <c r="R107" s="27">
        <f>INDEX(Schedule!$A$1:$N$2000, MATCH($C107, VAV_Schedule_5_21[[#All],[UNIT TAG]], FALSE), 6)</f>
        <v>240</v>
      </c>
      <c r="S107" s="27">
        <f>INDEX(Schedule!$A$1:$N$2000, MATCH($C107, VAV_Schedule_5_21[[#All],[UNIT TAG]], FALSE), 5)</f>
        <v>1200</v>
      </c>
      <c r="T107" s="27">
        <f>INDEX(Schedule!$A$1:$N$2000, MATCH($C107, VAV_Schedule_5_21[[#All],[UNIT TAG]], FALSE), 6)</f>
        <v>240</v>
      </c>
      <c r="U107" s="27">
        <f>INDEX(Schedule!$A$1:$N$2000, MATCH($C107, VAV_Schedule_5_21[[#All],[UNIT TAG]], FALSE), 5)</f>
        <v>1200</v>
      </c>
      <c r="V107" s="27">
        <f>INDEX(Schedule!$A$1:$N$2000, MATCH($C107, VAV_Schedule_5_21[[#All],[UNIT TAG]], FALSE), 6)</f>
        <v>240</v>
      </c>
      <c r="W107" s="27">
        <f>INDEX(Schedule!$A$1:$N$2000, MATCH($C107, VAV_Schedule_5_21[[#All],[UNIT TAG]], FALSE), 6)</f>
        <v>240</v>
      </c>
      <c r="X107" s="27">
        <f>INDEX(Schedule!$A$1:$N$2000, MATCH($C107, VAV_Schedule_5_21[[#All],[UNIT TAG]], FALSE), 6)</f>
        <v>240</v>
      </c>
      <c r="Y107" s="27">
        <f>INDEX(Schedule!$A$1:$N$2000, MATCH($C107, VAV_Schedule_5_21[[#All],[UNIT TAG]], FALSE), 6)</f>
        <v>240</v>
      </c>
      <c r="Z107" s="27">
        <f>INDEX(Schedule!$A$1:$N$2000, MATCH($C107, VAV_Schedule_5_21[[#All],[UNIT TAG]], FALSE), 6)</f>
        <v>240</v>
      </c>
      <c r="AA107" s="27">
        <v>1000</v>
      </c>
      <c r="AB107" s="27">
        <v>1100</v>
      </c>
      <c r="AC107">
        <v>1400</v>
      </c>
      <c r="AD107" s="29" t="str">
        <f>IF(INDEX(Schedule!$A$1:$N$2000, MATCH($C107, VAV_Schedule_5_21[[#All],[UNIT TAG]], FALSE), 7)="-", 0, INDEX(Schedule!$A$1:$N$2000, MATCH($C107, VAV_Schedule_5_21[[#All],[UNIT TAG]], FALSE), 7))</f>
        <v>7</v>
      </c>
      <c r="AE107" t="str">
        <f>"B_01'" &amp; "Flr_0" &amp; INDEX(Joined!$A$3:$M$2000, MATCH($A107, Joined!$I$3:$I$2000, FALSE), 8)</f>
        <v>B_01'Flr_03</v>
      </c>
      <c r="AF107" t="str">
        <f>"R_" &amp; INDEX(Joined!$A$3:$M$2000, MATCH($A107, Joined!$I$3:$I$2000, FALSE), 7)</f>
        <v>R_VAV-3W-35</v>
      </c>
      <c r="AG107" t="str">
        <f>"B_01'" &amp; "Flr_0" &amp; INDEX(Joined!$A$3:$M$2000, MATCH($A107, Joined!$I$3:$I$2000, FALSE), 8)</f>
        <v>B_01'Flr_03</v>
      </c>
      <c r="AH107" t="str">
        <f>INDEX(Joined!$A$3:$M$2000, MATCH($A107, Joined!$I$3:$I$2000, FALSE), 7)</f>
        <v>VAV-3W-35</v>
      </c>
      <c r="AI107" t="s">
        <v>920</v>
      </c>
    </row>
    <row r="108" spans="1:35" x14ac:dyDescent="0.2">
      <c r="A108" t="s">
        <v>497</v>
      </c>
      <c r="B108" t="str">
        <f>"B_01'" &amp; "Flr_0" &amp; INDEX(Joined!$A$3:$M$2000, MATCH($A108, Joined!$I$3:$I$2000, FALSE), 8)</f>
        <v>B_01'Flr_03</v>
      </c>
      <c r="C108" t="str">
        <f>INDEX(Joined!$A$3:$M$2000, MATCH($A108, Joined!$I$3:$I$2000, FALSE), 7)</f>
        <v>VAV-3W-36</v>
      </c>
      <c r="D108">
        <f>INDEX(Joined!$A$3:$M$2000, MATCH($A108, Joined!$I$3:$I$2000, FALSE), 5)</f>
        <v>150613</v>
      </c>
      <c r="E108" t="str">
        <f>INDEX(Joined!$A$3:$M$2000, MATCH($A108, Joined!$I$3:$I$2000, FALSE), 7)</f>
        <v>VAV-3W-36</v>
      </c>
      <c r="F108" t="s">
        <v>38</v>
      </c>
      <c r="G108" t="str">
        <f>INDEX(Schedule!$Q$2:$R$7, MATCH(ABT!$H108,Schedule!$Q$2:$Q$7, 0), 2)</f>
        <v>15007_ADXR_VAV_DXR2M10</v>
      </c>
      <c r="H108">
        <f>INDEX(Joined!$A$3:$M$2000, MATCH($A108, Joined!$I$3:$I$2000, FALSE), 6)</f>
        <v>15007</v>
      </c>
      <c r="I108" t="str">
        <f>INDEX(Joined!$A$3:$M$2000, MATCH($A108, Joined!$I$3:$I$2000, FALSE), 4)</f>
        <v>506</v>
      </c>
      <c r="J108" t="b">
        <v>0</v>
      </c>
      <c r="K108">
        <f>INDEX(Joined!$A$3:$M$2000, MATCH($A108, Joined!$I$3:$I$2000, FALSE), 3)</f>
        <v>13</v>
      </c>
      <c r="L108">
        <v>85</v>
      </c>
      <c r="M108">
        <v>38400</v>
      </c>
      <c r="N108" s="27">
        <f>PI()*(INDEX(Schedule!$A$1:$N$2000, MATCH($C108, VAV_Schedule_5_21[[#All],[UNIT TAG]], FALSE), 4)/2/12)^2</f>
        <v>0.54541539124822802</v>
      </c>
      <c r="O108" s="27">
        <f>INDEX(Schedule!$A$1:$N$2000, MATCH($C108, VAV_Schedule_5_21[[#All],[UNIT TAG]], FALSE), 4)</f>
        <v>10</v>
      </c>
      <c r="P108">
        <v>106.63</v>
      </c>
      <c r="Q108" s="27">
        <f>INDEX(Schedule!$A$1:$N$2000, MATCH($C108, VAV_Schedule_5_21[[#All],[UNIT TAG]], FALSE), 5)</f>
        <v>960</v>
      </c>
      <c r="R108" s="27">
        <f>INDEX(Schedule!$A$1:$N$2000, MATCH($C108, VAV_Schedule_5_21[[#All],[UNIT TAG]], FALSE), 6)</f>
        <v>195</v>
      </c>
      <c r="S108" s="27">
        <f>INDEX(Schedule!$A$1:$N$2000, MATCH($C108, VAV_Schedule_5_21[[#All],[UNIT TAG]], FALSE), 5)</f>
        <v>960</v>
      </c>
      <c r="T108" s="27">
        <f>INDEX(Schedule!$A$1:$N$2000, MATCH($C108, VAV_Schedule_5_21[[#All],[UNIT TAG]], FALSE), 6)</f>
        <v>195</v>
      </c>
      <c r="U108" s="27">
        <f>INDEX(Schedule!$A$1:$N$2000, MATCH($C108, VAV_Schedule_5_21[[#All],[UNIT TAG]], FALSE), 5)</f>
        <v>960</v>
      </c>
      <c r="V108" s="27">
        <f>INDEX(Schedule!$A$1:$N$2000, MATCH($C108, VAV_Schedule_5_21[[#All],[UNIT TAG]], FALSE), 6)</f>
        <v>195</v>
      </c>
      <c r="W108" s="27">
        <f>INDEX(Schedule!$A$1:$N$2000, MATCH($C108, VAV_Schedule_5_21[[#All],[UNIT TAG]], FALSE), 6)</f>
        <v>195</v>
      </c>
      <c r="X108" s="27">
        <f>INDEX(Schedule!$A$1:$N$2000, MATCH($C108, VAV_Schedule_5_21[[#All],[UNIT TAG]], FALSE), 6)</f>
        <v>195</v>
      </c>
      <c r="Y108" s="27">
        <f>INDEX(Schedule!$A$1:$N$2000, MATCH($C108, VAV_Schedule_5_21[[#All],[UNIT TAG]], FALSE), 6)</f>
        <v>195</v>
      </c>
      <c r="Z108" s="27">
        <f>INDEX(Schedule!$A$1:$N$2000, MATCH($C108, VAV_Schedule_5_21[[#All],[UNIT TAG]], FALSE), 6)</f>
        <v>195</v>
      </c>
      <c r="AA108" s="27">
        <v>1000</v>
      </c>
      <c r="AB108" s="27">
        <v>1100</v>
      </c>
      <c r="AC108">
        <v>1400</v>
      </c>
      <c r="AD108" s="29" t="str">
        <f>IF(INDEX(Schedule!$A$1:$N$2000, MATCH($C108, VAV_Schedule_5_21[[#All],[UNIT TAG]], FALSE), 7)="-", 0, INDEX(Schedule!$A$1:$N$2000, MATCH($C108, VAV_Schedule_5_21[[#All],[UNIT TAG]], FALSE), 7))</f>
        <v>6</v>
      </c>
      <c r="AE108" t="str">
        <f>"B_01'" &amp; "Flr_0" &amp; INDEX(Joined!$A$3:$M$2000, MATCH($A108, Joined!$I$3:$I$2000, FALSE), 8)</f>
        <v>B_01'Flr_03</v>
      </c>
      <c r="AF108" t="str">
        <f>"R_" &amp; INDEX(Joined!$A$3:$M$2000, MATCH($A108, Joined!$I$3:$I$2000, FALSE), 7)</f>
        <v>R_VAV-3W-36</v>
      </c>
      <c r="AG108" t="str">
        <f>"B_01'" &amp; "Flr_0" &amp; INDEX(Joined!$A$3:$M$2000, MATCH($A108, Joined!$I$3:$I$2000, FALSE), 8)</f>
        <v>B_01'Flr_03</v>
      </c>
      <c r="AH108" t="str">
        <f>INDEX(Joined!$A$3:$M$2000, MATCH($A108, Joined!$I$3:$I$2000, FALSE), 7)</f>
        <v>VAV-3W-36</v>
      </c>
      <c r="AI108" t="s">
        <v>921</v>
      </c>
    </row>
    <row r="109" spans="1:35" x14ac:dyDescent="0.2">
      <c r="A109" t="s">
        <v>498</v>
      </c>
      <c r="B109" t="str">
        <f>"B_01'" &amp; "Flr_0" &amp; INDEX(Joined!$A$3:$M$2000, MATCH($A109, Joined!$I$3:$I$2000, FALSE), 8)</f>
        <v>B_01'Flr_03</v>
      </c>
      <c r="C109" t="str">
        <f>INDEX(Joined!$A$3:$M$2000, MATCH($A109, Joined!$I$3:$I$2000, FALSE), 7)</f>
        <v>VAV-3W-37</v>
      </c>
      <c r="D109">
        <f>INDEX(Joined!$A$3:$M$2000, MATCH($A109, Joined!$I$3:$I$2000, FALSE), 5)</f>
        <v>150614</v>
      </c>
      <c r="E109" t="str">
        <f>INDEX(Joined!$A$3:$M$2000, MATCH($A109, Joined!$I$3:$I$2000, FALSE), 7)</f>
        <v>VAV-3W-37</v>
      </c>
      <c r="F109" t="s">
        <v>38</v>
      </c>
      <c r="G109" t="str">
        <f>INDEX(Schedule!$Q$2:$R$7, MATCH(ABT!$H109,Schedule!$Q$2:$Q$7, 0), 2)</f>
        <v>15006_ADXR_VAV_DXR2M10</v>
      </c>
      <c r="H109">
        <f>INDEX(Joined!$A$3:$M$2000, MATCH($A109, Joined!$I$3:$I$2000, FALSE), 6)</f>
        <v>15006</v>
      </c>
      <c r="I109" t="str">
        <f>INDEX(Joined!$A$3:$M$2000, MATCH($A109, Joined!$I$3:$I$2000, FALSE), 4)</f>
        <v>506</v>
      </c>
      <c r="J109" t="b">
        <v>0</v>
      </c>
      <c r="K109">
        <f>INDEX(Joined!$A$3:$M$2000, MATCH($A109, Joined!$I$3:$I$2000, FALSE), 3)</f>
        <v>14</v>
      </c>
      <c r="L109">
        <v>85</v>
      </c>
      <c r="M109">
        <v>38400</v>
      </c>
      <c r="N109" s="27">
        <f>PI()*(INDEX(Schedule!$A$1:$N$2000, MATCH($C109, VAV_Schedule_5_21[[#All],[UNIT TAG]], FALSE), 4)/2/12)^2</f>
        <v>0.19634954084936207</v>
      </c>
      <c r="O109" s="27">
        <f>INDEX(Schedule!$A$1:$N$2000, MATCH($C109, VAV_Schedule_5_21[[#All],[UNIT TAG]], FALSE), 4)</f>
        <v>6</v>
      </c>
      <c r="P109">
        <v>107.63</v>
      </c>
      <c r="Q109" s="27">
        <f>INDEX(Schedule!$A$1:$N$2000, MATCH($C109, VAV_Schedule_5_21[[#All],[UNIT TAG]], FALSE), 5)</f>
        <v>400</v>
      </c>
      <c r="R109" s="27">
        <f>INDEX(Schedule!$A$1:$N$2000, MATCH($C109, VAV_Schedule_5_21[[#All],[UNIT TAG]], FALSE), 6)</f>
        <v>80</v>
      </c>
      <c r="S109" s="27">
        <f>INDEX(Schedule!$A$1:$N$2000, MATCH($C109, VAV_Schedule_5_21[[#All],[UNIT TAG]], FALSE), 5)</f>
        <v>400</v>
      </c>
      <c r="T109" s="27">
        <f>INDEX(Schedule!$A$1:$N$2000, MATCH($C109, VAV_Schedule_5_21[[#All],[UNIT TAG]], FALSE), 6)</f>
        <v>80</v>
      </c>
      <c r="U109" s="27">
        <f>INDEX(Schedule!$A$1:$N$2000, MATCH($C109, VAV_Schedule_5_21[[#All],[UNIT TAG]], FALSE), 5)</f>
        <v>400</v>
      </c>
      <c r="V109" s="27">
        <f>INDEX(Schedule!$A$1:$N$2000, MATCH($C109, VAV_Schedule_5_21[[#All],[UNIT TAG]], FALSE), 6)</f>
        <v>80</v>
      </c>
      <c r="W109" s="27">
        <f>INDEX(Schedule!$A$1:$N$2000, MATCH($C109, VAV_Schedule_5_21[[#All],[UNIT TAG]], FALSE), 6)</f>
        <v>80</v>
      </c>
      <c r="X109" s="27">
        <f>INDEX(Schedule!$A$1:$N$2000, MATCH($C109, VAV_Schedule_5_21[[#All],[UNIT TAG]], FALSE), 6)</f>
        <v>80</v>
      </c>
      <c r="Y109" s="27">
        <f>INDEX(Schedule!$A$1:$N$2000, MATCH($C109, VAV_Schedule_5_21[[#All],[UNIT TAG]], FALSE), 6)</f>
        <v>80</v>
      </c>
      <c r="Z109" s="27">
        <f>INDEX(Schedule!$A$1:$N$2000, MATCH($C109, VAV_Schedule_5_21[[#All],[UNIT TAG]], FALSE), 6)</f>
        <v>80</v>
      </c>
      <c r="AA109" s="27">
        <v>1000</v>
      </c>
      <c r="AB109" s="27">
        <v>1100</v>
      </c>
      <c r="AC109">
        <v>1400</v>
      </c>
      <c r="AD109" s="29">
        <f>IF(INDEX(Schedule!$A$1:$N$2000, MATCH($C109, VAV_Schedule_5_21[[#All],[UNIT TAG]], FALSE), 7)="-", 0, INDEX(Schedule!$A$1:$N$2000, MATCH($C109, VAV_Schedule_5_21[[#All],[UNIT TAG]], FALSE), 7))</f>
        <v>0</v>
      </c>
      <c r="AE109" t="str">
        <f>"B_01'" &amp; "Flr_0" &amp; INDEX(Joined!$A$3:$M$2000, MATCH($A109, Joined!$I$3:$I$2000, FALSE), 8)</f>
        <v>B_01'Flr_03</v>
      </c>
      <c r="AF109" t="str">
        <f>"R_" &amp; INDEX(Joined!$A$3:$M$2000, MATCH($A109, Joined!$I$3:$I$2000, FALSE), 7)</f>
        <v>R_VAV-3W-37</v>
      </c>
      <c r="AG109" t="str">
        <f>"B_01'" &amp; "Flr_0" &amp; INDEX(Joined!$A$3:$M$2000, MATCH($A109, Joined!$I$3:$I$2000, FALSE), 8)</f>
        <v>B_01'Flr_03</v>
      </c>
      <c r="AH109" t="str">
        <f>INDEX(Joined!$A$3:$M$2000, MATCH($A109, Joined!$I$3:$I$2000, FALSE), 7)</f>
        <v>VAV-3W-37</v>
      </c>
      <c r="AI109" t="s">
        <v>922</v>
      </c>
    </row>
    <row r="110" spans="1:35" x14ac:dyDescent="0.2">
      <c r="A110" t="s">
        <v>499</v>
      </c>
      <c r="B110" t="str">
        <f>"B_01'" &amp; "Flr_0" &amp; INDEX(Joined!$A$3:$M$2000, MATCH($A110, Joined!$I$3:$I$2000, FALSE), 8)</f>
        <v>B_01'Flr_03</v>
      </c>
      <c r="C110" t="str">
        <f>INDEX(Joined!$A$3:$M$2000, MATCH($A110, Joined!$I$3:$I$2000, FALSE), 7)</f>
        <v>VAV-3W-38</v>
      </c>
      <c r="D110">
        <f>INDEX(Joined!$A$3:$M$2000, MATCH($A110, Joined!$I$3:$I$2000, FALSE), 5)</f>
        <v>150615</v>
      </c>
      <c r="E110" t="str">
        <f>INDEX(Joined!$A$3:$M$2000, MATCH($A110, Joined!$I$3:$I$2000, FALSE), 7)</f>
        <v>VAV-3W-38</v>
      </c>
      <c r="F110" t="s">
        <v>38</v>
      </c>
      <c r="G110" t="str">
        <f>INDEX(Schedule!$Q$2:$R$7, MATCH(ABT!$H110,Schedule!$Q$2:$Q$7, 0), 2)</f>
        <v>15007_ADXR_VAV_DXR2M10</v>
      </c>
      <c r="H110">
        <f>INDEX(Joined!$A$3:$M$2000, MATCH($A110, Joined!$I$3:$I$2000, FALSE), 6)</f>
        <v>15007</v>
      </c>
      <c r="I110" t="str">
        <f>INDEX(Joined!$A$3:$M$2000, MATCH($A110, Joined!$I$3:$I$2000, FALSE), 4)</f>
        <v>506</v>
      </c>
      <c r="J110" t="b">
        <v>0</v>
      </c>
      <c r="K110">
        <f>INDEX(Joined!$A$3:$M$2000, MATCH($A110, Joined!$I$3:$I$2000, FALSE), 3)</f>
        <v>15</v>
      </c>
      <c r="L110">
        <v>85</v>
      </c>
      <c r="M110">
        <v>38400</v>
      </c>
      <c r="N110" s="27">
        <f>PI()*(INDEX(Schedule!$A$1:$N$2000, MATCH($C110, VAV_Schedule_5_21[[#All],[UNIT TAG]], FALSE), 4)/2/12)^2</f>
        <v>0.78539816339744828</v>
      </c>
      <c r="O110" s="27">
        <f>INDEX(Schedule!$A$1:$N$2000, MATCH($C110, VAV_Schedule_5_21[[#All],[UNIT TAG]], FALSE), 4)</f>
        <v>12</v>
      </c>
      <c r="P110">
        <v>108.63</v>
      </c>
      <c r="Q110" s="27">
        <f>INDEX(Schedule!$A$1:$N$2000, MATCH($C110, VAV_Schedule_5_21[[#All],[UNIT TAG]], FALSE), 5)</f>
        <v>1200</v>
      </c>
      <c r="R110" s="27">
        <f>INDEX(Schedule!$A$1:$N$2000, MATCH($C110, VAV_Schedule_5_21[[#All],[UNIT TAG]], FALSE), 6)</f>
        <v>240</v>
      </c>
      <c r="S110" s="27">
        <f>INDEX(Schedule!$A$1:$N$2000, MATCH($C110, VAV_Schedule_5_21[[#All],[UNIT TAG]], FALSE), 5)</f>
        <v>1200</v>
      </c>
      <c r="T110" s="27">
        <f>INDEX(Schedule!$A$1:$N$2000, MATCH($C110, VAV_Schedule_5_21[[#All],[UNIT TAG]], FALSE), 6)</f>
        <v>240</v>
      </c>
      <c r="U110" s="27">
        <f>INDEX(Schedule!$A$1:$N$2000, MATCH($C110, VAV_Schedule_5_21[[#All],[UNIT TAG]], FALSE), 5)</f>
        <v>1200</v>
      </c>
      <c r="V110" s="27">
        <f>INDEX(Schedule!$A$1:$N$2000, MATCH($C110, VAV_Schedule_5_21[[#All],[UNIT TAG]], FALSE), 6)</f>
        <v>240</v>
      </c>
      <c r="W110" s="27">
        <f>INDEX(Schedule!$A$1:$N$2000, MATCH($C110, VAV_Schedule_5_21[[#All],[UNIT TAG]], FALSE), 6)</f>
        <v>240</v>
      </c>
      <c r="X110" s="27">
        <f>INDEX(Schedule!$A$1:$N$2000, MATCH($C110, VAV_Schedule_5_21[[#All],[UNIT TAG]], FALSE), 6)</f>
        <v>240</v>
      </c>
      <c r="Y110" s="27">
        <f>INDEX(Schedule!$A$1:$N$2000, MATCH($C110, VAV_Schedule_5_21[[#All],[UNIT TAG]], FALSE), 6)</f>
        <v>240</v>
      </c>
      <c r="Z110" s="27">
        <f>INDEX(Schedule!$A$1:$N$2000, MATCH($C110, VAV_Schedule_5_21[[#All],[UNIT TAG]], FALSE), 6)</f>
        <v>240</v>
      </c>
      <c r="AA110" s="27">
        <v>1000</v>
      </c>
      <c r="AB110" s="27">
        <v>1100</v>
      </c>
      <c r="AC110">
        <v>1400</v>
      </c>
      <c r="AD110" s="29" t="str">
        <f>IF(INDEX(Schedule!$A$1:$N$2000, MATCH($C110, VAV_Schedule_5_21[[#All],[UNIT TAG]], FALSE), 7)="-", 0, INDEX(Schedule!$A$1:$N$2000, MATCH($C110, VAV_Schedule_5_21[[#All],[UNIT TAG]], FALSE), 7))</f>
        <v>7</v>
      </c>
      <c r="AE110" t="str">
        <f>"B_01'" &amp; "Flr_0" &amp; INDEX(Joined!$A$3:$M$2000, MATCH($A110, Joined!$I$3:$I$2000, FALSE), 8)</f>
        <v>B_01'Flr_03</v>
      </c>
      <c r="AF110" t="str">
        <f>"R_" &amp; INDEX(Joined!$A$3:$M$2000, MATCH($A110, Joined!$I$3:$I$2000, FALSE), 7)</f>
        <v>R_VAV-3W-38</v>
      </c>
      <c r="AG110" t="str">
        <f>"B_01'" &amp; "Flr_0" &amp; INDEX(Joined!$A$3:$M$2000, MATCH($A110, Joined!$I$3:$I$2000, FALSE), 8)</f>
        <v>B_01'Flr_03</v>
      </c>
      <c r="AH110" t="str">
        <f>INDEX(Joined!$A$3:$M$2000, MATCH($A110, Joined!$I$3:$I$2000, FALSE), 7)</f>
        <v>VAV-3W-38</v>
      </c>
      <c r="AI110" t="s">
        <v>923</v>
      </c>
    </row>
    <row r="111" spans="1:35" x14ac:dyDescent="0.2">
      <c r="A111" t="s">
        <v>488</v>
      </c>
      <c r="B111" t="str">
        <f>"B_01'" &amp; "Flr_0" &amp; INDEX(Joined!$A$3:$M$2000, MATCH($A111, Joined!$I$3:$I$2000, FALSE), 8)</f>
        <v>B_01'Flr_03</v>
      </c>
      <c r="C111" t="str">
        <f>INDEX(Joined!$A$3:$M$2000, MATCH($A111, Joined!$I$3:$I$2000, FALSE), 7)</f>
        <v>VAV-3W-4</v>
      </c>
      <c r="D111">
        <f>INDEX(Joined!$A$3:$M$2000, MATCH($A111, Joined!$I$3:$I$2000, FALSE), 5)</f>
        <v>150604</v>
      </c>
      <c r="E111" t="str">
        <f>INDEX(Joined!$A$3:$M$2000, MATCH($A111, Joined!$I$3:$I$2000, FALSE), 7)</f>
        <v>VAV-3W-4</v>
      </c>
      <c r="F111" t="s">
        <v>38</v>
      </c>
      <c r="G111" t="str">
        <f>INDEX(Schedule!$Q$2:$R$7, MATCH(ABT!$H111,Schedule!$Q$2:$Q$7, 0), 2)</f>
        <v>15007_ADXR_VAV_DXR2M10</v>
      </c>
      <c r="H111">
        <f>INDEX(Joined!$A$3:$M$2000, MATCH($A111, Joined!$I$3:$I$2000, FALSE), 6)</f>
        <v>15007</v>
      </c>
      <c r="I111" t="str">
        <f>INDEX(Joined!$A$3:$M$2000, MATCH($A111, Joined!$I$3:$I$2000, FALSE), 4)</f>
        <v>506</v>
      </c>
      <c r="J111" t="b">
        <v>0</v>
      </c>
      <c r="K111">
        <f>INDEX(Joined!$A$3:$M$2000, MATCH($A111, Joined!$I$3:$I$2000, FALSE), 3)</f>
        <v>4</v>
      </c>
      <c r="L111">
        <v>85</v>
      </c>
      <c r="M111">
        <v>38400</v>
      </c>
      <c r="N111" s="27">
        <f>PI()*(INDEX(Schedule!$A$1:$N$2000, MATCH($C111, VAV_Schedule_5_21[[#All],[UNIT TAG]], FALSE), 4)/2/12)^2</f>
        <v>0.78539816339744828</v>
      </c>
      <c r="O111" s="27">
        <f>INDEX(Schedule!$A$1:$N$2000, MATCH($C111, VAV_Schedule_5_21[[#All],[UNIT TAG]], FALSE), 4)</f>
        <v>12</v>
      </c>
      <c r="P111">
        <v>109.63</v>
      </c>
      <c r="Q111" s="27">
        <f>INDEX(Schedule!$A$1:$N$2000, MATCH($C111, VAV_Schedule_5_21[[#All],[UNIT TAG]], FALSE), 5)</f>
        <v>1200</v>
      </c>
      <c r="R111" s="27">
        <f>INDEX(Schedule!$A$1:$N$2000, MATCH($C111, VAV_Schedule_5_21[[#All],[UNIT TAG]], FALSE), 6)</f>
        <v>240</v>
      </c>
      <c r="S111" s="27">
        <f>INDEX(Schedule!$A$1:$N$2000, MATCH($C111, VAV_Schedule_5_21[[#All],[UNIT TAG]], FALSE), 5)</f>
        <v>1200</v>
      </c>
      <c r="T111" s="27">
        <f>INDEX(Schedule!$A$1:$N$2000, MATCH($C111, VAV_Schedule_5_21[[#All],[UNIT TAG]], FALSE), 6)</f>
        <v>240</v>
      </c>
      <c r="U111" s="27">
        <f>INDEX(Schedule!$A$1:$N$2000, MATCH($C111, VAV_Schedule_5_21[[#All],[UNIT TAG]], FALSE), 5)</f>
        <v>1200</v>
      </c>
      <c r="V111" s="27">
        <f>INDEX(Schedule!$A$1:$N$2000, MATCH($C111, VAV_Schedule_5_21[[#All],[UNIT TAG]], FALSE), 6)</f>
        <v>240</v>
      </c>
      <c r="W111" s="27">
        <f>INDEX(Schedule!$A$1:$N$2000, MATCH($C111, VAV_Schedule_5_21[[#All],[UNIT TAG]], FALSE), 6)</f>
        <v>240</v>
      </c>
      <c r="X111" s="27">
        <f>INDEX(Schedule!$A$1:$N$2000, MATCH($C111, VAV_Schedule_5_21[[#All],[UNIT TAG]], FALSE), 6)</f>
        <v>240</v>
      </c>
      <c r="Y111" s="27">
        <f>INDEX(Schedule!$A$1:$N$2000, MATCH($C111, VAV_Schedule_5_21[[#All],[UNIT TAG]], FALSE), 6)</f>
        <v>240</v>
      </c>
      <c r="Z111" s="27">
        <f>INDEX(Schedule!$A$1:$N$2000, MATCH($C111, VAV_Schedule_5_21[[#All],[UNIT TAG]], FALSE), 6)</f>
        <v>240</v>
      </c>
      <c r="AA111" s="27">
        <v>1000</v>
      </c>
      <c r="AB111" s="27">
        <v>1100</v>
      </c>
      <c r="AC111">
        <v>1400</v>
      </c>
      <c r="AD111" s="29" t="str">
        <f>IF(INDEX(Schedule!$A$1:$N$2000, MATCH($C111, VAV_Schedule_5_21[[#All],[UNIT TAG]], FALSE), 7)="-", 0, INDEX(Schedule!$A$1:$N$2000, MATCH($C111, VAV_Schedule_5_21[[#All],[UNIT TAG]], FALSE), 7))</f>
        <v>12</v>
      </c>
      <c r="AE111" t="str">
        <f>"B_01'" &amp; "Flr_0" &amp; INDEX(Joined!$A$3:$M$2000, MATCH($A111, Joined!$I$3:$I$2000, FALSE), 8)</f>
        <v>B_01'Flr_03</v>
      </c>
      <c r="AF111" t="str">
        <f>"R_" &amp; INDEX(Joined!$A$3:$M$2000, MATCH($A111, Joined!$I$3:$I$2000, FALSE), 7)</f>
        <v>R_VAV-3W-4</v>
      </c>
      <c r="AG111" t="str">
        <f>"B_01'" &amp; "Flr_0" &amp; INDEX(Joined!$A$3:$M$2000, MATCH($A111, Joined!$I$3:$I$2000, FALSE), 8)</f>
        <v>B_01'Flr_03</v>
      </c>
      <c r="AH111" t="str">
        <f>INDEX(Joined!$A$3:$M$2000, MATCH($A111, Joined!$I$3:$I$2000, FALSE), 7)</f>
        <v>VAV-3W-4</v>
      </c>
      <c r="AI111" t="s">
        <v>924</v>
      </c>
    </row>
    <row r="112" spans="1:35" x14ac:dyDescent="0.2">
      <c r="A112" s="20" t="s">
        <v>500</v>
      </c>
      <c r="B112" t="str">
        <f>"B_01'" &amp; "Flr_0" &amp; INDEX(Joined!$A$3:$M$2000, MATCH($A112, Joined!$I$3:$I$2000, FALSE), 8)</f>
        <v>B_01'Flr_04</v>
      </c>
      <c r="C112" t="str">
        <f>INDEX(Joined!$A$3:$M$2000, MATCH($A112, Joined!$I$3:$I$2000, FALSE), 7)</f>
        <v>VAV-4E-22</v>
      </c>
      <c r="D112">
        <f>INDEX(Joined!$A$3:$M$2000, MATCH($A112, Joined!$I$3:$I$2000, FALSE), 5)</f>
        <v>150801</v>
      </c>
      <c r="E112" t="str">
        <f>INDEX(Joined!$A$3:$M$2000, MATCH($A112, Joined!$I$3:$I$2000, FALSE), 7)</f>
        <v>VAV-4E-22</v>
      </c>
      <c r="F112" t="s">
        <v>38</v>
      </c>
      <c r="G112" t="str">
        <f>INDEX(Schedule!$Q$2:$R$7, MATCH(ABT!$H112,Schedule!$Q$2:$Q$7, 0), 2)</f>
        <v>15007_ADXR_VAV_DXR2M10</v>
      </c>
      <c r="H112">
        <f>INDEX(Joined!$A$3:$M$2000, MATCH($A112, Joined!$I$3:$I$2000, FALSE), 6)</f>
        <v>15007</v>
      </c>
      <c r="I112" t="str">
        <f>INDEX(Joined!$A$3:$M$2000, MATCH($A112, Joined!$I$3:$I$2000, FALSE), 4)</f>
        <v>508</v>
      </c>
      <c r="J112" t="b">
        <v>0</v>
      </c>
      <c r="K112">
        <f>INDEX(Joined!$A$3:$M$2000, MATCH($A112, Joined!$I$3:$I$2000, FALSE), 3)</f>
        <v>1</v>
      </c>
      <c r="L112">
        <v>85</v>
      </c>
      <c r="M112">
        <v>38400</v>
      </c>
      <c r="N112" s="27">
        <f>PI()*(INDEX(Schedule!$A$1:$N$2000, MATCH($C112, VAV_Schedule_5_21[[#All],[UNIT TAG]], FALSE), 4)/2/12)^2</f>
        <v>0.78539816339744828</v>
      </c>
      <c r="O112" s="27">
        <f>INDEX(Schedule!$A$1:$N$2000, MATCH($C112, VAV_Schedule_5_21[[#All],[UNIT TAG]], FALSE), 4)</f>
        <v>12</v>
      </c>
      <c r="P112">
        <v>110.63</v>
      </c>
      <c r="Q112" s="27">
        <f>INDEX(Schedule!$A$1:$N$2000, MATCH($C112, VAV_Schedule_5_21[[#All],[UNIT TAG]], FALSE), 5)</f>
        <v>1.2</v>
      </c>
      <c r="R112" s="27">
        <f>INDEX(Schedule!$A$1:$N$2000, MATCH($C112, VAV_Schedule_5_21[[#All],[UNIT TAG]], FALSE), 6)</f>
        <v>240</v>
      </c>
      <c r="S112" s="27">
        <f>INDEX(Schedule!$A$1:$N$2000, MATCH($C112, VAV_Schedule_5_21[[#All],[UNIT TAG]], FALSE), 5)</f>
        <v>1.2</v>
      </c>
      <c r="T112" s="27">
        <f>INDEX(Schedule!$A$1:$N$2000, MATCH($C112, VAV_Schedule_5_21[[#All],[UNIT TAG]], FALSE), 6)</f>
        <v>240</v>
      </c>
      <c r="U112" s="27">
        <f>INDEX(Schedule!$A$1:$N$2000, MATCH($C112, VAV_Schedule_5_21[[#All],[UNIT TAG]], FALSE), 5)</f>
        <v>1.2</v>
      </c>
      <c r="V112" s="27">
        <f>INDEX(Schedule!$A$1:$N$2000, MATCH($C112, VAV_Schedule_5_21[[#All],[UNIT TAG]], FALSE), 6)</f>
        <v>240</v>
      </c>
      <c r="W112" s="27">
        <f>INDEX(Schedule!$A$1:$N$2000, MATCH($C112, VAV_Schedule_5_21[[#All],[UNIT TAG]], FALSE), 6)</f>
        <v>240</v>
      </c>
      <c r="X112" s="27">
        <f>INDEX(Schedule!$A$1:$N$2000, MATCH($C112, VAV_Schedule_5_21[[#All],[UNIT TAG]], FALSE), 6)</f>
        <v>240</v>
      </c>
      <c r="Y112" s="27">
        <f>INDEX(Schedule!$A$1:$N$2000, MATCH($C112, VAV_Schedule_5_21[[#All],[UNIT TAG]], FALSE), 6)</f>
        <v>240</v>
      </c>
      <c r="Z112" s="27">
        <f>INDEX(Schedule!$A$1:$N$2000, MATCH($C112, VAV_Schedule_5_21[[#All],[UNIT TAG]], FALSE), 6)</f>
        <v>240</v>
      </c>
      <c r="AA112" s="27">
        <v>1000</v>
      </c>
      <c r="AB112" s="27">
        <v>1100</v>
      </c>
      <c r="AC112">
        <v>1400</v>
      </c>
      <c r="AD112" s="29" t="str">
        <f>IF(INDEX(Schedule!$A$1:$N$2000, MATCH($C112, VAV_Schedule_5_21[[#All],[UNIT TAG]], FALSE), 7)="-", 0, INDEX(Schedule!$A$1:$N$2000, MATCH($C112, VAV_Schedule_5_21[[#All],[UNIT TAG]], FALSE), 7))</f>
        <v>12</v>
      </c>
      <c r="AE112" t="str">
        <f>"B_01'" &amp; "Flr_0" &amp; INDEX(Joined!$A$3:$M$2000, MATCH($A112, Joined!$I$3:$I$2000, FALSE), 8)</f>
        <v>B_01'Flr_04</v>
      </c>
      <c r="AF112" t="str">
        <f>"R_" &amp; INDEX(Joined!$A$3:$M$2000, MATCH($A112, Joined!$I$3:$I$2000, FALSE), 7)</f>
        <v>R_VAV-4E-22</v>
      </c>
      <c r="AG112" t="str">
        <f>"B_01'" &amp; "Flr_0" &amp; INDEX(Joined!$A$3:$M$2000, MATCH($A112, Joined!$I$3:$I$2000, FALSE), 8)</f>
        <v>B_01'Flr_04</v>
      </c>
      <c r="AH112" t="str">
        <f>INDEX(Joined!$A$3:$M$2000, MATCH($A112, Joined!$I$3:$I$2000, FALSE), 7)</f>
        <v>VAV-4E-22</v>
      </c>
      <c r="AI112" t="s">
        <v>944</v>
      </c>
    </row>
    <row r="113" spans="1:69" x14ac:dyDescent="0.2">
      <c r="A113" t="s">
        <v>501</v>
      </c>
      <c r="B113" t="str">
        <f>"B_01'" &amp; "Flr_0" &amp; INDEX(Joined!$A$3:$M$2000, MATCH($A113, Joined!$I$3:$I$2000, FALSE), 8)</f>
        <v>B_01'Flr_04</v>
      </c>
      <c r="C113" t="str">
        <f>INDEX(Joined!$A$3:$M$2000, MATCH($A113, Joined!$I$3:$I$2000, FALSE), 7)</f>
        <v>VAV-4E-23</v>
      </c>
      <c r="D113">
        <f>INDEX(Joined!$A$3:$M$2000, MATCH($A113, Joined!$I$3:$I$2000, FALSE), 5)</f>
        <v>150802</v>
      </c>
      <c r="E113" t="str">
        <f>INDEX(Joined!$A$3:$M$2000, MATCH($A113, Joined!$I$3:$I$2000, FALSE), 7)</f>
        <v>VAV-4E-23</v>
      </c>
      <c r="F113" t="s">
        <v>38</v>
      </c>
      <c r="G113" t="str">
        <f>INDEX(Schedule!$Q$2:$R$7, MATCH(ABT!$H113,Schedule!$Q$2:$Q$7, 0), 2)</f>
        <v>15007_ADXR_VAV_DXR2M10</v>
      </c>
      <c r="H113">
        <f>INDEX(Joined!$A$3:$M$2000, MATCH($A113, Joined!$I$3:$I$2000, FALSE), 6)</f>
        <v>15007</v>
      </c>
      <c r="I113" t="str">
        <f>INDEX(Joined!$A$3:$M$2000, MATCH($A113, Joined!$I$3:$I$2000, FALSE), 4)</f>
        <v>508</v>
      </c>
      <c r="J113" t="b">
        <v>0</v>
      </c>
      <c r="K113">
        <f>INDEX(Joined!$A$3:$M$2000, MATCH($A113, Joined!$I$3:$I$2000, FALSE), 3)</f>
        <v>2</v>
      </c>
      <c r="L113">
        <v>85</v>
      </c>
      <c r="M113">
        <v>38400</v>
      </c>
      <c r="N113" s="27">
        <f>PI()*(INDEX(Schedule!$A$1:$N$2000, MATCH($C113, VAV_Schedule_5_21[[#All],[UNIT TAG]], FALSE), 4)/2/12)^2</f>
        <v>0.3490658503988659</v>
      </c>
      <c r="O113" s="27">
        <f>INDEX(Schedule!$A$1:$N$2000, MATCH($C113, VAV_Schedule_5_21[[#All],[UNIT TAG]], FALSE), 4)</f>
        <v>8</v>
      </c>
      <c r="P113">
        <v>111.63</v>
      </c>
      <c r="Q113" s="27">
        <f>INDEX(Schedule!$A$1:$N$2000, MATCH($C113, VAV_Schedule_5_21[[#All],[UNIT TAG]], FALSE), 5)</f>
        <v>580</v>
      </c>
      <c r="R113" s="27">
        <f>INDEX(Schedule!$A$1:$N$2000, MATCH($C113, VAV_Schedule_5_21[[#All],[UNIT TAG]], FALSE), 6)</f>
        <v>120</v>
      </c>
      <c r="S113" s="27">
        <f>INDEX(Schedule!$A$1:$N$2000, MATCH($C113, VAV_Schedule_5_21[[#All],[UNIT TAG]], FALSE), 5)</f>
        <v>580</v>
      </c>
      <c r="T113" s="27">
        <f>INDEX(Schedule!$A$1:$N$2000, MATCH($C113, VAV_Schedule_5_21[[#All],[UNIT TAG]], FALSE), 6)</f>
        <v>120</v>
      </c>
      <c r="U113" s="27">
        <f>INDEX(Schedule!$A$1:$N$2000, MATCH($C113, VAV_Schedule_5_21[[#All],[UNIT TAG]], FALSE), 5)</f>
        <v>580</v>
      </c>
      <c r="V113" s="27">
        <f>INDEX(Schedule!$A$1:$N$2000, MATCH($C113, VAV_Schedule_5_21[[#All],[UNIT TAG]], FALSE), 6)</f>
        <v>120</v>
      </c>
      <c r="W113" s="27">
        <f>INDEX(Schedule!$A$1:$N$2000, MATCH($C113, VAV_Schedule_5_21[[#All],[UNIT TAG]], FALSE), 6)</f>
        <v>120</v>
      </c>
      <c r="X113" s="27">
        <f>INDEX(Schedule!$A$1:$N$2000, MATCH($C113, VAV_Schedule_5_21[[#All],[UNIT TAG]], FALSE), 6)</f>
        <v>120</v>
      </c>
      <c r="Y113" s="27">
        <f>INDEX(Schedule!$A$1:$N$2000, MATCH($C113, VAV_Schedule_5_21[[#All],[UNIT TAG]], FALSE), 6)</f>
        <v>120</v>
      </c>
      <c r="Z113" s="27">
        <f>INDEX(Schedule!$A$1:$N$2000, MATCH($C113, VAV_Schedule_5_21[[#All],[UNIT TAG]], FALSE), 6)</f>
        <v>120</v>
      </c>
      <c r="AA113" s="27">
        <v>1000</v>
      </c>
      <c r="AB113" s="27">
        <v>1100</v>
      </c>
      <c r="AC113">
        <v>1400</v>
      </c>
      <c r="AD113" s="29" t="str">
        <f>IF(INDEX(Schedule!$A$1:$N$2000, MATCH($C113, VAV_Schedule_5_21[[#All],[UNIT TAG]], FALSE), 7)="-", 0, INDEX(Schedule!$A$1:$N$2000, MATCH($C113, VAV_Schedule_5_21[[#All],[UNIT TAG]], FALSE), 7))</f>
        <v>5</v>
      </c>
      <c r="AE113" t="str">
        <f>"B_01'" &amp; "Flr_0" &amp; INDEX(Joined!$A$3:$M$2000, MATCH($A113, Joined!$I$3:$I$2000, FALSE), 8)</f>
        <v>B_01'Flr_04</v>
      </c>
      <c r="AF113" t="str">
        <f>"R_" &amp; INDEX(Joined!$A$3:$M$2000, MATCH($A113, Joined!$I$3:$I$2000, FALSE), 7)</f>
        <v>R_VAV-4E-23</v>
      </c>
      <c r="AG113" t="str">
        <f>"B_01'" &amp; "Flr_0" &amp; INDEX(Joined!$A$3:$M$2000, MATCH($A113, Joined!$I$3:$I$2000, FALSE), 8)</f>
        <v>B_01'Flr_04</v>
      </c>
      <c r="AH113" t="str">
        <f>INDEX(Joined!$A$3:$M$2000, MATCH($A113, Joined!$I$3:$I$2000, FALSE), 7)</f>
        <v>VAV-4E-23</v>
      </c>
      <c r="AI113" t="s">
        <v>945</v>
      </c>
    </row>
    <row r="114" spans="1:69" x14ac:dyDescent="0.2">
      <c r="A114" t="s">
        <v>502</v>
      </c>
      <c r="B114" t="str">
        <f>"B_01'" &amp; "Flr_0" &amp; INDEX(Joined!$A$3:$M$2000, MATCH($A114, Joined!$I$3:$I$2000, FALSE), 8)</f>
        <v>B_01'Flr_04</v>
      </c>
      <c r="C114" t="str">
        <f>INDEX(Joined!$A$3:$M$2000, MATCH($A114, Joined!$I$3:$I$2000, FALSE), 7)</f>
        <v>VAV-4E-24</v>
      </c>
      <c r="D114">
        <f>INDEX(Joined!$A$3:$M$2000, MATCH($A114, Joined!$I$3:$I$2000, FALSE), 5)</f>
        <v>150803</v>
      </c>
      <c r="E114" t="str">
        <f>INDEX(Joined!$A$3:$M$2000, MATCH($A114, Joined!$I$3:$I$2000, FALSE), 7)</f>
        <v>VAV-4E-24</v>
      </c>
      <c r="F114" t="s">
        <v>38</v>
      </c>
      <c r="G114" t="str">
        <f>INDEX(Schedule!$Q$2:$R$7, MATCH(ABT!$H114,Schedule!$Q$2:$Q$7, 0), 2)</f>
        <v>15007_ADXR_VAV_DXR2M10</v>
      </c>
      <c r="H114">
        <f>INDEX(Joined!$A$3:$M$2000, MATCH($A114, Joined!$I$3:$I$2000, FALSE), 6)</f>
        <v>15007</v>
      </c>
      <c r="I114" t="str">
        <f>INDEX(Joined!$A$3:$M$2000, MATCH($A114, Joined!$I$3:$I$2000, FALSE), 4)</f>
        <v>508</v>
      </c>
      <c r="J114" t="b">
        <v>0</v>
      </c>
      <c r="K114">
        <f>INDEX(Joined!$A$3:$M$2000, MATCH($A114, Joined!$I$3:$I$2000, FALSE), 3)</f>
        <v>3</v>
      </c>
      <c r="L114">
        <v>85</v>
      </c>
      <c r="M114">
        <v>38400</v>
      </c>
      <c r="N114" s="27">
        <f>PI()*(INDEX(Schedule!$A$1:$N$2000, MATCH($C114, VAV_Schedule_5_21[[#All],[UNIT TAG]], FALSE), 4)/2/12)^2</f>
        <v>0.3490658503988659</v>
      </c>
      <c r="O114" s="27">
        <f>INDEX(Schedule!$A$1:$N$2000, MATCH($C114, VAV_Schedule_5_21[[#All],[UNIT TAG]], FALSE), 4)</f>
        <v>8</v>
      </c>
      <c r="P114">
        <v>112.63</v>
      </c>
      <c r="Q114" s="27">
        <f>INDEX(Schedule!$A$1:$N$2000, MATCH($C114, VAV_Schedule_5_21[[#All],[UNIT TAG]], FALSE), 5)</f>
        <v>540</v>
      </c>
      <c r="R114" s="27">
        <f>INDEX(Schedule!$A$1:$N$2000, MATCH($C114, VAV_Schedule_5_21[[#All],[UNIT TAG]], FALSE), 6)</f>
        <v>110</v>
      </c>
      <c r="S114" s="27">
        <f>INDEX(Schedule!$A$1:$N$2000, MATCH($C114, VAV_Schedule_5_21[[#All],[UNIT TAG]], FALSE), 5)</f>
        <v>540</v>
      </c>
      <c r="T114" s="27">
        <f>INDEX(Schedule!$A$1:$N$2000, MATCH($C114, VAV_Schedule_5_21[[#All],[UNIT TAG]], FALSE), 6)</f>
        <v>110</v>
      </c>
      <c r="U114" s="27">
        <f>INDEX(Schedule!$A$1:$N$2000, MATCH($C114, VAV_Schedule_5_21[[#All],[UNIT TAG]], FALSE), 5)</f>
        <v>540</v>
      </c>
      <c r="V114" s="27">
        <f>INDEX(Schedule!$A$1:$N$2000, MATCH($C114, VAV_Schedule_5_21[[#All],[UNIT TAG]], FALSE), 6)</f>
        <v>110</v>
      </c>
      <c r="W114" s="27">
        <f>INDEX(Schedule!$A$1:$N$2000, MATCH($C114, VAV_Schedule_5_21[[#All],[UNIT TAG]], FALSE), 6)</f>
        <v>110</v>
      </c>
      <c r="X114" s="27">
        <f>INDEX(Schedule!$A$1:$N$2000, MATCH($C114, VAV_Schedule_5_21[[#All],[UNIT TAG]], FALSE), 6)</f>
        <v>110</v>
      </c>
      <c r="Y114" s="27">
        <f>INDEX(Schedule!$A$1:$N$2000, MATCH($C114, VAV_Schedule_5_21[[#All],[UNIT TAG]], FALSE), 6)</f>
        <v>110</v>
      </c>
      <c r="Z114" s="27">
        <f>INDEX(Schedule!$A$1:$N$2000, MATCH($C114, VAV_Schedule_5_21[[#All],[UNIT TAG]], FALSE), 6)</f>
        <v>110</v>
      </c>
      <c r="AA114" s="27">
        <v>1000</v>
      </c>
      <c r="AB114" s="27">
        <v>1100</v>
      </c>
      <c r="AC114">
        <v>1400</v>
      </c>
      <c r="AD114" s="29" t="str">
        <f>IF(INDEX(Schedule!$A$1:$N$2000, MATCH($C114, VAV_Schedule_5_21[[#All],[UNIT TAG]], FALSE), 7)="-", 0, INDEX(Schedule!$A$1:$N$2000, MATCH($C114, VAV_Schedule_5_21[[#All],[UNIT TAG]], FALSE), 7))</f>
        <v>5</v>
      </c>
      <c r="AE114" t="str">
        <f>"B_01'" &amp; "Flr_0" &amp; INDEX(Joined!$A$3:$M$2000, MATCH($A114, Joined!$I$3:$I$2000, FALSE), 8)</f>
        <v>B_01'Flr_04</v>
      </c>
      <c r="AF114" t="str">
        <f>"R_" &amp; INDEX(Joined!$A$3:$M$2000, MATCH($A114, Joined!$I$3:$I$2000, FALSE), 7)</f>
        <v>R_VAV-4E-24</v>
      </c>
      <c r="AG114" t="str">
        <f>"B_01'" &amp; "Flr_0" &amp; INDEX(Joined!$A$3:$M$2000, MATCH($A114, Joined!$I$3:$I$2000, FALSE), 8)</f>
        <v>B_01'Flr_04</v>
      </c>
      <c r="AH114" t="str">
        <f>INDEX(Joined!$A$3:$M$2000, MATCH($A114, Joined!$I$3:$I$2000, FALSE), 7)</f>
        <v>VAV-4E-24</v>
      </c>
      <c r="AI114" t="s">
        <v>946</v>
      </c>
    </row>
    <row r="115" spans="1:69" x14ac:dyDescent="0.2">
      <c r="A115" t="s">
        <v>503</v>
      </c>
      <c r="B115" t="str">
        <f>"B_01'" &amp; "Flr_0" &amp; INDEX(Joined!$A$3:$M$2000, MATCH($A115, Joined!$I$3:$I$2000, FALSE), 8)</f>
        <v>B_01'Flr_04</v>
      </c>
      <c r="C115" t="str">
        <f>INDEX(Joined!$A$3:$M$2000, MATCH($A115, Joined!$I$3:$I$2000, FALSE), 7)</f>
        <v>VAV-4E-25</v>
      </c>
      <c r="D115">
        <f>INDEX(Joined!$A$3:$M$2000, MATCH($A115, Joined!$I$3:$I$2000, FALSE), 5)</f>
        <v>150804</v>
      </c>
      <c r="E115" t="str">
        <f>INDEX(Joined!$A$3:$M$2000, MATCH($A115, Joined!$I$3:$I$2000, FALSE), 7)</f>
        <v>VAV-4E-25</v>
      </c>
      <c r="F115" t="s">
        <v>38</v>
      </c>
      <c r="G115" t="str">
        <f>INDEX(Schedule!$Q$2:$R$7, MATCH(ABT!$H115,Schedule!$Q$2:$Q$7, 0), 2)</f>
        <v>15007_ADXR_VAV_DXR2M10</v>
      </c>
      <c r="H115">
        <f>INDEX(Joined!$A$3:$M$2000, MATCH($A115, Joined!$I$3:$I$2000, FALSE), 6)</f>
        <v>15007</v>
      </c>
      <c r="I115" t="str">
        <f>INDEX(Joined!$A$3:$M$2000, MATCH($A115, Joined!$I$3:$I$2000, FALSE), 4)</f>
        <v>508</v>
      </c>
      <c r="J115" t="b">
        <v>0</v>
      </c>
      <c r="K115">
        <f>INDEX(Joined!$A$3:$M$2000, MATCH($A115, Joined!$I$3:$I$2000, FALSE), 3)</f>
        <v>4</v>
      </c>
      <c r="L115">
        <v>85</v>
      </c>
      <c r="M115">
        <v>38400</v>
      </c>
      <c r="N115" s="27">
        <f>PI()*(INDEX(Schedule!$A$1:$N$2000, MATCH($C115, VAV_Schedule_5_21[[#All],[UNIT TAG]], FALSE), 4)/2/12)^2</f>
        <v>0.3490658503988659</v>
      </c>
      <c r="O115" s="27">
        <f>INDEX(Schedule!$A$1:$N$2000, MATCH($C115, VAV_Schedule_5_21[[#All],[UNIT TAG]], FALSE), 4)</f>
        <v>8</v>
      </c>
      <c r="P115">
        <v>113.63</v>
      </c>
      <c r="Q115" s="27">
        <f>INDEX(Schedule!$A$1:$N$2000, MATCH($C115, VAV_Schedule_5_21[[#All],[UNIT TAG]], FALSE), 5)</f>
        <v>500</v>
      </c>
      <c r="R115" s="27">
        <f>INDEX(Schedule!$A$1:$N$2000, MATCH($C115, VAV_Schedule_5_21[[#All],[UNIT TAG]], FALSE), 6)</f>
        <v>100</v>
      </c>
      <c r="S115" s="27">
        <f>INDEX(Schedule!$A$1:$N$2000, MATCH($C115, VAV_Schedule_5_21[[#All],[UNIT TAG]], FALSE), 5)</f>
        <v>500</v>
      </c>
      <c r="T115" s="27">
        <f>INDEX(Schedule!$A$1:$N$2000, MATCH($C115, VAV_Schedule_5_21[[#All],[UNIT TAG]], FALSE), 6)</f>
        <v>100</v>
      </c>
      <c r="U115" s="27">
        <f>INDEX(Schedule!$A$1:$N$2000, MATCH($C115, VAV_Schedule_5_21[[#All],[UNIT TAG]], FALSE), 5)</f>
        <v>500</v>
      </c>
      <c r="V115" s="27">
        <f>INDEX(Schedule!$A$1:$N$2000, MATCH($C115, VAV_Schedule_5_21[[#All],[UNIT TAG]], FALSE), 6)</f>
        <v>100</v>
      </c>
      <c r="W115" s="27">
        <f>INDEX(Schedule!$A$1:$N$2000, MATCH($C115, VAV_Schedule_5_21[[#All],[UNIT TAG]], FALSE), 6)</f>
        <v>100</v>
      </c>
      <c r="X115" s="27">
        <f>INDEX(Schedule!$A$1:$N$2000, MATCH($C115, VAV_Schedule_5_21[[#All],[UNIT TAG]], FALSE), 6)</f>
        <v>100</v>
      </c>
      <c r="Y115" s="27">
        <f>INDEX(Schedule!$A$1:$N$2000, MATCH($C115, VAV_Schedule_5_21[[#All],[UNIT TAG]], FALSE), 6)</f>
        <v>100</v>
      </c>
      <c r="Z115" s="27">
        <f>INDEX(Schedule!$A$1:$N$2000, MATCH($C115, VAV_Schedule_5_21[[#All],[UNIT TAG]], FALSE), 6)</f>
        <v>100</v>
      </c>
      <c r="AA115" s="27">
        <v>1000</v>
      </c>
      <c r="AB115" s="27">
        <v>1100</v>
      </c>
      <c r="AC115">
        <v>1400</v>
      </c>
      <c r="AD115" s="29" t="str">
        <f>IF(INDEX(Schedule!$A$1:$N$2000, MATCH($C115, VAV_Schedule_5_21[[#All],[UNIT TAG]], FALSE), 7)="-", 0, INDEX(Schedule!$A$1:$N$2000, MATCH($C115, VAV_Schedule_5_21[[#All],[UNIT TAG]], FALSE), 7))</f>
        <v>5</v>
      </c>
      <c r="AE115" t="str">
        <f>"B_01'" &amp; "Flr_0" &amp; INDEX(Joined!$A$3:$M$2000, MATCH($A115, Joined!$I$3:$I$2000, FALSE), 8)</f>
        <v>B_01'Flr_04</v>
      </c>
      <c r="AF115" t="str">
        <f>"R_" &amp; INDEX(Joined!$A$3:$M$2000, MATCH($A115, Joined!$I$3:$I$2000, FALSE), 7)</f>
        <v>R_VAV-4E-25</v>
      </c>
      <c r="AG115" t="str">
        <f>"B_01'" &amp; "Flr_0" &amp; INDEX(Joined!$A$3:$M$2000, MATCH($A115, Joined!$I$3:$I$2000, FALSE), 8)</f>
        <v>B_01'Flr_04</v>
      </c>
      <c r="AH115" t="str">
        <f>INDEX(Joined!$A$3:$M$2000, MATCH($A115, Joined!$I$3:$I$2000, FALSE), 7)</f>
        <v>VAV-4E-25</v>
      </c>
      <c r="AI115" t="s">
        <v>947</v>
      </c>
    </row>
    <row r="116" spans="1:69" x14ac:dyDescent="0.2">
      <c r="A116" t="s">
        <v>504</v>
      </c>
      <c r="B116" t="str">
        <f>"B_01'" &amp; "Flr_0" &amp; INDEX(Joined!$A$3:$M$2000, MATCH($A116, Joined!$I$3:$I$2000, FALSE), 8)</f>
        <v>B_01'Flr_04</v>
      </c>
      <c r="C116" t="str">
        <f>INDEX(Joined!$A$3:$M$2000, MATCH($A116, Joined!$I$3:$I$2000, FALSE), 7)</f>
        <v>VAV-4E-26</v>
      </c>
      <c r="D116">
        <f>INDEX(Joined!$A$3:$M$2000, MATCH($A116, Joined!$I$3:$I$2000, FALSE), 5)</f>
        <v>150805</v>
      </c>
      <c r="E116" t="str">
        <f>INDEX(Joined!$A$3:$M$2000, MATCH($A116, Joined!$I$3:$I$2000, FALSE), 7)</f>
        <v>VAV-4E-26</v>
      </c>
      <c r="F116" t="s">
        <v>38</v>
      </c>
      <c r="G116" t="str">
        <f>INDEX(Schedule!$Q$2:$R$7, MATCH(ABT!$H116,Schedule!$Q$2:$Q$7, 0), 2)</f>
        <v>15006_ADXR_VAV_DXR2M10</v>
      </c>
      <c r="H116">
        <f>INDEX(Joined!$A$3:$M$2000, MATCH($A116, Joined!$I$3:$I$2000, FALSE), 6)</f>
        <v>15006</v>
      </c>
      <c r="I116" t="str">
        <f>INDEX(Joined!$A$3:$M$2000, MATCH($A116, Joined!$I$3:$I$2000, FALSE), 4)</f>
        <v>508</v>
      </c>
      <c r="J116" t="b">
        <v>0</v>
      </c>
      <c r="K116">
        <f>INDEX(Joined!$A$3:$M$2000, MATCH($A116, Joined!$I$3:$I$2000, FALSE), 3)</f>
        <v>5</v>
      </c>
      <c r="L116">
        <v>85</v>
      </c>
      <c r="M116">
        <v>38400</v>
      </c>
      <c r="N116" s="27">
        <f>PI()*(INDEX(Schedule!$A$1:$N$2000, MATCH($C116, VAV_Schedule_5_21[[#All],[UNIT TAG]], FALSE), 4)/2/12)^2</f>
        <v>0.3490658503988659</v>
      </c>
      <c r="O116" s="27">
        <f>INDEX(Schedule!$A$1:$N$2000, MATCH($C116, VAV_Schedule_5_21[[#All],[UNIT TAG]], FALSE), 4)</f>
        <v>8</v>
      </c>
      <c r="P116">
        <v>114.63</v>
      </c>
      <c r="Q116" s="27">
        <f>INDEX(Schedule!$A$1:$N$2000, MATCH($C116, VAV_Schedule_5_21[[#All],[UNIT TAG]], FALSE), 5)</f>
        <v>550</v>
      </c>
      <c r="R116" s="27">
        <f>INDEX(Schedule!$A$1:$N$2000, MATCH($C116, VAV_Schedule_5_21[[#All],[UNIT TAG]], FALSE), 6)</f>
        <v>110</v>
      </c>
      <c r="S116" s="27">
        <f>INDEX(Schedule!$A$1:$N$2000, MATCH($C116, VAV_Schedule_5_21[[#All],[UNIT TAG]], FALSE), 5)</f>
        <v>550</v>
      </c>
      <c r="T116" s="27">
        <f>INDEX(Schedule!$A$1:$N$2000, MATCH($C116, VAV_Schedule_5_21[[#All],[UNIT TAG]], FALSE), 6)</f>
        <v>110</v>
      </c>
      <c r="U116" s="27">
        <f>INDEX(Schedule!$A$1:$N$2000, MATCH($C116, VAV_Schedule_5_21[[#All],[UNIT TAG]], FALSE), 5)</f>
        <v>550</v>
      </c>
      <c r="V116" s="27">
        <f>INDEX(Schedule!$A$1:$N$2000, MATCH($C116, VAV_Schedule_5_21[[#All],[UNIT TAG]], FALSE), 6)</f>
        <v>110</v>
      </c>
      <c r="W116" s="27">
        <f>INDEX(Schedule!$A$1:$N$2000, MATCH($C116, VAV_Schedule_5_21[[#All],[UNIT TAG]], FALSE), 6)</f>
        <v>110</v>
      </c>
      <c r="X116" s="27">
        <f>INDEX(Schedule!$A$1:$N$2000, MATCH($C116, VAV_Schedule_5_21[[#All],[UNIT TAG]], FALSE), 6)</f>
        <v>110</v>
      </c>
      <c r="Y116" s="27">
        <f>INDEX(Schedule!$A$1:$N$2000, MATCH($C116, VAV_Schedule_5_21[[#All],[UNIT TAG]], FALSE), 6)</f>
        <v>110</v>
      </c>
      <c r="Z116" s="27">
        <f>INDEX(Schedule!$A$1:$N$2000, MATCH($C116, VAV_Schedule_5_21[[#All],[UNIT TAG]], FALSE), 6)</f>
        <v>110</v>
      </c>
      <c r="AA116" s="27">
        <v>1000</v>
      </c>
      <c r="AB116" s="27">
        <v>1100</v>
      </c>
      <c r="AC116">
        <v>1400</v>
      </c>
      <c r="AD116" s="29">
        <f>IF(INDEX(Schedule!$A$1:$N$2000, MATCH($C116, VAV_Schedule_5_21[[#All],[UNIT TAG]], FALSE), 7)="-", 0, INDEX(Schedule!$A$1:$N$2000, MATCH($C116, VAV_Schedule_5_21[[#All],[UNIT TAG]], FALSE), 7))</f>
        <v>0</v>
      </c>
      <c r="AE116" t="str">
        <f>"B_01'" &amp; "Flr_0" &amp; INDEX(Joined!$A$3:$M$2000, MATCH($A116, Joined!$I$3:$I$2000, FALSE), 8)</f>
        <v>B_01'Flr_04</v>
      </c>
      <c r="AF116" t="str">
        <f>"R_" &amp; INDEX(Joined!$A$3:$M$2000, MATCH($A116, Joined!$I$3:$I$2000, FALSE), 7)</f>
        <v>R_VAV-4E-26</v>
      </c>
      <c r="AG116" t="str">
        <f>"B_01'" &amp; "Flr_0" &amp; INDEX(Joined!$A$3:$M$2000, MATCH($A116, Joined!$I$3:$I$2000, FALSE), 8)</f>
        <v>B_01'Flr_04</v>
      </c>
      <c r="AH116" t="str">
        <f>INDEX(Joined!$A$3:$M$2000, MATCH($A116, Joined!$I$3:$I$2000, FALSE), 7)</f>
        <v>VAV-4E-26</v>
      </c>
      <c r="AI116" t="s">
        <v>925</v>
      </c>
    </row>
    <row r="117" spans="1:69" x14ac:dyDescent="0.2">
      <c r="A117" t="s">
        <v>505</v>
      </c>
      <c r="B117" t="str">
        <f>"B_01'" &amp; "Flr_0" &amp; INDEX(Joined!$A$3:$M$2000, MATCH($A117, Joined!$I$3:$I$2000, FALSE), 8)</f>
        <v>B_01'Flr_04</v>
      </c>
      <c r="C117" t="str">
        <f>INDEX(Joined!$A$3:$M$2000, MATCH($A117, Joined!$I$3:$I$2000, FALSE), 7)</f>
        <v>VAV-4E-27</v>
      </c>
      <c r="D117">
        <f>INDEX(Joined!$A$3:$M$2000, MATCH($A117, Joined!$I$3:$I$2000, FALSE), 5)</f>
        <v>150806</v>
      </c>
      <c r="E117" t="str">
        <f>INDEX(Joined!$A$3:$M$2000, MATCH($A117, Joined!$I$3:$I$2000, FALSE), 7)</f>
        <v>VAV-4E-27</v>
      </c>
      <c r="F117" t="s">
        <v>38</v>
      </c>
      <c r="G117" t="str">
        <f>INDEX(Schedule!$Q$2:$R$7, MATCH(ABT!$H117,Schedule!$Q$2:$Q$7, 0), 2)</f>
        <v>15006_ADXR_VAV_DXR2M10</v>
      </c>
      <c r="H117">
        <f>INDEX(Joined!$A$3:$M$2000, MATCH($A117, Joined!$I$3:$I$2000, FALSE), 6)</f>
        <v>15006</v>
      </c>
      <c r="I117" t="str">
        <f>INDEX(Joined!$A$3:$M$2000, MATCH($A117, Joined!$I$3:$I$2000, FALSE), 4)</f>
        <v>508</v>
      </c>
      <c r="J117" t="b">
        <v>0</v>
      </c>
      <c r="K117">
        <f>INDEX(Joined!$A$3:$M$2000, MATCH($A117, Joined!$I$3:$I$2000, FALSE), 3)</f>
        <v>6</v>
      </c>
      <c r="L117">
        <v>85</v>
      </c>
      <c r="M117">
        <v>38400</v>
      </c>
      <c r="N117" s="27">
        <f>PI()*(INDEX(Schedule!$A$1:$N$2000, MATCH($C117, VAV_Schedule_5_21[[#All],[UNIT TAG]], FALSE), 4)/2/12)^2</f>
        <v>0.19634954084936207</v>
      </c>
      <c r="O117" s="27">
        <f>INDEX(Schedule!$A$1:$N$2000, MATCH($C117, VAV_Schedule_5_21[[#All],[UNIT TAG]], FALSE), 4)</f>
        <v>6</v>
      </c>
      <c r="P117">
        <v>115.63</v>
      </c>
      <c r="Q117" s="27">
        <f>INDEX(Schedule!$A$1:$N$2000, MATCH($C117, VAV_Schedule_5_21[[#All],[UNIT TAG]], FALSE), 5)</f>
        <v>300</v>
      </c>
      <c r="R117" s="27">
        <f>INDEX(Schedule!$A$1:$N$2000, MATCH($C117, VAV_Schedule_5_21[[#All],[UNIT TAG]], FALSE), 6)</f>
        <v>60</v>
      </c>
      <c r="S117" s="27">
        <f>INDEX(Schedule!$A$1:$N$2000, MATCH($C117, VAV_Schedule_5_21[[#All],[UNIT TAG]], FALSE), 5)</f>
        <v>300</v>
      </c>
      <c r="T117" s="27">
        <f>INDEX(Schedule!$A$1:$N$2000, MATCH($C117, VAV_Schedule_5_21[[#All],[UNIT TAG]], FALSE), 6)</f>
        <v>60</v>
      </c>
      <c r="U117" s="27">
        <f>INDEX(Schedule!$A$1:$N$2000, MATCH($C117, VAV_Schedule_5_21[[#All],[UNIT TAG]], FALSE), 5)</f>
        <v>300</v>
      </c>
      <c r="V117" s="27">
        <f>INDEX(Schedule!$A$1:$N$2000, MATCH($C117, VAV_Schedule_5_21[[#All],[UNIT TAG]], FALSE), 6)</f>
        <v>60</v>
      </c>
      <c r="W117" s="27">
        <f>INDEX(Schedule!$A$1:$N$2000, MATCH($C117, VAV_Schedule_5_21[[#All],[UNIT TAG]], FALSE), 6)</f>
        <v>60</v>
      </c>
      <c r="X117" s="27">
        <f>INDEX(Schedule!$A$1:$N$2000, MATCH($C117, VAV_Schedule_5_21[[#All],[UNIT TAG]], FALSE), 6)</f>
        <v>60</v>
      </c>
      <c r="Y117" s="27">
        <f>INDEX(Schedule!$A$1:$N$2000, MATCH($C117, VAV_Schedule_5_21[[#All],[UNIT TAG]], FALSE), 6)</f>
        <v>60</v>
      </c>
      <c r="Z117" s="27">
        <f>INDEX(Schedule!$A$1:$N$2000, MATCH($C117, VAV_Schedule_5_21[[#All],[UNIT TAG]], FALSE), 6)</f>
        <v>60</v>
      </c>
      <c r="AA117" s="27">
        <v>1000</v>
      </c>
      <c r="AB117" s="27">
        <v>1100</v>
      </c>
      <c r="AC117">
        <v>1400</v>
      </c>
      <c r="AD117" s="29">
        <f>IF(INDEX(Schedule!$A$1:$N$2000, MATCH($C117, VAV_Schedule_5_21[[#All],[UNIT TAG]], FALSE), 7)="-", 0, INDEX(Schedule!$A$1:$N$2000, MATCH($C117, VAV_Schedule_5_21[[#All],[UNIT TAG]], FALSE), 7))</f>
        <v>0</v>
      </c>
      <c r="AE117" t="str">
        <f>"B_01'" &amp; "Flr_0" &amp; INDEX(Joined!$A$3:$M$2000, MATCH($A117, Joined!$I$3:$I$2000, FALSE), 8)</f>
        <v>B_01'Flr_04</v>
      </c>
      <c r="AF117" t="str">
        <f>"R_" &amp; INDEX(Joined!$A$3:$M$2000, MATCH($A117, Joined!$I$3:$I$2000, FALSE), 7)</f>
        <v>R_VAV-4E-27</v>
      </c>
      <c r="AG117" t="str">
        <f>"B_01'" &amp; "Flr_0" &amp; INDEX(Joined!$A$3:$M$2000, MATCH($A117, Joined!$I$3:$I$2000, FALSE), 8)</f>
        <v>B_01'Flr_04</v>
      </c>
      <c r="AH117" t="str">
        <f>INDEX(Joined!$A$3:$M$2000, MATCH($A117, Joined!$I$3:$I$2000, FALSE), 7)</f>
        <v>VAV-4E-27</v>
      </c>
      <c r="AI117" t="s">
        <v>926</v>
      </c>
    </row>
    <row r="118" spans="1:69" x14ac:dyDescent="0.2">
      <c r="A118" t="s">
        <v>506</v>
      </c>
      <c r="B118" t="str">
        <f>"B_01'" &amp; "Flr_0" &amp; INDEX(Joined!$A$3:$M$2000, MATCH($A118, Joined!$I$3:$I$2000, FALSE), 8)</f>
        <v>B_01'Flr_04</v>
      </c>
      <c r="C118" t="str">
        <f>INDEX(Joined!$A$3:$M$2000, MATCH($A118, Joined!$I$3:$I$2000, FALSE), 7)</f>
        <v>VAV-4E-28</v>
      </c>
      <c r="D118">
        <f>INDEX(Joined!$A$3:$M$2000, MATCH($A118, Joined!$I$3:$I$2000, FALSE), 5)</f>
        <v>150807</v>
      </c>
      <c r="E118" t="str">
        <f>INDEX(Joined!$A$3:$M$2000, MATCH($A118, Joined!$I$3:$I$2000, FALSE), 7)</f>
        <v>VAV-4E-28</v>
      </c>
      <c r="F118" t="s">
        <v>38</v>
      </c>
      <c r="G118" t="str">
        <f>INDEX(Schedule!$Q$2:$R$7, MATCH(ABT!$H118,Schedule!$Q$2:$Q$7, 0), 2)</f>
        <v>15006_ADXR_VAV_DXR2M10</v>
      </c>
      <c r="H118">
        <f>INDEX(Joined!$A$3:$M$2000, MATCH($A118, Joined!$I$3:$I$2000, FALSE), 6)</f>
        <v>15006</v>
      </c>
      <c r="I118" t="str">
        <f>INDEX(Joined!$A$3:$M$2000, MATCH($A118, Joined!$I$3:$I$2000, FALSE), 4)</f>
        <v>508</v>
      </c>
      <c r="J118" t="b">
        <v>0</v>
      </c>
      <c r="K118">
        <f>INDEX(Joined!$A$3:$M$2000, MATCH($A118, Joined!$I$3:$I$2000, FALSE), 3)</f>
        <v>7</v>
      </c>
      <c r="L118">
        <v>85</v>
      </c>
      <c r="M118">
        <v>38400</v>
      </c>
      <c r="N118" s="27">
        <f>PI()*(INDEX(Schedule!$A$1:$N$2000, MATCH($C118, VAV_Schedule_5_21[[#All],[UNIT TAG]], FALSE), 4)/2/12)^2</f>
        <v>0.54541539124822802</v>
      </c>
      <c r="O118" s="27">
        <f>INDEX(Schedule!$A$1:$N$2000, MATCH($C118, VAV_Schedule_5_21[[#All],[UNIT TAG]], FALSE), 4)</f>
        <v>10</v>
      </c>
      <c r="P118">
        <v>116.63</v>
      </c>
      <c r="Q118" s="27">
        <f>INDEX(Schedule!$A$1:$N$2000, MATCH($C118, VAV_Schedule_5_21[[#All],[UNIT TAG]], FALSE), 5)</f>
        <v>840</v>
      </c>
      <c r="R118" s="27">
        <f>INDEX(Schedule!$A$1:$N$2000, MATCH($C118, VAV_Schedule_5_21[[#All],[UNIT TAG]], FALSE), 6)</f>
        <v>170</v>
      </c>
      <c r="S118" s="27">
        <f>INDEX(Schedule!$A$1:$N$2000, MATCH($C118, VAV_Schedule_5_21[[#All],[UNIT TAG]], FALSE), 5)</f>
        <v>840</v>
      </c>
      <c r="T118" s="27">
        <f>INDEX(Schedule!$A$1:$N$2000, MATCH($C118, VAV_Schedule_5_21[[#All],[UNIT TAG]], FALSE), 6)</f>
        <v>170</v>
      </c>
      <c r="U118" s="27">
        <f>INDEX(Schedule!$A$1:$N$2000, MATCH($C118, VAV_Schedule_5_21[[#All],[UNIT TAG]], FALSE), 5)</f>
        <v>840</v>
      </c>
      <c r="V118" s="27">
        <f>INDEX(Schedule!$A$1:$N$2000, MATCH($C118, VAV_Schedule_5_21[[#All],[UNIT TAG]], FALSE), 6)</f>
        <v>170</v>
      </c>
      <c r="W118" s="27">
        <f>INDEX(Schedule!$A$1:$N$2000, MATCH($C118, VAV_Schedule_5_21[[#All],[UNIT TAG]], FALSE), 6)</f>
        <v>170</v>
      </c>
      <c r="X118" s="27">
        <f>INDEX(Schedule!$A$1:$N$2000, MATCH($C118, VAV_Schedule_5_21[[#All],[UNIT TAG]], FALSE), 6)</f>
        <v>170</v>
      </c>
      <c r="Y118" s="27">
        <f>INDEX(Schedule!$A$1:$N$2000, MATCH($C118, VAV_Schedule_5_21[[#All],[UNIT TAG]], FALSE), 6)</f>
        <v>170</v>
      </c>
      <c r="Z118" s="27">
        <f>INDEX(Schedule!$A$1:$N$2000, MATCH($C118, VAV_Schedule_5_21[[#All],[UNIT TAG]], FALSE), 6)</f>
        <v>170</v>
      </c>
      <c r="AA118" s="27">
        <v>1000</v>
      </c>
      <c r="AB118" s="27">
        <v>1100</v>
      </c>
      <c r="AC118">
        <v>1400</v>
      </c>
      <c r="AD118" s="29">
        <f>IF(INDEX(Schedule!$A$1:$N$2000, MATCH($C118, VAV_Schedule_5_21[[#All],[UNIT TAG]], FALSE), 7)="-", 0, INDEX(Schedule!$A$1:$N$2000, MATCH($C118, VAV_Schedule_5_21[[#All],[UNIT TAG]], FALSE), 7))</f>
        <v>0</v>
      </c>
      <c r="AE118" t="str">
        <f>"B_01'" &amp; "Flr_0" &amp; INDEX(Joined!$A$3:$M$2000, MATCH($A118, Joined!$I$3:$I$2000, FALSE), 8)</f>
        <v>B_01'Flr_04</v>
      </c>
      <c r="AF118" t="str">
        <f>"R_" &amp; INDEX(Joined!$A$3:$M$2000, MATCH($A118, Joined!$I$3:$I$2000, FALSE), 7)</f>
        <v>R_VAV-4E-28</v>
      </c>
      <c r="AG118" t="str">
        <f>"B_01'" &amp; "Flr_0" &amp; INDEX(Joined!$A$3:$M$2000, MATCH($A118, Joined!$I$3:$I$2000, FALSE), 8)</f>
        <v>B_01'Flr_04</v>
      </c>
      <c r="AH118" t="str">
        <f>INDEX(Joined!$A$3:$M$2000, MATCH($A118, Joined!$I$3:$I$2000, FALSE), 7)</f>
        <v>VAV-4E-28</v>
      </c>
      <c r="AI118" t="s">
        <v>927</v>
      </c>
    </row>
    <row r="119" spans="1:69" x14ac:dyDescent="0.2">
      <c r="A119" s="20" t="s">
        <v>507</v>
      </c>
      <c r="B119" t="str">
        <f>"B_01'" &amp; "Flr_0" &amp; INDEX(Joined!$A$3:$M$2000, MATCH($A119, Joined!$I$3:$I$2000, FALSE), 8)</f>
        <v>B_01'Flr_04</v>
      </c>
      <c r="C119" t="str">
        <f>INDEX(Joined!$A$3:$M$2000, MATCH($A119, Joined!$I$3:$I$2000, FALSE), 7)</f>
        <v>VAV-4E-29</v>
      </c>
      <c r="D119">
        <f>INDEX(Joined!$A$3:$M$2000, MATCH($A119, Joined!$I$3:$I$2000, FALSE), 5)</f>
        <v>150808</v>
      </c>
      <c r="E119" t="str">
        <f>INDEX(Joined!$A$3:$M$2000, MATCH($A119, Joined!$I$3:$I$2000, FALSE), 7)</f>
        <v>VAV-4E-29</v>
      </c>
      <c r="F119" t="s">
        <v>38</v>
      </c>
      <c r="G119" t="str">
        <f>INDEX(Schedule!$Q$2:$R$7, MATCH(ABT!$H119,Schedule!$Q$2:$Q$7, 0), 2)</f>
        <v>15006_ADXR_VAV_DXR2M10</v>
      </c>
      <c r="H119">
        <f>INDEX(Joined!$A$3:$M$2000, MATCH($A119, Joined!$I$3:$I$2000, FALSE), 6)</f>
        <v>15006</v>
      </c>
      <c r="I119" t="str">
        <f>INDEX(Joined!$A$3:$M$2000, MATCH($A119, Joined!$I$3:$I$2000, FALSE), 4)</f>
        <v>508</v>
      </c>
      <c r="J119" t="b">
        <v>0</v>
      </c>
      <c r="K119">
        <f>INDEX(Joined!$A$3:$M$2000, MATCH($A119, Joined!$I$3:$I$2000, FALSE), 3)</f>
        <v>8</v>
      </c>
      <c r="L119">
        <v>85</v>
      </c>
      <c r="M119">
        <v>38400</v>
      </c>
      <c r="N119" s="27">
        <f>PI()*(INDEX(Schedule!$A$1:$N$2000, MATCH($C119, VAV_Schedule_5_21[[#All],[UNIT TAG]], FALSE), 4)/2/12)^2</f>
        <v>0.3490658503988659</v>
      </c>
      <c r="O119" s="27">
        <f>INDEX(Schedule!$A$1:$N$2000, MATCH($C119, VAV_Schedule_5_21[[#All],[UNIT TAG]], FALSE), 4)</f>
        <v>8</v>
      </c>
      <c r="P119">
        <v>117.63</v>
      </c>
      <c r="Q119" s="27">
        <f>INDEX(Schedule!$A$1:$N$2000, MATCH($C119, VAV_Schedule_5_21[[#All],[UNIT TAG]], FALSE), 5)</f>
        <v>420</v>
      </c>
      <c r="R119" s="27">
        <f>INDEX(Schedule!$A$1:$N$2000, MATCH($C119, VAV_Schedule_5_21[[#All],[UNIT TAG]], FALSE), 6)</f>
        <v>85</v>
      </c>
      <c r="S119" s="27">
        <f>INDEX(Schedule!$A$1:$N$2000, MATCH($C119, VAV_Schedule_5_21[[#All],[UNIT TAG]], FALSE), 5)</f>
        <v>420</v>
      </c>
      <c r="T119" s="27">
        <f>INDEX(Schedule!$A$1:$N$2000, MATCH($C119, VAV_Schedule_5_21[[#All],[UNIT TAG]], FALSE), 6)</f>
        <v>85</v>
      </c>
      <c r="U119" s="27">
        <f>INDEX(Schedule!$A$1:$N$2000, MATCH($C119, VAV_Schedule_5_21[[#All],[UNIT TAG]], FALSE), 5)</f>
        <v>420</v>
      </c>
      <c r="V119" s="27">
        <f>INDEX(Schedule!$A$1:$N$2000, MATCH($C119, VAV_Schedule_5_21[[#All],[UNIT TAG]], FALSE), 6)</f>
        <v>85</v>
      </c>
      <c r="W119" s="27">
        <f>INDEX(Schedule!$A$1:$N$2000, MATCH($C119, VAV_Schedule_5_21[[#All],[UNIT TAG]], FALSE), 6)</f>
        <v>85</v>
      </c>
      <c r="X119" s="27">
        <f>INDEX(Schedule!$A$1:$N$2000, MATCH($C119, VAV_Schedule_5_21[[#All],[UNIT TAG]], FALSE), 6)</f>
        <v>85</v>
      </c>
      <c r="Y119" s="27">
        <f>INDEX(Schedule!$A$1:$N$2000, MATCH($C119, VAV_Schedule_5_21[[#All],[UNIT TAG]], FALSE), 6)</f>
        <v>85</v>
      </c>
      <c r="Z119" s="27">
        <f>INDEX(Schedule!$A$1:$N$2000, MATCH($C119, VAV_Schedule_5_21[[#All],[UNIT TAG]], FALSE), 6)</f>
        <v>85</v>
      </c>
      <c r="AA119" s="27">
        <v>1000</v>
      </c>
      <c r="AB119" s="27">
        <v>1100</v>
      </c>
      <c r="AC119">
        <v>1400</v>
      </c>
      <c r="AD119" s="29">
        <f>IF(INDEX(Schedule!$A$1:$N$2000, MATCH($C119, VAV_Schedule_5_21[[#All],[UNIT TAG]], FALSE), 7)="-", 0, INDEX(Schedule!$A$1:$N$2000, MATCH($C119, VAV_Schedule_5_21[[#All],[UNIT TAG]], FALSE), 7))</f>
        <v>0</v>
      </c>
      <c r="AE119" t="str">
        <f>"B_01'" &amp; "Flr_0" &amp; INDEX(Joined!$A$3:$M$2000, MATCH($A119, Joined!$I$3:$I$2000, FALSE), 8)</f>
        <v>B_01'Flr_04</v>
      </c>
      <c r="AF119" t="str">
        <f>"R_" &amp; INDEX(Joined!$A$3:$M$2000, MATCH($A119, Joined!$I$3:$I$2000, FALSE), 7)</f>
        <v>R_VAV-4E-29</v>
      </c>
      <c r="AG119" t="str">
        <f>"B_01'" &amp; "Flr_0" &amp; INDEX(Joined!$A$3:$M$2000, MATCH($A119, Joined!$I$3:$I$2000, FALSE), 8)</f>
        <v>B_01'Flr_04</v>
      </c>
      <c r="AH119" t="str">
        <f>INDEX(Joined!$A$3:$M$2000, MATCH($A119, Joined!$I$3:$I$2000, FALSE), 7)</f>
        <v>VAV-4E-29</v>
      </c>
      <c r="AI119" t="s">
        <v>928</v>
      </c>
    </row>
    <row r="120" spans="1:69" x14ac:dyDescent="0.2">
      <c r="A120" t="s">
        <v>508</v>
      </c>
      <c r="B120" t="str">
        <f>"B_01'" &amp; "Flr_0" &amp; INDEX(Joined!$A$3:$M$2000, MATCH($A120, Joined!$I$3:$I$2000, FALSE), 8)</f>
        <v>B_01'Flr_04</v>
      </c>
      <c r="C120" t="str">
        <f>INDEX(Joined!$A$3:$M$2000, MATCH($A120, Joined!$I$3:$I$2000, FALSE), 7)</f>
        <v>VAV-4E-30</v>
      </c>
      <c r="D120">
        <f>INDEX(Joined!$A$3:$M$2000, MATCH($A120, Joined!$I$3:$I$2000, FALSE), 5)</f>
        <v>150809</v>
      </c>
      <c r="E120" t="str">
        <f>INDEX(Joined!$A$3:$M$2000, MATCH($A120, Joined!$I$3:$I$2000, FALSE), 7)</f>
        <v>VAV-4E-30</v>
      </c>
      <c r="F120" t="s">
        <v>38</v>
      </c>
      <c r="G120" t="str">
        <f>INDEX(Schedule!$Q$2:$R$7, MATCH(ABT!$H120,Schedule!$Q$2:$Q$7, 0), 2)</f>
        <v>15007_ADXR_VAV_DXR2M10</v>
      </c>
      <c r="H120">
        <f>INDEX(Joined!$A$3:$M$2000, MATCH($A120, Joined!$I$3:$I$2000, FALSE), 6)</f>
        <v>15007</v>
      </c>
      <c r="I120" t="str">
        <f>INDEX(Joined!$A$3:$M$2000, MATCH($A120, Joined!$I$3:$I$2000, FALSE), 4)</f>
        <v>508</v>
      </c>
      <c r="J120" t="b">
        <v>0</v>
      </c>
      <c r="K120">
        <f>INDEX(Joined!$A$3:$M$2000, MATCH($A120, Joined!$I$3:$I$2000, FALSE), 3)</f>
        <v>9</v>
      </c>
      <c r="L120">
        <v>85</v>
      </c>
      <c r="M120">
        <v>38400</v>
      </c>
      <c r="N120" s="27">
        <f>PI()*(INDEX(Schedule!$A$1:$N$2000, MATCH($C120, VAV_Schedule_5_21[[#All],[UNIT TAG]], FALSE), 4)/2/12)^2</f>
        <v>0.54541539124822802</v>
      </c>
      <c r="O120" s="27">
        <f>INDEX(Schedule!$A$1:$N$2000, MATCH($C120, VAV_Schedule_5_21[[#All],[UNIT TAG]], FALSE), 4)</f>
        <v>10</v>
      </c>
      <c r="P120">
        <v>118.63</v>
      </c>
      <c r="Q120" s="27">
        <f>INDEX(Schedule!$A$1:$N$2000, MATCH($C120, VAV_Schedule_5_21[[#All],[UNIT TAG]], FALSE), 5)</f>
        <v>1.05</v>
      </c>
      <c r="R120" s="27">
        <f>INDEX(Schedule!$A$1:$N$2000, MATCH($C120, VAV_Schedule_5_21[[#All],[UNIT TAG]], FALSE), 6)</f>
        <v>210</v>
      </c>
      <c r="S120" s="27">
        <f>INDEX(Schedule!$A$1:$N$2000, MATCH($C120, VAV_Schedule_5_21[[#All],[UNIT TAG]], FALSE), 5)</f>
        <v>1.05</v>
      </c>
      <c r="T120" s="27">
        <f>INDEX(Schedule!$A$1:$N$2000, MATCH($C120, VAV_Schedule_5_21[[#All],[UNIT TAG]], FALSE), 6)</f>
        <v>210</v>
      </c>
      <c r="U120" s="27">
        <f>INDEX(Schedule!$A$1:$N$2000, MATCH($C120, VAV_Schedule_5_21[[#All],[UNIT TAG]], FALSE), 5)</f>
        <v>1.05</v>
      </c>
      <c r="V120" s="27">
        <f>INDEX(Schedule!$A$1:$N$2000, MATCH($C120, VAV_Schedule_5_21[[#All],[UNIT TAG]], FALSE), 6)</f>
        <v>210</v>
      </c>
      <c r="W120" s="27">
        <f>INDEX(Schedule!$A$1:$N$2000, MATCH($C120, VAV_Schedule_5_21[[#All],[UNIT TAG]], FALSE), 6)</f>
        <v>210</v>
      </c>
      <c r="X120" s="27">
        <f>INDEX(Schedule!$A$1:$N$2000, MATCH($C120, VAV_Schedule_5_21[[#All],[UNIT TAG]], FALSE), 6)</f>
        <v>210</v>
      </c>
      <c r="Y120" s="27">
        <f>INDEX(Schedule!$A$1:$N$2000, MATCH($C120, VAV_Schedule_5_21[[#All],[UNIT TAG]], FALSE), 6)</f>
        <v>210</v>
      </c>
      <c r="Z120" s="27">
        <f>INDEX(Schedule!$A$1:$N$2000, MATCH($C120, VAV_Schedule_5_21[[#All],[UNIT TAG]], FALSE), 6)</f>
        <v>210</v>
      </c>
      <c r="AA120" s="27">
        <v>1000</v>
      </c>
      <c r="AB120" s="27">
        <v>1100</v>
      </c>
      <c r="AC120">
        <v>1400</v>
      </c>
      <c r="AD120" s="29" t="str">
        <f>IF(INDEX(Schedule!$A$1:$N$2000, MATCH($C120, VAV_Schedule_5_21[[#All],[UNIT TAG]], FALSE), 7)="-", 0, INDEX(Schedule!$A$1:$N$2000, MATCH($C120, VAV_Schedule_5_21[[#All],[UNIT TAG]], FALSE), 7))</f>
        <v>7</v>
      </c>
      <c r="AE120" t="str">
        <f>"B_01'" &amp; "Flr_0" &amp; INDEX(Joined!$A$3:$M$2000, MATCH($A120, Joined!$I$3:$I$2000, FALSE), 8)</f>
        <v>B_01'Flr_04</v>
      </c>
      <c r="AF120" t="str">
        <f>"R_" &amp; INDEX(Joined!$A$3:$M$2000, MATCH($A120, Joined!$I$3:$I$2000, FALSE), 7)</f>
        <v>R_VAV-4E-30</v>
      </c>
      <c r="AG120" t="str">
        <f>"B_01'" &amp; "Flr_0" &amp; INDEX(Joined!$A$3:$M$2000, MATCH($A120, Joined!$I$3:$I$2000, FALSE), 8)</f>
        <v>B_01'Flr_04</v>
      </c>
      <c r="AH120" t="str">
        <f>INDEX(Joined!$A$3:$M$2000, MATCH($A120, Joined!$I$3:$I$2000, FALSE), 7)</f>
        <v>VAV-4E-30</v>
      </c>
      <c r="AI120" t="s">
        <v>948</v>
      </c>
    </row>
    <row r="121" spans="1:69" x14ac:dyDescent="0.2">
      <c r="A121" t="s">
        <v>509</v>
      </c>
      <c r="B121" t="str">
        <f>"B_01'" &amp; "Flr_0" &amp; INDEX(Joined!$A$3:$M$2000, MATCH($A121, Joined!$I$3:$I$2000, FALSE), 8)</f>
        <v>B_01'Flr_04</v>
      </c>
      <c r="C121" t="str">
        <f>INDEX(Joined!$A$3:$M$2000, MATCH($A121, Joined!$I$3:$I$2000, FALSE), 7)</f>
        <v>VAV-4E-31</v>
      </c>
      <c r="D121">
        <f>INDEX(Joined!$A$3:$M$2000, MATCH($A121, Joined!$I$3:$I$2000, FALSE), 5)</f>
        <v>150810</v>
      </c>
      <c r="E121" t="str">
        <f>INDEX(Joined!$A$3:$M$2000, MATCH($A121, Joined!$I$3:$I$2000, FALSE), 7)</f>
        <v>VAV-4E-31</v>
      </c>
      <c r="F121" t="s">
        <v>38</v>
      </c>
      <c r="G121" t="str">
        <f>INDEX(Schedule!$Q$2:$R$7, MATCH(ABT!$H121,Schedule!$Q$2:$Q$7, 0), 2)</f>
        <v>15006_ADXR_VAV_DXR2M10</v>
      </c>
      <c r="H121">
        <f>INDEX(Joined!$A$3:$M$2000, MATCH($A121, Joined!$I$3:$I$2000, FALSE), 6)</f>
        <v>15006</v>
      </c>
      <c r="I121" t="str">
        <f>INDEX(Joined!$A$3:$M$2000, MATCH($A121, Joined!$I$3:$I$2000, FALSE), 4)</f>
        <v>508</v>
      </c>
      <c r="J121" t="b">
        <v>0</v>
      </c>
      <c r="K121">
        <f>INDEX(Joined!$A$3:$M$2000, MATCH($A121, Joined!$I$3:$I$2000, FALSE), 3)</f>
        <v>10</v>
      </c>
      <c r="L121">
        <v>85</v>
      </c>
      <c r="M121">
        <v>38400</v>
      </c>
      <c r="N121" s="27">
        <f>PI()*(INDEX(Schedule!$A$1:$N$2000, MATCH($C121, VAV_Schedule_5_21[[#All],[UNIT TAG]], FALSE), 4)/2/12)^2</f>
        <v>0.19634954084936207</v>
      </c>
      <c r="O121" s="27">
        <f>INDEX(Schedule!$A$1:$N$2000, MATCH($C121, VAV_Schedule_5_21[[#All],[UNIT TAG]], FALSE), 4)</f>
        <v>6</v>
      </c>
      <c r="P121">
        <v>119.63</v>
      </c>
      <c r="Q121" s="27">
        <f>INDEX(Schedule!$A$1:$N$2000, MATCH($C121, VAV_Schedule_5_21[[#All],[UNIT TAG]], FALSE), 5)</f>
        <v>360</v>
      </c>
      <c r="R121" s="27">
        <f>INDEX(Schedule!$A$1:$N$2000, MATCH($C121, VAV_Schedule_5_21[[#All],[UNIT TAG]], FALSE), 6)</f>
        <v>75</v>
      </c>
      <c r="S121" s="27">
        <f>INDEX(Schedule!$A$1:$N$2000, MATCH($C121, VAV_Schedule_5_21[[#All],[UNIT TAG]], FALSE), 5)</f>
        <v>360</v>
      </c>
      <c r="T121" s="27">
        <f>INDEX(Schedule!$A$1:$N$2000, MATCH($C121, VAV_Schedule_5_21[[#All],[UNIT TAG]], FALSE), 6)</f>
        <v>75</v>
      </c>
      <c r="U121" s="27">
        <f>INDEX(Schedule!$A$1:$N$2000, MATCH($C121, VAV_Schedule_5_21[[#All],[UNIT TAG]], FALSE), 5)</f>
        <v>360</v>
      </c>
      <c r="V121" s="27">
        <f>INDEX(Schedule!$A$1:$N$2000, MATCH($C121, VAV_Schedule_5_21[[#All],[UNIT TAG]], FALSE), 6)</f>
        <v>75</v>
      </c>
      <c r="W121" s="27">
        <f>INDEX(Schedule!$A$1:$N$2000, MATCH($C121, VAV_Schedule_5_21[[#All],[UNIT TAG]], FALSE), 6)</f>
        <v>75</v>
      </c>
      <c r="X121" s="27">
        <f>INDEX(Schedule!$A$1:$N$2000, MATCH($C121, VAV_Schedule_5_21[[#All],[UNIT TAG]], FALSE), 6)</f>
        <v>75</v>
      </c>
      <c r="Y121" s="27">
        <f>INDEX(Schedule!$A$1:$N$2000, MATCH($C121, VAV_Schedule_5_21[[#All],[UNIT TAG]], FALSE), 6)</f>
        <v>75</v>
      </c>
      <c r="Z121" s="27">
        <f>INDEX(Schedule!$A$1:$N$2000, MATCH($C121, VAV_Schedule_5_21[[#All],[UNIT TAG]], FALSE), 6)</f>
        <v>75</v>
      </c>
      <c r="AA121" s="27">
        <v>1000</v>
      </c>
      <c r="AB121" s="27">
        <v>1100</v>
      </c>
      <c r="AC121">
        <v>1400</v>
      </c>
      <c r="AD121" s="29">
        <f>IF(INDEX(Schedule!$A$1:$N$2000, MATCH($C121, VAV_Schedule_5_21[[#All],[UNIT TAG]], FALSE), 7)="-", 0, INDEX(Schedule!$A$1:$N$2000, MATCH($C121, VAV_Schedule_5_21[[#All],[UNIT TAG]], FALSE), 7))</f>
        <v>0</v>
      </c>
      <c r="AE121" t="str">
        <f>"B_01'" &amp; "Flr_0" &amp; INDEX(Joined!$A$3:$M$2000, MATCH($A121, Joined!$I$3:$I$2000, FALSE), 8)</f>
        <v>B_01'Flr_04</v>
      </c>
      <c r="AF121" t="str">
        <f>"R_" &amp; INDEX(Joined!$A$3:$M$2000, MATCH($A121, Joined!$I$3:$I$2000, FALSE), 7)</f>
        <v>R_VAV-4E-31</v>
      </c>
      <c r="AG121" t="str">
        <f>"B_01'" &amp; "Flr_0" &amp; INDEX(Joined!$A$3:$M$2000, MATCH($A121, Joined!$I$3:$I$2000, FALSE), 8)</f>
        <v>B_01'Flr_04</v>
      </c>
      <c r="AH121" t="str">
        <f>INDEX(Joined!$A$3:$M$2000, MATCH($A121, Joined!$I$3:$I$2000, FALSE), 7)</f>
        <v>VAV-4E-31</v>
      </c>
      <c r="AI121" t="s">
        <v>929</v>
      </c>
    </row>
    <row r="122" spans="1:69" x14ac:dyDescent="0.2">
      <c r="A122" t="s">
        <v>510</v>
      </c>
      <c r="B122" t="str">
        <f>"B_01'" &amp; "Flr_0" &amp; INDEX(Joined!$A$3:$M$2000, MATCH($A122, Joined!$I$3:$I$2000, FALSE), 8)</f>
        <v>B_01'Flr_04</v>
      </c>
      <c r="C122" t="str">
        <f>INDEX(Joined!$A$3:$M$2000, MATCH($A122, Joined!$I$3:$I$2000, FALSE), 7)</f>
        <v>VAV-4E-32</v>
      </c>
      <c r="D122">
        <f>INDEX(Joined!$A$3:$M$2000, MATCH($A122, Joined!$I$3:$I$2000, FALSE), 5)</f>
        <v>150811</v>
      </c>
      <c r="E122" t="str">
        <f>INDEX(Joined!$A$3:$M$2000, MATCH($A122, Joined!$I$3:$I$2000, FALSE), 7)</f>
        <v>VAV-4E-32</v>
      </c>
      <c r="F122" t="s">
        <v>38</v>
      </c>
      <c r="G122" t="str">
        <f>INDEX(Schedule!$Q$2:$R$7, MATCH(ABT!$H122,Schedule!$Q$2:$Q$7, 0), 2)</f>
        <v>15007_ADXR_VAV_DXR2M10</v>
      </c>
      <c r="H122">
        <f>INDEX(Joined!$A$3:$M$2000, MATCH($A122, Joined!$I$3:$I$2000, FALSE), 6)</f>
        <v>15007</v>
      </c>
      <c r="I122" t="str">
        <f>INDEX(Joined!$A$3:$M$2000, MATCH($A122, Joined!$I$3:$I$2000, FALSE), 4)</f>
        <v>508</v>
      </c>
      <c r="J122" t="b">
        <v>0</v>
      </c>
      <c r="K122">
        <f>INDEX(Joined!$A$3:$M$2000, MATCH($A122, Joined!$I$3:$I$2000, FALSE), 3)</f>
        <v>11</v>
      </c>
      <c r="L122">
        <v>85</v>
      </c>
      <c r="M122">
        <v>38400</v>
      </c>
      <c r="N122" s="27">
        <f>PI()*(INDEX(Schedule!$A$1:$N$2000, MATCH($C122, VAV_Schedule_5_21[[#All],[UNIT TAG]], FALSE), 4)/2/12)^2</f>
        <v>0.54541539124822802</v>
      </c>
      <c r="O122" s="27">
        <f>INDEX(Schedule!$A$1:$N$2000, MATCH($C122, VAV_Schedule_5_21[[#All],[UNIT TAG]], FALSE), 4)</f>
        <v>10</v>
      </c>
      <c r="P122">
        <v>120.63</v>
      </c>
      <c r="Q122" s="27">
        <f>INDEX(Schedule!$A$1:$N$2000, MATCH($C122, VAV_Schedule_5_21[[#All],[UNIT TAG]], FALSE), 5)</f>
        <v>910</v>
      </c>
      <c r="R122" s="27">
        <f>INDEX(Schedule!$A$1:$N$2000, MATCH($C122, VAV_Schedule_5_21[[#All],[UNIT TAG]], FALSE), 6)</f>
        <v>185</v>
      </c>
      <c r="S122" s="27">
        <f>INDEX(Schedule!$A$1:$N$2000, MATCH($C122, VAV_Schedule_5_21[[#All],[UNIT TAG]], FALSE), 5)</f>
        <v>910</v>
      </c>
      <c r="T122" s="27">
        <f>INDEX(Schedule!$A$1:$N$2000, MATCH($C122, VAV_Schedule_5_21[[#All],[UNIT TAG]], FALSE), 6)</f>
        <v>185</v>
      </c>
      <c r="U122" s="27">
        <f>INDEX(Schedule!$A$1:$N$2000, MATCH($C122, VAV_Schedule_5_21[[#All],[UNIT TAG]], FALSE), 5)</f>
        <v>910</v>
      </c>
      <c r="V122" s="27">
        <f>INDEX(Schedule!$A$1:$N$2000, MATCH($C122, VAV_Schedule_5_21[[#All],[UNIT TAG]], FALSE), 6)</f>
        <v>185</v>
      </c>
      <c r="W122" s="27">
        <f>INDEX(Schedule!$A$1:$N$2000, MATCH($C122, VAV_Schedule_5_21[[#All],[UNIT TAG]], FALSE), 6)</f>
        <v>185</v>
      </c>
      <c r="X122" s="27">
        <f>INDEX(Schedule!$A$1:$N$2000, MATCH($C122, VAV_Schedule_5_21[[#All],[UNIT TAG]], FALSE), 6)</f>
        <v>185</v>
      </c>
      <c r="Y122" s="27">
        <f>INDEX(Schedule!$A$1:$N$2000, MATCH($C122, VAV_Schedule_5_21[[#All],[UNIT TAG]], FALSE), 6)</f>
        <v>185</v>
      </c>
      <c r="Z122" s="27">
        <f>INDEX(Schedule!$A$1:$N$2000, MATCH($C122, VAV_Schedule_5_21[[#All],[UNIT TAG]], FALSE), 6)</f>
        <v>185</v>
      </c>
      <c r="AA122" s="27">
        <v>1000</v>
      </c>
      <c r="AB122" s="27">
        <v>1100</v>
      </c>
      <c r="AC122">
        <v>1400</v>
      </c>
      <c r="AD122" s="29" t="str">
        <f>IF(INDEX(Schedule!$A$1:$N$2000, MATCH($C122, VAV_Schedule_5_21[[#All],[UNIT TAG]], FALSE), 7)="-", 0, INDEX(Schedule!$A$1:$N$2000, MATCH($C122, VAV_Schedule_5_21[[#All],[UNIT TAG]], FALSE), 7))</f>
        <v>6</v>
      </c>
      <c r="AE122" t="str">
        <f>"B_01'" &amp; "Flr_0" &amp; INDEX(Joined!$A$3:$M$2000, MATCH($A122, Joined!$I$3:$I$2000, FALSE), 8)</f>
        <v>B_01'Flr_04</v>
      </c>
      <c r="AF122" t="str">
        <f>"R_" &amp; INDEX(Joined!$A$3:$M$2000, MATCH($A122, Joined!$I$3:$I$2000, FALSE), 7)</f>
        <v>R_VAV-4E-32</v>
      </c>
      <c r="AG122" t="str">
        <f>"B_01'" &amp; "Flr_0" &amp; INDEX(Joined!$A$3:$M$2000, MATCH($A122, Joined!$I$3:$I$2000, FALSE), 8)</f>
        <v>B_01'Flr_04</v>
      </c>
      <c r="AH122" t="str">
        <f>INDEX(Joined!$A$3:$M$2000, MATCH($A122, Joined!$I$3:$I$2000, FALSE), 7)</f>
        <v>VAV-4E-32</v>
      </c>
      <c r="AI122" t="s">
        <v>949</v>
      </c>
    </row>
    <row r="123" spans="1:69" x14ac:dyDescent="0.2">
      <c r="A123" t="s">
        <v>511</v>
      </c>
      <c r="B123" t="str">
        <f>"B_01'" &amp; "Flr_0" &amp; INDEX(Joined!$A$3:$M$2000, MATCH($A123, Joined!$I$3:$I$2000, FALSE), 8)</f>
        <v>B_01'Flr_04</v>
      </c>
      <c r="C123" t="str">
        <f>INDEX(Joined!$A$3:$M$2000, MATCH($A123, Joined!$I$3:$I$2000, FALSE), 7)</f>
        <v>VAV-4E-33</v>
      </c>
      <c r="D123">
        <f>INDEX(Joined!$A$3:$M$2000, MATCH($A123, Joined!$I$3:$I$2000, FALSE), 5)</f>
        <v>150812</v>
      </c>
      <c r="E123" t="str">
        <f>INDEX(Joined!$A$3:$M$2000, MATCH($A123, Joined!$I$3:$I$2000, FALSE), 7)</f>
        <v>VAV-4E-33</v>
      </c>
      <c r="F123" t="s">
        <v>38</v>
      </c>
      <c r="G123" t="str">
        <f>INDEX(Schedule!$Q$2:$R$7, MATCH(ABT!$H123,Schedule!$Q$2:$Q$7, 0), 2)</f>
        <v>15007_ADXR_VAV_DXR2M10</v>
      </c>
      <c r="H123">
        <f>INDEX(Joined!$A$3:$M$2000, MATCH($A123, Joined!$I$3:$I$2000, FALSE), 6)</f>
        <v>15007</v>
      </c>
      <c r="I123" t="str">
        <f>INDEX(Joined!$A$3:$M$2000, MATCH($A123, Joined!$I$3:$I$2000, FALSE), 4)</f>
        <v>508</v>
      </c>
      <c r="J123" t="b">
        <v>0</v>
      </c>
      <c r="K123">
        <f>INDEX(Joined!$A$3:$M$2000, MATCH($A123, Joined!$I$3:$I$2000, FALSE), 3)</f>
        <v>12</v>
      </c>
      <c r="L123">
        <v>85</v>
      </c>
      <c r="M123">
        <v>38400</v>
      </c>
      <c r="N123" s="27">
        <f>PI()*(INDEX(Schedule!$A$1:$N$2000, MATCH($C123, VAV_Schedule_5_21[[#All],[UNIT TAG]], FALSE), 4)/2/12)^2</f>
        <v>0.54541539124822802</v>
      </c>
      <c r="O123" s="27">
        <f>INDEX(Schedule!$A$1:$N$2000, MATCH($C123, VAV_Schedule_5_21[[#All],[UNIT TAG]], FALSE), 4)</f>
        <v>10</v>
      </c>
      <c r="P123">
        <v>121.63</v>
      </c>
      <c r="Q123" s="27">
        <f>INDEX(Schedule!$A$1:$N$2000, MATCH($C123, VAV_Schedule_5_21[[#All],[UNIT TAG]], FALSE), 5)</f>
        <v>980</v>
      </c>
      <c r="R123" s="27">
        <f>INDEX(Schedule!$A$1:$N$2000, MATCH($C123, VAV_Schedule_5_21[[#All],[UNIT TAG]], FALSE), 6)</f>
        <v>200</v>
      </c>
      <c r="S123" s="27">
        <f>INDEX(Schedule!$A$1:$N$2000, MATCH($C123, VAV_Schedule_5_21[[#All],[UNIT TAG]], FALSE), 5)</f>
        <v>980</v>
      </c>
      <c r="T123" s="27">
        <f>INDEX(Schedule!$A$1:$N$2000, MATCH($C123, VAV_Schedule_5_21[[#All],[UNIT TAG]], FALSE), 6)</f>
        <v>200</v>
      </c>
      <c r="U123" s="27">
        <f>INDEX(Schedule!$A$1:$N$2000, MATCH($C123, VAV_Schedule_5_21[[#All],[UNIT TAG]], FALSE), 5)</f>
        <v>980</v>
      </c>
      <c r="V123" s="27">
        <f>INDEX(Schedule!$A$1:$N$2000, MATCH($C123, VAV_Schedule_5_21[[#All],[UNIT TAG]], FALSE), 6)</f>
        <v>200</v>
      </c>
      <c r="W123" s="27">
        <f>INDEX(Schedule!$A$1:$N$2000, MATCH($C123, VAV_Schedule_5_21[[#All],[UNIT TAG]], FALSE), 6)</f>
        <v>200</v>
      </c>
      <c r="X123" s="27">
        <f>INDEX(Schedule!$A$1:$N$2000, MATCH($C123, VAV_Schedule_5_21[[#All],[UNIT TAG]], FALSE), 6)</f>
        <v>200</v>
      </c>
      <c r="Y123" s="27">
        <f>INDEX(Schedule!$A$1:$N$2000, MATCH($C123, VAV_Schedule_5_21[[#All],[UNIT TAG]], FALSE), 6)</f>
        <v>200</v>
      </c>
      <c r="Z123" s="27">
        <f>INDEX(Schedule!$A$1:$N$2000, MATCH($C123, VAV_Schedule_5_21[[#All],[UNIT TAG]], FALSE), 6)</f>
        <v>200</v>
      </c>
      <c r="AA123" s="27">
        <v>1000</v>
      </c>
      <c r="AB123" s="27">
        <v>1100</v>
      </c>
      <c r="AC123">
        <v>1400</v>
      </c>
      <c r="AD123" s="29" t="str">
        <f>IF(INDEX(Schedule!$A$1:$N$2000, MATCH($C123, VAV_Schedule_5_21[[#All],[UNIT TAG]], FALSE), 7)="-", 0, INDEX(Schedule!$A$1:$N$2000, MATCH($C123, VAV_Schedule_5_21[[#All],[UNIT TAG]], FALSE), 7))</f>
        <v>7</v>
      </c>
      <c r="AE123" t="str">
        <f>"B_01'" &amp; "Flr_0" &amp; INDEX(Joined!$A$3:$M$2000, MATCH($A123, Joined!$I$3:$I$2000, FALSE), 8)</f>
        <v>B_01'Flr_04</v>
      </c>
      <c r="AF123" t="str">
        <f>"R_" &amp; INDEX(Joined!$A$3:$M$2000, MATCH($A123, Joined!$I$3:$I$2000, FALSE), 7)</f>
        <v>R_VAV-4E-33</v>
      </c>
      <c r="AG123" t="str">
        <f>"B_01'" &amp; "Flr_0" &amp; INDEX(Joined!$A$3:$M$2000, MATCH($A123, Joined!$I$3:$I$2000, FALSE), 8)</f>
        <v>B_01'Flr_04</v>
      </c>
      <c r="AH123" t="str">
        <f>INDEX(Joined!$A$3:$M$2000, MATCH($A123, Joined!$I$3:$I$2000, FALSE), 7)</f>
        <v>VAV-4E-33</v>
      </c>
      <c r="AI123" t="s">
        <v>950</v>
      </c>
    </row>
    <row r="124" spans="1:69" x14ac:dyDescent="0.2">
      <c r="A124" t="s">
        <v>512</v>
      </c>
      <c r="B124" t="str">
        <f>"B_01'" &amp; "Flr_0" &amp; INDEX(Joined!$A$3:$M$2000, MATCH($A124, Joined!$I$3:$I$2000, FALSE), 8)</f>
        <v>B_01'Flr_04</v>
      </c>
      <c r="C124" t="str">
        <f>INDEX(Joined!$A$3:$M$2000, MATCH($A124, Joined!$I$3:$I$2000, FALSE), 7)</f>
        <v>VAV-4E-34</v>
      </c>
      <c r="D124">
        <f>INDEX(Joined!$A$3:$M$2000, MATCH($A124, Joined!$I$3:$I$2000, FALSE), 5)</f>
        <v>150813</v>
      </c>
      <c r="E124" t="str">
        <f>INDEX(Joined!$A$3:$M$2000, MATCH($A124, Joined!$I$3:$I$2000, FALSE), 7)</f>
        <v>VAV-4E-34</v>
      </c>
      <c r="F124" t="s">
        <v>38</v>
      </c>
      <c r="G124" t="str">
        <f>INDEX(Schedule!$Q$2:$R$7, MATCH(ABT!$H124,Schedule!$Q$2:$Q$7, 0), 2)</f>
        <v>15007_ADXR_VAV_DXR2M10</v>
      </c>
      <c r="H124">
        <f>INDEX(Joined!$A$3:$M$2000, MATCH($A124, Joined!$I$3:$I$2000, FALSE), 6)</f>
        <v>15007</v>
      </c>
      <c r="I124" t="str">
        <f>INDEX(Joined!$A$3:$M$2000, MATCH($A124, Joined!$I$3:$I$2000, FALSE), 4)</f>
        <v>508</v>
      </c>
      <c r="J124" t="b">
        <v>0</v>
      </c>
      <c r="K124">
        <f>INDEX(Joined!$A$3:$M$2000, MATCH($A124, Joined!$I$3:$I$2000, FALSE), 3)</f>
        <v>13</v>
      </c>
      <c r="L124">
        <v>85</v>
      </c>
      <c r="M124">
        <v>38400</v>
      </c>
      <c r="N124" s="27">
        <f>PI()*(INDEX(Schedule!$A$1:$N$2000, MATCH($C124, VAV_Schedule_5_21[[#All],[UNIT TAG]], FALSE), 4)/2/12)^2</f>
        <v>0.3490658503988659</v>
      </c>
      <c r="O124" s="27">
        <f>INDEX(Schedule!$A$1:$N$2000, MATCH($C124, VAV_Schedule_5_21[[#All],[UNIT TAG]], FALSE), 4)</f>
        <v>8</v>
      </c>
      <c r="P124">
        <v>122.63</v>
      </c>
      <c r="Q124" s="27">
        <f>INDEX(Schedule!$A$1:$N$2000, MATCH($C124, VAV_Schedule_5_21[[#All],[UNIT TAG]], FALSE), 5)</f>
        <v>640</v>
      </c>
      <c r="R124" s="27">
        <f>INDEX(Schedule!$A$1:$N$2000, MATCH($C124, VAV_Schedule_5_21[[#All],[UNIT TAG]], FALSE), 6)</f>
        <v>130</v>
      </c>
      <c r="S124" s="27">
        <f>INDEX(Schedule!$A$1:$N$2000, MATCH($C124, VAV_Schedule_5_21[[#All],[UNIT TAG]], FALSE), 5)</f>
        <v>640</v>
      </c>
      <c r="T124" s="27">
        <f>INDEX(Schedule!$A$1:$N$2000, MATCH($C124, VAV_Schedule_5_21[[#All],[UNIT TAG]], FALSE), 6)</f>
        <v>130</v>
      </c>
      <c r="U124" s="27">
        <f>INDEX(Schedule!$A$1:$N$2000, MATCH($C124, VAV_Schedule_5_21[[#All],[UNIT TAG]], FALSE), 5)</f>
        <v>640</v>
      </c>
      <c r="V124" s="27">
        <f>INDEX(Schedule!$A$1:$N$2000, MATCH($C124, VAV_Schedule_5_21[[#All],[UNIT TAG]], FALSE), 6)</f>
        <v>130</v>
      </c>
      <c r="W124" s="27">
        <f>INDEX(Schedule!$A$1:$N$2000, MATCH($C124, VAV_Schedule_5_21[[#All],[UNIT TAG]], FALSE), 6)</f>
        <v>130</v>
      </c>
      <c r="X124" s="27">
        <f>INDEX(Schedule!$A$1:$N$2000, MATCH($C124, VAV_Schedule_5_21[[#All],[UNIT TAG]], FALSE), 6)</f>
        <v>130</v>
      </c>
      <c r="Y124" s="27">
        <f>INDEX(Schedule!$A$1:$N$2000, MATCH($C124, VAV_Schedule_5_21[[#All],[UNIT TAG]], FALSE), 6)</f>
        <v>130</v>
      </c>
      <c r="Z124" s="27">
        <f>INDEX(Schedule!$A$1:$N$2000, MATCH($C124, VAV_Schedule_5_21[[#All],[UNIT TAG]], FALSE), 6)</f>
        <v>130</v>
      </c>
      <c r="AA124" s="27">
        <v>1000</v>
      </c>
      <c r="AB124" s="27">
        <v>1100</v>
      </c>
      <c r="AC124">
        <v>1400</v>
      </c>
      <c r="AD124" s="29" t="str">
        <f>IF(INDEX(Schedule!$A$1:$N$2000, MATCH($C124, VAV_Schedule_5_21[[#All],[UNIT TAG]], FALSE), 7)="-", 0, INDEX(Schedule!$A$1:$N$2000, MATCH($C124, VAV_Schedule_5_21[[#All],[UNIT TAG]], FALSE), 7))</f>
        <v>6</v>
      </c>
      <c r="AE124" t="str">
        <f>"B_01'" &amp; "Flr_0" &amp; INDEX(Joined!$A$3:$M$2000, MATCH($A124, Joined!$I$3:$I$2000, FALSE), 8)</f>
        <v>B_01'Flr_04</v>
      </c>
      <c r="AF124" t="str">
        <f>"R_" &amp; INDEX(Joined!$A$3:$M$2000, MATCH($A124, Joined!$I$3:$I$2000, FALSE), 7)</f>
        <v>R_VAV-4E-34</v>
      </c>
      <c r="AG124" t="str">
        <f>"B_01'" &amp; "Flr_0" &amp; INDEX(Joined!$A$3:$M$2000, MATCH($A124, Joined!$I$3:$I$2000, FALSE), 8)</f>
        <v>B_01'Flr_04</v>
      </c>
      <c r="AH124" t="str">
        <f>INDEX(Joined!$A$3:$M$2000, MATCH($A124, Joined!$I$3:$I$2000, FALSE), 7)</f>
        <v>VAV-4E-34</v>
      </c>
      <c r="AI124" t="s">
        <v>951</v>
      </c>
    </row>
    <row r="125" spans="1:69" x14ac:dyDescent="0.2">
      <c r="A125" t="s">
        <v>513</v>
      </c>
      <c r="B125" t="str">
        <f>"B_01'" &amp; "Flr_0" &amp; INDEX(Joined!$A$3:$M$2000, MATCH($A125, Joined!$I$3:$I$2000, FALSE), 8)</f>
        <v>B_01'Flr_04</v>
      </c>
      <c r="C125" t="str">
        <f>INDEX(Joined!$A$3:$M$2000, MATCH($A125, Joined!$I$3:$I$2000, FALSE), 7)</f>
        <v>VAV-4E-35</v>
      </c>
      <c r="D125">
        <f>INDEX(Joined!$A$3:$M$2000, MATCH($A125, Joined!$I$3:$I$2000, FALSE), 5)</f>
        <v>150814</v>
      </c>
      <c r="E125" t="str">
        <f>INDEX(Joined!$A$3:$M$2000, MATCH($A125, Joined!$I$3:$I$2000, FALSE), 7)</f>
        <v>VAV-4E-35</v>
      </c>
      <c r="F125" t="s">
        <v>38</v>
      </c>
      <c r="G125" t="str">
        <f>INDEX(Schedule!$Q$2:$R$7, MATCH(ABT!$H125,Schedule!$Q$2:$Q$7, 0), 2)</f>
        <v>15007_ADXR_VAV_DXR2M10</v>
      </c>
      <c r="H125">
        <f>INDEX(Joined!$A$3:$M$2000, MATCH($A125, Joined!$I$3:$I$2000, FALSE), 6)</f>
        <v>15007</v>
      </c>
      <c r="I125" t="str">
        <f>INDEX(Joined!$A$3:$M$2000, MATCH($A125, Joined!$I$3:$I$2000, FALSE), 4)</f>
        <v>508</v>
      </c>
      <c r="J125" t="b">
        <v>0</v>
      </c>
      <c r="K125">
        <f>INDEX(Joined!$A$3:$M$2000, MATCH($A125, Joined!$I$3:$I$2000, FALSE), 3)</f>
        <v>14</v>
      </c>
      <c r="L125">
        <v>85</v>
      </c>
      <c r="M125">
        <v>38400</v>
      </c>
      <c r="N125" s="27">
        <f>PI()*(INDEX(Schedule!$A$1:$N$2000, MATCH($C125, VAV_Schedule_5_21[[#All],[UNIT TAG]], FALSE), 4)/2/12)^2</f>
        <v>0.54541539124822802</v>
      </c>
      <c r="O125" s="27">
        <f>INDEX(Schedule!$A$1:$N$2000, MATCH($C125, VAV_Schedule_5_21[[#All],[UNIT TAG]], FALSE), 4)</f>
        <v>10</v>
      </c>
      <c r="P125">
        <v>123.63</v>
      </c>
      <c r="Q125" s="27">
        <f>INDEX(Schedule!$A$1:$N$2000, MATCH($C125, VAV_Schedule_5_21[[#All],[UNIT TAG]], FALSE), 5)</f>
        <v>860</v>
      </c>
      <c r="R125" s="27">
        <f>INDEX(Schedule!$A$1:$N$2000, MATCH($C125, VAV_Schedule_5_21[[#All],[UNIT TAG]], FALSE), 6)</f>
        <v>175</v>
      </c>
      <c r="S125" s="27">
        <f>INDEX(Schedule!$A$1:$N$2000, MATCH($C125, VAV_Schedule_5_21[[#All],[UNIT TAG]], FALSE), 5)</f>
        <v>860</v>
      </c>
      <c r="T125" s="27">
        <f>INDEX(Schedule!$A$1:$N$2000, MATCH($C125, VAV_Schedule_5_21[[#All],[UNIT TAG]], FALSE), 6)</f>
        <v>175</v>
      </c>
      <c r="U125" s="27">
        <f>INDEX(Schedule!$A$1:$N$2000, MATCH($C125, VAV_Schedule_5_21[[#All],[UNIT TAG]], FALSE), 5)</f>
        <v>860</v>
      </c>
      <c r="V125" s="27">
        <f>INDEX(Schedule!$A$1:$N$2000, MATCH($C125, VAV_Schedule_5_21[[#All],[UNIT TAG]], FALSE), 6)</f>
        <v>175</v>
      </c>
      <c r="W125" s="27">
        <f>INDEX(Schedule!$A$1:$N$2000, MATCH($C125, VAV_Schedule_5_21[[#All],[UNIT TAG]], FALSE), 6)</f>
        <v>175</v>
      </c>
      <c r="X125" s="27">
        <f>INDEX(Schedule!$A$1:$N$2000, MATCH($C125, VAV_Schedule_5_21[[#All],[UNIT TAG]], FALSE), 6)</f>
        <v>175</v>
      </c>
      <c r="Y125" s="27">
        <f>INDEX(Schedule!$A$1:$N$2000, MATCH($C125, VAV_Schedule_5_21[[#All],[UNIT TAG]], FALSE), 6)</f>
        <v>175</v>
      </c>
      <c r="Z125" s="27">
        <f>INDEX(Schedule!$A$1:$N$2000, MATCH($C125, VAV_Schedule_5_21[[#All],[UNIT TAG]], FALSE), 6)</f>
        <v>175</v>
      </c>
      <c r="AA125" s="27">
        <v>1000</v>
      </c>
      <c r="AB125" s="27">
        <v>1100</v>
      </c>
      <c r="AC125">
        <v>1400</v>
      </c>
      <c r="AD125" s="29" t="str">
        <f>IF(INDEX(Schedule!$A$1:$N$2000, MATCH($C125, VAV_Schedule_5_21[[#All],[UNIT TAG]], FALSE), 7)="-", 0, INDEX(Schedule!$A$1:$N$2000, MATCH($C125, VAV_Schedule_5_21[[#All],[UNIT TAG]], FALSE), 7))</f>
        <v>6</v>
      </c>
      <c r="AE125" t="str">
        <f>"B_01'" &amp; "Flr_0" &amp; INDEX(Joined!$A$3:$M$2000, MATCH($A125, Joined!$I$3:$I$2000, FALSE), 8)</f>
        <v>B_01'Flr_04</v>
      </c>
      <c r="AF125" t="str">
        <f>"R_" &amp; INDEX(Joined!$A$3:$M$2000, MATCH($A125, Joined!$I$3:$I$2000, FALSE), 7)</f>
        <v>R_VAV-4E-35</v>
      </c>
      <c r="AG125" t="str">
        <f>"B_01'" &amp; "Flr_0" &amp; INDEX(Joined!$A$3:$M$2000, MATCH($A125, Joined!$I$3:$I$2000, FALSE), 8)</f>
        <v>B_01'Flr_04</v>
      </c>
      <c r="AH125" t="str">
        <f>INDEX(Joined!$A$3:$M$2000, MATCH($A125, Joined!$I$3:$I$2000, FALSE), 7)</f>
        <v>VAV-4E-35</v>
      </c>
      <c r="AI125" t="s">
        <v>952</v>
      </c>
    </row>
    <row r="126" spans="1:69" x14ac:dyDescent="0.2">
      <c r="A126" t="s">
        <v>514</v>
      </c>
      <c r="B126" t="str">
        <f>"B_01'" &amp; "Flr_0" &amp; INDEX(Joined!$A$3:$M$2000, MATCH($A126, Joined!$I$3:$I$2000, FALSE), 8)</f>
        <v>B_01'Flr_04</v>
      </c>
      <c r="C126" t="str">
        <f>INDEX(Joined!$A$3:$M$2000, MATCH($A126, Joined!$I$3:$I$2000, FALSE), 7)</f>
        <v>VAV-4E-36</v>
      </c>
      <c r="D126">
        <f>INDEX(Joined!$A$3:$M$2000, MATCH($A126, Joined!$I$3:$I$2000, FALSE), 5)</f>
        <v>150815</v>
      </c>
      <c r="E126" t="str">
        <f>INDEX(Joined!$A$3:$M$2000, MATCH($A126, Joined!$I$3:$I$2000, FALSE), 7)</f>
        <v>VAV-4E-36</v>
      </c>
      <c r="F126" t="s">
        <v>38</v>
      </c>
      <c r="G126" t="str">
        <f>INDEX(Schedule!$Q$2:$R$7, MATCH(ABT!$H126,Schedule!$Q$2:$Q$7, 0), 2)</f>
        <v>15007_ADXR_VAV_DXR2M10</v>
      </c>
      <c r="H126">
        <f>INDEX(Joined!$A$3:$M$2000, MATCH($A126, Joined!$I$3:$I$2000, FALSE), 6)</f>
        <v>15007</v>
      </c>
      <c r="I126" t="str">
        <f>INDEX(Joined!$A$3:$M$2000, MATCH($A126, Joined!$I$3:$I$2000, FALSE), 4)</f>
        <v>508</v>
      </c>
      <c r="J126" t="b">
        <v>0</v>
      </c>
      <c r="K126">
        <f>INDEX(Joined!$A$3:$M$2000, MATCH($A126, Joined!$I$3:$I$2000, FALSE), 3)</f>
        <v>15</v>
      </c>
      <c r="L126">
        <v>85</v>
      </c>
      <c r="M126">
        <v>38400</v>
      </c>
      <c r="N126" s="27">
        <f>PI()*(INDEX(Schedule!$A$1:$N$2000, MATCH($C126, VAV_Schedule_5_21[[#All],[UNIT TAG]], FALSE), 4)/2/12)^2</f>
        <v>0.3490658503988659</v>
      </c>
      <c r="O126" s="27">
        <f>INDEX(Schedule!$A$1:$N$2000, MATCH($C126, VAV_Schedule_5_21[[#All],[UNIT TAG]], FALSE), 4)</f>
        <v>8</v>
      </c>
      <c r="P126">
        <v>124.63</v>
      </c>
      <c r="Q126" s="27">
        <f>INDEX(Schedule!$A$1:$N$2000, MATCH($C126, VAV_Schedule_5_21[[#All],[UNIT TAG]], FALSE), 5)</f>
        <v>700</v>
      </c>
      <c r="R126" s="27">
        <f>INDEX(Schedule!$A$1:$N$2000, MATCH($C126, VAV_Schedule_5_21[[#All],[UNIT TAG]], FALSE), 6)</f>
        <v>140</v>
      </c>
      <c r="S126" s="27">
        <f>INDEX(Schedule!$A$1:$N$2000, MATCH($C126, VAV_Schedule_5_21[[#All],[UNIT TAG]], FALSE), 5)</f>
        <v>700</v>
      </c>
      <c r="T126" s="27">
        <f>INDEX(Schedule!$A$1:$N$2000, MATCH($C126, VAV_Schedule_5_21[[#All],[UNIT TAG]], FALSE), 6)</f>
        <v>140</v>
      </c>
      <c r="U126" s="27">
        <f>INDEX(Schedule!$A$1:$N$2000, MATCH($C126, VAV_Schedule_5_21[[#All],[UNIT TAG]], FALSE), 5)</f>
        <v>700</v>
      </c>
      <c r="V126" s="27">
        <f>INDEX(Schedule!$A$1:$N$2000, MATCH($C126, VAV_Schedule_5_21[[#All],[UNIT TAG]], FALSE), 6)</f>
        <v>140</v>
      </c>
      <c r="W126" s="27">
        <f>INDEX(Schedule!$A$1:$N$2000, MATCH($C126, VAV_Schedule_5_21[[#All],[UNIT TAG]], FALSE), 6)</f>
        <v>140</v>
      </c>
      <c r="X126" s="27">
        <f>INDEX(Schedule!$A$1:$N$2000, MATCH($C126, VAV_Schedule_5_21[[#All],[UNIT TAG]], FALSE), 6)</f>
        <v>140</v>
      </c>
      <c r="Y126" s="27">
        <f>INDEX(Schedule!$A$1:$N$2000, MATCH($C126, VAV_Schedule_5_21[[#All],[UNIT TAG]], FALSE), 6)</f>
        <v>140</v>
      </c>
      <c r="Z126" s="27">
        <f>INDEX(Schedule!$A$1:$N$2000, MATCH($C126, VAV_Schedule_5_21[[#All],[UNIT TAG]], FALSE), 6)</f>
        <v>140</v>
      </c>
      <c r="AA126" s="27">
        <v>1000</v>
      </c>
      <c r="AB126" s="27">
        <v>1100</v>
      </c>
      <c r="AC126">
        <v>1400</v>
      </c>
      <c r="AD126" s="29" t="str">
        <f>IF(INDEX(Schedule!$A$1:$N$2000, MATCH($C126, VAV_Schedule_5_21[[#All],[UNIT TAG]], FALSE), 7)="-", 0, INDEX(Schedule!$A$1:$N$2000, MATCH($C126, VAV_Schedule_5_21[[#All],[UNIT TAG]], FALSE), 7))</f>
        <v>6</v>
      </c>
      <c r="AE126" t="str">
        <f>"B_01'" &amp; "Flr_0" &amp; INDEX(Joined!$A$3:$M$2000, MATCH($A126, Joined!$I$3:$I$2000, FALSE), 8)</f>
        <v>B_01'Flr_04</v>
      </c>
      <c r="AF126" t="str">
        <f>"R_" &amp; INDEX(Joined!$A$3:$M$2000, MATCH($A126, Joined!$I$3:$I$2000, FALSE), 7)</f>
        <v>R_VAV-4E-36</v>
      </c>
      <c r="AG126" t="str">
        <f>"B_01'" &amp; "Flr_0" &amp; INDEX(Joined!$A$3:$M$2000, MATCH($A126, Joined!$I$3:$I$2000, FALSE), 8)</f>
        <v>B_01'Flr_04</v>
      </c>
      <c r="AH126" t="str">
        <f>INDEX(Joined!$A$3:$M$2000, MATCH($A126, Joined!$I$3:$I$2000, FALSE), 7)</f>
        <v>VAV-4E-36</v>
      </c>
      <c r="AI126" t="s">
        <v>953</v>
      </c>
      <c r="AJ126" s="2"/>
      <c r="AK126" s="2"/>
      <c r="AL126" s="1"/>
      <c r="AM126" s="1"/>
      <c r="AN126" s="1"/>
      <c r="AO126" s="1"/>
      <c r="AP126" s="1"/>
      <c r="AQ126" s="1"/>
      <c r="AR126" s="1"/>
      <c r="AS126" s="1"/>
      <c r="AT126" s="2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</row>
    <row r="127" spans="1:69" x14ac:dyDescent="0.2">
      <c r="A127" t="s">
        <v>515</v>
      </c>
      <c r="B127" t="str">
        <f>"B_01'" &amp; "Flr_0" &amp; INDEX(Joined!$A$3:$M$2000, MATCH($A127, Joined!$I$3:$I$2000, FALSE), 8)</f>
        <v>B_01'Flr_04</v>
      </c>
      <c r="C127" t="str">
        <f>INDEX(Joined!$A$3:$M$2000, MATCH($A127, Joined!$I$3:$I$2000, FALSE), 7)</f>
        <v>VAV-4E-37</v>
      </c>
      <c r="D127">
        <f>INDEX(Joined!$A$3:$M$2000, MATCH($A127, Joined!$I$3:$I$2000, FALSE), 5)</f>
        <v>150816</v>
      </c>
      <c r="E127" t="str">
        <f>INDEX(Joined!$A$3:$M$2000, MATCH($A127, Joined!$I$3:$I$2000, FALSE), 7)</f>
        <v>VAV-4E-37</v>
      </c>
      <c r="F127" t="s">
        <v>38</v>
      </c>
      <c r="G127" t="str">
        <f>INDEX(Schedule!$Q$2:$R$7, MATCH(ABT!$H127,Schedule!$Q$2:$Q$7, 0), 2)</f>
        <v>15006_ADXR_VAV_DXR2M10</v>
      </c>
      <c r="H127">
        <f>INDEX(Joined!$A$3:$M$2000, MATCH($A127, Joined!$I$3:$I$2000, FALSE), 6)</f>
        <v>15006</v>
      </c>
      <c r="I127" t="str">
        <f>INDEX(Joined!$A$3:$M$2000, MATCH($A127, Joined!$I$3:$I$2000, FALSE), 4)</f>
        <v>508</v>
      </c>
      <c r="J127" t="b">
        <v>0</v>
      </c>
      <c r="K127">
        <f>INDEX(Joined!$A$3:$M$2000, MATCH($A127, Joined!$I$3:$I$2000, FALSE), 3)</f>
        <v>16</v>
      </c>
      <c r="L127">
        <v>85</v>
      </c>
      <c r="M127">
        <v>38400</v>
      </c>
      <c r="N127" s="27">
        <f>PI()*(INDEX(Schedule!$A$1:$N$2000, MATCH($C127, VAV_Schedule_5_21[[#All],[UNIT TAG]], FALSE), 4)/2/12)^2</f>
        <v>0.54541539124822802</v>
      </c>
      <c r="O127" s="27">
        <f>INDEX(Schedule!$A$1:$N$2000, MATCH($C127, VAV_Schedule_5_21[[#All],[UNIT TAG]], FALSE), 4)</f>
        <v>10</v>
      </c>
      <c r="P127">
        <v>125.63</v>
      </c>
      <c r="Q127" s="27">
        <f>INDEX(Schedule!$A$1:$N$2000, MATCH($C127, VAV_Schedule_5_21[[#All],[UNIT TAG]], FALSE), 5)</f>
        <v>1.1000000000000001</v>
      </c>
      <c r="R127" s="27">
        <f>INDEX(Schedule!$A$1:$N$2000, MATCH($C127, VAV_Schedule_5_21[[#All],[UNIT TAG]], FALSE), 6)</f>
        <v>220</v>
      </c>
      <c r="S127" s="27">
        <f>INDEX(Schedule!$A$1:$N$2000, MATCH($C127, VAV_Schedule_5_21[[#All],[UNIT TAG]], FALSE), 5)</f>
        <v>1.1000000000000001</v>
      </c>
      <c r="T127" s="27">
        <f>INDEX(Schedule!$A$1:$N$2000, MATCH($C127, VAV_Schedule_5_21[[#All],[UNIT TAG]], FALSE), 6)</f>
        <v>220</v>
      </c>
      <c r="U127" s="27">
        <f>INDEX(Schedule!$A$1:$N$2000, MATCH($C127, VAV_Schedule_5_21[[#All],[UNIT TAG]], FALSE), 5)</f>
        <v>1.1000000000000001</v>
      </c>
      <c r="V127" s="27">
        <f>INDEX(Schedule!$A$1:$N$2000, MATCH($C127, VAV_Schedule_5_21[[#All],[UNIT TAG]], FALSE), 6)</f>
        <v>220</v>
      </c>
      <c r="W127" s="27">
        <f>INDEX(Schedule!$A$1:$N$2000, MATCH($C127, VAV_Schedule_5_21[[#All],[UNIT TAG]], FALSE), 6)</f>
        <v>220</v>
      </c>
      <c r="X127" s="27">
        <f>INDEX(Schedule!$A$1:$N$2000, MATCH($C127, VAV_Schedule_5_21[[#All],[UNIT TAG]], FALSE), 6)</f>
        <v>220</v>
      </c>
      <c r="Y127" s="27">
        <f>INDEX(Schedule!$A$1:$N$2000, MATCH($C127, VAV_Schedule_5_21[[#All],[UNIT TAG]], FALSE), 6)</f>
        <v>220</v>
      </c>
      <c r="Z127" s="27">
        <f>INDEX(Schedule!$A$1:$N$2000, MATCH($C127, VAV_Schedule_5_21[[#All],[UNIT TAG]], FALSE), 6)</f>
        <v>220</v>
      </c>
      <c r="AA127" s="27">
        <v>1000</v>
      </c>
      <c r="AB127" s="27">
        <v>1100</v>
      </c>
      <c r="AC127">
        <v>1400</v>
      </c>
      <c r="AD127" s="29">
        <f>IF(INDEX(Schedule!$A$1:$N$2000, MATCH($C127, VAV_Schedule_5_21[[#All],[UNIT TAG]], FALSE), 7)="-", 0, INDEX(Schedule!$A$1:$N$2000, MATCH($C127, VAV_Schedule_5_21[[#All],[UNIT TAG]], FALSE), 7))</f>
        <v>0</v>
      </c>
      <c r="AE127" t="str">
        <f>"B_01'" &amp; "Flr_0" &amp; INDEX(Joined!$A$3:$M$2000, MATCH($A127, Joined!$I$3:$I$2000, FALSE), 8)</f>
        <v>B_01'Flr_04</v>
      </c>
      <c r="AF127" t="str">
        <f>"R_" &amp; INDEX(Joined!$A$3:$M$2000, MATCH($A127, Joined!$I$3:$I$2000, FALSE), 7)</f>
        <v>R_VAV-4E-37</v>
      </c>
      <c r="AG127" t="str">
        <f>"B_01'" &amp; "Flr_0" &amp; INDEX(Joined!$A$3:$M$2000, MATCH($A127, Joined!$I$3:$I$2000, FALSE), 8)</f>
        <v>B_01'Flr_04</v>
      </c>
      <c r="AH127" t="str">
        <f>INDEX(Joined!$A$3:$M$2000, MATCH($A127, Joined!$I$3:$I$2000, FALSE), 7)</f>
        <v>VAV-4E-37</v>
      </c>
      <c r="AI127" t="s">
        <v>930</v>
      </c>
    </row>
    <row r="128" spans="1:69" x14ac:dyDescent="0.2">
      <c r="A128" t="s">
        <v>516</v>
      </c>
      <c r="B128" t="str">
        <f>"B_01'" &amp; "Flr_0" &amp; INDEX(Joined!$A$3:$M$2000, MATCH($A128, Joined!$I$3:$I$2000, FALSE), 8)</f>
        <v>B_01'Flr_04</v>
      </c>
      <c r="C128" t="str">
        <f>INDEX(Joined!$A$3:$M$2000, MATCH($A128, Joined!$I$3:$I$2000, FALSE), 7)</f>
        <v>VAV-4E-38</v>
      </c>
      <c r="D128">
        <f>INDEX(Joined!$A$3:$M$2000, MATCH($A128, Joined!$I$3:$I$2000, FALSE), 5)</f>
        <v>150817</v>
      </c>
      <c r="E128" t="str">
        <f>INDEX(Joined!$A$3:$M$2000, MATCH($A128, Joined!$I$3:$I$2000, FALSE), 7)</f>
        <v>VAV-4E-38</v>
      </c>
      <c r="F128" t="s">
        <v>38</v>
      </c>
      <c r="G128" t="str">
        <f>INDEX(Schedule!$Q$2:$R$7, MATCH(ABT!$H128,Schedule!$Q$2:$Q$7, 0), 2)</f>
        <v>15006_ADXR_VAV_DXR2M10</v>
      </c>
      <c r="H128">
        <f>INDEX(Joined!$A$3:$M$2000, MATCH($A128, Joined!$I$3:$I$2000, FALSE), 6)</f>
        <v>15006</v>
      </c>
      <c r="I128" t="str">
        <f>INDEX(Joined!$A$3:$M$2000, MATCH($A128, Joined!$I$3:$I$2000, FALSE), 4)</f>
        <v>508</v>
      </c>
      <c r="J128" t="b">
        <v>0</v>
      </c>
      <c r="K128">
        <f>INDEX(Joined!$A$3:$M$2000, MATCH($A128, Joined!$I$3:$I$2000, FALSE), 3)</f>
        <v>17</v>
      </c>
      <c r="L128">
        <v>85</v>
      </c>
      <c r="M128">
        <v>38400</v>
      </c>
      <c r="N128" s="27">
        <f>PI()*(INDEX(Schedule!$A$1:$N$2000, MATCH($C128, VAV_Schedule_5_21[[#All],[UNIT TAG]], FALSE), 4)/2/12)^2</f>
        <v>0.54541539124822802</v>
      </c>
      <c r="O128" s="27">
        <f>INDEX(Schedule!$A$1:$N$2000, MATCH($C128, VAV_Schedule_5_21[[#All],[UNIT TAG]], FALSE), 4)</f>
        <v>10</v>
      </c>
      <c r="P128">
        <v>126.63</v>
      </c>
      <c r="Q128" s="27">
        <f>INDEX(Schedule!$A$1:$N$2000, MATCH($C128, VAV_Schedule_5_21[[#All],[UNIT TAG]], FALSE), 5)</f>
        <v>925</v>
      </c>
      <c r="R128" s="27">
        <f>INDEX(Schedule!$A$1:$N$2000, MATCH($C128, VAV_Schedule_5_21[[#All],[UNIT TAG]], FALSE), 6)</f>
        <v>0</v>
      </c>
      <c r="S128" s="27">
        <f>INDEX(Schedule!$A$1:$N$2000, MATCH($C128, VAV_Schedule_5_21[[#All],[UNIT TAG]], FALSE), 5)</f>
        <v>925</v>
      </c>
      <c r="T128" s="27">
        <f>INDEX(Schedule!$A$1:$N$2000, MATCH($C128, VAV_Schedule_5_21[[#All],[UNIT TAG]], FALSE), 6)</f>
        <v>0</v>
      </c>
      <c r="U128" s="27">
        <f>INDEX(Schedule!$A$1:$N$2000, MATCH($C128, VAV_Schedule_5_21[[#All],[UNIT TAG]], FALSE), 5)</f>
        <v>925</v>
      </c>
      <c r="V128" s="27">
        <f>INDEX(Schedule!$A$1:$N$2000, MATCH($C128, VAV_Schedule_5_21[[#All],[UNIT TAG]], FALSE), 6)</f>
        <v>0</v>
      </c>
      <c r="W128" s="27">
        <f>INDEX(Schedule!$A$1:$N$2000, MATCH($C128, VAV_Schedule_5_21[[#All],[UNIT TAG]], FALSE), 6)</f>
        <v>0</v>
      </c>
      <c r="X128" s="27">
        <f>INDEX(Schedule!$A$1:$N$2000, MATCH($C128, VAV_Schedule_5_21[[#All],[UNIT TAG]], FALSE), 6)</f>
        <v>0</v>
      </c>
      <c r="Y128" s="27">
        <f>INDEX(Schedule!$A$1:$N$2000, MATCH($C128, VAV_Schedule_5_21[[#All],[UNIT TAG]], FALSE), 6)</f>
        <v>0</v>
      </c>
      <c r="Z128" s="27">
        <f>INDEX(Schedule!$A$1:$N$2000, MATCH($C128, VAV_Schedule_5_21[[#All],[UNIT TAG]], FALSE), 6)</f>
        <v>0</v>
      </c>
      <c r="AA128" s="27">
        <v>1000</v>
      </c>
      <c r="AB128" s="27">
        <v>1100</v>
      </c>
      <c r="AC128">
        <v>1400</v>
      </c>
      <c r="AD128" s="29">
        <f>IF(INDEX(Schedule!$A$1:$N$2000, MATCH($C128, VAV_Schedule_5_21[[#All],[UNIT TAG]], FALSE), 7)="-", 0, INDEX(Schedule!$A$1:$N$2000, MATCH($C128, VAV_Schedule_5_21[[#All],[UNIT TAG]], FALSE), 7))</f>
        <v>0</v>
      </c>
      <c r="AE128" t="str">
        <f>"B_01'" &amp; "Flr_0" &amp; INDEX(Joined!$A$3:$M$2000, MATCH($A128, Joined!$I$3:$I$2000, FALSE), 8)</f>
        <v>B_01'Flr_04</v>
      </c>
      <c r="AF128" t="str">
        <f>"R_" &amp; INDEX(Joined!$A$3:$M$2000, MATCH($A128, Joined!$I$3:$I$2000, FALSE), 7)</f>
        <v>R_VAV-4E-38</v>
      </c>
      <c r="AG128" t="str">
        <f>"B_01'" &amp; "Flr_0" &amp; INDEX(Joined!$A$3:$M$2000, MATCH($A128, Joined!$I$3:$I$2000, FALSE), 8)</f>
        <v>B_01'Flr_04</v>
      </c>
      <c r="AH128" t="str">
        <f>INDEX(Joined!$A$3:$M$2000, MATCH($A128, Joined!$I$3:$I$2000, FALSE), 7)</f>
        <v>VAV-4E-38</v>
      </c>
      <c r="AI128" t="s">
        <v>931</v>
      </c>
    </row>
    <row r="129" spans="1:35" x14ac:dyDescent="0.2">
      <c r="A129" t="s">
        <v>517</v>
      </c>
      <c r="B129" t="str">
        <f>"B_01'" &amp; "Flr_0" &amp; INDEX(Joined!$A$3:$M$2000, MATCH($A129, Joined!$I$3:$I$2000, FALSE), 8)</f>
        <v>B_01'Flr_04</v>
      </c>
      <c r="C129" t="str">
        <f>INDEX(Joined!$A$3:$M$2000, MATCH($A129, Joined!$I$3:$I$2000, FALSE), 7)</f>
        <v>VAV-4E-39</v>
      </c>
      <c r="D129">
        <f>INDEX(Joined!$A$3:$M$2000, MATCH($A129, Joined!$I$3:$I$2000, FALSE), 5)</f>
        <v>150818</v>
      </c>
      <c r="E129" t="str">
        <f>INDEX(Joined!$A$3:$M$2000, MATCH($A129, Joined!$I$3:$I$2000, FALSE), 7)</f>
        <v>VAV-4E-39</v>
      </c>
      <c r="F129" t="s">
        <v>38</v>
      </c>
      <c r="G129" t="str">
        <f>INDEX(Schedule!$Q$2:$R$7, MATCH(ABT!$H129,Schedule!$Q$2:$Q$7, 0), 2)</f>
        <v>15006_ADXR_VAV_DXR2M10</v>
      </c>
      <c r="H129">
        <f>INDEX(Joined!$A$3:$M$2000, MATCH($A129, Joined!$I$3:$I$2000, FALSE), 6)</f>
        <v>15006</v>
      </c>
      <c r="I129" t="str">
        <f>INDEX(Joined!$A$3:$M$2000, MATCH($A129, Joined!$I$3:$I$2000, FALSE), 4)</f>
        <v>508</v>
      </c>
      <c r="J129" t="b">
        <v>0</v>
      </c>
      <c r="K129">
        <f>INDEX(Joined!$A$3:$M$2000, MATCH($A129, Joined!$I$3:$I$2000, FALSE), 3)</f>
        <v>18</v>
      </c>
      <c r="L129">
        <v>85</v>
      </c>
      <c r="M129">
        <v>38400</v>
      </c>
      <c r="N129" s="27">
        <f>PI()*(INDEX(Schedule!$A$1:$N$2000, MATCH($C129, VAV_Schedule_5_21[[#All],[UNIT TAG]], FALSE), 4)/2/12)^2</f>
        <v>0.78539816339744828</v>
      </c>
      <c r="O129" s="27">
        <f>INDEX(Schedule!$A$1:$N$2000, MATCH($C129, VAV_Schedule_5_21[[#All],[UNIT TAG]], FALSE), 4)</f>
        <v>12</v>
      </c>
      <c r="P129">
        <v>127.63</v>
      </c>
      <c r="Q129" s="27">
        <f>INDEX(Schedule!$A$1:$N$2000, MATCH($C129, VAV_Schedule_5_21[[#All],[UNIT TAG]], FALSE), 5)</f>
        <v>1.2150000000000001</v>
      </c>
      <c r="R129" s="27">
        <f>INDEX(Schedule!$A$1:$N$2000, MATCH($C129, VAV_Schedule_5_21[[#All],[UNIT TAG]], FALSE), 6)</f>
        <v>245</v>
      </c>
      <c r="S129" s="27">
        <f>INDEX(Schedule!$A$1:$N$2000, MATCH($C129, VAV_Schedule_5_21[[#All],[UNIT TAG]], FALSE), 5)</f>
        <v>1.2150000000000001</v>
      </c>
      <c r="T129" s="27">
        <f>INDEX(Schedule!$A$1:$N$2000, MATCH($C129, VAV_Schedule_5_21[[#All],[UNIT TAG]], FALSE), 6)</f>
        <v>245</v>
      </c>
      <c r="U129" s="27">
        <f>INDEX(Schedule!$A$1:$N$2000, MATCH($C129, VAV_Schedule_5_21[[#All],[UNIT TAG]], FALSE), 5)</f>
        <v>1.2150000000000001</v>
      </c>
      <c r="V129" s="27">
        <f>INDEX(Schedule!$A$1:$N$2000, MATCH($C129, VAV_Schedule_5_21[[#All],[UNIT TAG]], FALSE), 6)</f>
        <v>245</v>
      </c>
      <c r="W129" s="27">
        <f>INDEX(Schedule!$A$1:$N$2000, MATCH($C129, VAV_Schedule_5_21[[#All],[UNIT TAG]], FALSE), 6)</f>
        <v>245</v>
      </c>
      <c r="X129" s="27">
        <f>INDEX(Schedule!$A$1:$N$2000, MATCH($C129, VAV_Schedule_5_21[[#All],[UNIT TAG]], FALSE), 6)</f>
        <v>245</v>
      </c>
      <c r="Y129" s="27">
        <f>INDEX(Schedule!$A$1:$N$2000, MATCH($C129, VAV_Schedule_5_21[[#All],[UNIT TAG]], FALSE), 6)</f>
        <v>245</v>
      </c>
      <c r="Z129" s="27">
        <f>INDEX(Schedule!$A$1:$N$2000, MATCH($C129, VAV_Schedule_5_21[[#All],[UNIT TAG]], FALSE), 6)</f>
        <v>245</v>
      </c>
      <c r="AA129" s="27">
        <v>1000</v>
      </c>
      <c r="AB129" s="27">
        <v>1100</v>
      </c>
      <c r="AC129">
        <v>1400</v>
      </c>
      <c r="AD129" s="29">
        <f>IF(INDEX(Schedule!$A$1:$N$2000, MATCH($C129, VAV_Schedule_5_21[[#All],[UNIT TAG]], FALSE), 7)="-", 0, INDEX(Schedule!$A$1:$N$2000, MATCH($C129, VAV_Schedule_5_21[[#All],[UNIT TAG]], FALSE), 7))</f>
        <v>0</v>
      </c>
      <c r="AE129" t="str">
        <f>"B_01'" &amp; "Flr_0" &amp; INDEX(Joined!$A$3:$M$2000, MATCH($A129, Joined!$I$3:$I$2000, FALSE), 8)</f>
        <v>B_01'Flr_04</v>
      </c>
      <c r="AF129" t="str">
        <f>"R_" &amp; INDEX(Joined!$A$3:$M$2000, MATCH($A129, Joined!$I$3:$I$2000, FALSE), 7)</f>
        <v>R_VAV-4E-39</v>
      </c>
      <c r="AG129" t="str">
        <f>"B_01'" &amp; "Flr_0" &amp; INDEX(Joined!$A$3:$M$2000, MATCH($A129, Joined!$I$3:$I$2000, FALSE), 8)</f>
        <v>B_01'Flr_04</v>
      </c>
      <c r="AH129" t="str">
        <f>INDEX(Joined!$A$3:$M$2000, MATCH($A129, Joined!$I$3:$I$2000, FALSE), 7)</f>
        <v>VAV-4E-39</v>
      </c>
      <c r="AI129" t="s">
        <v>932</v>
      </c>
    </row>
    <row r="130" spans="1:35" x14ac:dyDescent="0.2">
      <c r="A130" t="s">
        <v>518</v>
      </c>
      <c r="B130" t="str">
        <f>"B_01'" &amp; "Flr_0" &amp; INDEX(Joined!$A$3:$M$2000, MATCH($A130, Joined!$I$3:$I$2000, FALSE), 8)</f>
        <v>B_01'Flr_04</v>
      </c>
      <c r="C130" t="str">
        <f>INDEX(Joined!$A$3:$M$2000, MATCH($A130, Joined!$I$3:$I$2000, FALSE), 7)</f>
        <v>VAV-4E-40</v>
      </c>
      <c r="D130">
        <f>INDEX(Joined!$A$3:$M$2000, MATCH($A130, Joined!$I$3:$I$2000, FALSE), 5)</f>
        <v>150819</v>
      </c>
      <c r="E130" t="str">
        <f>INDEX(Joined!$A$3:$M$2000, MATCH($A130, Joined!$I$3:$I$2000, FALSE), 7)</f>
        <v>VAV-4E-40</v>
      </c>
      <c r="F130" t="s">
        <v>38</v>
      </c>
      <c r="G130" t="str">
        <f>INDEX(Schedule!$Q$2:$R$7, MATCH(ABT!$H130,Schedule!$Q$2:$Q$7, 0), 2)</f>
        <v>15007_ADXR_VAV_DXR2M10</v>
      </c>
      <c r="H130">
        <f>INDEX(Joined!$A$3:$M$2000, MATCH($A130, Joined!$I$3:$I$2000, FALSE), 6)</f>
        <v>15007</v>
      </c>
      <c r="I130" t="str">
        <f>INDEX(Joined!$A$3:$M$2000, MATCH($A130, Joined!$I$3:$I$2000, FALSE), 4)</f>
        <v>508</v>
      </c>
      <c r="J130" t="b">
        <v>0</v>
      </c>
      <c r="K130">
        <f>INDEX(Joined!$A$3:$M$2000, MATCH($A130, Joined!$I$3:$I$2000, FALSE), 3)</f>
        <v>19</v>
      </c>
      <c r="L130">
        <v>85</v>
      </c>
      <c r="M130">
        <v>38400</v>
      </c>
      <c r="N130" s="27">
        <f>PI()*(INDEX(Schedule!$A$1:$N$2000, MATCH($C130, VAV_Schedule_5_21[[#All],[UNIT TAG]], FALSE), 4)/2/12)^2</f>
        <v>0.54541539124822802</v>
      </c>
      <c r="O130" s="27">
        <f>INDEX(Schedule!$A$1:$N$2000, MATCH($C130, VAV_Schedule_5_21[[#All],[UNIT TAG]], FALSE), 4)</f>
        <v>10</v>
      </c>
      <c r="P130">
        <v>128.63</v>
      </c>
      <c r="Q130" s="27">
        <f>INDEX(Schedule!$A$1:$N$2000, MATCH($C130, VAV_Schedule_5_21[[#All],[UNIT TAG]], FALSE), 5)</f>
        <v>800</v>
      </c>
      <c r="R130" s="27">
        <f>INDEX(Schedule!$A$1:$N$2000, MATCH($C130, VAV_Schedule_5_21[[#All],[UNIT TAG]], FALSE), 6)</f>
        <v>160</v>
      </c>
      <c r="S130" s="27">
        <f>INDEX(Schedule!$A$1:$N$2000, MATCH($C130, VAV_Schedule_5_21[[#All],[UNIT TAG]], FALSE), 5)</f>
        <v>800</v>
      </c>
      <c r="T130" s="27">
        <f>INDEX(Schedule!$A$1:$N$2000, MATCH($C130, VAV_Schedule_5_21[[#All],[UNIT TAG]], FALSE), 6)</f>
        <v>160</v>
      </c>
      <c r="U130" s="27">
        <f>INDEX(Schedule!$A$1:$N$2000, MATCH($C130, VAV_Schedule_5_21[[#All],[UNIT TAG]], FALSE), 5)</f>
        <v>800</v>
      </c>
      <c r="V130" s="27">
        <f>INDEX(Schedule!$A$1:$N$2000, MATCH($C130, VAV_Schedule_5_21[[#All],[UNIT TAG]], FALSE), 6)</f>
        <v>160</v>
      </c>
      <c r="W130" s="27">
        <f>INDEX(Schedule!$A$1:$N$2000, MATCH($C130, VAV_Schedule_5_21[[#All],[UNIT TAG]], FALSE), 6)</f>
        <v>160</v>
      </c>
      <c r="X130" s="27">
        <f>INDEX(Schedule!$A$1:$N$2000, MATCH($C130, VAV_Schedule_5_21[[#All],[UNIT TAG]], FALSE), 6)</f>
        <v>160</v>
      </c>
      <c r="Y130" s="27">
        <f>INDEX(Schedule!$A$1:$N$2000, MATCH($C130, VAV_Schedule_5_21[[#All],[UNIT TAG]], FALSE), 6)</f>
        <v>160</v>
      </c>
      <c r="Z130" s="27">
        <f>INDEX(Schedule!$A$1:$N$2000, MATCH($C130, VAV_Schedule_5_21[[#All],[UNIT TAG]], FALSE), 6)</f>
        <v>160</v>
      </c>
      <c r="AA130" s="27">
        <v>1000</v>
      </c>
      <c r="AB130" s="27">
        <v>1100</v>
      </c>
      <c r="AC130">
        <v>1400</v>
      </c>
      <c r="AD130" s="29" t="str">
        <f>IF(INDEX(Schedule!$A$1:$N$2000, MATCH($C130, VAV_Schedule_5_21[[#All],[UNIT TAG]], FALSE), 7)="-", 0, INDEX(Schedule!$A$1:$N$2000, MATCH($C130, VAV_Schedule_5_21[[#All],[UNIT TAG]], FALSE), 7))</f>
        <v>8</v>
      </c>
      <c r="AE130" t="str">
        <f>"B_01'" &amp; "Flr_0" &amp; INDEX(Joined!$A$3:$M$2000, MATCH($A130, Joined!$I$3:$I$2000, FALSE), 8)</f>
        <v>B_01'Flr_04</v>
      </c>
      <c r="AF130" t="str">
        <f>"R_" &amp; INDEX(Joined!$A$3:$M$2000, MATCH($A130, Joined!$I$3:$I$2000, FALSE), 7)</f>
        <v>R_VAV-4E-40</v>
      </c>
      <c r="AG130" t="str">
        <f>"B_01'" &amp; "Flr_0" &amp; INDEX(Joined!$A$3:$M$2000, MATCH($A130, Joined!$I$3:$I$2000, FALSE), 8)</f>
        <v>B_01'Flr_04</v>
      </c>
      <c r="AH130" t="str">
        <f>INDEX(Joined!$A$3:$M$2000, MATCH($A130, Joined!$I$3:$I$2000, FALSE), 7)</f>
        <v>VAV-4E-40</v>
      </c>
      <c r="AI130" t="s">
        <v>954</v>
      </c>
    </row>
    <row r="131" spans="1:35" x14ac:dyDescent="0.2">
      <c r="A131" t="s">
        <v>519</v>
      </c>
      <c r="B131" t="str">
        <f>"B_01'" &amp; "Flr_0" &amp; INDEX(Joined!$A$3:$M$2000, MATCH($A131, Joined!$I$3:$I$2000, FALSE), 8)</f>
        <v>B_01'Flr_04</v>
      </c>
      <c r="C131" t="str">
        <f>INDEX(Joined!$A$3:$M$2000, MATCH($A131, Joined!$I$3:$I$2000, FALSE), 7)</f>
        <v>VAV-4E-41</v>
      </c>
      <c r="D131">
        <f>INDEX(Joined!$A$3:$M$2000, MATCH($A131, Joined!$I$3:$I$2000, FALSE), 5)</f>
        <v>150820</v>
      </c>
      <c r="E131" t="str">
        <f>INDEX(Joined!$A$3:$M$2000, MATCH($A131, Joined!$I$3:$I$2000, FALSE), 7)</f>
        <v>VAV-4E-41</v>
      </c>
      <c r="F131" t="s">
        <v>38</v>
      </c>
      <c r="G131" t="str">
        <f>INDEX(Schedule!$Q$2:$R$7, MATCH(ABT!$H131,Schedule!$Q$2:$Q$7, 0), 2)</f>
        <v>15006_ADXR_VAV_DXR2M10</v>
      </c>
      <c r="H131">
        <f>INDEX(Joined!$A$3:$M$2000, MATCH($A131, Joined!$I$3:$I$2000, FALSE), 6)</f>
        <v>15006</v>
      </c>
      <c r="I131" t="str">
        <f>INDEX(Joined!$A$3:$M$2000, MATCH($A131, Joined!$I$3:$I$2000, FALSE), 4)</f>
        <v>508</v>
      </c>
      <c r="J131" t="b">
        <v>0</v>
      </c>
      <c r="K131">
        <f>INDEX(Joined!$A$3:$M$2000, MATCH($A131, Joined!$I$3:$I$2000, FALSE), 3)</f>
        <v>20</v>
      </c>
      <c r="L131">
        <v>85</v>
      </c>
      <c r="M131">
        <v>38400</v>
      </c>
      <c r="N131" s="27">
        <f>PI()*(INDEX(Schedule!$A$1:$N$2000, MATCH($C131, VAV_Schedule_5_21[[#All],[UNIT TAG]], FALSE), 4)/2/12)^2</f>
        <v>0.54541539124822802</v>
      </c>
      <c r="O131" s="27">
        <f>INDEX(Schedule!$A$1:$N$2000, MATCH($C131, VAV_Schedule_5_21[[#All],[UNIT TAG]], FALSE), 4)</f>
        <v>10</v>
      </c>
      <c r="P131">
        <v>129.63</v>
      </c>
      <c r="Q131" s="27">
        <f>INDEX(Schedule!$A$1:$N$2000, MATCH($C131, VAV_Schedule_5_21[[#All],[UNIT TAG]], FALSE), 5)</f>
        <v>1.0349999999999999</v>
      </c>
      <c r="R131" s="27">
        <f>INDEX(Schedule!$A$1:$N$2000, MATCH($C131, VAV_Schedule_5_21[[#All],[UNIT TAG]], FALSE), 6)</f>
        <v>210</v>
      </c>
      <c r="S131" s="27">
        <f>INDEX(Schedule!$A$1:$N$2000, MATCH($C131, VAV_Schedule_5_21[[#All],[UNIT TAG]], FALSE), 5)</f>
        <v>1.0349999999999999</v>
      </c>
      <c r="T131" s="27">
        <f>INDEX(Schedule!$A$1:$N$2000, MATCH($C131, VAV_Schedule_5_21[[#All],[UNIT TAG]], FALSE), 6)</f>
        <v>210</v>
      </c>
      <c r="U131" s="27">
        <f>INDEX(Schedule!$A$1:$N$2000, MATCH($C131, VAV_Schedule_5_21[[#All],[UNIT TAG]], FALSE), 5)</f>
        <v>1.0349999999999999</v>
      </c>
      <c r="V131" s="27">
        <f>INDEX(Schedule!$A$1:$N$2000, MATCH($C131, VAV_Schedule_5_21[[#All],[UNIT TAG]], FALSE), 6)</f>
        <v>210</v>
      </c>
      <c r="W131" s="27">
        <f>INDEX(Schedule!$A$1:$N$2000, MATCH($C131, VAV_Schedule_5_21[[#All],[UNIT TAG]], FALSE), 6)</f>
        <v>210</v>
      </c>
      <c r="X131" s="27">
        <f>INDEX(Schedule!$A$1:$N$2000, MATCH($C131, VAV_Schedule_5_21[[#All],[UNIT TAG]], FALSE), 6)</f>
        <v>210</v>
      </c>
      <c r="Y131" s="27">
        <f>INDEX(Schedule!$A$1:$N$2000, MATCH($C131, VAV_Schedule_5_21[[#All],[UNIT TAG]], FALSE), 6)</f>
        <v>210</v>
      </c>
      <c r="Z131" s="27">
        <f>INDEX(Schedule!$A$1:$N$2000, MATCH($C131, VAV_Schedule_5_21[[#All],[UNIT TAG]], FALSE), 6)</f>
        <v>210</v>
      </c>
      <c r="AA131" s="27">
        <v>1000</v>
      </c>
      <c r="AB131" s="27">
        <v>1100</v>
      </c>
      <c r="AC131">
        <v>1400</v>
      </c>
      <c r="AD131" s="29">
        <f>IF(INDEX(Schedule!$A$1:$N$2000, MATCH($C131, VAV_Schedule_5_21[[#All],[UNIT TAG]], FALSE), 7)="-", 0, INDEX(Schedule!$A$1:$N$2000, MATCH($C131, VAV_Schedule_5_21[[#All],[UNIT TAG]], FALSE), 7))</f>
        <v>0</v>
      </c>
      <c r="AE131" t="str">
        <f>"B_01'" &amp; "Flr_0" &amp; INDEX(Joined!$A$3:$M$2000, MATCH($A131, Joined!$I$3:$I$2000, FALSE), 8)</f>
        <v>B_01'Flr_04</v>
      </c>
      <c r="AF131" t="str">
        <f>"R_" &amp; INDEX(Joined!$A$3:$M$2000, MATCH($A131, Joined!$I$3:$I$2000, FALSE), 7)</f>
        <v>R_VAV-4E-41</v>
      </c>
      <c r="AG131" t="str">
        <f>"B_01'" &amp; "Flr_0" &amp; INDEX(Joined!$A$3:$M$2000, MATCH($A131, Joined!$I$3:$I$2000, FALSE), 8)</f>
        <v>B_01'Flr_04</v>
      </c>
      <c r="AH131" t="str">
        <f>INDEX(Joined!$A$3:$M$2000, MATCH($A131, Joined!$I$3:$I$2000, FALSE), 7)</f>
        <v>VAV-4E-41</v>
      </c>
      <c r="AI131" t="s">
        <v>933</v>
      </c>
    </row>
    <row r="132" spans="1:35" x14ac:dyDescent="0.2">
      <c r="A132" t="s">
        <v>520</v>
      </c>
      <c r="B132" t="str">
        <f>"B_01'" &amp; "Flr_0" &amp; INDEX(Joined!$A$3:$M$2000, MATCH($A132, Joined!$I$3:$I$2000, FALSE), 8)</f>
        <v>B_01'Flr_04</v>
      </c>
      <c r="C132" t="str">
        <f>INDEX(Joined!$A$3:$M$2000, MATCH($A132, Joined!$I$3:$I$2000, FALSE), 7)</f>
        <v>VAV-4E-42</v>
      </c>
      <c r="D132">
        <f>INDEX(Joined!$A$3:$M$2000, MATCH($A132, Joined!$I$3:$I$2000, FALSE), 5)</f>
        <v>150821</v>
      </c>
      <c r="E132" t="str">
        <f>INDEX(Joined!$A$3:$M$2000, MATCH($A132, Joined!$I$3:$I$2000, FALSE), 7)</f>
        <v>VAV-4E-42</v>
      </c>
      <c r="F132" t="s">
        <v>38</v>
      </c>
      <c r="G132" t="str">
        <f>INDEX(Schedule!$Q$2:$R$7, MATCH(ABT!$H132,Schedule!$Q$2:$Q$7, 0), 2)</f>
        <v>15006_ADXR_VAV_DXR2M10</v>
      </c>
      <c r="H132">
        <f>INDEX(Joined!$A$3:$M$2000, MATCH($A132, Joined!$I$3:$I$2000, FALSE), 6)</f>
        <v>15006</v>
      </c>
      <c r="I132" t="str">
        <f>INDEX(Joined!$A$3:$M$2000, MATCH($A132, Joined!$I$3:$I$2000, FALSE), 4)</f>
        <v>508</v>
      </c>
      <c r="J132" t="b">
        <v>0</v>
      </c>
      <c r="K132">
        <f>INDEX(Joined!$A$3:$M$2000, MATCH($A132, Joined!$I$3:$I$2000, FALSE), 3)</f>
        <v>21</v>
      </c>
      <c r="L132">
        <v>85</v>
      </c>
      <c r="M132">
        <v>38400</v>
      </c>
      <c r="N132" s="27">
        <f>PI()*(INDEX(Schedule!$A$1:$N$2000, MATCH($C132, VAV_Schedule_5_21[[#All],[UNIT TAG]], FALSE), 4)/2/12)^2</f>
        <v>0.19634954084936207</v>
      </c>
      <c r="O132" s="27">
        <f>INDEX(Schedule!$A$1:$N$2000, MATCH($C132, VAV_Schedule_5_21[[#All],[UNIT TAG]], FALSE), 4)</f>
        <v>6</v>
      </c>
      <c r="P132">
        <v>130.63</v>
      </c>
      <c r="Q132" s="27">
        <f>INDEX(Schedule!$A$1:$N$2000, MATCH($C132, VAV_Schedule_5_21[[#All],[UNIT TAG]], FALSE), 5)</f>
        <v>300</v>
      </c>
      <c r="R132" s="27">
        <f>INDEX(Schedule!$A$1:$N$2000, MATCH($C132, VAV_Schedule_5_21[[#All],[UNIT TAG]], FALSE), 6)</f>
        <v>60</v>
      </c>
      <c r="S132" s="27">
        <f>INDEX(Schedule!$A$1:$N$2000, MATCH($C132, VAV_Schedule_5_21[[#All],[UNIT TAG]], FALSE), 5)</f>
        <v>300</v>
      </c>
      <c r="T132" s="27">
        <f>INDEX(Schedule!$A$1:$N$2000, MATCH($C132, VAV_Schedule_5_21[[#All],[UNIT TAG]], FALSE), 6)</f>
        <v>60</v>
      </c>
      <c r="U132" s="27">
        <f>INDEX(Schedule!$A$1:$N$2000, MATCH($C132, VAV_Schedule_5_21[[#All],[UNIT TAG]], FALSE), 5)</f>
        <v>300</v>
      </c>
      <c r="V132" s="27">
        <f>INDEX(Schedule!$A$1:$N$2000, MATCH($C132, VAV_Schedule_5_21[[#All],[UNIT TAG]], FALSE), 6)</f>
        <v>60</v>
      </c>
      <c r="W132" s="27">
        <f>INDEX(Schedule!$A$1:$N$2000, MATCH($C132, VAV_Schedule_5_21[[#All],[UNIT TAG]], FALSE), 6)</f>
        <v>60</v>
      </c>
      <c r="X132" s="27">
        <f>INDEX(Schedule!$A$1:$N$2000, MATCH($C132, VAV_Schedule_5_21[[#All],[UNIT TAG]], FALSE), 6)</f>
        <v>60</v>
      </c>
      <c r="Y132" s="27">
        <f>INDEX(Schedule!$A$1:$N$2000, MATCH($C132, VAV_Schedule_5_21[[#All],[UNIT TAG]], FALSE), 6)</f>
        <v>60</v>
      </c>
      <c r="Z132" s="27">
        <f>INDEX(Schedule!$A$1:$N$2000, MATCH($C132, VAV_Schedule_5_21[[#All],[UNIT TAG]], FALSE), 6)</f>
        <v>60</v>
      </c>
      <c r="AA132" s="27">
        <v>1000</v>
      </c>
      <c r="AB132" s="27">
        <v>1100</v>
      </c>
      <c r="AC132">
        <v>1400</v>
      </c>
      <c r="AD132" s="29">
        <f>IF(INDEX(Schedule!$A$1:$N$2000, MATCH($C132, VAV_Schedule_5_21[[#All],[UNIT TAG]], FALSE), 7)="-", 0, INDEX(Schedule!$A$1:$N$2000, MATCH($C132, VAV_Schedule_5_21[[#All],[UNIT TAG]], FALSE), 7))</f>
        <v>0</v>
      </c>
      <c r="AE132" t="str">
        <f>"B_01'" &amp; "Flr_0" &amp; INDEX(Joined!$A$3:$M$2000, MATCH($A132, Joined!$I$3:$I$2000, FALSE), 8)</f>
        <v>B_01'Flr_04</v>
      </c>
      <c r="AF132" t="str">
        <f>"R_" &amp; INDEX(Joined!$A$3:$M$2000, MATCH($A132, Joined!$I$3:$I$2000, FALSE), 7)</f>
        <v>R_VAV-4E-42</v>
      </c>
      <c r="AG132" t="str">
        <f>"B_01'" &amp; "Flr_0" &amp; INDEX(Joined!$A$3:$M$2000, MATCH($A132, Joined!$I$3:$I$2000, FALSE), 8)</f>
        <v>B_01'Flr_04</v>
      </c>
      <c r="AH132" t="str">
        <f>INDEX(Joined!$A$3:$M$2000, MATCH($A132, Joined!$I$3:$I$2000, FALSE), 7)</f>
        <v>VAV-4E-42</v>
      </c>
      <c r="AI132" t="s">
        <v>934</v>
      </c>
    </row>
    <row r="133" spans="1:35" x14ac:dyDescent="0.2">
      <c r="A133" t="s">
        <v>521</v>
      </c>
      <c r="B133" t="str">
        <f>"B_01'" &amp; "Flr_0" &amp; INDEX(Joined!$A$3:$M$2000, MATCH($A133, Joined!$I$3:$I$2000, FALSE), 8)</f>
        <v>B_01'Flr_04</v>
      </c>
      <c r="C133" t="str">
        <f>INDEX(Joined!$A$3:$M$2000, MATCH($A133, Joined!$I$3:$I$2000, FALSE), 7)</f>
        <v>VAV-4E-43</v>
      </c>
      <c r="D133">
        <f>INDEX(Joined!$A$3:$M$2000, MATCH($A133, Joined!$I$3:$I$2000, FALSE), 5)</f>
        <v>150822</v>
      </c>
      <c r="E133" t="str">
        <f>INDEX(Joined!$A$3:$M$2000, MATCH($A133, Joined!$I$3:$I$2000, FALSE), 7)</f>
        <v>VAV-4E-43</v>
      </c>
      <c r="F133" t="s">
        <v>38</v>
      </c>
      <c r="G133" t="str">
        <f>INDEX(Schedule!$Q$2:$R$7, MATCH(ABT!$H133,Schedule!$Q$2:$Q$7, 0), 2)</f>
        <v>15007_ADXR_VAV_DXR2M10</v>
      </c>
      <c r="H133">
        <f>INDEX(Joined!$A$3:$M$2000, MATCH($A133, Joined!$I$3:$I$2000, FALSE), 6)</f>
        <v>15007</v>
      </c>
      <c r="I133" t="str">
        <f>INDEX(Joined!$A$3:$M$2000, MATCH($A133, Joined!$I$3:$I$2000, FALSE), 4)</f>
        <v>508</v>
      </c>
      <c r="J133" t="b">
        <v>0</v>
      </c>
      <c r="K133">
        <f>INDEX(Joined!$A$3:$M$2000, MATCH($A133, Joined!$I$3:$I$2000, FALSE), 3)</f>
        <v>22</v>
      </c>
      <c r="L133">
        <v>85</v>
      </c>
      <c r="M133">
        <v>38400</v>
      </c>
      <c r="N133" s="27">
        <f>PI()*(INDEX(Schedule!$A$1:$N$2000, MATCH($C133, VAV_Schedule_5_21[[#All],[UNIT TAG]], FALSE), 4)/2/12)^2</f>
        <v>0.78539816339744828</v>
      </c>
      <c r="O133" s="27">
        <f>INDEX(Schedule!$A$1:$N$2000, MATCH($C133, VAV_Schedule_5_21[[#All],[UNIT TAG]], FALSE), 4)</f>
        <v>12</v>
      </c>
      <c r="P133">
        <v>131.63</v>
      </c>
      <c r="Q133" s="27">
        <f>INDEX(Schedule!$A$1:$N$2000, MATCH($C133, VAV_Schedule_5_21[[#All],[UNIT TAG]], FALSE), 5)</f>
        <v>1.4</v>
      </c>
      <c r="R133" s="27">
        <f>INDEX(Schedule!$A$1:$N$2000, MATCH($C133, VAV_Schedule_5_21[[#All],[UNIT TAG]], FALSE), 6)</f>
        <v>280</v>
      </c>
      <c r="S133" s="27">
        <f>INDEX(Schedule!$A$1:$N$2000, MATCH($C133, VAV_Schedule_5_21[[#All],[UNIT TAG]], FALSE), 5)</f>
        <v>1.4</v>
      </c>
      <c r="T133" s="27">
        <f>INDEX(Schedule!$A$1:$N$2000, MATCH($C133, VAV_Schedule_5_21[[#All],[UNIT TAG]], FALSE), 6)</f>
        <v>280</v>
      </c>
      <c r="U133" s="27">
        <f>INDEX(Schedule!$A$1:$N$2000, MATCH($C133, VAV_Schedule_5_21[[#All],[UNIT TAG]], FALSE), 5)</f>
        <v>1.4</v>
      </c>
      <c r="V133" s="27">
        <f>INDEX(Schedule!$A$1:$N$2000, MATCH($C133, VAV_Schedule_5_21[[#All],[UNIT TAG]], FALSE), 6)</f>
        <v>280</v>
      </c>
      <c r="W133" s="27">
        <f>INDEX(Schedule!$A$1:$N$2000, MATCH($C133, VAV_Schedule_5_21[[#All],[UNIT TAG]], FALSE), 6)</f>
        <v>280</v>
      </c>
      <c r="X133" s="27">
        <f>INDEX(Schedule!$A$1:$N$2000, MATCH($C133, VAV_Schedule_5_21[[#All],[UNIT TAG]], FALSE), 6)</f>
        <v>280</v>
      </c>
      <c r="Y133" s="27">
        <f>INDEX(Schedule!$A$1:$N$2000, MATCH($C133, VAV_Schedule_5_21[[#All],[UNIT TAG]], FALSE), 6)</f>
        <v>280</v>
      </c>
      <c r="Z133" s="27">
        <f>INDEX(Schedule!$A$1:$N$2000, MATCH($C133, VAV_Schedule_5_21[[#All],[UNIT TAG]], FALSE), 6)</f>
        <v>280</v>
      </c>
      <c r="AA133" s="27">
        <v>1000</v>
      </c>
      <c r="AB133" s="27">
        <v>1100</v>
      </c>
      <c r="AC133">
        <v>1400</v>
      </c>
      <c r="AD133" s="29" t="str">
        <f>IF(INDEX(Schedule!$A$1:$N$2000, MATCH($C133, VAV_Schedule_5_21[[#All],[UNIT TAG]], FALSE), 7)="-", 0, INDEX(Schedule!$A$1:$N$2000, MATCH($C133, VAV_Schedule_5_21[[#All],[UNIT TAG]], FALSE), 7))</f>
        <v>8</v>
      </c>
      <c r="AE133" t="str">
        <f>"B_01'" &amp; "Flr_0" &amp; INDEX(Joined!$A$3:$M$2000, MATCH($A133, Joined!$I$3:$I$2000, FALSE), 8)</f>
        <v>B_01'Flr_04</v>
      </c>
      <c r="AF133" t="str">
        <f>"R_" &amp; INDEX(Joined!$A$3:$M$2000, MATCH($A133, Joined!$I$3:$I$2000, FALSE), 7)</f>
        <v>R_VAV-4E-43</v>
      </c>
      <c r="AG133" t="str">
        <f>"B_01'" &amp; "Flr_0" &amp; INDEX(Joined!$A$3:$M$2000, MATCH($A133, Joined!$I$3:$I$2000, FALSE), 8)</f>
        <v>B_01'Flr_04</v>
      </c>
      <c r="AH133" t="str">
        <f>INDEX(Joined!$A$3:$M$2000, MATCH($A133, Joined!$I$3:$I$2000, FALSE), 7)</f>
        <v>VAV-4E-43</v>
      </c>
      <c r="AI133" t="s">
        <v>955</v>
      </c>
    </row>
    <row r="134" spans="1:35" x14ac:dyDescent="0.2">
      <c r="A134" t="s">
        <v>524</v>
      </c>
      <c r="B134" t="str">
        <f>"B_01'" &amp; "Flr_0" &amp; INDEX(Joined!$A$3:$M$2000, MATCH($A134, Joined!$I$3:$I$2000, FALSE), 8)</f>
        <v>B_01'Flr_04</v>
      </c>
      <c r="C134" t="str">
        <f>INDEX(Joined!$A$3:$M$2000, MATCH($A134, Joined!$I$3:$I$2000, FALSE), 7)</f>
        <v>VAV-4N-10</v>
      </c>
      <c r="D134">
        <f>INDEX(Joined!$A$3:$M$2000, MATCH($A134, Joined!$I$3:$I$2000, FALSE), 5)</f>
        <v>150703</v>
      </c>
      <c r="E134" t="str">
        <f>INDEX(Joined!$A$3:$M$2000, MATCH($A134, Joined!$I$3:$I$2000, FALSE), 7)</f>
        <v>VAV-4N-10</v>
      </c>
      <c r="F134" t="s">
        <v>38</v>
      </c>
      <c r="G134" t="str">
        <f>INDEX(Schedule!$Q$2:$R$7, MATCH(ABT!$H134,Schedule!$Q$2:$Q$7, 0), 2)</f>
        <v>15008_ADXR_VAV_DXRM10_Hum</v>
      </c>
      <c r="H134">
        <f>INDEX(Joined!$A$3:$M$2000, MATCH($A134, Joined!$I$3:$I$2000, FALSE), 6)</f>
        <v>15008</v>
      </c>
      <c r="I134" t="str">
        <f>INDEX(Joined!$A$3:$M$2000, MATCH($A134, Joined!$I$3:$I$2000, FALSE), 4)</f>
        <v>507</v>
      </c>
      <c r="J134" t="b">
        <v>0</v>
      </c>
      <c r="K134">
        <f>INDEX(Joined!$A$3:$M$2000, MATCH($A134, Joined!$I$3:$I$2000, FALSE), 3)</f>
        <v>3</v>
      </c>
      <c r="L134">
        <v>85</v>
      </c>
      <c r="M134">
        <v>38400</v>
      </c>
      <c r="N134" s="27">
        <f>PI()*(INDEX(Schedule!$A$1:$N$2000, MATCH($C134, VAV_Schedule_5_21[[#All],[UNIT TAG]], FALSE), 4)/2/12)^2</f>
        <v>0.19634954084936207</v>
      </c>
      <c r="O134" s="27">
        <f>INDEX(Schedule!$A$1:$N$2000, MATCH($C134, VAV_Schedule_5_21[[#All],[UNIT TAG]], FALSE), 4)</f>
        <v>6</v>
      </c>
      <c r="P134">
        <v>132.63</v>
      </c>
      <c r="Q134" s="27">
        <f>INDEX(Schedule!$A$1:$N$2000, MATCH($C134, VAV_Schedule_5_21[[#All],[UNIT TAG]], FALSE), 5)</f>
        <v>315</v>
      </c>
      <c r="R134" s="27">
        <f>INDEX(Schedule!$A$1:$N$2000, MATCH($C134, VAV_Schedule_5_21[[#All],[UNIT TAG]], FALSE), 6)</f>
        <v>0</v>
      </c>
      <c r="S134" s="27">
        <f>INDEX(Schedule!$A$1:$N$2000, MATCH($C134, VAV_Schedule_5_21[[#All],[UNIT TAG]], FALSE), 5)</f>
        <v>315</v>
      </c>
      <c r="T134" s="27">
        <f>INDEX(Schedule!$A$1:$N$2000, MATCH($C134, VAV_Schedule_5_21[[#All],[UNIT TAG]], FALSE), 6)</f>
        <v>0</v>
      </c>
      <c r="U134" s="27">
        <f>INDEX(Schedule!$A$1:$N$2000, MATCH($C134, VAV_Schedule_5_21[[#All],[UNIT TAG]], FALSE), 5)</f>
        <v>315</v>
      </c>
      <c r="V134" s="27">
        <f>INDEX(Schedule!$A$1:$N$2000, MATCH($C134, VAV_Schedule_5_21[[#All],[UNIT TAG]], FALSE), 6)</f>
        <v>0</v>
      </c>
      <c r="W134" s="27">
        <f>INDEX(Schedule!$A$1:$N$2000, MATCH($C134, VAV_Schedule_5_21[[#All],[UNIT TAG]], FALSE), 6)</f>
        <v>0</v>
      </c>
      <c r="X134" s="27">
        <f>INDEX(Schedule!$A$1:$N$2000, MATCH($C134, VAV_Schedule_5_21[[#All],[UNIT TAG]], FALSE), 6)</f>
        <v>0</v>
      </c>
      <c r="Y134" s="27">
        <f>INDEX(Schedule!$A$1:$N$2000, MATCH($C134, VAV_Schedule_5_21[[#All],[UNIT TAG]], FALSE), 6)</f>
        <v>0</v>
      </c>
      <c r="Z134" s="27">
        <f>INDEX(Schedule!$A$1:$N$2000, MATCH($C134, VAV_Schedule_5_21[[#All],[UNIT TAG]], FALSE), 6)</f>
        <v>0</v>
      </c>
      <c r="AA134" s="27">
        <v>1000</v>
      </c>
      <c r="AB134" s="27">
        <v>1100</v>
      </c>
      <c r="AC134">
        <v>1400</v>
      </c>
      <c r="AD134" s="29">
        <f>IF(INDEX(Schedule!$A$1:$N$2000, MATCH($C134, VAV_Schedule_5_21[[#All],[UNIT TAG]], FALSE), 7)="-", 0, INDEX(Schedule!$A$1:$N$2000, MATCH($C134, VAV_Schedule_5_21[[#All],[UNIT TAG]], FALSE), 7))</f>
        <v>0</v>
      </c>
      <c r="AE134" t="str">
        <f>"B_01'" &amp; "Flr_0" &amp; INDEX(Joined!$A$3:$M$2000, MATCH($A134, Joined!$I$3:$I$2000, FALSE), 8)</f>
        <v>B_01'Flr_04</v>
      </c>
      <c r="AF134" t="str">
        <f>"R_" &amp; INDEX(Joined!$A$3:$M$2000, MATCH($A134, Joined!$I$3:$I$2000, FALSE), 7)</f>
        <v>R_VAV-4N-10</v>
      </c>
      <c r="AG134" t="str">
        <f>"B_01'" &amp; "Flr_0" &amp; INDEX(Joined!$A$3:$M$2000, MATCH($A134, Joined!$I$3:$I$2000, FALSE), 8)</f>
        <v>B_01'Flr_04</v>
      </c>
      <c r="AH134" t="str">
        <f>INDEX(Joined!$A$3:$M$2000, MATCH($A134, Joined!$I$3:$I$2000, FALSE), 7)</f>
        <v>VAV-4N-10</v>
      </c>
      <c r="AI134" t="s">
        <v>961</v>
      </c>
    </row>
    <row r="135" spans="1:35" x14ac:dyDescent="0.2">
      <c r="A135" t="s">
        <v>525</v>
      </c>
      <c r="B135" t="str">
        <f>"B_01'" &amp; "Flr_0" &amp; INDEX(Joined!$A$3:$M$2000, MATCH($A135, Joined!$I$3:$I$2000, FALSE), 8)</f>
        <v>B_01'Flr_04</v>
      </c>
      <c r="C135" t="str">
        <f>INDEX(Joined!$A$3:$M$2000, MATCH($A135, Joined!$I$3:$I$2000, FALSE), 7)</f>
        <v>VAV-4N-11</v>
      </c>
      <c r="D135">
        <f>INDEX(Joined!$A$3:$M$2000, MATCH($A135, Joined!$I$3:$I$2000, FALSE), 5)</f>
        <v>150704</v>
      </c>
      <c r="E135" t="str">
        <f>INDEX(Joined!$A$3:$M$2000, MATCH($A135, Joined!$I$3:$I$2000, FALSE), 7)</f>
        <v>VAV-4N-11</v>
      </c>
      <c r="F135" t="s">
        <v>38</v>
      </c>
      <c r="G135" t="str">
        <f>INDEX(Schedule!$Q$2:$R$7, MATCH(ABT!$H135,Schedule!$Q$2:$Q$7, 0), 2)</f>
        <v>15009_ADXR_VAV_DXRM10_Hum</v>
      </c>
      <c r="H135">
        <f>INDEX(Joined!$A$3:$M$2000, MATCH($A135, Joined!$I$3:$I$2000, FALSE), 6)</f>
        <v>15009</v>
      </c>
      <c r="I135" t="str">
        <f>INDEX(Joined!$A$3:$M$2000, MATCH($A135, Joined!$I$3:$I$2000, FALSE), 4)</f>
        <v>507</v>
      </c>
      <c r="J135" t="b">
        <v>0</v>
      </c>
      <c r="K135">
        <f>INDEX(Joined!$A$3:$M$2000, MATCH($A135, Joined!$I$3:$I$2000, FALSE), 3)</f>
        <v>4</v>
      </c>
      <c r="L135">
        <v>85</v>
      </c>
      <c r="M135">
        <v>38400</v>
      </c>
      <c r="N135" s="27">
        <f>PI()*(INDEX(Schedule!$A$1:$N$2000, MATCH($C135, VAV_Schedule_5_21[[#All],[UNIT TAG]], FALSE), 4)/2/12)^2</f>
        <v>0.3490658503988659</v>
      </c>
      <c r="O135" s="27">
        <f>INDEX(Schedule!$A$1:$N$2000, MATCH($C135, VAV_Schedule_5_21[[#All],[UNIT TAG]], FALSE), 4)</f>
        <v>8</v>
      </c>
      <c r="P135">
        <v>133.63</v>
      </c>
      <c r="Q135" s="27">
        <f>INDEX(Schedule!$A$1:$N$2000, MATCH($C135, VAV_Schedule_5_21[[#All],[UNIT TAG]], FALSE), 5)</f>
        <v>680</v>
      </c>
      <c r="R135" s="27">
        <f>INDEX(Schedule!$A$1:$N$2000, MATCH($C135, VAV_Schedule_5_21[[#All],[UNIT TAG]], FALSE), 6)</f>
        <v>0</v>
      </c>
      <c r="S135" s="27">
        <f>INDEX(Schedule!$A$1:$N$2000, MATCH($C135, VAV_Schedule_5_21[[#All],[UNIT TAG]], FALSE), 5)</f>
        <v>680</v>
      </c>
      <c r="T135" s="27">
        <f>INDEX(Schedule!$A$1:$N$2000, MATCH($C135, VAV_Schedule_5_21[[#All],[UNIT TAG]], FALSE), 6)</f>
        <v>0</v>
      </c>
      <c r="U135" s="27">
        <f>INDEX(Schedule!$A$1:$N$2000, MATCH($C135, VAV_Schedule_5_21[[#All],[UNIT TAG]], FALSE), 5)</f>
        <v>680</v>
      </c>
      <c r="V135" s="27">
        <f>INDEX(Schedule!$A$1:$N$2000, MATCH($C135, VAV_Schedule_5_21[[#All],[UNIT TAG]], FALSE), 6)</f>
        <v>0</v>
      </c>
      <c r="W135" s="27">
        <f>INDEX(Schedule!$A$1:$N$2000, MATCH($C135, VAV_Schedule_5_21[[#All],[UNIT TAG]], FALSE), 6)</f>
        <v>0</v>
      </c>
      <c r="X135" s="27">
        <f>INDEX(Schedule!$A$1:$N$2000, MATCH($C135, VAV_Schedule_5_21[[#All],[UNIT TAG]], FALSE), 6)</f>
        <v>0</v>
      </c>
      <c r="Y135" s="27">
        <f>INDEX(Schedule!$A$1:$N$2000, MATCH($C135, VAV_Schedule_5_21[[#All],[UNIT TAG]], FALSE), 6)</f>
        <v>0</v>
      </c>
      <c r="Z135" s="27">
        <f>INDEX(Schedule!$A$1:$N$2000, MATCH($C135, VAV_Schedule_5_21[[#All],[UNIT TAG]], FALSE), 6)</f>
        <v>0</v>
      </c>
      <c r="AA135" s="27">
        <v>1000</v>
      </c>
      <c r="AB135" s="27">
        <v>1100</v>
      </c>
      <c r="AC135">
        <v>1400</v>
      </c>
      <c r="AD135" s="29" t="str">
        <f>IF(INDEX(Schedule!$A$1:$N$2000, MATCH($C135, VAV_Schedule_5_21[[#All],[UNIT TAG]], FALSE), 7)="-", 0, INDEX(Schedule!$A$1:$N$2000, MATCH($C135, VAV_Schedule_5_21[[#All],[UNIT TAG]], FALSE), 7))</f>
        <v>3</v>
      </c>
      <c r="AE135" t="str">
        <f>"B_01'" &amp; "Flr_0" &amp; INDEX(Joined!$A$3:$M$2000, MATCH($A135, Joined!$I$3:$I$2000, FALSE), 8)</f>
        <v>B_01'Flr_04</v>
      </c>
      <c r="AF135" t="str">
        <f>"R_" &amp; INDEX(Joined!$A$3:$M$2000, MATCH($A135, Joined!$I$3:$I$2000, FALSE), 7)</f>
        <v>R_VAV-4N-11</v>
      </c>
      <c r="AG135" t="str">
        <f>"B_01'" &amp; "Flr_0" &amp; INDEX(Joined!$A$3:$M$2000, MATCH($A135, Joined!$I$3:$I$2000, FALSE), 8)</f>
        <v>B_01'Flr_04</v>
      </c>
      <c r="AH135" t="str">
        <f>INDEX(Joined!$A$3:$M$2000, MATCH($A135, Joined!$I$3:$I$2000, FALSE), 7)</f>
        <v>VAV-4N-11</v>
      </c>
      <c r="AI135" t="s">
        <v>970</v>
      </c>
    </row>
    <row r="136" spans="1:35" x14ac:dyDescent="0.2">
      <c r="A136" t="s">
        <v>526</v>
      </c>
      <c r="B136" t="str">
        <f>"B_01'" &amp; "Flr_0" &amp; INDEX(Joined!$A$3:$M$2000, MATCH($A136, Joined!$I$3:$I$2000, FALSE), 8)</f>
        <v>B_01'Flr_04</v>
      </c>
      <c r="C136" t="str">
        <f>INDEX(Joined!$A$3:$M$2000, MATCH($A136, Joined!$I$3:$I$2000, FALSE), 7)</f>
        <v>VAV-4N-12</v>
      </c>
      <c r="D136">
        <f>INDEX(Joined!$A$3:$M$2000, MATCH($A136, Joined!$I$3:$I$2000, FALSE), 5)</f>
        <v>150705</v>
      </c>
      <c r="E136" t="str">
        <f>INDEX(Joined!$A$3:$M$2000, MATCH($A136, Joined!$I$3:$I$2000, FALSE), 7)</f>
        <v>VAV-4N-12</v>
      </c>
      <c r="F136" t="s">
        <v>38</v>
      </c>
      <c r="G136" t="str">
        <f>INDEX(Schedule!$Q$2:$R$7, MATCH(ABT!$H136,Schedule!$Q$2:$Q$7, 0), 2)</f>
        <v>15009_ADXR_VAV_DXRM10_Hum</v>
      </c>
      <c r="H136">
        <f>INDEX(Joined!$A$3:$M$2000, MATCH($A136, Joined!$I$3:$I$2000, FALSE), 6)</f>
        <v>15009</v>
      </c>
      <c r="I136" t="str">
        <f>INDEX(Joined!$A$3:$M$2000, MATCH($A136, Joined!$I$3:$I$2000, FALSE), 4)</f>
        <v>507</v>
      </c>
      <c r="J136" t="b">
        <v>0</v>
      </c>
      <c r="K136">
        <f>INDEX(Joined!$A$3:$M$2000, MATCH($A136, Joined!$I$3:$I$2000, FALSE), 3)</f>
        <v>5</v>
      </c>
      <c r="L136">
        <v>85</v>
      </c>
      <c r="M136">
        <v>38400</v>
      </c>
      <c r="N136" s="27">
        <f>PI()*(INDEX(Schedule!$A$1:$N$2000, MATCH($C136, VAV_Schedule_5_21[[#All],[UNIT TAG]], FALSE), 4)/2/12)^2</f>
        <v>0.19634954084936207</v>
      </c>
      <c r="O136" s="27">
        <f>INDEX(Schedule!$A$1:$N$2000, MATCH($C136, VAV_Schedule_5_21[[#All],[UNIT TAG]], FALSE), 4)</f>
        <v>6</v>
      </c>
      <c r="P136">
        <v>134.63</v>
      </c>
      <c r="Q136" s="27">
        <f>INDEX(Schedule!$A$1:$N$2000, MATCH($C136, VAV_Schedule_5_21[[#All],[UNIT TAG]], FALSE), 5)</f>
        <v>180</v>
      </c>
      <c r="R136" s="27">
        <f>INDEX(Schedule!$A$1:$N$2000, MATCH($C136, VAV_Schedule_5_21[[#All],[UNIT TAG]], FALSE), 6)</f>
        <v>0</v>
      </c>
      <c r="S136" s="27">
        <f>INDEX(Schedule!$A$1:$N$2000, MATCH($C136, VAV_Schedule_5_21[[#All],[UNIT TAG]], FALSE), 5)</f>
        <v>180</v>
      </c>
      <c r="T136" s="27">
        <f>INDEX(Schedule!$A$1:$N$2000, MATCH($C136, VAV_Schedule_5_21[[#All],[UNIT TAG]], FALSE), 6)</f>
        <v>0</v>
      </c>
      <c r="U136" s="27">
        <f>INDEX(Schedule!$A$1:$N$2000, MATCH($C136, VAV_Schedule_5_21[[#All],[UNIT TAG]], FALSE), 5)</f>
        <v>180</v>
      </c>
      <c r="V136" s="27">
        <f>INDEX(Schedule!$A$1:$N$2000, MATCH($C136, VAV_Schedule_5_21[[#All],[UNIT TAG]], FALSE), 6)</f>
        <v>0</v>
      </c>
      <c r="W136" s="27">
        <f>INDEX(Schedule!$A$1:$N$2000, MATCH($C136, VAV_Schedule_5_21[[#All],[UNIT TAG]], FALSE), 6)</f>
        <v>0</v>
      </c>
      <c r="X136" s="27">
        <f>INDEX(Schedule!$A$1:$N$2000, MATCH($C136, VAV_Schedule_5_21[[#All],[UNIT TAG]], FALSE), 6)</f>
        <v>0</v>
      </c>
      <c r="Y136" s="27">
        <f>INDEX(Schedule!$A$1:$N$2000, MATCH($C136, VAV_Schedule_5_21[[#All],[UNIT TAG]], FALSE), 6)</f>
        <v>0</v>
      </c>
      <c r="Z136" s="27">
        <f>INDEX(Schedule!$A$1:$N$2000, MATCH($C136, VAV_Schedule_5_21[[#All],[UNIT TAG]], FALSE), 6)</f>
        <v>0</v>
      </c>
      <c r="AA136" s="27">
        <v>1000</v>
      </c>
      <c r="AB136" s="27">
        <v>1100</v>
      </c>
      <c r="AC136">
        <v>1400</v>
      </c>
      <c r="AD136" s="29" t="str">
        <f>IF(INDEX(Schedule!$A$1:$N$2000, MATCH($C136, VAV_Schedule_5_21[[#All],[UNIT TAG]], FALSE), 7)="-", 0, INDEX(Schedule!$A$1:$N$2000, MATCH($C136, VAV_Schedule_5_21[[#All],[UNIT TAG]], FALSE), 7))</f>
        <v>3</v>
      </c>
      <c r="AE136" t="str">
        <f>"B_01'" &amp; "Flr_0" &amp; INDEX(Joined!$A$3:$M$2000, MATCH($A136, Joined!$I$3:$I$2000, FALSE), 8)</f>
        <v>B_01'Flr_04</v>
      </c>
      <c r="AF136" t="str">
        <f>"R_" &amp; INDEX(Joined!$A$3:$M$2000, MATCH($A136, Joined!$I$3:$I$2000, FALSE), 7)</f>
        <v>R_VAV-4N-12</v>
      </c>
      <c r="AG136" t="str">
        <f>"B_01'" &amp; "Flr_0" &amp; INDEX(Joined!$A$3:$M$2000, MATCH($A136, Joined!$I$3:$I$2000, FALSE), 8)</f>
        <v>B_01'Flr_04</v>
      </c>
      <c r="AH136" t="str">
        <f>INDEX(Joined!$A$3:$M$2000, MATCH($A136, Joined!$I$3:$I$2000, FALSE), 7)</f>
        <v>VAV-4N-12</v>
      </c>
      <c r="AI136" t="s">
        <v>971</v>
      </c>
    </row>
    <row r="137" spans="1:35" x14ac:dyDescent="0.2">
      <c r="A137" t="s">
        <v>527</v>
      </c>
      <c r="B137" t="str">
        <f>"B_01'" &amp; "Flr_0" &amp; INDEX(Joined!$A$3:$M$2000, MATCH($A137, Joined!$I$3:$I$2000, FALSE), 8)</f>
        <v>B_01'Flr_04</v>
      </c>
      <c r="C137" t="str">
        <f>INDEX(Joined!$A$3:$M$2000, MATCH($A137, Joined!$I$3:$I$2000, FALSE), 7)</f>
        <v>VAV-4N-13</v>
      </c>
      <c r="D137">
        <f>INDEX(Joined!$A$3:$M$2000, MATCH($A137, Joined!$I$3:$I$2000, FALSE), 5)</f>
        <v>150706</v>
      </c>
      <c r="E137" t="str">
        <f>INDEX(Joined!$A$3:$M$2000, MATCH($A137, Joined!$I$3:$I$2000, FALSE), 7)</f>
        <v>VAV-4N-13</v>
      </c>
      <c r="F137" t="s">
        <v>38</v>
      </c>
      <c r="G137" t="str">
        <f>INDEX(Schedule!$Q$2:$R$7, MATCH(ABT!$H137,Schedule!$Q$2:$Q$7, 0), 2)</f>
        <v>15008_ADXR_VAV_DXRM10_Hum</v>
      </c>
      <c r="H137">
        <f>INDEX(Joined!$A$3:$M$2000, MATCH($A137, Joined!$I$3:$I$2000, FALSE), 6)</f>
        <v>15008</v>
      </c>
      <c r="I137" t="str">
        <f>INDEX(Joined!$A$3:$M$2000, MATCH($A137, Joined!$I$3:$I$2000, FALSE), 4)</f>
        <v>507</v>
      </c>
      <c r="J137" t="b">
        <v>0</v>
      </c>
      <c r="K137">
        <f>INDEX(Joined!$A$3:$M$2000, MATCH($A137, Joined!$I$3:$I$2000, FALSE), 3)</f>
        <v>6</v>
      </c>
      <c r="L137">
        <v>85</v>
      </c>
      <c r="M137">
        <v>38400</v>
      </c>
      <c r="N137" s="27">
        <f>PI()*(INDEX(Schedule!$A$1:$N$2000, MATCH($C137, VAV_Schedule_5_21[[#All],[UNIT TAG]], FALSE), 4)/2/12)^2</f>
        <v>0.78539816339744828</v>
      </c>
      <c r="O137" s="27">
        <f>INDEX(Schedule!$A$1:$N$2000, MATCH($C137, VAV_Schedule_5_21[[#All],[UNIT TAG]], FALSE), 4)</f>
        <v>12</v>
      </c>
      <c r="P137">
        <v>135.63</v>
      </c>
      <c r="Q137" s="27">
        <f>INDEX(Schedule!$A$1:$N$2000, MATCH($C137, VAV_Schedule_5_21[[#All],[UNIT TAG]], FALSE), 5)</f>
        <v>1.1299999999999999</v>
      </c>
      <c r="R137" s="27">
        <f>INDEX(Schedule!$A$1:$N$2000, MATCH($C137, VAV_Schedule_5_21[[#All],[UNIT TAG]], FALSE), 6)</f>
        <v>0</v>
      </c>
      <c r="S137" s="27">
        <f>INDEX(Schedule!$A$1:$N$2000, MATCH($C137, VAV_Schedule_5_21[[#All],[UNIT TAG]], FALSE), 5)</f>
        <v>1.1299999999999999</v>
      </c>
      <c r="T137" s="27">
        <f>INDEX(Schedule!$A$1:$N$2000, MATCH($C137, VAV_Schedule_5_21[[#All],[UNIT TAG]], FALSE), 6)</f>
        <v>0</v>
      </c>
      <c r="U137" s="27">
        <f>INDEX(Schedule!$A$1:$N$2000, MATCH($C137, VAV_Schedule_5_21[[#All],[UNIT TAG]], FALSE), 5)</f>
        <v>1.1299999999999999</v>
      </c>
      <c r="V137" s="27">
        <f>INDEX(Schedule!$A$1:$N$2000, MATCH($C137, VAV_Schedule_5_21[[#All],[UNIT TAG]], FALSE), 6)</f>
        <v>0</v>
      </c>
      <c r="W137" s="27">
        <f>INDEX(Schedule!$A$1:$N$2000, MATCH($C137, VAV_Schedule_5_21[[#All],[UNIT TAG]], FALSE), 6)</f>
        <v>0</v>
      </c>
      <c r="X137" s="27">
        <f>INDEX(Schedule!$A$1:$N$2000, MATCH($C137, VAV_Schedule_5_21[[#All],[UNIT TAG]], FALSE), 6)</f>
        <v>0</v>
      </c>
      <c r="Y137" s="27">
        <f>INDEX(Schedule!$A$1:$N$2000, MATCH($C137, VAV_Schedule_5_21[[#All],[UNIT TAG]], FALSE), 6)</f>
        <v>0</v>
      </c>
      <c r="Z137" s="27">
        <f>INDEX(Schedule!$A$1:$N$2000, MATCH($C137, VAV_Schedule_5_21[[#All],[UNIT TAG]], FALSE), 6)</f>
        <v>0</v>
      </c>
      <c r="AA137" s="27">
        <v>1000</v>
      </c>
      <c r="AB137" s="27">
        <v>1100</v>
      </c>
      <c r="AC137">
        <v>1400</v>
      </c>
      <c r="AD137" s="29">
        <f>IF(INDEX(Schedule!$A$1:$N$2000, MATCH($C137, VAV_Schedule_5_21[[#All],[UNIT TAG]], FALSE), 7)="-", 0, INDEX(Schedule!$A$1:$N$2000, MATCH($C137, VAV_Schedule_5_21[[#All],[UNIT TAG]], FALSE), 7))</f>
        <v>0</v>
      </c>
      <c r="AE137" t="str">
        <f>"B_01'" &amp; "Flr_0" &amp; INDEX(Joined!$A$3:$M$2000, MATCH($A137, Joined!$I$3:$I$2000, FALSE), 8)</f>
        <v>B_01'Flr_04</v>
      </c>
      <c r="AF137" t="str">
        <f>"R_" &amp; INDEX(Joined!$A$3:$M$2000, MATCH($A137, Joined!$I$3:$I$2000, FALSE), 7)</f>
        <v>R_VAV-4N-13</v>
      </c>
      <c r="AG137" t="str">
        <f>"B_01'" &amp; "Flr_0" &amp; INDEX(Joined!$A$3:$M$2000, MATCH($A137, Joined!$I$3:$I$2000, FALSE), 8)</f>
        <v>B_01'Flr_04</v>
      </c>
      <c r="AH137" t="str">
        <f>INDEX(Joined!$A$3:$M$2000, MATCH($A137, Joined!$I$3:$I$2000, FALSE), 7)</f>
        <v>VAV-4N-13</v>
      </c>
      <c r="AI137" t="s">
        <v>962</v>
      </c>
    </row>
    <row r="138" spans="1:35" x14ac:dyDescent="0.2">
      <c r="A138" t="s">
        <v>528</v>
      </c>
      <c r="B138" t="str">
        <f>"B_01'" &amp; "Flr_0" &amp; INDEX(Joined!$A$3:$M$2000, MATCH($A138, Joined!$I$3:$I$2000, FALSE), 8)</f>
        <v>B_01'Flr_04</v>
      </c>
      <c r="C138" t="str">
        <f>INDEX(Joined!$A$3:$M$2000, MATCH($A138, Joined!$I$3:$I$2000, FALSE), 7)</f>
        <v>VAV-4N-14</v>
      </c>
      <c r="D138">
        <f>INDEX(Joined!$A$3:$M$2000, MATCH($A138, Joined!$I$3:$I$2000, FALSE), 5)</f>
        <v>150707</v>
      </c>
      <c r="E138" t="str">
        <f>INDEX(Joined!$A$3:$M$2000, MATCH($A138, Joined!$I$3:$I$2000, FALSE), 7)</f>
        <v>VAV-4N-14</v>
      </c>
      <c r="F138" t="s">
        <v>38</v>
      </c>
      <c r="G138" t="str">
        <f>INDEX(Schedule!$Q$2:$R$7, MATCH(ABT!$H138,Schedule!$Q$2:$Q$7, 0), 2)</f>
        <v>15009_ADXR_VAV_DXRM10_Hum</v>
      </c>
      <c r="H138">
        <f>INDEX(Joined!$A$3:$M$2000, MATCH($A138, Joined!$I$3:$I$2000, FALSE), 6)</f>
        <v>15009</v>
      </c>
      <c r="I138" t="str">
        <f>INDEX(Joined!$A$3:$M$2000, MATCH($A138, Joined!$I$3:$I$2000, FALSE), 4)</f>
        <v>507</v>
      </c>
      <c r="J138" t="b">
        <v>0</v>
      </c>
      <c r="K138">
        <f>INDEX(Joined!$A$3:$M$2000, MATCH($A138, Joined!$I$3:$I$2000, FALSE), 3)</f>
        <v>7</v>
      </c>
      <c r="L138">
        <v>85</v>
      </c>
      <c r="M138">
        <v>38400</v>
      </c>
      <c r="N138" s="27">
        <f>PI()*(INDEX(Schedule!$A$1:$N$2000, MATCH($C138, VAV_Schedule_5_21[[#All],[UNIT TAG]], FALSE), 4)/2/12)^2</f>
        <v>0.54541539124822802</v>
      </c>
      <c r="O138" s="27">
        <f>INDEX(Schedule!$A$1:$N$2000, MATCH($C138, VAV_Schedule_5_21[[#All],[UNIT TAG]], FALSE), 4)</f>
        <v>10</v>
      </c>
      <c r="P138">
        <v>136.63</v>
      </c>
      <c r="Q138" s="27">
        <f>INDEX(Schedule!$A$1:$N$2000, MATCH($C138, VAV_Schedule_5_21[[#All],[UNIT TAG]], FALSE), 5)</f>
        <v>1.1000000000000001</v>
      </c>
      <c r="R138" s="27">
        <f>INDEX(Schedule!$A$1:$N$2000, MATCH($C138, VAV_Schedule_5_21[[#All],[UNIT TAG]], FALSE), 6)</f>
        <v>0</v>
      </c>
      <c r="S138" s="27">
        <f>INDEX(Schedule!$A$1:$N$2000, MATCH($C138, VAV_Schedule_5_21[[#All],[UNIT TAG]], FALSE), 5)</f>
        <v>1.1000000000000001</v>
      </c>
      <c r="T138" s="27">
        <f>INDEX(Schedule!$A$1:$N$2000, MATCH($C138, VAV_Schedule_5_21[[#All],[UNIT TAG]], FALSE), 6)</f>
        <v>0</v>
      </c>
      <c r="U138" s="27">
        <f>INDEX(Schedule!$A$1:$N$2000, MATCH($C138, VAV_Schedule_5_21[[#All],[UNIT TAG]], FALSE), 5)</f>
        <v>1.1000000000000001</v>
      </c>
      <c r="V138" s="27">
        <f>INDEX(Schedule!$A$1:$N$2000, MATCH($C138, VAV_Schedule_5_21[[#All],[UNIT TAG]], FALSE), 6)</f>
        <v>0</v>
      </c>
      <c r="W138" s="27">
        <f>INDEX(Schedule!$A$1:$N$2000, MATCH($C138, VAV_Schedule_5_21[[#All],[UNIT TAG]], FALSE), 6)</f>
        <v>0</v>
      </c>
      <c r="X138" s="27">
        <f>INDEX(Schedule!$A$1:$N$2000, MATCH($C138, VAV_Schedule_5_21[[#All],[UNIT TAG]], FALSE), 6)</f>
        <v>0</v>
      </c>
      <c r="Y138" s="27">
        <f>INDEX(Schedule!$A$1:$N$2000, MATCH($C138, VAV_Schedule_5_21[[#All],[UNIT TAG]], FALSE), 6)</f>
        <v>0</v>
      </c>
      <c r="Z138" s="27">
        <f>INDEX(Schedule!$A$1:$N$2000, MATCH($C138, VAV_Schedule_5_21[[#All],[UNIT TAG]], FALSE), 6)</f>
        <v>0</v>
      </c>
      <c r="AA138" s="27">
        <v>1000</v>
      </c>
      <c r="AB138" s="27">
        <v>1100</v>
      </c>
      <c r="AC138">
        <v>1400</v>
      </c>
      <c r="AD138" s="29" t="str">
        <f>IF(INDEX(Schedule!$A$1:$N$2000, MATCH($C138, VAV_Schedule_5_21[[#All],[UNIT TAG]], FALSE), 7)="-", 0, INDEX(Schedule!$A$1:$N$2000, MATCH($C138, VAV_Schedule_5_21[[#All],[UNIT TAG]], FALSE), 7))</f>
        <v>5</v>
      </c>
      <c r="AE138" t="str">
        <f>"B_01'" &amp; "Flr_0" &amp; INDEX(Joined!$A$3:$M$2000, MATCH($A138, Joined!$I$3:$I$2000, FALSE), 8)</f>
        <v>B_01'Flr_04</v>
      </c>
      <c r="AF138" t="str">
        <f>"R_" &amp; INDEX(Joined!$A$3:$M$2000, MATCH($A138, Joined!$I$3:$I$2000, FALSE), 7)</f>
        <v>R_VAV-4N-14</v>
      </c>
      <c r="AG138" t="str">
        <f>"B_01'" &amp; "Flr_0" &amp; INDEX(Joined!$A$3:$M$2000, MATCH($A138, Joined!$I$3:$I$2000, FALSE), 8)</f>
        <v>B_01'Flr_04</v>
      </c>
      <c r="AH138" t="str">
        <f>INDEX(Joined!$A$3:$M$2000, MATCH($A138, Joined!$I$3:$I$2000, FALSE), 7)</f>
        <v>VAV-4N-14</v>
      </c>
      <c r="AI138" t="s">
        <v>972</v>
      </c>
    </row>
    <row r="139" spans="1:35" x14ac:dyDescent="0.2">
      <c r="A139" t="s">
        <v>529</v>
      </c>
      <c r="B139" t="str">
        <f>"B_01'" &amp; "Flr_0" &amp; INDEX(Joined!$A$3:$M$2000, MATCH($A139, Joined!$I$3:$I$2000, FALSE), 8)</f>
        <v>B_01'Flr_04</v>
      </c>
      <c r="C139" t="str">
        <f>INDEX(Joined!$A$3:$M$2000, MATCH($A139, Joined!$I$3:$I$2000, FALSE), 7)</f>
        <v>VAV-4N-15</v>
      </c>
      <c r="D139">
        <f>INDEX(Joined!$A$3:$M$2000, MATCH($A139, Joined!$I$3:$I$2000, FALSE), 5)</f>
        <v>150708</v>
      </c>
      <c r="E139" t="str">
        <f>INDEX(Joined!$A$3:$M$2000, MATCH($A139, Joined!$I$3:$I$2000, FALSE), 7)</f>
        <v>VAV-4N-15</v>
      </c>
      <c r="F139" t="s">
        <v>38</v>
      </c>
      <c r="G139" t="str">
        <f>INDEX(Schedule!$Q$2:$R$7, MATCH(ABT!$H139,Schedule!$Q$2:$Q$7, 0), 2)</f>
        <v>15009_ADXR_VAV_DXRM10_Hum</v>
      </c>
      <c r="H139">
        <f>INDEX(Joined!$A$3:$M$2000, MATCH($A139, Joined!$I$3:$I$2000, FALSE), 6)</f>
        <v>15009</v>
      </c>
      <c r="I139" t="str">
        <f>INDEX(Joined!$A$3:$M$2000, MATCH($A139, Joined!$I$3:$I$2000, FALSE), 4)</f>
        <v>507</v>
      </c>
      <c r="J139" t="b">
        <v>0</v>
      </c>
      <c r="K139">
        <f>INDEX(Joined!$A$3:$M$2000, MATCH($A139, Joined!$I$3:$I$2000, FALSE), 3)</f>
        <v>8</v>
      </c>
      <c r="L139">
        <v>85</v>
      </c>
      <c r="M139">
        <v>38400</v>
      </c>
      <c r="N139" s="27">
        <f>PI()*(INDEX(Schedule!$A$1:$N$2000, MATCH($C139, VAV_Schedule_5_21[[#All],[UNIT TAG]], FALSE), 4)/2/12)^2</f>
        <v>0.19634954084936207</v>
      </c>
      <c r="O139" s="27">
        <f>INDEX(Schedule!$A$1:$N$2000, MATCH($C139, VAV_Schedule_5_21[[#All],[UNIT TAG]], FALSE), 4)</f>
        <v>6</v>
      </c>
      <c r="P139">
        <v>137.63</v>
      </c>
      <c r="Q139" s="27">
        <f>INDEX(Schedule!$A$1:$N$2000, MATCH($C139, VAV_Schedule_5_21[[#All],[UNIT TAG]], FALSE), 5)</f>
        <v>180</v>
      </c>
      <c r="R139" s="27">
        <f>INDEX(Schedule!$A$1:$N$2000, MATCH($C139, VAV_Schedule_5_21[[#All],[UNIT TAG]], FALSE), 6)</f>
        <v>0</v>
      </c>
      <c r="S139" s="27">
        <f>INDEX(Schedule!$A$1:$N$2000, MATCH($C139, VAV_Schedule_5_21[[#All],[UNIT TAG]], FALSE), 5)</f>
        <v>180</v>
      </c>
      <c r="T139" s="27">
        <f>INDEX(Schedule!$A$1:$N$2000, MATCH($C139, VAV_Schedule_5_21[[#All],[UNIT TAG]], FALSE), 6)</f>
        <v>0</v>
      </c>
      <c r="U139" s="27">
        <f>INDEX(Schedule!$A$1:$N$2000, MATCH($C139, VAV_Schedule_5_21[[#All],[UNIT TAG]], FALSE), 5)</f>
        <v>180</v>
      </c>
      <c r="V139" s="27">
        <f>INDEX(Schedule!$A$1:$N$2000, MATCH($C139, VAV_Schedule_5_21[[#All],[UNIT TAG]], FALSE), 6)</f>
        <v>0</v>
      </c>
      <c r="W139" s="27">
        <f>INDEX(Schedule!$A$1:$N$2000, MATCH($C139, VAV_Schedule_5_21[[#All],[UNIT TAG]], FALSE), 6)</f>
        <v>0</v>
      </c>
      <c r="X139" s="27">
        <f>INDEX(Schedule!$A$1:$N$2000, MATCH($C139, VAV_Schedule_5_21[[#All],[UNIT TAG]], FALSE), 6)</f>
        <v>0</v>
      </c>
      <c r="Y139" s="27">
        <f>INDEX(Schedule!$A$1:$N$2000, MATCH($C139, VAV_Schedule_5_21[[#All],[UNIT TAG]], FALSE), 6)</f>
        <v>0</v>
      </c>
      <c r="Z139" s="27">
        <f>INDEX(Schedule!$A$1:$N$2000, MATCH($C139, VAV_Schedule_5_21[[#All],[UNIT TAG]], FALSE), 6)</f>
        <v>0</v>
      </c>
      <c r="AA139" s="27">
        <v>1000</v>
      </c>
      <c r="AB139" s="27">
        <v>1100</v>
      </c>
      <c r="AC139">
        <v>1400</v>
      </c>
      <c r="AD139" s="29" t="str">
        <f>IF(INDEX(Schedule!$A$1:$N$2000, MATCH($C139, VAV_Schedule_5_21[[#All],[UNIT TAG]], FALSE), 7)="-", 0, INDEX(Schedule!$A$1:$N$2000, MATCH($C139, VAV_Schedule_5_21[[#All],[UNIT TAG]], FALSE), 7))</f>
        <v>3</v>
      </c>
      <c r="AE139" t="str">
        <f>"B_01'" &amp; "Flr_0" &amp; INDEX(Joined!$A$3:$M$2000, MATCH($A139, Joined!$I$3:$I$2000, FALSE), 8)</f>
        <v>B_01'Flr_04</v>
      </c>
      <c r="AF139" t="str">
        <f>"R_" &amp; INDEX(Joined!$A$3:$M$2000, MATCH($A139, Joined!$I$3:$I$2000, FALSE), 7)</f>
        <v>R_VAV-4N-15</v>
      </c>
      <c r="AG139" t="str">
        <f>"B_01'" &amp; "Flr_0" &amp; INDEX(Joined!$A$3:$M$2000, MATCH($A139, Joined!$I$3:$I$2000, FALSE), 8)</f>
        <v>B_01'Flr_04</v>
      </c>
      <c r="AH139" t="str">
        <f>INDEX(Joined!$A$3:$M$2000, MATCH($A139, Joined!$I$3:$I$2000, FALSE), 7)</f>
        <v>VAV-4N-15</v>
      </c>
      <c r="AI139" t="s">
        <v>973</v>
      </c>
    </row>
    <row r="140" spans="1:35" x14ac:dyDescent="0.2">
      <c r="A140" t="s">
        <v>696</v>
      </c>
      <c r="B140" t="str">
        <f>"B_01'" &amp; "Flr_0" &amp; INDEX(Joined!$A$3:$M$2000, MATCH($A140, Joined!$I$3:$I$2000, FALSE), 8)</f>
        <v>B_01'Flr_04</v>
      </c>
      <c r="C140" t="str">
        <f>INDEX(Joined!$A$3:$M$2000, MATCH($A140, Joined!$I$3:$I$2000, FALSE), 7)</f>
        <v>VAV-4N-15A</v>
      </c>
      <c r="D140">
        <f>INDEX(Joined!$A$3:$M$2000, MATCH($A140, Joined!$I$3:$I$2000, FALSE), 5)</f>
        <v>150709</v>
      </c>
      <c r="E140" t="str">
        <f>INDEX(Joined!$A$3:$M$2000, MATCH($A140, Joined!$I$3:$I$2000, FALSE), 7)</f>
        <v>VAV-4N-15A</v>
      </c>
      <c r="F140" t="s">
        <v>38</v>
      </c>
      <c r="G140" t="str">
        <f>INDEX(Schedule!$Q$2:$R$7, MATCH(ABT!$H140,Schedule!$Q$2:$Q$7, 0), 2)</f>
        <v>15006_ADXR_VAV_DXR2M10</v>
      </c>
      <c r="H140">
        <f>INDEX(Joined!$A$3:$M$2000, MATCH($A140, Joined!$I$3:$I$2000, FALSE), 6)</f>
        <v>15006</v>
      </c>
      <c r="I140" t="str">
        <f>INDEX(Joined!$A$3:$M$2000, MATCH($A140, Joined!$I$3:$I$2000, FALSE), 4)</f>
        <v>507</v>
      </c>
      <c r="J140" t="b">
        <v>0</v>
      </c>
      <c r="K140">
        <f>INDEX(Joined!$A$3:$M$2000, MATCH($A140, Joined!$I$3:$I$2000, FALSE), 3)</f>
        <v>9</v>
      </c>
      <c r="L140">
        <v>85</v>
      </c>
      <c r="M140">
        <v>38400</v>
      </c>
      <c r="N140" s="27">
        <f>PI()*(INDEX(Schedule!$A$1:$N$2000, MATCH($C140, VAV_Schedule_5_21[[#All],[UNIT TAG]], FALSE), 4)/2/12)^2</f>
        <v>0.3490658503988659</v>
      </c>
      <c r="O140" s="27">
        <f>INDEX(Schedule!$A$1:$N$2000, MATCH($C140, VAV_Schedule_5_21[[#All],[UNIT TAG]], FALSE), 4)</f>
        <v>8</v>
      </c>
      <c r="P140">
        <v>138.63</v>
      </c>
      <c r="Q140" s="27">
        <f>INDEX(Schedule!$A$1:$N$2000, MATCH($C140, VAV_Schedule_5_21[[#All],[UNIT TAG]], FALSE), 5)</f>
        <v>550</v>
      </c>
      <c r="R140" s="27">
        <f>INDEX(Schedule!$A$1:$N$2000, MATCH($C140, VAV_Schedule_5_21[[#All],[UNIT TAG]], FALSE), 6)</f>
        <v>110</v>
      </c>
      <c r="S140" s="27">
        <f>INDEX(Schedule!$A$1:$N$2000, MATCH($C140, VAV_Schedule_5_21[[#All],[UNIT TAG]], FALSE), 5)</f>
        <v>550</v>
      </c>
      <c r="T140" s="27">
        <f>INDEX(Schedule!$A$1:$N$2000, MATCH($C140, VAV_Schedule_5_21[[#All],[UNIT TAG]], FALSE), 6)</f>
        <v>110</v>
      </c>
      <c r="U140" s="27">
        <f>INDEX(Schedule!$A$1:$N$2000, MATCH($C140, VAV_Schedule_5_21[[#All],[UNIT TAG]], FALSE), 5)</f>
        <v>550</v>
      </c>
      <c r="V140" s="27">
        <f>INDEX(Schedule!$A$1:$N$2000, MATCH($C140, VAV_Schedule_5_21[[#All],[UNIT TAG]], FALSE), 6)</f>
        <v>110</v>
      </c>
      <c r="W140" s="27">
        <f>INDEX(Schedule!$A$1:$N$2000, MATCH($C140, VAV_Schedule_5_21[[#All],[UNIT TAG]], FALSE), 6)</f>
        <v>110</v>
      </c>
      <c r="X140" s="27">
        <f>INDEX(Schedule!$A$1:$N$2000, MATCH($C140, VAV_Schedule_5_21[[#All],[UNIT TAG]], FALSE), 6)</f>
        <v>110</v>
      </c>
      <c r="Y140" s="27">
        <f>INDEX(Schedule!$A$1:$N$2000, MATCH($C140, VAV_Schedule_5_21[[#All],[UNIT TAG]], FALSE), 6)</f>
        <v>110</v>
      </c>
      <c r="Z140" s="27">
        <f>INDEX(Schedule!$A$1:$N$2000, MATCH($C140, VAV_Schedule_5_21[[#All],[UNIT TAG]], FALSE), 6)</f>
        <v>110</v>
      </c>
      <c r="AA140" s="27">
        <v>1000</v>
      </c>
      <c r="AB140" s="27">
        <v>1100</v>
      </c>
      <c r="AC140">
        <v>1400</v>
      </c>
      <c r="AD140" s="29">
        <f>IF(INDEX(Schedule!$A$1:$N$2000, MATCH($C140, VAV_Schedule_5_21[[#All],[UNIT TAG]], FALSE), 7)="-", 0, INDEX(Schedule!$A$1:$N$2000, MATCH($C140, VAV_Schedule_5_21[[#All],[UNIT TAG]], FALSE), 7))</f>
        <v>0</v>
      </c>
      <c r="AE140" t="str">
        <f>"B_01'" &amp; "Flr_0" &amp; INDEX(Joined!$A$3:$M$2000, MATCH($A140, Joined!$I$3:$I$2000, FALSE), 8)</f>
        <v>B_01'Flr_04</v>
      </c>
      <c r="AF140" t="str">
        <f>"R_" &amp; INDEX(Joined!$A$3:$M$2000, MATCH($A140, Joined!$I$3:$I$2000, FALSE), 7)</f>
        <v>R_VAV-4N-15A</v>
      </c>
      <c r="AG140" t="str">
        <f>"B_01'" &amp; "Flr_0" &amp; INDEX(Joined!$A$3:$M$2000, MATCH($A140, Joined!$I$3:$I$2000, FALSE), 8)</f>
        <v>B_01'Flr_04</v>
      </c>
      <c r="AH140" t="str">
        <f>INDEX(Joined!$A$3:$M$2000, MATCH($A140, Joined!$I$3:$I$2000, FALSE), 7)</f>
        <v>VAV-4N-15A</v>
      </c>
      <c r="AI140" t="s">
        <v>935</v>
      </c>
    </row>
    <row r="141" spans="1:35" x14ac:dyDescent="0.2">
      <c r="A141" t="s">
        <v>530</v>
      </c>
      <c r="B141" t="str">
        <f>"B_01'" &amp; "Flr_0" &amp; INDEX(Joined!$A$3:$M$2000, MATCH($A141, Joined!$I$3:$I$2000, FALSE), 8)</f>
        <v>B_01'Flr_04</v>
      </c>
      <c r="C141" t="str">
        <f>INDEX(Joined!$A$3:$M$2000, MATCH($A141, Joined!$I$3:$I$2000, FALSE), 7)</f>
        <v>VAV-4N-16</v>
      </c>
      <c r="D141">
        <f>INDEX(Joined!$A$3:$M$2000, MATCH($A141, Joined!$I$3:$I$2000, FALSE), 5)</f>
        <v>150710</v>
      </c>
      <c r="E141" t="str">
        <f>INDEX(Joined!$A$3:$M$2000, MATCH($A141, Joined!$I$3:$I$2000, FALSE), 7)</f>
        <v>VAV-4N-16</v>
      </c>
      <c r="F141" t="s">
        <v>38</v>
      </c>
      <c r="G141" t="str">
        <f>INDEX(Schedule!$Q$2:$R$7, MATCH(ABT!$H141,Schedule!$Q$2:$Q$7, 0), 2)</f>
        <v>15009_ADXR_VAV_DXRM10_Hum</v>
      </c>
      <c r="H141">
        <f>INDEX(Joined!$A$3:$M$2000, MATCH($A141, Joined!$I$3:$I$2000, FALSE), 6)</f>
        <v>15009</v>
      </c>
      <c r="I141" t="str">
        <f>INDEX(Joined!$A$3:$M$2000, MATCH($A141, Joined!$I$3:$I$2000, FALSE), 4)</f>
        <v>507</v>
      </c>
      <c r="J141" t="b">
        <v>0</v>
      </c>
      <c r="K141">
        <f>INDEX(Joined!$A$3:$M$2000, MATCH($A141, Joined!$I$3:$I$2000, FALSE), 3)</f>
        <v>10</v>
      </c>
      <c r="L141">
        <v>85</v>
      </c>
      <c r="M141">
        <v>38400</v>
      </c>
      <c r="N141" s="27">
        <f>PI()*(INDEX(Schedule!$A$1:$N$2000, MATCH($C141, VAV_Schedule_5_21[[#All],[UNIT TAG]], FALSE), 4)/2/12)^2</f>
        <v>0.19634954084936207</v>
      </c>
      <c r="O141" s="27">
        <f>INDEX(Schedule!$A$1:$N$2000, MATCH($C141, VAV_Schedule_5_21[[#All],[UNIT TAG]], FALSE), 4)</f>
        <v>6</v>
      </c>
      <c r="P141">
        <v>139.63</v>
      </c>
      <c r="Q141" s="27">
        <f>INDEX(Schedule!$A$1:$N$2000, MATCH($C141, VAV_Schedule_5_21[[#All],[UNIT TAG]], FALSE), 5)</f>
        <v>180</v>
      </c>
      <c r="R141" s="27">
        <f>INDEX(Schedule!$A$1:$N$2000, MATCH($C141, VAV_Schedule_5_21[[#All],[UNIT TAG]], FALSE), 6)</f>
        <v>0</v>
      </c>
      <c r="S141" s="27">
        <f>INDEX(Schedule!$A$1:$N$2000, MATCH($C141, VAV_Schedule_5_21[[#All],[UNIT TAG]], FALSE), 5)</f>
        <v>180</v>
      </c>
      <c r="T141" s="27">
        <f>INDEX(Schedule!$A$1:$N$2000, MATCH($C141, VAV_Schedule_5_21[[#All],[UNIT TAG]], FALSE), 6)</f>
        <v>0</v>
      </c>
      <c r="U141" s="27">
        <f>INDEX(Schedule!$A$1:$N$2000, MATCH($C141, VAV_Schedule_5_21[[#All],[UNIT TAG]], FALSE), 5)</f>
        <v>180</v>
      </c>
      <c r="V141" s="27">
        <f>INDEX(Schedule!$A$1:$N$2000, MATCH($C141, VAV_Schedule_5_21[[#All],[UNIT TAG]], FALSE), 6)</f>
        <v>0</v>
      </c>
      <c r="W141" s="27">
        <f>INDEX(Schedule!$A$1:$N$2000, MATCH($C141, VAV_Schedule_5_21[[#All],[UNIT TAG]], FALSE), 6)</f>
        <v>0</v>
      </c>
      <c r="X141" s="27">
        <f>INDEX(Schedule!$A$1:$N$2000, MATCH($C141, VAV_Schedule_5_21[[#All],[UNIT TAG]], FALSE), 6)</f>
        <v>0</v>
      </c>
      <c r="Y141" s="27">
        <f>INDEX(Schedule!$A$1:$N$2000, MATCH($C141, VAV_Schedule_5_21[[#All],[UNIT TAG]], FALSE), 6)</f>
        <v>0</v>
      </c>
      <c r="Z141" s="27">
        <f>INDEX(Schedule!$A$1:$N$2000, MATCH($C141, VAV_Schedule_5_21[[#All],[UNIT TAG]], FALSE), 6)</f>
        <v>0</v>
      </c>
      <c r="AA141" s="27">
        <v>1000</v>
      </c>
      <c r="AB141" s="27">
        <v>1100</v>
      </c>
      <c r="AC141">
        <v>1400</v>
      </c>
      <c r="AD141" s="29" t="str">
        <f>IF(INDEX(Schedule!$A$1:$N$2000, MATCH($C141, VAV_Schedule_5_21[[#All],[UNIT TAG]], FALSE), 7)="-", 0, INDEX(Schedule!$A$1:$N$2000, MATCH($C141, VAV_Schedule_5_21[[#All],[UNIT TAG]], FALSE), 7))</f>
        <v>2</v>
      </c>
      <c r="AE141" t="str">
        <f>"B_01'" &amp; "Flr_0" &amp; INDEX(Joined!$A$3:$M$2000, MATCH($A141, Joined!$I$3:$I$2000, FALSE), 8)</f>
        <v>B_01'Flr_04</v>
      </c>
      <c r="AF141" t="str">
        <f>"R_" &amp; INDEX(Joined!$A$3:$M$2000, MATCH($A141, Joined!$I$3:$I$2000, FALSE), 7)</f>
        <v>R_VAV-4N-16</v>
      </c>
      <c r="AG141" t="str">
        <f>"B_01'" &amp; "Flr_0" &amp; INDEX(Joined!$A$3:$M$2000, MATCH($A141, Joined!$I$3:$I$2000, FALSE), 8)</f>
        <v>B_01'Flr_04</v>
      </c>
      <c r="AH141" t="str">
        <f>INDEX(Joined!$A$3:$M$2000, MATCH($A141, Joined!$I$3:$I$2000, FALSE), 7)</f>
        <v>VAV-4N-16</v>
      </c>
      <c r="AI141" t="s">
        <v>974</v>
      </c>
    </row>
    <row r="142" spans="1:35" x14ac:dyDescent="0.2">
      <c r="A142" t="s">
        <v>531</v>
      </c>
      <c r="B142" t="str">
        <f>"B_01'" &amp; "Flr_0" &amp; INDEX(Joined!$A$3:$M$2000, MATCH($A142, Joined!$I$3:$I$2000, FALSE), 8)</f>
        <v>B_01'Flr_04</v>
      </c>
      <c r="C142" t="str">
        <f>INDEX(Joined!$A$3:$M$2000, MATCH($A142, Joined!$I$3:$I$2000, FALSE), 7)</f>
        <v>VAV-4N-17</v>
      </c>
      <c r="D142">
        <f>INDEX(Joined!$A$3:$M$2000, MATCH($A142, Joined!$I$3:$I$2000, FALSE), 5)</f>
        <v>150711</v>
      </c>
      <c r="E142" t="str">
        <f>INDEX(Joined!$A$3:$M$2000, MATCH($A142, Joined!$I$3:$I$2000, FALSE), 7)</f>
        <v>VAV-4N-17</v>
      </c>
      <c r="F142" t="s">
        <v>38</v>
      </c>
      <c r="G142" t="str">
        <f>INDEX(Schedule!$Q$2:$R$7, MATCH(ABT!$H142,Schedule!$Q$2:$Q$7, 0), 2)</f>
        <v>15008_ADXR_VAV_DXRM10_Hum</v>
      </c>
      <c r="H142">
        <f>INDEX(Joined!$A$3:$M$2000, MATCH($A142, Joined!$I$3:$I$2000, FALSE), 6)</f>
        <v>15008</v>
      </c>
      <c r="I142" t="str">
        <f>INDEX(Joined!$A$3:$M$2000, MATCH($A142, Joined!$I$3:$I$2000, FALSE), 4)</f>
        <v>507</v>
      </c>
      <c r="J142" t="b">
        <v>0</v>
      </c>
      <c r="K142">
        <f>INDEX(Joined!$A$3:$M$2000, MATCH($A142, Joined!$I$3:$I$2000, FALSE), 3)</f>
        <v>11</v>
      </c>
      <c r="L142">
        <v>85</v>
      </c>
      <c r="M142">
        <v>38400</v>
      </c>
      <c r="N142" s="27">
        <f>PI()*(INDEX(Schedule!$A$1:$N$2000, MATCH($C142, VAV_Schedule_5_21[[#All],[UNIT TAG]], FALSE), 4)/2/12)^2</f>
        <v>0.19634954084936207</v>
      </c>
      <c r="O142" s="27">
        <f>INDEX(Schedule!$A$1:$N$2000, MATCH($C142, VAV_Schedule_5_21[[#All],[UNIT TAG]], FALSE), 4)</f>
        <v>6</v>
      </c>
      <c r="P142">
        <v>140.63</v>
      </c>
      <c r="Q142" s="27">
        <f>INDEX(Schedule!$A$1:$N$2000, MATCH($C142, VAV_Schedule_5_21[[#All],[UNIT TAG]], FALSE), 5)</f>
        <v>280</v>
      </c>
      <c r="R142" s="27">
        <f>INDEX(Schedule!$A$1:$N$2000, MATCH($C142, VAV_Schedule_5_21[[#All],[UNIT TAG]], FALSE), 6)</f>
        <v>0</v>
      </c>
      <c r="S142" s="27">
        <f>INDEX(Schedule!$A$1:$N$2000, MATCH($C142, VAV_Schedule_5_21[[#All],[UNIT TAG]], FALSE), 5)</f>
        <v>280</v>
      </c>
      <c r="T142" s="27">
        <f>INDEX(Schedule!$A$1:$N$2000, MATCH($C142, VAV_Schedule_5_21[[#All],[UNIT TAG]], FALSE), 6)</f>
        <v>0</v>
      </c>
      <c r="U142" s="27">
        <f>INDEX(Schedule!$A$1:$N$2000, MATCH($C142, VAV_Schedule_5_21[[#All],[UNIT TAG]], FALSE), 5)</f>
        <v>280</v>
      </c>
      <c r="V142" s="27">
        <f>INDEX(Schedule!$A$1:$N$2000, MATCH($C142, VAV_Schedule_5_21[[#All],[UNIT TAG]], FALSE), 6)</f>
        <v>0</v>
      </c>
      <c r="W142" s="27">
        <f>INDEX(Schedule!$A$1:$N$2000, MATCH($C142, VAV_Schedule_5_21[[#All],[UNIT TAG]], FALSE), 6)</f>
        <v>0</v>
      </c>
      <c r="X142" s="27">
        <f>INDEX(Schedule!$A$1:$N$2000, MATCH($C142, VAV_Schedule_5_21[[#All],[UNIT TAG]], FALSE), 6)</f>
        <v>0</v>
      </c>
      <c r="Y142" s="27">
        <f>INDEX(Schedule!$A$1:$N$2000, MATCH($C142, VAV_Schedule_5_21[[#All],[UNIT TAG]], FALSE), 6)</f>
        <v>0</v>
      </c>
      <c r="Z142" s="27">
        <f>INDEX(Schedule!$A$1:$N$2000, MATCH($C142, VAV_Schedule_5_21[[#All],[UNIT TAG]], FALSE), 6)</f>
        <v>0</v>
      </c>
      <c r="AA142" s="27">
        <v>1000</v>
      </c>
      <c r="AB142" s="27">
        <v>1100</v>
      </c>
      <c r="AC142">
        <v>1400</v>
      </c>
      <c r="AD142" s="29">
        <f>IF(INDEX(Schedule!$A$1:$N$2000, MATCH($C142, VAV_Schedule_5_21[[#All],[UNIT TAG]], FALSE), 7)="-", 0, INDEX(Schedule!$A$1:$N$2000, MATCH($C142, VAV_Schedule_5_21[[#All],[UNIT TAG]], FALSE), 7))</f>
        <v>0</v>
      </c>
      <c r="AE142" t="str">
        <f>"B_01'" &amp; "Flr_0" &amp; INDEX(Joined!$A$3:$M$2000, MATCH($A142, Joined!$I$3:$I$2000, FALSE), 8)</f>
        <v>B_01'Flr_04</v>
      </c>
      <c r="AF142" t="str">
        <f>"R_" &amp; INDEX(Joined!$A$3:$M$2000, MATCH($A142, Joined!$I$3:$I$2000, FALSE), 7)</f>
        <v>R_VAV-4N-17</v>
      </c>
      <c r="AG142" t="str">
        <f>"B_01'" &amp; "Flr_0" &amp; INDEX(Joined!$A$3:$M$2000, MATCH($A142, Joined!$I$3:$I$2000, FALSE), 8)</f>
        <v>B_01'Flr_04</v>
      </c>
      <c r="AH142" t="str">
        <f>INDEX(Joined!$A$3:$M$2000, MATCH($A142, Joined!$I$3:$I$2000, FALSE), 7)</f>
        <v>VAV-4N-17</v>
      </c>
      <c r="AI142" t="s">
        <v>963</v>
      </c>
    </row>
    <row r="143" spans="1:35" x14ac:dyDescent="0.2">
      <c r="A143" t="s">
        <v>532</v>
      </c>
      <c r="B143" t="str">
        <f>"B_01'" &amp; "Flr_0" &amp; INDEX(Joined!$A$3:$M$2000, MATCH($A143, Joined!$I$3:$I$2000, FALSE), 8)</f>
        <v>B_01'Flr_04</v>
      </c>
      <c r="C143" t="str">
        <f>INDEX(Joined!$A$3:$M$2000, MATCH($A143, Joined!$I$3:$I$2000, FALSE), 7)</f>
        <v>VAV-4N-18</v>
      </c>
      <c r="D143">
        <f>INDEX(Joined!$A$3:$M$2000, MATCH($A143, Joined!$I$3:$I$2000, FALSE), 5)</f>
        <v>150712</v>
      </c>
      <c r="E143" t="str">
        <f>INDEX(Joined!$A$3:$M$2000, MATCH($A143, Joined!$I$3:$I$2000, FALSE), 7)</f>
        <v>VAV-4N-18</v>
      </c>
      <c r="F143" t="s">
        <v>38</v>
      </c>
      <c r="G143" t="str">
        <f>INDEX(Schedule!$Q$2:$R$7, MATCH(ABT!$H143,Schedule!$Q$2:$Q$7, 0), 2)</f>
        <v>15006_ADXR_VAV_DXR2M10</v>
      </c>
      <c r="H143">
        <f>INDEX(Joined!$A$3:$M$2000, MATCH($A143, Joined!$I$3:$I$2000, FALSE), 6)</f>
        <v>15006</v>
      </c>
      <c r="I143" t="str">
        <f>INDEX(Joined!$A$3:$M$2000, MATCH($A143, Joined!$I$3:$I$2000, FALSE), 4)</f>
        <v>507</v>
      </c>
      <c r="J143" t="b">
        <v>0</v>
      </c>
      <c r="K143">
        <f>INDEX(Joined!$A$3:$M$2000, MATCH($A143, Joined!$I$3:$I$2000, FALSE), 3)</f>
        <v>12</v>
      </c>
      <c r="L143">
        <v>85</v>
      </c>
      <c r="M143">
        <v>38400</v>
      </c>
      <c r="N143" s="27">
        <f>PI()*(INDEX(Schedule!$A$1:$N$2000, MATCH($C143, VAV_Schedule_5_21[[#All],[UNIT TAG]], FALSE), 4)/2/12)^2</f>
        <v>0.78539816339744828</v>
      </c>
      <c r="O143" s="27">
        <f>INDEX(Schedule!$A$1:$N$2000, MATCH($C143, VAV_Schedule_5_21[[#All],[UNIT TAG]], FALSE), 4)</f>
        <v>12</v>
      </c>
      <c r="P143">
        <v>141.63</v>
      </c>
      <c r="Q143" s="27">
        <f>INDEX(Schedule!$A$1:$N$2000, MATCH($C143, VAV_Schedule_5_21[[#All],[UNIT TAG]], FALSE), 5)</f>
        <v>1.2</v>
      </c>
      <c r="R143" s="27">
        <f>INDEX(Schedule!$A$1:$N$2000, MATCH($C143, VAV_Schedule_5_21[[#All],[UNIT TAG]], FALSE), 6)</f>
        <v>240</v>
      </c>
      <c r="S143" s="27">
        <f>INDEX(Schedule!$A$1:$N$2000, MATCH($C143, VAV_Schedule_5_21[[#All],[UNIT TAG]], FALSE), 5)</f>
        <v>1.2</v>
      </c>
      <c r="T143" s="27">
        <f>INDEX(Schedule!$A$1:$N$2000, MATCH($C143, VAV_Schedule_5_21[[#All],[UNIT TAG]], FALSE), 6)</f>
        <v>240</v>
      </c>
      <c r="U143" s="27">
        <f>INDEX(Schedule!$A$1:$N$2000, MATCH($C143, VAV_Schedule_5_21[[#All],[UNIT TAG]], FALSE), 5)</f>
        <v>1.2</v>
      </c>
      <c r="V143" s="27">
        <f>INDEX(Schedule!$A$1:$N$2000, MATCH($C143, VAV_Schedule_5_21[[#All],[UNIT TAG]], FALSE), 6)</f>
        <v>240</v>
      </c>
      <c r="W143" s="27">
        <f>INDEX(Schedule!$A$1:$N$2000, MATCH($C143, VAV_Schedule_5_21[[#All],[UNIT TAG]], FALSE), 6)</f>
        <v>240</v>
      </c>
      <c r="X143" s="27">
        <f>INDEX(Schedule!$A$1:$N$2000, MATCH($C143, VAV_Schedule_5_21[[#All],[UNIT TAG]], FALSE), 6)</f>
        <v>240</v>
      </c>
      <c r="Y143" s="27">
        <f>INDEX(Schedule!$A$1:$N$2000, MATCH($C143, VAV_Schedule_5_21[[#All],[UNIT TAG]], FALSE), 6)</f>
        <v>240</v>
      </c>
      <c r="Z143" s="27">
        <f>INDEX(Schedule!$A$1:$N$2000, MATCH($C143, VAV_Schedule_5_21[[#All],[UNIT TAG]], FALSE), 6)</f>
        <v>240</v>
      </c>
      <c r="AA143" s="27">
        <v>1000</v>
      </c>
      <c r="AB143" s="27">
        <v>1100</v>
      </c>
      <c r="AC143">
        <v>1400</v>
      </c>
      <c r="AD143" s="29">
        <f>IF(INDEX(Schedule!$A$1:$N$2000, MATCH($C143, VAV_Schedule_5_21[[#All],[UNIT TAG]], FALSE), 7)="-", 0, INDEX(Schedule!$A$1:$N$2000, MATCH($C143, VAV_Schedule_5_21[[#All],[UNIT TAG]], FALSE), 7))</f>
        <v>0</v>
      </c>
      <c r="AE143" t="str">
        <f>"B_01'" &amp; "Flr_0" &amp; INDEX(Joined!$A$3:$M$2000, MATCH($A143, Joined!$I$3:$I$2000, FALSE), 8)</f>
        <v>B_01'Flr_04</v>
      </c>
      <c r="AF143" t="str">
        <f>"R_" &amp; INDEX(Joined!$A$3:$M$2000, MATCH($A143, Joined!$I$3:$I$2000, FALSE), 7)</f>
        <v>R_VAV-4N-18</v>
      </c>
      <c r="AG143" t="str">
        <f>"B_01'" &amp; "Flr_0" &amp; INDEX(Joined!$A$3:$M$2000, MATCH($A143, Joined!$I$3:$I$2000, FALSE), 8)</f>
        <v>B_01'Flr_04</v>
      </c>
      <c r="AH143" t="str">
        <f>INDEX(Joined!$A$3:$M$2000, MATCH($A143, Joined!$I$3:$I$2000, FALSE), 7)</f>
        <v>VAV-4N-18</v>
      </c>
      <c r="AI143" t="s">
        <v>936</v>
      </c>
    </row>
    <row r="144" spans="1:35" x14ac:dyDescent="0.2">
      <c r="A144" t="s">
        <v>533</v>
      </c>
      <c r="B144" t="str">
        <f>"B_01'" &amp; "Flr_0" &amp; INDEX(Joined!$A$3:$M$2000, MATCH($A144, Joined!$I$3:$I$2000, FALSE), 8)</f>
        <v>B_01'Flr_04</v>
      </c>
      <c r="C144" t="str">
        <f>INDEX(Joined!$A$3:$M$2000, MATCH($A144, Joined!$I$3:$I$2000, FALSE), 7)</f>
        <v>VAV-4N-19</v>
      </c>
      <c r="D144">
        <f>INDEX(Joined!$A$3:$M$2000, MATCH($A144, Joined!$I$3:$I$2000, FALSE), 5)</f>
        <v>150713</v>
      </c>
      <c r="E144" t="str">
        <f>INDEX(Joined!$A$3:$M$2000, MATCH($A144, Joined!$I$3:$I$2000, FALSE), 7)</f>
        <v>VAV-4N-19</v>
      </c>
      <c r="F144" t="s">
        <v>38</v>
      </c>
      <c r="G144" t="str">
        <f>INDEX(Schedule!$Q$2:$R$7, MATCH(ABT!$H144,Schedule!$Q$2:$Q$7, 0), 2)</f>
        <v>15009_ADXR_VAV_DXRM10_Hum</v>
      </c>
      <c r="H144">
        <f>INDEX(Joined!$A$3:$M$2000, MATCH($A144, Joined!$I$3:$I$2000, FALSE), 6)</f>
        <v>15009</v>
      </c>
      <c r="I144" t="str">
        <f>INDEX(Joined!$A$3:$M$2000, MATCH($A144, Joined!$I$3:$I$2000, FALSE), 4)</f>
        <v>507</v>
      </c>
      <c r="J144" t="b">
        <v>0</v>
      </c>
      <c r="K144">
        <f>INDEX(Joined!$A$3:$M$2000, MATCH($A144, Joined!$I$3:$I$2000, FALSE), 3)</f>
        <v>13</v>
      </c>
      <c r="L144">
        <v>85</v>
      </c>
      <c r="M144">
        <v>38400</v>
      </c>
      <c r="N144" s="27">
        <f>PI()*(INDEX(Schedule!$A$1:$N$2000, MATCH($C144, VAV_Schedule_5_21[[#All],[UNIT TAG]], FALSE), 4)/2/12)^2</f>
        <v>0.54541539124822802</v>
      </c>
      <c r="O144" s="27">
        <f>INDEX(Schedule!$A$1:$N$2000, MATCH($C144, VAV_Schedule_5_21[[#All],[UNIT TAG]], FALSE), 4)</f>
        <v>10</v>
      </c>
      <c r="P144">
        <v>142.63</v>
      </c>
      <c r="Q144" s="27">
        <f>INDEX(Schedule!$A$1:$N$2000, MATCH($C144, VAV_Schedule_5_21[[#All],[UNIT TAG]], FALSE), 5)</f>
        <v>800</v>
      </c>
      <c r="R144" s="27">
        <f>INDEX(Schedule!$A$1:$N$2000, MATCH($C144, VAV_Schedule_5_21[[#All],[UNIT TAG]], FALSE), 6)</f>
        <v>0</v>
      </c>
      <c r="S144" s="27">
        <f>INDEX(Schedule!$A$1:$N$2000, MATCH($C144, VAV_Schedule_5_21[[#All],[UNIT TAG]], FALSE), 5)</f>
        <v>800</v>
      </c>
      <c r="T144" s="27">
        <f>INDEX(Schedule!$A$1:$N$2000, MATCH($C144, VAV_Schedule_5_21[[#All],[UNIT TAG]], FALSE), 6)</f>
        <v>0</v>
      </c>
      <c r="U144" s="27">
        <f>INDEX(Schedule!$A$1:$N$2000, MATCH($C144, VAV_Schedule_5_21[[#All],[UNIT TAG]], FALSE), 5)</f>
        <v>800</v>
      </c>
      <c r="V144" s="27">
        <f>INDEX(Schedule!$A$1:$N$2000, MATCH($C144, VAV_Schedule_5_21[[#All],[UNIT TAG]], FALSE), 6)</f>
        <v>0</v>
      </c>
      <c r="W144" s="27">
        <f>INDEX(Schedule!$A$1:$N$2000, MATCH($C144, VAV_Schedule_5_21[[#All],[UNIT TAG]], FALSE), 6)</f>
        <v>0</v>
      </c>
      <c r="X144" s="27">
        <f>INDEX(Schedule!$A$1:$N$2000, MATCH($C144, VAV_Schedule_5_21[[#All],[UNIT TAG]], FALSE), 6)</f>
        <v>0</v>
      </c>
      <c r="Y144" s="27">
        <f>INDEX(Schedule!$A$1:$N$2000, MATCH($C144, VAV_Schedule_5_21[[#All],[UNIT TAG]], FALSE), 6)</f>
        <v>0</v>
      </c>
      <c r="Z144" s="27">
        <f>INDEX(Schedule!$A$1:$N$2000, MATCH($C144, VAV_Schedule_5_21[[#All],[UNIT TAG]], FALSE), 6)</f>
        <v>0</v>
      </c>
      <c r="AA144" s="27">
        <v>1000</v>
      </c>
      <c r="AB144" s="27">
        <v>1100</v>
      </c>
      <c r="AC144">
        <v>1400</v>
      </c>
      <c r="AD144" s="29" t="str">
        <f>IF(INDEX(Schedule!$A$1:$N$2000, MATCH($C144, VAV_Schedule_5_21[[#All],[UNIT TAG]], FALSE), 7)="-", 0, INDEX(Schedule!$A$1:$N$2000, MATCH($C144, VAV_Schedule_5_21[[#All],[UNIT TAG]], FALSE), 7))</f>
        <v>3</v>
      </c>
      <c r="AE144" t="str">
        <f>"B_01'" &amp; "Flr_0" &amp; INDEX(Joined!$A$3:$M$2000, MATCH($A144, Joined!$I$3:$I$2000, FALSE), 8)</f>
        <v>B_01'Flr_04</v>
      </c>
      <c r="AF144" t="str">
        <f>"R_" &amp; INDEX(Joined!$A$3:$M$2000, MATCH($A144, Joined!$I$3:$I$2000, FALSE), 7)</f>
        <v>R_VAV-4N-19</v>
      </c>
      <c r="AG144" t="str">
        <f>"B_01'" &amp; "Flr_0" &amp; INDEX(Joined!$A$3:$M$2000, MATCH($A144, Joined!$I$3:$I$2000, FALSE), 8)</f>
        <v>B_01'Flr_04</v>
      </c>
      <c r="AH144" t="str">
        <f>INDEX(Joined!$A$3:$M$2000, MATCH($A144, Joined!$I$3:$I$2000, FALSE), 7)</f>
        <v>VAV-4N-19</v>
      </c>
      <c r="AI144" t="s">
        <v>975</v>
      </c>
    </row>
    <row r="145" spans="1:35" x14ac:dyDescent="0.2">
      <c r="A145" t="s">
        <v>534</v>
      </c>
      <c r="B145" t="str">
        <f>"B_01'" &amp; "Flr_0" &amp; INDEX(Joined!$A$3:$M$2000, MATCH($A145, Joined!$I$3:$I$2000, FALSE), 8)</f>
        <v>B_01'Flr_04</v>
      </c>
      <c r="C145" t="str">
        <f>INDEX(Joined!$A$3:$M$2000, MATCH($A145, Joined!$I$3:$I$2000, FALSE), 7)</f>
        <v>VAV-4N-20</v>
      </c>
      <c r="D145">
        <f>INDEX(Joined!$A$3:$M$2000, MATCH($A145, Joined!$I$3:$I$2000, FALSE), 5)</f>
        <v>150714</v>
      </c>
      <c r="E145" t="str">
        <f>INDEX(Joined!$A$3:$M$2000, MATCH($A145, Joined!$I$3:$I$2000, FALSE), 7)</f>
        <v>VAV-4N-20</v>
      </c>
      <c r="F145" t="s">
        <v>38</v>
      </c>
      <c r="G145" t="str">
        <f>INDEX(Schedule!$Q$2:$R$7, MATCH(ABT!$H145,Schedule!$Q$2:$Q$7, 0), 2)</f>
        <v>15006_ADXR_VAV_DXR2M10</v>
      </c>
      <c r="H145">
        <f>INDEX(Joined!$A$3:$M$2000, MATCH($A145, Joined!$I$3:$I$2000, FALSE), 6)</f>
        <v>15006</v>
      </c>
      <c r="I145" t="str">
        <f>INDEX(Joined!$A$3:$M$2000, MATCH($A145, Joined!$I$3:$I$2000, FALSE), 4)</f>
        <v>507</v>
      </c>
      <c r="J145" t="b">
        <v>0</v>
      </c>
      <c r="K145">
        <f>INDEX(Joined!$A$3:$M$2000, MATCH($A145, Joined!$I$3:$I$2000, FALSE), 3)</f>
        <v>14</v>
      </c>
      <c r="L145">
        <v>85</v>
      </c>
      <c r="M145">
        <v>38400</v>
      </c>
      <c r="N145" s="27">
        <f>PI()*(INDEX(Schedule!$A$1:$N$2000, MATCH($C145, VAV_Schedule_5_21[[#All],[UNIT TAG]], FALSE), 4)/2/12)^2</f>
        <v>0.54541539124822802</v>
      </c>
      <c r="O145" s="27">
        <f>INDEX(Schedule!$A$1:$N$2000, MATCH($C145, VAV_Schedule_5_21[[#All],[UNIT TAG]], FALSE), 4)</f>
        <v>10</v>
      </c>
      <c r="P145">
        <v>143.63</v>
      </c>
      <c r="Q145" s="27">
        <f>INDEX(Schedule!$A$1:$N$2000, MATCH($C145, VAV_Schedule_5_21[[#All],[UNIT TAG]], FALSE), 5)</f>
        <v>1.1000000000000001</v>
      </c>
      <c r="R145" s="27">
        <f>INDEX(Schedule!$A$1:$N$2000, MATCH($C145, VAV_Schedule_5_21[[#All],[UNIT TAG]], FALSE), 6)</f>
        <v>220</v>
      </c>
      <c r="S145" s="27">
        <f>INDEX(Schedule!$A$1:$N$2000, MATCH($C145, VAV_Schedule_5_21[[#All],[UNIT TAG]], FALSE), 5)</f>
        <v>1.1000000000000001</v>
      </c>
      <c r="T145" s="27">
        <f>INDEX(Schedule!$A$1:$N$2000, MATCH($C145, VAV_Schedule_5_21[[#All],[UNIT TAG]], FALSE), 6)</f>
        <v>220</v>
      </c>
      <c r="U145" s="27">
        <f>INDEX(Schedule!$A$1:$N$2000, MATCH($C145, VAV_Schedule_5_21[[#All],[UNIT TAG]], FALSE), 5)</f>
        <v>1.1000000000000001</v>
      </c>
      <c r="V145" s="27">
        <f>INDEX(Schedule!$A$1:$N$2000, MATCH($C145, VAV_Schedule_5_21[[#All],[UNIT TAG]], FALSE), 6)</f>
        <v>220</v>
      </c>
      <c r="W145" s="27">
        <f>INDEX(Schedule!$A$1:$N$2000, MATCH($C145, VAV_Schedule_5_21[[#All],[UNIT TAG]], FALSE), 6)</f>
        <v>220</v>
      </c>
      <c r="X145" s="27">
        <f>INDEX(Schedule!$A$1:$N$2000, MATCH($C145, VAV_Schedule_5_21[[#All],[UNIT TAG]], FALSE), 6)</f>
        <v>220</v>
      </c>
      <c r="Y145" s="27">
        <f>INDEX(Schedule!$A$1:$N$2000, MATCH($C145, VAV_Schedule_5_21[[#All],[UNIT TAG]], FALSE), 6)</f>
        <v>220</v>
      </c>
      <c r="Z145" s="27">
        <f>INDEX(Schedule!$A$1:$N$2000, MATCH($C145, VAV_Schedule_5_21[[#All],[UNIT TAG]], FALSE), 6)</f>
        <v>220</v>
      </c>
      <c r="AA145" s="27">
        <v>1000</v>
      </c>
      <c r="AB145" s="27">
        <v>1100</v>
      </c>
      <c r="AC145">
        <v>1400</v>
      </c>
      <c r="AD145" s="29">
        <f>IF(INDEX(Schedule!$A$1:$N$2000, MATCH($C145, VAV_Schedule_5_21[[#All],[UNIT TAG]], FALSE), 7)="-", 0, INDEX(Schedule!$A$1:$N$2000, MATCH($C145, VAV_Schedule_5_21[[#All],[UNIT TAG]], FALSE), 7))</f>
        <v>0</v>
      </c>
      <c r="AE145" t="str">
        <f>"B_01'" &amp; "Flr_0" &amp; INDEX(Joined!$A$3:$M$2000, MATCH($A145, Joined!$I$3:$I$2000, FALSE), 8)</f>
        <v>B_01'Flr_04</v>
      </c>
      <c r="AF145" t="str">
        <f>"R_" &amp; INDEX(Joined!$A$3:$M$2000, MATCH($A145, Joined!$I$3:$I$2000, FALSE), 7)</f>
        <v>R_VAV-4N-20</v>
      </c>
      <c r="AG145" t="str">
        <f>"B_01'" &amp; "Flr_0" &amp; INDEX(Joined!$A$3:$M$2000, MATCH($A145, Joined!$I$3:$I$2000, FALSE), 8)</f>
        <v>B_01'Flr_04</v>
      </c>
      <c r="AH145" t="str">
        <f>INDEX(Joined!$A$3:$M$2000, MATCH($A145, Joined!$I$3:$I$2000, FALSE), 7)</f>
        <v>VAV-4N-20</v>
      </c>
      <c r="AI145" t="s">
        <v>937</v>
      </c>
    </row>
    <row r="146" spans="1:35" x14ac:dyDescent="0.2">
      <c r="A146" t="s">
        <v>535</v>
      </c>
      <c r="B146" t="str">
        <f>"B_01'" &amp; "Flr_0" &amp; INDEX(Joined!$A$3:$M$2000, MATCH($A146, Joined!$I$3:$I$2000, FALSE), 8)</f>
        <v>B_01'Flr_04</v>
      </c>
      <c r="C146" t="str">
        <f>INDEX(Joined!$A$3:$M$2000, MATCH($A146, Joined!$I$3:$I$2000, FALSE), 7)</f>
        <v>VAV-4N-21</v>
      </c>
      <c r="D146">
        <f>INDEX(Joined!$A$3:$M$2000, MATCH($A146, Joined!$I$3:$I$2000, FALSE), 5)</f>
        <v>150715</v>
      </c>
      <c r="E146" t="str">
        <f>INDEX(Joined!$A$3:$M$2000, MATCH($A146, Joined!$I$3:$I$2000, FALSE), 7)</f>
        <v>VAV-4N-21</v>
      </c>
      <c r="F146" t="s">
        <v>38</v>
      </c>
      <c r="G146" t="str">
        <f>INDEX(Schedule!$Q$2:$R$7, MATCH(ABT!$H146,Schedule!$Q$2:$Q$7, 0), 2)</f>
        <v>15006_ADXR_VAV_DXR2M10</v>
      </c>
      <c r="H146">
        <f>INDEX(Joined!$A$3:$M$2000, MATCH($A146, Joined!$I$3:$I$2000, FALSE), 6)</f>
        <v>15006</v>
      </c>
      <c r="I146" t="str">
        <f>INDEX(Joined!$A$3:$M$2000, MATCH($A146, Joined!$I$3:$I$2000, FALSE), 4)</f>
        <v>507</v>
      </c>
      <c r="J146" t="b">
        <v>0</v>
      </c>
      <c r="K146">
        <f>INDEX(Joined!$A$3:$M$2000, MATCH($A146, Joined!$I$3:$I$2000, FALSE), 3)</f>
        <v>15</v>
      </c>
      <c r="L146">
        <v>85</v>
      </c>
      <c r="M146">
        <v>38400</v>
      </c>
      <c r="N146" s="27">
        <f>PI()*(INDEX(Schedule!$A$1:$N$2000, MATCH($C146, VAV_Schedule_5_21[[#All],[UNIT TAG]], FALSE), 4)/2/12)^2</f>
        <v>0.54541539124822802</v>
      </c>
      <c r="O146" s="27">
        <f>INDEX(Schedule!$A$1:$N$2000, MATCH($C146, VAV_Schedule_5_21[[#All],[UNIT TAG]], FALSE), 4)</f>
        <v>10</v>
      </c>
      <c r="P146">
        <v>144.63</v>
      </c>
      <c r="Q146" s="27">
        <f>INDEX(Schedule!$A$1:$N$2000, MATCH($C146, VAV_Schedule_5_21[[#All],[UNIT TAG]], FALSE), 5)</f>
        <v>945</v>
      </c>
      <c r="R146" s="27">
        <f>INDEX(Schedule!$A$1:$N$2000, MATCH($C146, VAV_Schedule_5_21[[#All],[UNIT TAG]], FALSE), 6)</f>
        <v>190</v>
      </c>
      <c r="S146" s="27">
        <f>INDEX(Schedule!$A$1:$N$2000, MATCH($C146, VAV_Schedule_5_21[[#All],[UNIT TAG]], FALSE), 5)</f>
        <v>945</v>
      </c>
      <c r="T146" s="27">
        <f>INDEX(Schedule!$A$1:$N$2000, MATCH($C146, VAV_Schedule_5_21[[#All],[UNIT TAG]], FALSE), 6)</f>
        <v>190</v>
      </c>
      <c r="U146" s="27">
        <f>INDEX(Schedule!$A$1:$N$2000, MATCH($C146, VAV_Schedule_5_21[[#All],[UNIT TAG]], FALSE), 5)</f>
        <v>945</v>
      </c>
      <c r="V146" s="27">
        <f>INDEX(Schedule!$A$1:$N$2000, MATCH($C146, VAV_Schedule_5_21[[#All],[UNIT TAG]], FALSE), 6)</f>
        <v>190</v>
      </c>
      <c r="W146" s="27">
        <f>INDEX(Schedule!$A$1:$N$2000, MATCH($C146, VAV_Schedule_5_21[[#All],[UNIT TAG]], FALSE), 6)</f>
        <v>190</v>
      </c>
      <c r="X146" s="27">
        <f>INDEX(Schedule!$A$1:$N$2000, MATCH($C146, VAV_Schedule_5_21[[#All],[UNIT TAG]], FALSE), 6)</f>
        <v>190</v>
      </c>
      <c r="Y146" s="27">
        <f>INDEX(Schedule!$A$1:$N$2000, MATCH($C146, VAV_Schedule_5_21[[#All],[UNIT TAG]], FALSE), 6)</f>
        <v>190</v>
      </c>
      <c r="Z146" s="27">
        <f>INDEX(Schedule!$A$1:$N$2000, MATCH($C146, VAV_Schedule_5_21[[#All],[UNIT TAG]], FALSE), 6)</f>
        <v>190</v>
      </c>
      <c r="AA146" s="27">
        <v>1000</v>
      </c>
      <c r="AB146" s="27">
        <v>1100</v>
      </c>
      <c r="AC146">
        <v>1400</v>
      </c>
      <c r="AD146" s="29">
        <f>IF(INDEX(Schedule!$A$1:$N$2000, MATCH($C146, VAV_Schedule_5_21[[#All],[UNIT TAG]], FALSE), 7)="-", 0, INDEX(Schedule!$A$1:$N$2000, MATCH($C146, VAV_Schedule_5_21[[#All],[UNIT TAG]], FALSE), 7))</f>
        <v>0</v>
      </c>
      <c r="AE146" t="str">
        <f>"B_01'" &amp; "Flr_0" &amp; INDEX(Joined!$A$3:$M$2000, MATCH($A146, Joined!$I$3:$I$2000, FALSE), 8)</f>
        <v>B_01'Flr_04</v>
      </c>
      <c r="AF146" t="str">
        <f>"R_" &amp; INDEX(Joined!$A$3:$M$2000, MATCH($A146, Joined!$I$3:$I$2000, FALSE), 7)</f>
        <v>R_VAV-4N-21</v>
      </c>
      <c r="AG146" t="str">
        <f>"B_01'" &amp; "Flr_0" &amp; INDEX(Joined!$A$3:$M$2000, MATCH($A146, Joined!$I$3:$I$2000, FALSE), 8)</f>
        <v>B_01'Flr_04</v>
      </c>
      <c r="AH146" t="str">
        <f>INDEX(Joined!$A$3:$M$2000, MATCH($A146, Joined!$I$3:$I$2000, FALSE), 7)</f>
        <v>VAV-4N-21</v>
      </c>
      <c r="AI146" t="s">
        <v>938</v>
      </c>
    </row>
    <row r="147" spans="1:35" x14ac:dyDescent="0.2">
      <c r="A147" t="s">
        <v>522</v>
      </c>
      <c r="B147" t="str">
        <f>"B_01'" &amp; "Flr_0" &amp; INDEX(Joined!$A$3:$M$2000, MATCH($A147, Joined!$I$3:$I$2000, FALSE), 8)</f>
        <v>B_01'Flr_04</v>
      </c>
      <c r="C147" t="str">
        <f>INDEX(Joined!$A$3:$M$2000, MATCH($A147, Joined!$I$3:$I$2000, FALSE), 7)</f>
        <v>VAV-4N-8</v>
      </c>
      <c r="D147">
        <f>INDEX(Joined!$A$3:$M$2000, MATCH($A147, Joined!$I$3:$I$2000, FALSE), 5)</f>
        <v>150701</v>
      </c>
      <c r="E147" t="str">
        <f>INDEX(Joined!$A$3:$M$2000, MATCH($A147, Joined!$I$3:$I$2000, FALSE), 7)</f>
        <v>VAV-4N-8</v>
      </c>
      <c r="F147" t="s">
        <v>38</v>
      </c>
      <c r="G147" t="str">
        <f>INDEX(Schedule!$Q$2:$R$7, MATCH(ABT!$H147,Schedule!$Q$2:$Q$7, 0), 2)</f>
        <v>15006_ADXR_VAV_DXR2M10</v>
      </c>
      <c r="H147">
        <f>INDEX(Joined!$A$3:$M$2000, MATCH($A147, Joined!$I$3:$I$2000, FALSE), 6)</f>
        <v>15006</v>
      </c>
      <c r="I147" t="str">
        <f>INDEX(Joined!$A$3:$M$2000, MATCH($A147, Joined!$I$3:$I$2000, FALSE), 4)</f>
        <v>507</v>
      </c>
      <c r="J147" t="b">
        <v>0</v>
      </c>
      <c r="K147">
        <f>INDEX(Joined!$A$3:$M$2000, MATCH($A147, Joined!$I$3:$I$2000, FALSE), 3)</f>
        <v>1</v>
      </c>
      <c r="L147">
        <v>85</v>
      </c>
      <c r="M147">
        <v>38400</v>
      </c>
      <c r="N147" s="27">
        <f>PI()*(INDEX(Schedule!$A$1:$N$2000, MATCH($C147, VAV_Schedule_5_21[[#All],[UNIT TAG]], FALSE), 4)/2/12)^2</f>
        <v>0.78539816339744828</v>
      </c>
      <c r="O147" s="27">
        <f>INDEX(Schedule!$A$1:$N$2000, MATCH($C147, VAV_Schedule_5_21[[#All],[UNIT TAG]], FALSE), 4)</f>
        <v>12</v>
      </c>
      <c r="P147">
        <v>145.63</v>
      </c>
      <c r="Q147" s="27">
        <f>INDEX(Schedule!$A$1:$N$2000, MATCH($C147, VAV_Schedule_5_21[[#All],[UNIT TAG]], FALSE), 5)</f>
        <v>1.1499999999999999</v>
      </c>
      <c r="R147" s="27">
        <f>INDEX(Schedule!$A$1:$N$2000, MATCH($C147, VAV_Schedule_5_21[[#All],[UNIT TAG]], FALSE), 6)</f>
        <v>230</v>
      </c>
      <c r="S147" s="27">
        <f>INDEX(Schedule!$A$1:$N$2000, MATCH($C147, VAV_Schedule_5_21[[#All],[UNIT TAG]], FALSE), 5)</f>
        <v>1.1499999999999999</v>
      </c>
      <c r="T147" s="27">
        <f>INDEX(Schedule!$A$1:$N$2000, MATCH($C147, VAV_Schedule_5_21[[#All],[UNIT TAG]], FALSE), 6)</f>
        <v>230</v>
      </c>
      <c r="U147" s="27">
        <f>INDEX(Schedule!$A$1:$N$2000, MATCH($C147, VAV_Schedule_5_21[[#All],[UNIT TAG]], FALSE), 5)</f>
        <v>1.1499999999999999</v>
      </c>
      <c r="V147" s="27">
        <f>INDEX(Schedule!$A$1:$N$2000, MATCH($C147, VAV_Schedule_5_21[[#All],[UNIT TAG]], FALSE), 6)</f>
        <v>230</v>
      </c>
      <c r="W147" s="27">
        <f>INDEX(Schedule!$A$1:$N$2000, MATCH($C147, VAV_Schedule_5_21[[#All],[UNIT TAG]], FALSE), 6)</f>
        <v>230</v>
      </c>
      <c r="X147" s="27">
        <f>INDEX(Schedule!$A$1:$N$2000, MATCH($C147, VAV_Schedule_5_21[[#All],[UNIT TAG]], FALSE), 6)</f>
        <v>230</v>
      </c>
      <c r="Y147" s="27">
        <f>INDEX(Schedule!$A$1:$N$2000, MATCH($C147, VAV_Schedule_5_21[[#All],[UNIT TAG]], FALSE), 6)</f>
        <v>230</v>
      </c>
      <c r="Z147" s="27">
        <f>INDEX(Schedule!$A$1:$N$2000, MATCH($C147, VAV_Schedule_5_21[[#All],[UNIT TAG]], FALSE), 6)</f>
        <v>230</v>
      </c>
      <c r="AA147" s="27">
        <v>1000</v>
      </c>
      <c r="AB147" s="27">
        <v>1100</v>
      </c>
      <c r="AC147">
        <v>1400</v>
      </c>
      <c r="AD147" s="29">
        <f>IF(INDEX(Schedule!$A$1:$N$2000, MATCH($C147, VAV_Schedule_5_21[[#All],[UNIT TAG]], FALSE), 7)="-", 0, INDEX(Schedule!$A$1:$N$2000, MATCH($C147, VAV_Schedule_5_21[[#All],[UNIT TAG]], FALSE), 7))</f>
        <v>0</v>
      </c>
      <c r="AE147" t="str">
        <f>"B_01'" &amp; "Flr_0" &amp; INDEX(Joined!$A$3:$M$2000, MATCH($A147, Joined!$I$3:$I$2000, FALSE), 8)</f>
        <v>B_01'Flr_04</v>
      </c>
      <c r="AF147" t="str">
        <f>"R_" &amp; INDEX(Joined!$A$3:$M$2000, MATCH($A147, Joined!$I$3:$I$2000, FALSE), 7)</f>
        <v>R_VAV-4N-8</v>
      </c>
      <c r="AG147" t="str">
        <f>"B_01'" &amp; "Flr_0" &amp; INDEX(Joined!$A$3:$M$2000, MATCH($A147, Joined!$I$3:$I$2000, FALSE), 8)</f>
        <v>B_01'Flr_04</v>
      </c>
      <c r="AH147" t="str">
        <f>INDEX(Joined!$A$3:$M$2000, MATCH($A147, Joined!$I$3:$I$2000, FALSE), 7)</f>
        <v>VAV-4N-8</v>
      </c>
      <c r="AI147" t="s">
        <v>939</v>
      </c>
    </row>
    <row r="148" spans="1:35" x14ac:dyDescent="0.2">
      <c r="A148" t="s">
        <v>523</v>
      </c>
      <c r="B148" t="str">
        <f>"B_01'" &amp; "Flr_0" &amp; INDEX(Joined!$A$3:$M$2000, MATCH($A148, Joined!$I$3:$I$2000, FALSE), 8)</f>
        <v>B_01'Flr_04</v>
      </c>
      <c r="C148" t="str">
        <f>INDEX(Joined!$A$3:$M$2000, MATCH($A148, Joined!$I$3:$I$2000, FALSE), 7)</f>
        <v>VAV-4N-9</v>
      </c>
      <c r="D148">
        <f>INDEX(Joined!$A$3:$M$2000, MATCH($A148, Joined!$I$3:$I$2000, FALSE), 5)</f>
        <v>150702</v>
      </c>
      <c r="E148" t="str">
        <f>INDEX(Joined!$A$3:$M$2000, MATCH($A148, Joined!$I$3:$I$2000, FALSE), 7)</f>
        <v>VAV-4N-9</v>
      </c>
      <c r="F148" t="s">
        <v>38</v>
      </c>
      <c r="G148" t="str">
        <f>INDEX(Schedule!$Q$2:$R$7, MATCH(ABT!$H148,Schedule!$Q$2:$Q$7, 0), 2)</f>
        <v>15008_ADXR_VAV_DXRM10_Hum</v>
      </c>
      <c r="H148">
        <f>INDEX(Joined!$A$3:$M$2000, MATCH($A148, Joined!$I$3:$I$2000, FALSE), 6)</f>
        <v>15008</v>
      </c>
      <c r="I148" t="str">
        <f>INDEX(Joined!$A$3:$M$2000, MATCH($A148, Joined!$I$3:$I$2000, FALSE), 4)</f>
        <v>507</v>
      </c>
      <c r="J148" t="b">
        <v>0</v>
      </c>
      <c r="K148">
        <f>INDEX(Joined!$A$3:$M$2000, MATCH($A148, Joined!$I$3:$I$2000, FALSE), 3)</f>
        <v>2</v>
      </c>
      <c r="L148">
        <v>85</v>
      </c>
      <c r="M148">
        <v>38400</v>
      </c>
      <c r="N148" s="27">
        <f>PI()*(INDEX(Schedule!$A$1:$N$2000, MATCH($C148, VAV_Schedule_5_21[[#All],[UNIT TAG]], FALSE), 4)/2/12)^2</f>
        <v>0.54541539124822802</v>
      </c>
      <c r="O148" s="27">
        <f>INDEX(Schedule!$A$1:$N$2000, MATCH($C148, VAV_Schedule_5_21[[#All],[UNIT TAG]], FALSE), 4)</f>
        <v>10</v>
      </c>
      <c r="P148">
        <v>146.63</v>
      </c>
      <c r="Q148" s="27">
        <f>INDEX(Schedule!$A$1:$N$2000, MATCH($C148, VAV_Schedule_5_21[[#All],[UNIT TAG]], FALSE), 5)</f>
        <v>1.07</v>
      </c>
      <c r="R148" s="27">
        <f>INDEX(Schedule!$A$1:$N$2000, MATCH($C148, VAV_Schedule_5_21[[#All],[UNIT TAG]], FALSE), 6)</f>
        <v>0</v>
      </c>
      <c r="S148" s="27">
        <f>INDEX(Schedule!$A$1:$N$2000, MATCH($C148, VAV_Schedule_5_21[[#All],[UNIT TAG]], FALSE), 5)</f>
        <v>1.07</v>
      </c>
      <c r="T148" s="27">
        <f>INDEX(Schedule!$A$1:$N$2000, MATCH($C148, VAV_Schedule_5_21[[#All],[UNIT TAG]], FALSE), 6)</f>
        <v>0</v>
      </c>
      <c r="U148" s="27">
        <f>INDEX(Schedule!$A$1:$N$2000, MATCH($C148, VAV_Schedule_5_21[[#All],[UNIT TAG]], FALSE), 5)</f>
        <v>1.07</v>
      </c>
      <c r="V148" s="27">
        <f>INDEX(Schedule!$A$1:$N$2000, MATCH($C148, VAV_Schedule_5_21[[#All],[UNIT TAG]], FALSE), 6)</f>
        <v>0</v>
      </c>
      <c r="W148" s="27">
        <f>INDEX(Schedule!$A$1:$N$2000, MATCH($C148, VAV_Schedule_5_21[[#All],[UNIT TAG]], FALSE), 6)</f>
        <v>0</v>
      </c>
      <c r="X148" s="27">
        <f>INDEX(Schedule!$A$1:$N$2000, MATCH($C148, VAV_Schedule_5_21[[#All],[UNIT TAG]], FALSE), 6)</f>
        <v>0</v>
      </c>
      <c r="Y148" s="27">
        <f>INDEX(Schedule!$A$1:$N$2000, MATCH($C148, VAV_Schedule_5_21[[#All],[UNIT TAG]], FALSE), 6)</f>
        <v>0</v>
      </c>
      <c r="Z148" s="27">
        <f>INDEX(Schedule!$A$1:$N$2000, MATCH($C148, VAV_Schedule_5_21[[#All],[UNIT TAG]], FALSE), 6)</f>
        <v>0</v>
      </c>
      <c r="AA148" s="27">
        <v>1000</v>
      </c>
      <c r="AB148" s="27">
        <v>1100</v>
      </c>
      <c r="AC148">
        <v>1400</v>
      </c>
      <c r="AD148" s="29">
        <f>IF(INDEX(Schedule!$A$1:$N$2000, MATCH($C148, VAV_Schedule_5_21[[#All],[UNIT TAG]], FALSE), 7)="-", 0, INDEX(Schedule!$A$1:$N$2000, MATCH($C148, VAV_Schedule_5_21[[#All],[UNIT TAG]], FALSE), 7))</f>
        <v>0</v>
      </c>
      <c r="AE148" t="str">
        <f>"B_01'" &amp; "Flr_0" &amp; INDEX(Joined!$A$3:$M$2000, MATCH($A148, Joined!$I$3:$I$2000, FALSE), 8)</f>
        <v>B_01'Flr_04</v>
      </c>
      <c r="AF148" t="str">
        <f>"R_" &amp; INDEX(Joined!$A$3:$M$2000, MATCH($A148, Joined!$I$3:$I$2000, FALSE), 7)</f>
        <v>R_VAV-4N-9</v>
      </c>
      <c r="AG148" t="str">
        <f>"B_01'" &amp; "Flr_0" &amp; INDEX(Joined!$A$3:$M$2000, MATCH($A148, Joined!$I$3:$I$2000, FALSE), 8)</f>
        <v>B_01'Flr_04</v>
      </c>
      <c r="AH148" t="str">
        <f>INDEX(Joined!$A$3:$M$2000, MATCH($A148, Joined!$I$3:$I$2000, FALSE), 7)</f>
        <v>VAV-4N-9</v>
      </c>
      <c r="AI148" t="s">
        <v>964</v>
      </c>
    </row>
    <row r="149" spans="1:35" x14ac:dyDescent="0.2">
      <c r="A149" t="s">
        <v>536</v>
      </c>
      <c r="B149" t="str">
        <f>"B_01'" &amp; "Flr_0" &amp; INDEX(Joined!$A$3:$M$2000, MATCH($A149, Joined!$I$3:$I$2000, FALSE), 8)</f>
        <v>B_01'Flr_04</v>
      </c>
      <c r="C149" t="str">
        <f>INDEX(Joined!$A$3:$M$2000, MATCH($A149, Joined!$I$3:$I$2000, FALSE), 7)</f>
        <v>VAV-4W-1</v>
      </c>
      <c r="D149">
        <f>INDEX(Joined!$A$3:$M$2000, MATCH($A149, Joined!$I$3:$I$2000, FALSE), 5)</f>
        <v>150901</v>
      </c>
      <c r="E149" t="str">
        <f>INDEX(Joined!$A$3:$M$2000, MATCH($A149, Joined!$I$3:$I$2000, FALSE), 7)</f>
        <v>VAV-4W-1</v>
      </c>
      <c r="F149" t="s">
        <v>38</v>
      </c>
      <c r="G149" t="str">
        <f>INDEX(Schedule!$Q$2:$R$7, MATCH(ABT!$H149,Schedule!$Q$2:$Q$7, 0), 2)</f>
        <v>15009_ADXR_VAV_DXRM10_Hum</v>
      </c>
      <c r="H149">
        <f>INDEX(Joined!$A$3:$M$2000, MATCH($A149, Joined!$I$3:$I$2000, FALSE), 6)</f>
        <v>15009</v>
      </c>
      <c r="I149" t="str">
        <f>INDEX(Joined!$A$3:$M$2000, MATCH($A149, Joined!$I$3:$I$2000, FALSE), 4)</f>
        <v>509</v>
      </c>
      <c r="J149" t="b">
        <v>0</v>
      </c>
      <c r="K149">
        <f>INDEX(Joined!$A$3:$M$2000, MATCH($A149, Joined!$I$3:$I$2000, FALSE), 3)</f>
        <v>1</v>
      </c>
      <c r="L149">
        <v>85</v>
      </c>
      <c r="M149">
        <v>38400</v>
      </c>
      <c r="N149" s="27">
        <f>PI()*(INDEX(Schedule!$A$1:$N$2000, MATCH($C149, VAV_Schedule_5_21[[#All],[UNIT TAG]], FALSE), 4)/2/12)^2</f>
        <v>0.3490658503988659</v>
      </c>
      <c r="O149" s="27">
        <f>INDEX(Schedule!$A$1:$N$2000, MATCH($C149, VAV_Schedule_5_21[[#All],[UNIT TAG]], FALSE), 4)</f>
        <v>8</v>
      </c>
      <c r="P149">
        <v>147.63</v>
      </c>
      <c r="Q149" s="27">
        <f>INDEX(Schedule!$A$1:$N$2000, MATCH($C149, VAV_Schedule_5_21[[#All],[UNIT TAG]], FALSE), 5)</f>
        <v>580</v>
      </c>
      <c r="R149" s="27">
        <f>INDEX(Schedule!$A$1:$N$2000, MATCH($C149, VAV_Schedule_5_21[[#All],[UNIT TAG]], FALSE), 6)</f>
        <v>0</v>
      </c>
      <c r="S149" s="27">
        <f>INDEX(Schedule!$A$1:$N$2000, MATCH($C149, VAV_Schedule_5_21[[#All],[UNIT TAG]], FALSE), 5)</f>
        <v>580</v>
      </c>
      <c r="T149" s="27">
        <f>INDEX(Schedule!$A$1:$N$2000, MATCH($C149, VAV_Schedule_5_21[[#All],[UNIT TAG]], FALSE), 6)</f>
        <v>0</v>
      </c>
      <c r="U149" s="27">
        <f>INDEX(Schedule!$A$1:$N$2000, MATCH($C149, VAV_Schedule_5_21[[#All],[UNIT TAG]], FALSE), 5)</f>
        <v>580</v>
      </c>
      <c r="V149" s="27">
        <f>INDEX(Schedule!$A$1:$N$2000, MATCH($C149, VAV_Schedule_5_21[[#All],[UNIT TAG]], FALSE), 6)</f>
        <v>0</v>
      </c>
      <c r="W149" s="27">
        <f>INDEX(Schedule!$A$1:$N$2000, MATCH($C149, VAV_Schedule_5_21[[#All],[UNIT TAG]], FALSE), 6)</f>
        <v>0</v>
      </c>
      <c r="X149" s="27">
        <f>INDEX(Schedule!$A$1:$N$2000, MATCH($C149, VAV_Schedule_5_21[[#All],[UNIT TAG]], FALSE), 6)</f>
        <v>0</v>
      </c>
      <c r="Y149" s="27">
        <f>INDEX(Schedule!$A$1:$N$2000, MATCH($C149, VAV_Schedule_5_21[[#All],[UNIT TAG]], FALSE), 6)</f>
        <v>0</v>
      </c>
      <c r="Z149" s="27">
        <f>INDEX(Schedule!$A$1:$N$2000, MATCH($C149, VAV_Schedule_5_21[[#All],[UNIT TAG]], FALSE), 6)</f>
        <v>0</v>
      </c>
      <c r="AA149" s="27">
        <v>1000</v>
      </c>
      <c r="AB149" s="27">
        <v>1100</v>
      </c>
      <c r="AC149">
        <v>1400</v>
      </c>
      <c r="AD149" s="29" t="str">
        <f>IF(INDEX(Schedule!$A$1:$N$2000, MATCH($C149, VAV_Schedule_5_21[[#All],[UNIT TAG]], FALSE), 7)="-", 0, INDEX(Schedule!$A$1:$N$2000, MATCH($C149, VAV_Schedule_5_21[[#All],[UNIT TAG]], FALSE), 7))</f>
        <v>5</v>
      </c>
      <c r="AE149" t="str">
        <f>"B_01'" &amp; "Flr_0" &amp; INDEX(Joined!$A$3:$M$2000, MATCH($A149, Joined!$I$3:$I$2000, FALSE), 8)</f>
        <v>B_01'Flr_04</v>
      </c>
      <c r="AF149" t="str">
        <f>"R_" &amp; INDEX(Joined!$A$3:$M$2000, MATCH($A149, Joined!$I$3:$I$2000, FALSE), 7)</f>
        <v>R_VAV-4W-1</v>
      </c>
      <c r="AG149" t="str">
        <f>"B_01'" &amp; "Flr_0" &amp; INDEX(Joined!$A$3:$M$2000, MATCH($A149, Joined!$I$3:$I$2000, FALSE), 8)</f>
        <v>B_01'Flr_04</v>
      </c>
      <c r="AH149" t="str">
        <f>INDEX(Joined!$A$3:$M$2000, MATCH($A149, Joined!$I$3:$I$2000, FALSE), 7)</f>
        <v>VAV-4W-1</v>
      </c>
      <c r="AI149" t="s">
        <v>976</v>
      </c>
    </row>
    <row r="150" spans="1:35" x14ac:dyDescent="0.2">
      <c r="A150" t="s">
        <v>537</v>
      </c>
      <c r="B150" t="str">
        <f>"B_01'" &amp; "Flr_0" &amp; INDEX(Joined!$A$3:$M$2000, MATCH($A150, Joined!$I$3:$I$2000, FALSE), 8)</f>
        <v>B_01'Flr_04</v>
      </c>
      <c r="C150" t="str">
        <f>INDEX(Joined!$A$3:$M$2000, MATCH($A150, Joined!$I$3:$I$2000, FALSE), 7)</f>
        <v>VAV-4W-2</v>
      </c>
      <c r="D150">
        <f>INDEX(Joined!$A$3:$M$2000, MATCH($A150, Joined!$I$3:$I$2000, FALSE), 5)</f>
        <v>150902</v>
      </c>
      <c r="E150" t="str">
        <f>INDEX(Joined!$A$3:$M$2000, MATCH($A150, Joined!$I$3:$I$2000, FALSE), 7)</f>
        <v>VAV-4W-2</v>
      </c>
      <c r="F150" t="s">
        <v>38</v>
      </c>
      <c r="G150" t="str">
        <f>INDEX(Schedule!$Q$2:$R$7, MATCH(ABT!$H150,Schedule!$Q$2:$Q$7, 0), 2)</f>
        <v>15009_ADXR_VAV_DXRM10_Hum</v>
      </c>
      <c r="H150">
        <f>INDEX(Joined!$A$3:$M$2000, MATCH($A150, Joined!$I$3:$I$2000, FALSE), 6)</f>
        <v>15009</v>
      </c>
      <c r="I150" t="str">
        <f>INDEX(Joined!$A$3:$M$2000, MATCH($A150, Joined!$I$3:$I$2000, FALSE), 4)</f>
        <v>509</v>
      </c>
      <c r="J150" t="b">
        <v>0</v>
      </c>
      <c r="K150">
        <f>INDEX(Joined!$A$3:$M$2000, MATCH($A150, Joined!$I$3:$I$2000, FALSE), 3)</f>
        <v>2</v>
      </c>
      <c r="L150">
        <v>85</v>
      </c>
      <c r="M150">
        <v>38400</v>
      </c>
      <c r="N150" s="27">
        <f>PI()*(INDEX(Schedule!$A$1:$N$2000, MATCH($C150, VAV_Schedule_5_21[[#All],[UNIT TAG]], FALSE), 4)/2/12)^2</f>
        <v>0.3490658503988659</v>
      </c>
      <c r="O150" s="27">
        <f>INDEX(Schedule!$A$1:$N$2000, MATCH($C150, VAV_Schedule_5_21[[#All],[UNIT TAG]], FALSE), 4)</f>
        <v>8</v>
      </c>
      <c r="P150">
        <v>148.63</v>
      </c>
      <c r="Q150" s="27">
        <f>INDEX(Schedule!$A$1:$N$2000, MATCH($C150, VAV_Schedule_5_21[[#All],[UNIT TAG]], FALSE), 5)</f>
        <v>600</v>
      </c>
      <c r="R150" s="27">
        <f>INDEX(Schedule!$A$1:$N$2000, MATCH($C150, VAV_Schedule_5_21[[#All],[UNIT TAG]], FALSE), 6)</f>
        <v>0</v>
      </c>
      <c r="S150" s="27">
        <f>INDEX(Schedule!$A$1:$N$2000, MATCH($C150, VAV_Schedule_5_21[[#All],[UNIT TAG]], FALSE), 5)</f>
        <v>600</v>
      </c>
      <c r="T150" s="27">
        <f>INDEX(Schedule!$A$1:$N$2000, MATCH($C150, VAV_Schedule_5_21[[#All],[UNIT TAG]], FALSE), 6)</f>
        <v>0</v>
      </c>
      <c r="U150" s="27">
        <f>INDEX(Schedule!$A$1:$N$2000, MATCH($C150, VAV_Schedule_5_21[[#All],[UNIT TAG]], FALSE), 5)</f>
        <v>600</v>
      </c>
      <c r="V150" s="27">
        <f>INDEX(Schedule!$A$1:$N$2000, MATCH($C150, VAV_Schedule_5_21[[#All],[UNIT TAG]], FALSE), 6)</f>
        <v>0</v>
      </c>
      <c r="W150" s="27">
        <f>INDEX(Schedule!$A$1:$N$2000, MATCH($C150, VAV_Schedule_5_21[[#All],[UNIT TAG]], FALSE), 6)</f>
        <v>0</v>
      </c>
      <c r="X150" s="27">
        <f>INDEX(Schedule!$A$1:$N$2000, MATCH($C150, VAV_Schedule_5_21[[#All],[UNIT TAG]], FALSE), 6)</f>
        <v>0</v>
      </c>
      <c r="Y150" s="27">
        <f>INDEX(Schedule!$A$1:$N$2000, MATCH($C150, VAV_Schedule_5_21[[#All],[UNIT TAG]], FALSE), 6)</f>
        <v>0</v>
      </c>
      <c r="Z150" s="27">
        <f>INDEX(Schedule!$A$1:$N$2000, MATCH($C150, VAV_Schedule_5_21[[#All],[UNIT TAG]], FALSE), 6)</f>
        <v>0</v>
      </c>
      <c r="AA150" s="27">
        <v>1000</v>
      </c>
      <c r="AB150" s="27">
        <v>1100</v>
      </c>
      <c r="AC150">
        <v>1400</v>
      </c>
      <c r="AD150" s="29" t="str">
        <f>IF(INDEX(Schedule!$A$1:$N$2000, MATCH($C150, VAV_Schedule_5_21[[#All],[UNIT TAG]], FALSE), 7)="-", 0, INDEX(Schedule!$A$1:$N$2000, MATCH($C150, VAV_Schedule_5_21[[#All],[UNIT TAG]], FALSE), 7))</f>
        <v>2</v>
      </c>
      <c r="AE150" t="str">
        <f>"B_01'" &amp; "Flr_0" &amp; INDEX(Joined!$A$3:$M$2000, MATCH($A150, Joined!$I$3:$I$2000, FALSE), 8)</f>
        <v>B_01'Flr_04</v>
      </c>
      <c r="AF150" t="str">
        <f>"R_" &amp; INDEX(Joined!$A$3:$M$2000, MATCH($A150, Joined!$I$3:$I$2000, FALSE), 7)</f>
        <v>R_VAV-4W-2</v>
      </c>
      <c r="AG150" t="str">
        <f>"B_01'" &amp; "Flr_0" &amp; INDEX(Joined!$A$3:$M$2000, MATCH($A150, Joined!$I$3:$I$2000, FALSE), 8)</f>
        <v>B_01'Flr_04</v>
      </c>
      <c r="AH150" t="str">
        <f>INDEX(Joined!$A$3:$M$2000, MATCH($A150, Joined!$I$3:$I$2000, FALSE), 7)</f>
        <v>VAV-4W-2</v>
      </c>
      <c r="AI150" t="s">
        <v>977</v>
      </c>
    </row>
    <row r="151" spans="1:35" x14ac:dyDescent="0.2">
      <c r="A151" t="s">
        <v>538</v>
      </c>
      <c r="B151" t="str">
        <f>"B_01'" &amp; "Flr_0" &amp; INDEX(Joined!$A$3:$M$2000, MATCH($A151, Joined!$I$3:$I$2000, FALSE), 8)</f>
        <v>B_01'Flr_04</v>
      </c>
      <c r="C151" t="str">
        <f>INDEX(Joined!$A$3:$M$2000, MATCH($A151, Joined!$I$3:$I$2000, FALSE), 7)</f>
        <v>VAV-4W-3</v>
      </c>
      <c r="D151">
        <f>INDEX(Joined!$A$3:$M$2000, MATCH($A151, Joined!$I$3:$I$2000, FALSE), 5)</f>
        <v>150903</v>
      </c>
      <c r="E151" t="str">
        <f>INDEX(Joined!$A$3:$M$2000, MATCH($A151, Joined!$I$3:$I$2000, FALSE), 7)</f>
        <v>VAV-4W-3</v>
      </c>
      <c r="F151" t="s">
        <v>38</v>
      </c>
      <c r="G151" t="str">
        <f>INDEX(Schedule!$Q$2:$R$7, MATCH(ABT!$H151,Schedule!$Q$2:$Q$7, 0), 2)</f>
        <v>15009_ADXR_VAV_DXRM10_Hum</v>
      </c>
      <c r="H151">
        <f>INDEX(Joined!$A$3:$M$2000, MATCH($A151, Joined!$I$3:$I$2000, FALSE), 6)</f>
        <v>15009</v>
      </c>
      <c r="I151" t="str">
        <f>INDEX(Joined!$A$3:$M$2000, MATCH($A151, Joined!$I$3:$I$2000, FALSE), 4)</f>
        <v>509</v>
      </c>
      <c r="J151" t="b">
        <v>0</v>
      </c>
      <c r="K151">
        <f>INDEX(Joined!$A$3:$M$2000, MATCH($A151, Joined!$I$3:$I$2000, FALSE), 3)</f>
        <v>3</v>
      </c>
      <c r="L151">
        <v>85</v>
      </c>
      <c r="M151">
        <v>38400</v>
      </c>
      <c r="N151" s="27">
        <f>PI()*(INDEX(Schedule!$A$1:$N$2000, MATCH($C151, VAV_Schedule_5_21[[#All],[UNIT TAG]], FALSE), 4)/2/12)^2</f>
        <v>0.3490658503988659</v>
      </c>
      <c r="O151" s="27">
        <f>INDEX(Schedule!$A$1:$N$2000, MATCH($C151, VAV_Schedule_5_21[[#All],[UNIT TAG]], FALSE), 4)</f>
        <v>8</v>
      </c>
      <c r="P151">
        <v>149.63</v>
      </c>
      <c r="Q151" s="27">
        <f>INDEX(Schedule!$A$1:$N$2000, MATCH($C151, VAV_Schedule_5_21[[#All],[UNIT TAG]], FALSE), 5)</f>
        <v>540</v>
      </c>
      <c r="R151" s="27">
        <f>INDEX(Schedule!$A$1:$N$2000, MATCH($C151, VAV_Schedule_5_21[[#All],[UNIT TAG]], FALSE), 6)</f>
        <v>0</v>
      </c>
      <c r="S151" s="27">
        <f>INDEX(Schedule!$A$1:$N$2000, MATCH($C151, VAV_Schedule_5_21[[#All],[UNIT TAG]], FALSE), 5)</f>
        <v>540</v>
      </c>
      <c r="T151" s="27">
        <f>INDEX(Schedule!$A$1:$N$2000, MATCH($C151, VAV_Schedule_5_21[[#All],[UNIT TAG]], FALSE), 6)</f>
        <v>0</v>
      </c>
      <c r="U151" s="27">
        <f>INDEX(Schedule!$A$1:$N$2000, MATCH($C151, VAV_Schedule_5_21[[#All],[UNIT TAG]], FALSE), 5)</f>
        <v>540</v>
      </c>
      <c r="V151" s="27">
        <f>INDEX(Schedule!$A$1:$N$2000, MATCH($C151, VAV_Schedule_5_21[[#All],[UNIT TAG]], FALSE), 6)</f>
        <v>0</v>
      </c>
      <c r="W151" s="27">
        <f>INDEX(Schedule!$A$1:$N$2000, MATCH($C151, VAV_Schedule_5_21[[#All],[UNIT TAG]], FALSE), 6)</f>
        <v>0</v>
      </c>
      <c r="X151" s="27">
        <f>INDEX(Schedule!$A$1:$N$2000, MATCH($C151, VAV_Schedule_5_21[[#All],[UNIT TAG]], FALSE), 6)</f>
        <v>0</v>
      </c>
      <c r="Y151" s="27">
        <f>INDEX(Schedule!$A$1:$N$2000, MATCH($C151, VAV_Schedule_5_21[[#All],[UNIT TAG]], FALSE), 6)</f>
        <v>0</v>
      </c>
      <c r="Z151" s="27">
        <f>INDEX(Schedule!$A$1:$N$2000, MATCH($C151, VAV_Schedule_5_21[[#All],[UNIT TAG]], FALSE), 6)</f>
        <v>0</v>
      </c>
      <c r="AA151" s="27">
        <v>1000</v>
      </c>
      <c r="AB151" s="27">
        <v>1100</v>
      </c>
      <c r="AC151">
        <v>1400</v>
      </c>
      <c r="AD151" s="29" t="str">
        <f>IF(INDEX(Schedule!$A$1:$N$2000, MATCH($C151, VAV_Schedule_5_21[[#All],[UNIT TAG]], FALSE), 7)="-", 0, INDEX(Schedule!$A$1:$N$2000, MATCH($C151, VAV_Schedule_5_21[[#All],[UNIT TAG]], FALSE), 7))</f>
        <v>5</v>
      </c>
      <c r="AE151" t="str">
        <f>"B_01'" &amp; "Flr_0" &amp; INDEX(Joined!$A$3:$M$2000, MATCH($A151, Joined!$I$3:$I$2000, FALSE), 8)</f>
        <v>B_01'Flr_04</v>
      </c>
      <c r="AF151" t="str">
        <f>"R_" &amp; INDEX(Joined!$A$3:$M$2000, MATCH($A151, Joined!$I$3:$I$2000, FALSE), 7)</f>
        <v>R_VAV-4W-3</v>
      </c>
      <c r="AG151" t="str">
        <f>"B_01'" &amp; "Flr_0" &amp; INDEX(Joined!$A$3:$M$2000, MATCH($A151, Joined!$I$3:$I$2000, FALSE), 8)</f>
        <v>B_01'Flr_04</v>
      </c>
      <c r="AH151" t="str">
        <f>INDEX(Joined!$A$3:$M$2000, MATCH($A151, Joined!$I$3:$I$2000, FALSE), 7)</f>
        <v>VAV-4W-3</v>
      </c>
      <c r="AI151" t="s">
        <v>978</v>
      </c>
    </row>
    <row r="152" spans="1:35" x14ac:dyDescent="0.2">
      <c r="A152" t="s">
        <v>539</v>
      </c>
      <c r="B152" t="str">
        <f>"B_01'" &amp; "Flr_0" &amp; INDEX(Joined!$A$3:$M$2000, MATCH($A152, Joined!$I$3:$I$2000, FALSE), 8)</f>
        <v>B_01'Flr_04</v>
      </c>
      <c r="C152" t="str">
        <f>INDEX(Joined!$A$3:$M$2000, MATCH($A152, Joined!$I$3:$I$2000, FALSE), 7)</f>
        <v>VAV-4W-4</v>
      </c>
      <c r="D152">
        <f>INDEX(Joined!$A$3:$M$2000, MATCH($A152, Joined!$I$3:$I$2000, FALSE), 5)</f>
        <v>150904</v>
      </c>
      <c r="E152" t="str">
        <f>INDEX(Joined!$A$3:$M$2000, MATCH($A152, Joined!$I$3:$I$2000, FALSE), 7)</f>
        <v>VAV-4W-4</v>
      </c>
      <c r="F152" t="s">
        <v>38</v>
      </c>
      <c r="G152" t="str">
        <f>INDEX(Schedule!$Q$2:$R$7, MATCH(ABT!$H152,Schedule!$Q$2:$Q$7, 0), 2)</f>
        <v>15009_ADXR_VAV_DXRM10_Hum</v>
      </c>
      <c r="H152">
        <f>INDEX(Joined!$A$3:$M$2000, MATCH($A152, Joined!$I$3:$I$2000, FALSE), 6)</f>
        <v>15009</v>
      </c>
      <c r="I152" t="str">
        <f>INDEX(Joined!$A$3:$M$2000, MATCH($A152, Joined!$I$3:$I$2000, FALSE), 4)</f>
        <v>509</v>
      </c>
      <c r="J152" t="b">
        <v>0</v>
      </c>
      <c r="K152">
        <f>INDEX(Joined!$A$3:$M$2000, MATCH($A152, Joined!$I$3:$I$2000, FALSE), 3)</f>
        <v>4</v>
      </c>
      <c r="L152">
        <v>85</v>
      </c>
      <c r="M152">
        <v>38400</v>
      </c>
      <c r="N152" s="27">
        <f>PI()*(INDEX(Schedule!$A$1:$N$2000, MATCH($C152, VAV_Schedule_5_21[[#All],[UNIT TAG]], FALSE), 4)/2/12)^2</f>
        <v>0.3490658503988659</v>
      </c>
      <c r="O152" s="27">
        <f>INDEX(Schedule!$A$1:$N$2000, MATCH($C152, VAV_Schedule_5_21[[#All],[UNIT TAG]], FALSE), 4)</f>
        <v>8</v>
      </c>
      <c r="P152">
        <v>150.63</v>
      </c>
      <c r="Q152" s="27">
        <f>INDEX(Schedule!$A$1:$N$2000, MATCH($C152, VAV_Schedule_5_21[[#All],[UNIT TAG]], FALSE), 5)</f>
        <v>450</v>
      </c>
      <c r="R152" s="27">
        <f>INDEX(Schedule!$A$1:$N$2000, MATCH($C152, VAV_Schedule_5_21[[#All],[UNIT TAG]], FALSE), 6)</f>
        <v>0</v>
      </c>
      <c r="S152" s="27">
        <f>INDEX(Schedule!$A$1:$N$2000, MATCH($C152, VAV_Schedule_5_21[[#All],[UNIT TAG]], FALSE), 5)</f>
        <v>450</v>
      </c>
      <c r="T152" s="27">
        <f>INDEX(Schedule!$A$1:$N$2000, MATCH($C152, VAV_Schedule_5_21[[#All],[UNIT TAG]], FALSE), 6)</f>
        <v>0</v>
      </c>
      <c r="U152" s="27">
        <f>INDEX(Schedule!$A$1:$N$2000, MATCH($C152, VAV_Schedule_5_21[[#All],[UNIT TAG]], FALSE), 5)</f>
        <v>450</v>
      </c>
      <c r="V152" s="27">
        <f>INDEX(Schedule!$A$1:$N$2000, MATCH($C152, VAV_Schedule_5_21[[#All],[UNIT TAG]], FALSE), 6)</f>
        <v>0</v>
      </c>
      <c r="W152" s="27">
        <f>INDEX(Schedule!$A$1:$N$2000, MATCH($C152, VAV_Schedule_5_21[[#All],[UNIT TAG]], FALSE), 6)</f>
        <v>0</v>
      </c>
      <c r="X152" s="27">
        <f>INDEX(Schedule!$A$1:$N$2000, MATCH($C152, VAV_Schedule_5_21[[#All],[UNIT TAG]], FALSE), 6)</f>
        <v>0</v>
      </c>
      <c r="Y152" s="27">
        <f>INDEX(Schedule!$A$1:$N$2000, MATCH($C152, VAV_Schedule_5_21[[#All],[UNIT TAG]], FALSE), 6)</f>
        <v>0</v>
      </c>
      <c r="Z152" s="27">
        <f>INDEX(Schedule!$A$1:$N$2000, MATCH($C152, VAV_Schedule_5_21[[#All],[UNIT TAG]], FALSE), 6)</f>
        <v>0</v>
      </c>
      <c r="AA152" s="27">
        <v>1000</v>
      </c>
      <c r="AB152" s="27">
        <v>1100</v>
      </c>
      <c r="AC152">
        <v>1400</v>
      </c>
      <c r="AD152" s="29" t="str">
        <f>IF(INDEX(Schedule!$A$1:$N$2000, MATCH($C152, VAV_Schedule_5_21[[#All],[UNIT TAG]], FALSE), 7)="-", 0, INDEX(Schedule!$A$1:$N$2000, MATCH($C152, VAV_Schedule_5_21[[#All],[UNIT TAG]], FALSE), 7))</f>
        <v>3</v>
      </c>
      <c r="AE152" t="str">
        <f>"B_01'" &amp; "Flr_0" &amp; INDEX(Joined!$A$3:$M$2000, MATCH($A152, Joined!$I$3:$I$2000, FALSE), 8)</f>
        <v>B_01'Flr_04</v>
      </c>
      <c r="AF152" t="str">
        <f>"R_" &amp; INDEX(Joined!$A$3:$M$2000, MATCH($A152, Joined!$I$3:$I$2000, FALSE), 7)</f>
        <v>R_VAV-4W-4</v>
      </c>
      <c r="AG152" t="str">
        <f>"B_01'" &amp; "Flr_0" &amp; INDEX(Joined!$A$3:$M$2000, MATCH($A152, Joined!$I$3:$I$2000, FALSE), 8)</f>
        <v>B_01'Flr_04</v>
      </c>
      <c r="AH152" t="str">
        <f>INDEX(Joined!$A$3:$M$2000, MATCH($A152, Joined!$I$3:$I$2000, FALSE), 7)</f>
        <v>VAV-4W-4</v>
      </c>
      <c r="AI152" t="s">
        <v>979</v>
      </c>
    </row>
    <row r="153" spans="1:35" x14ac:dyDescent="0.2">
      <c r="A153" t="s">
        <v>543</v>
      </c>
      <c r="B153" t="str">
        <f>"B_01'" &amp; "Flr_0" &amp; INDEX(Joined!$A$3:$M$2000, MATCH($A153, Joined!$I$3:$I$2000, FALSE), 8)</f>
        <v>B_01'Flr_04</v>
      </c>
      <c r="C153" t="str">
        <f>INDEX(Joined!$A$3:$M$2000, MATCH($A153, Joined!$I$3:$I$2000, FALSE), 7)</f>
        <v>VAV-4W-44</v>
      </c>
      <c r="D153">
        <f>INDEX(Joined!$A$3:$M$2000, MATCH($A153, Joined!$I$3:$I$2000, FALSE), 5)</f>
        <v>150908</v>
      </c>
      <c r="E153" t="str">
        <f>INDEX(Joined!$A$3:$M$2000, MATCH($A153, Joined!$I$3:$I$2000, FALSE), 7)</f>
        <v>VAV-4W-44</v>
      </c>
      <c r="F153" t="s">
        <v>38</v>
      </c>
      <c r="G153" t="str">
        <f>INDEX(Schedule!$Q$2:$R$7, MATCH(ABT!$H153,Schedule!$Q$2:$Q$7, 0), 2)</f>
        <v>15006_ADXR_VAV_DXR2M10</v>
      </c>
      <c r="H153">
        <f>INDEX(Joined!$A$3:$M$2000, MATCH($A153, Joined!$I$3:$I$2000, FALSE), 6)</f>
        <v>15006</v>
      </c>
      <c r="I153" t="str">
        <f>INDEX(Joined!$A$3:$M$2000, MATCH($A153, Joined!$I$3:$I$2000, FALSE), 4)</f>
        <v>509</v>
      </c>
      <c r="J153" t="b">
        <v>0</v>
      </c>
      <c r="K153">
        <f>INDEX(Joined!$A$3:$M$2000, MATCH($A153, Joined!$I$3:$I$2000, FALSE), 3)</f>
        <v>8</v>
      </c>
      <c r="L153">
        <v>85</v>
      </c>
      <c r="M153">
        <v>38400</v>
      </c>
      <c r="N153" s="27">
        <f>PI()*(INDEX(Schedule!$A$1:$N$2000, MATCH($C153, VAV_Schedule_5_21[[#All],[UNIT TAG]], FALSE), 4)/2/12)^2</f>
        <v>0.3490658503988659</v>
      </c>
      <c r="O153" s="27">
        <f>INDEX(Schedule!$A$1:$N$2000, MATCH($C153, VAV_Schedule_5_21[[#All],[UNIT TAG]], FALSE), 4)</f>
        <v>8</v>
      </c>
      <c r="P153">
        <v>151.63</v>
      </c>
      <c r="Q153" s="27">
        <f>INDEX(Schedule!$A$1:$N$2000, MATCH($C153, VAV_Schedule_5_21[[#All],[UNIT TAG]], FALSE), 5)</f>
        <v>560</v>
      </c>
      <c r="R153" s="27">
        <f>INDEX(Schedule!$A$1:$N$2000, MATCH($C153, VAV_Schedule_5_21[[#All],[UNIT TAG]], FALSE), 6)</f>
        <v>115</v>
      </c>
      <c r="S153" s="27">
        <f>INDEX(Schedule!$A$1:$N$2000, MATCH($C153, VAV_Schedule_5_21[[#All],[UNIT TAG]], FALSE), 5)</f>
        <v>560</v>
      </c>
      <c r="T153" s="27">
        <f>INDEX(Schedule!$A$1:$N$2000, MATCH($C153, VAV_Schedule_5_21[[#All],[UNIT TAG]], FALSE), 6)</f>
        <v>115</v>
      </c>
      <c r="U153" s="27">
        <f>INDEX(Schedule!$A$1:$N$2000, MATCH($C153, VAV_Schedule_5_21[[#All],[UNIT TAG]], FALSE), 5)</f>
        <v>560</v>
      </c>
      <c r="V153" s="27">
        <f>INDEX(Schedule!$A$1:$N$2000, MATCH($C153, VAV_Schedule_5_21[[#All],[UNIT TAG]], FALSE), 6)</f>
        <v>115</v>
      </c>
      <c r="W153" s="27">
        <f>INDEX(Schedule!$A$1:$N$2000, MATCH($C153, VAV_Schedule_5_21[[#All],[UNIT TAG]], FALSE), 6)</f>
        <v>115</v>
      </c>
      <c r="X153" s="27">
        <f>INDEX(Schedule!$A$1:$N$2000, MATCH($C153, VAV_Schedule_5_21[[#All],[UNIT TAG]], FALSE), 6)</f>
        <v>115</v>
      </c>
      <c r="Y153" s="27">
        <f>INDEX(Schedule!$A$1:$N$2000, MATCH($C153, VAV_Schedule_5_21[[#All],[UNIT TAG]], FALSE), 6)</f>
        <v>115</v>
      </c>
      <c r="Z153" s="27">
        <f>INDEX(Schedule!$A$1:$N$2000, MATCH($C153, VAV_Schedule_5_21[[#All],[UNIT TAG]], FALSE), 6)</f>
        <v>115</v>
      </c>
      <c r="AA153" s="27">
        <v>1000</v>
      </c>
      <c r="AB153" s="27">
        <v>1100</v>
      </c>
      <c r="AC153">
        <v>1400</v>
      </c>
      <c r="AD153" s="29">
        <f>IF(INDEX(Schedule!$A$1:$N$2000, MATCH($C153, VAV_Schedule_5_21[[#All],[UNIT TAG]], FALSE), 7)="-", 0, INDEX(Schedule!$A$1:$N$2000, MATCH($C153, VAV_Schedule_5_21[[#All],[UNIT TAG]], FALSE), 7))</f>
        <v>0</v>
      </c>
      <c r="AE153" t="str">
        <f>"B_01'" &amp; "Flr_0" &amp; INDEX(Joined!$A$3:$M$2000, MATCH($A153, Joined!$I$3:$I$2000, FALSE), 8)</f>
        <v>B_01'Flr_04</v>
      </c>
      <c r="AF153" t="str">
        <f>"R_" &amp; INDEX(Joined!$A$3:$M$2000, MATCH($A153, Joined!$I$3:$I$2000, FALSE), 7)</f>
        <v>R_VAV-4W-44</v>
      </c>
      <c r="AG153" t="str">
        <f>"B_01'" &amp; "Flr_0" &amp; INDEX(Joined!$A$3:$M$2000, MATCH($A153, Joined!$I$3:$I$2000, FALSE), 8)</f>
        <v>B_01'Flr_04</v>
      </c>
      <c r="AH153" t="str">
        <f>INDEX(Joined!$A$3:$M$2000, MATCH($A153, Joined!$I$3:$I$2000, FALSE), 7)</f>
        <v>VAV-4W-44</v>
      </c>
      <c r="AI153" t="s">
        <v>940</v>
      </c>
    </row>
    <row r="154" spans="1:35" x14ac:dyDescent="0.2">
      <c r="A154" t="s">
        <v>544</v>
      </c>
      <c r="B154" t="str">
        <f>"B_01'" &amp; "Flr_0" &amp; INDEX(Joined!$A$3:$M$2000, MATCH($A154, Joined!$I$3:$I$2000, FALSE), 8)</f>
        <v>B_01'Flr_04</v>
      </c>
      <c r="C154" t="str">
        <f>INDEX(Joined!$A$3:$M$2000, MATCH($A154, Joined!$I$3:$I$2000, FALSE), 7)</f>
        <v>VAV-4W-45</v>
      </c>
      <c r="D154">
        <f>INDEX(Joined!$A$3:$M$2000, MATCH($A154, Joined!$I$3:$I$2000, FALSE), 5)</f>
        <v>150909</v>
      </c>
      <c r="E154" t="str">
        <f>INDEX(Joined!$A$3:$M$2000, MATCH($A154, Joined!$I$3:$I$2000, FALSE), 7)</f>
        <v>VAV-4W-45</v>
      </c>
      <c r="F154" t="s">
        <v>38</v>
      </c>
      <c r="G154" t="str">
        <f>INDEX(Schedule!$Q$2:$R$7, MATCH(ABT!$H154,Schedule!$Q$2:$Q$7, 0), 2)</f>
        <v>15006_ADXR_VAV_DXR2M10</v>
      </c>
      <c r="H154">
        <f>INDEX(Joined!$A$3:$M$2000, MATCH($A154, Joined!$I$3:$I$2000, FALSE), 6)</f>
        <v>15006</v>
      </c>
      <c r="I154" t="str">
        <f>INDEX(Joined!$A$3:$M$2000, MATCH($A154, Joined!$I$3:$I$2000, FALSE), 4)</f>
        <v>509</v>
      </c>
      <c r="J154" t="b">
        <v>0</v>
      </c>
      <c r="K154">
        <f>INDEX(Joined!$A$3:$M$2000, MATCH($A154, Joined!$I$3:$I$2000, FALSE), 3)</f>
        <v>9</v>
      </c>
      <c r="L154">
        <v>85</v>
      </c>
      <c r="M154">
        <v>38400</v>
      </c>
      <c r="N154" s="27">
        <f>PI()*(INDEX(Schedule!$A$1:$N$2000, MATCH($C154, VAV_Schedule_5_21[[#All],[UNIT TAG]], FALSE), 4)/2/12)^2</f>
        <v>0.78539816339744828</v>
      </c>
      <c r="O154" s="27">
        <f>INDEX(Schedule!$A$1:$N$2000, MATCH($C154, VAV_Schedule_5_21[[#All],[UNIT TAG]], FALSE), 4)</f>
        <v>12</v>
      </c>
      <c r="P154">
        <v>152.63</v>
      </c>
      <c r="Q154" s="27">
        <f>INDEX(Schedule!$A$1:$N$2000, MATCH($C154, VAV_Schedule_5_21[[#All],[UNIT TAG]], FALSE), 5)</f>
        <v>1.6</v>
      </c>
      <c r="R154" s="27">
        <f>INDEX(Schedule!$A$1:$N$2000, MATCH($C154, VAV_Schedule_5_21[[#All],[UNIT TAG]], FALSE), 6)</f>
        <v>320</v>
      </c>
      <c r="S154" s="27">
        <f>INDEX(Schedule!$A$1:$N$2000, MATCH($C154, VAV_Schedule_5_21[[#All],[UNIT TAG]], FALSE), 5)</f>
        <v>1.6</v>
      </c>
      <c r="T154" s="27">
        <f>INDEX(Schedule!$A$1:$N$2000, MATCH($C154, VAV_Schedule_5_21[[#All],[UNIT TAG]], FALSE), 6)</f>
        <v>320</v>
      </c>
      <c r="U154" s="27">
        <f>INDEX(Schedule!$A$1:$N$2000, MATCH($C154, VAV_Schedule_5_21[[#All],[UNIT TAG]], FALSE), 5)</f>
        <v>1.6</v>
      </c>
      <c r="V154" s="27">
        <f>INDEX(Schedule!$A$1:$N$2000, MATCH($C154, VAV_Schedule_5_21[[#All],[UNIT TAG]], FALSE), 6)</f>
        <v>320</v>
      </c>
      <c r="W154" s="27">
        <f>INDEX(Schedule!$A$1:$N$2000, MATCH($C154, VAV_Schedule_5_21[[#All],[UNIT TAG]], FALSE), 6)</f>
        <v>320</v>
      </c>
      <c r="X154" s="27">
        <f>INDEX(Schedule!$A$1:$N$2000, MATCH($C154, VAV_Schedule_5_21[[#All],[UNIT TAG]], FALSE), 6)</f>
        <v>320</v>
      </c>
      <c r="Y154" s="27">
        <f>INDEX(Schedule!$A$1:$N$2000, MATCH($C154, VAV_Schedule_5_21[[#All],[UNIT TAG]], FALSE), 6)</f>
        <v>320</v>
      </c>
      <c r="Z154" s="27">
        <f>INDEX(Schedule!$A$1:$N$2000, MATCH($C154, VAV_Schedule_5_21[[#All],[UNIT TAG]], FALSE), 6)</f>
        <v>320</v>
      </c>
      <c r="AA154" s="27">
        <v>1000</v>
      </c>
      <c r="AB154" s="27">
        <v>1100</v>
      </c>
      <c r="AC154">
        <v>1400</v>
      </c>
      <c r="AD154" s="29">
        <f>IF(INDEX(Schedule!$A$1:$N$2000, MATCH($C154, VAV_Schedule_5_21[[#All],[UNIT TAG]], FALSE), 7)="-", 0, INDEX(Schedule!$A$1:$N$2000, MATCH($C154, VAV_Schedule_5_21[[#All],[UNIT TAG]], FALSE), 7))</f>
        <v>0</v>
      </c>
      <c r="AE154" t="str">
        <f>"B_01'" &amp; "Flr_0" &amp; INDEX(Joined!$A$3:$M$2000, MATCH($A154, Joined!$I$3:$I$2000, FALSE), 8)</f>
        <v>B_01'Flr_04</v>
      </c>
      <c r="AF154" t="str">
        <f>"R_" &amp; INDEX(Joined!$A$3:$M$2000, MATCH($A154, Joined!$I$3:$I$2000, FALSE), 7)</f>
        <v>R_VAV-4W-45</v>
      </c>
      <c r="AG154" t="str">
        <f>"B_01'" &amp; "Flr_0" &amp; INDEX(Joined!$A$3:$M$2000, MATCH($A154, Joined!$I$3:$I$2000, FALSE), 8)</f>
        <v>B_01'Flr_04</v>
      </c>
      <c r="AH154" t="str">
        <f>INDEX(Joined!$A$3:$M$2000, MATCH($A154, Joined!$I$3:$I$2000, FALSE), 7)</f>
        <v>VAV-4W-45</v>
      </c>
      <c r="AI154" t="s">
        <v>941</v>
      </c>
    </row>
    <row r="155" spans="1:35" x14ac:dyDescent="0.2">
      <c r="A155" t="s">
        <v>545</v>
      </c>
      <c r="B155" t="str">
        <f>"B_01'" &amp; "Flr_0" &amp; INDEX(Joined!$A$3:$M$2000, MATCH($A155, Joined!$I$3:$I$2000, FALSE), 8)</f>
        <v>B_01'Flr_04</v>
      </c>
      <c r="C155" t="str">
        <f>INDEX(Joined!$A$3:$M$2000, MATCH($A155, Joined!$I$3:$I$2000, FALSE), 7)</f>
        <v>VAV-4W-46</v>
      </c>
      <c r="D155">
        <f>INDEX(Joined!$A$3:$M$2000, MATCH($A155, Joined!$I$3:$I$2000, FALSE), 5)</f>
        <v>150910</v>
      </c>
      <c r="E155" t="str">
        <f>INDEX(Joined!$A$3:$M$2000, MATCH($A155, Joined!$I$3:$I$2000, FALSE), 7)</f>
        <v>VAV-4W-46</v>
      </c>
      <c r="F155" t="s">
        <v>38</v>
      </c>
      <c r="G155" t="str">
        <f>INDEX(Schedule!$Q$2:$R$7, MATCH(ABT!$H155,Schedule!$Q$2:$Q$7, 0), 2)</f>
        <v>15007_ADXR_VAV_DXR2M10</v>
      </c>
      <c r="H155">
        <f>INDEX(Joined!$A$3:$M$2000, MATCH($A155, Joined!$I$3:$I$2000, FALSE), 6)</f>
        <v>15007</v>
      </c>
      <c r="I155" t="str">
        <f>INDEX(Joined!$A$3:$M$2000, MATCH($A155, Joined!$I$3:$I$2000, FALSE), 4)</f>
        <v>509</v>
      </c>
      <c r="J155" t="b">
        <v>0</v>
      </c>
      <c r="K155">
        <f>INDEX(Joined!$A$3:$M$2000, MATCH($A155, Joined!$I$3:$I$2000, FALSE), 3)</f>
        <v>10</v>
      </c>
      <c r="L155">
        <v>85</v>
      </c>
      <c r="M155">
        <v>38400</v>
      </c>
      <c r="N155" s="27">
        <f>PI()*(INDEX(Schedule!$A$1:$N$2000, MATCH($C155, VAV_Schedule_5_21[[#All],[UNIT TAG]], FALSE), 4)/2/12)^2</f>
        <v>0.54541539124822802</v>
      </c>
      <c r="O155" s="27">
        <f>INDEX(Schedule!$A$1:$N$2000, MATCH($C155, VAV_Schedule_5_21[[#All],[UNIT TAG]], FALSE), 4)</f>
        <v>10</v>
      </c>
      <c r="P155">
        <v>153.63</v>
      </c>
      <c r="Q155" s="27">
        <f>INDEX(Schedule!$A$1:$N$2000, MATCH($C155, VAV_Schedule_5_21[[#All],[UNIT TAG]], FALSE), 5)</f>
        <v>800</v>
      </c>
      <c r="R155" s="27">
        <f>INDEX(Schedule!$A$1:$N$2000, MATCH($C155, VAV_Schedule_5_21[[#All],[UNIT TAG]], FALSE), 6)</f>
        <v>160</v>
      </c>
      <c r="S155" s="27">
        <f>INDEX(Schedule!$A$1:$N$2000, MATCH($C155, VAV_Schedule_5_21[[#All],[UNIT TAG]], FALSE), 5)</f>
        <v>800</v>
      </c>
      <c r="T155" s="27">
        <f>INDEX(Schedule!$A$1:$N$2000, MATCH($C155, VAV_Schedule_5_21[[#All],[UNIT TAG]], FALSE), 6)</f>
        <v>160</v>
      </c>
      <c r="U155" s="27">
        <f>INDEX(Schedule!$A$1:$N$2000, MATCH($C155, VAV_Schedule_5_21[[#All],[UNIT TAG]], FALSE), 5)</f>
        <v>800</v>
      </c>
      <c r="V155" s="27">
        <f>INDEX(Schedule!$A$1:$N$2000, MATCH($C155, VAV_Schedule_5_21[[#All],[UNIT TAG]], FALSE), 6)</f>
        <v>160</v>
      </c>
      <c r="W155" s="27">
        <f>INDEX(Schedule!$A$1:$N$2000, MATCH($C155, VAV_Schedule_5_21[[#All],[UNIT TAG]], FALSE), 6)</f>
        <v>160</v>
      </c>
      <c r="X155" s="27">
        <f>INDEX(Schedule!$A$1:$N$2000, MATCH($C155, VAV_Schedule_5_21[[#All],[UNIT TAG]], FALSE), 6)</f>
        <v>160</v>
      </c>
      <c r="Y155" s="27">
        <f>INDEX(Schedule!$A$1:$N$2000, MATCH($C155, VAV_Schedule_5_21[[#All],[UNIT TAG]], FALSE), 6)</f>
        <v>160</v>
      </c>
      <c r="Z155" s="27">
        <f>INDEX(Schedule!$A$1:$N$2000, MATCH($C155, VAV_Schedule_5_21[[#All],[UNIT TAG]], FALSE), 6)</f>
        <v>160</v>
      </c>
      <c r="AA155" s="27">
        <v>1000</v>
      </c>
      <c r="AB155" s="27">
        <v>1100</v>
      </c>
      <c r="AC155">
        <v>1400</v>
      </c>
      <c r="AD155" s="29" t="str">
        <f>IF(INDEX(Schedule!$A$1:$N$2000, MATCH($C155, VAV_Schedule_5_21[[#All],[UNIT TAG]], FALSE), 7)="-", 0, INDEX(Schedule!$A$1:$N$2000, MATCH($C155, VAV_Schedule_5_21[[#All],[UNIT TAG]], FALSE), 7))</f>
        <v>8</v>
      </c>
      <c r="AE155" t="str">
        <f>"B_01'" &amp; "Flr_0" &amp; INDEX(Joined!$A$3:$M$2000, MATCH($A155, Joined!$I$3:$I$2000, FALSE), 8)</f>
        <v>B_01'Flr_04</v>
      </c>
      <c r="AF155" t="str">
        <f>"R_" &amp; INDEX(Joined!$A$3:$M$2000, MATCH($A155, Joined!$I$3:$I$2000, FALSE), 7)</f>
        <v>R_VAV-4W-46</v>
      </c>
      <c r="AG155" t="str">
        <f>"B_01'" &amp; "Flr_0" &amp; INDEX(Joined!$A$3:$M$2000, MATCH($A155, Joined!$I$3:$I$2000, FALSE), 8)</f>
        <v>B_01'Flr_04</v>
      </c>
      <c r="AH155" t="str">
        <f>INDEX(Joined!$A$3:$M$2000, MATCH($A155, Joined!$I$3:$I$2000, FALSE), 7)</f>
        <v>VAV-4W-46</v>
      </c>
      <c r="AI155" t="s">
        <v>956</v>
      </c>
    </row>
    <row r="156" spans="1:35" x14ac:dyDescent="0.2">
      <c r="A156" t="s">
        <v>546</v>
      </c>
      <c r="B156" t="str">
        <f>"B_01'" &amp; "Flr_0" &amp; INDEX(Joined!$A$3:$M$2000, MATCH($A156, Joined!$I$3:$I$2000, FALSE), 8)</f>
        <v>B_01'Flr_04</v>
      </c>
      <c r="C156" t="str">
        <f>INDEX(Joined!$A$3:$M$2000, MATCH($A156, Joined!$I$3:$I$2000, FALSE), 7)</f>
        <v>VAV-4W-47</v>
      </c>
      <c r="D156">
        <f>INDEX(Joined!$A$3:$M$2000, MATCH($A156, Joined!$I$3:$I$2000, FALSE), 5)</f>
        <v>150911</v>
      </c>
      <c r="E156" t="str">
        <f>INDEX(Joined!$A$3:$M$2000, MATCH($A156, Joined!$I$3:$I$2000, FALSE), 7)</f>
        <v>VAV-4W-47</v>
      </c>
      <c r="F156" t="s">
        <v>38</v>
      </c>
      <c r="G156" t="str">
        <f>INDEX(Schedule!$Q$2:$R$7, MATCH(ABT!$H156,Schedule!$Q$2:$Q$7, 0), 2)</f>
        <v>15007_ADXR_VAV_DXR2M10</v>
      </c>
      <c r="H156">
        <f>INDEX(Joined!$A$3:$M$2000, MATCH($A156, Joined!$I$3:$I$2000, FALSE), 6)</f>
        <v>15007</v>
      </c>
      <c r="I156" t="str">
        <f>INDEX(Joined!$A$3:$M$2000, MATCH($A156, Joined!$I$3:$I$2000, FALSE), 4)</f>
        <v>509</v>
      </c>
      <c r="J156" t="b">
        <v>0</v>
      </c>
      <c r="K156">
        <f>INDEX(Joined!$A$3:$M$2000, MATCH($A156, Joined!$I$3:$I$2000, FALSE), 3)</f>
        <v>11</v>
      </c>
      <c r="L156">
        <v>85</v>
      </c>
      <c r="M156">
        <v>38400</v>
      </c>
      <c r="N156" s="27">
        <f>PI()*(INDEX(Schedule!$A$1:$N$2000, MATCH($C156, VAV_Schedule_5_21[[#All],[UNIT TAG]], FALSE), 4)/2/12)^2</f>
        <v>0.3490658503988659</v>
      </c>
      <c r="O156" s="27">
        <f>INDEX(Schedule!$A$1:$N$2000, MATCH($C156, VAV_Schedule_5_21[[#All],[UNIT TAG]], FALSE), 4)</f>
        <v>8</v>
      </c>
      <c r="P156">
        <v>154.63</v>
      </c>
      <c r="Q156" s="27">
        <f>INDEX(Schedule!$A$1:$N$2000, MATCH($C156, VAV_Schedule_5_21[[#All],[UNIT TAG]], FALSE), 5)</f>
        <v>640</v>
      </c>
      <c r="R156" s="27">
        <f>INDEX(Schedule!$A$1:$N$2000, MATCH($C156, VAV_Schedule_5_21[[#All],[UNIT TAG]], FALSE), 6)</f>
        <v>130</v>
      </c>
      <c r="S156" s="27">
        <f>INDEX(Schedule!$A$1:$N$2000, MATCH($C156, VAV_Schedule_5_21[[#All],[UNIT TAG]], FALSE), 5)</f>
        <v>640</v>
      </c>
      <c r="T156" s="27">
        <f>INDEX(Schedule!$A$1:$N$2000, MATCH($C156, VAV_Schedule_5_21[[#All],[UNIT TAG]], FALSE), 6)</f>
        <v>130</v>
      </c>
      <c r="U156" s="27">
        <f>INDEX(Schedule!$A$1:$N$2000, MATCH($C156, VAV_Schedule_5_21[[#All],[UNIT TAG]], FALSE), 5)</f>
        <v>640</v>
      </c>
      <c r="V156" s="27">
        <f>INDEX(Schedule!$A$1:$N$2000, MATCH($C156, VAV_Schedule_5_21[[#All],[UNIT TAG]], FALSE), 6)</f>
        <v>130</v>
      </c>
      <c r="W156" s="27">
        <f>INDEX(Schedule!$A$1:$N$2000, MATCH($C156, VAV_Schedule_5_21[[#All],[UNIT TAG]], FALSE), 6)</f>
        <v>130</v>
      </c>
      <c r="X156" s="27">
        <f>INDEX(Schedule!$A$1:$N$2000, MATCH($C156, VAV_Schedule_5_21[[#All],[UNIT TAG]], FALSE), 6)</f>
        <v>130</v>
      </c>
      <c r="Y156" s="27">
        <f>INDEX(Schedule!$A$1:$N$2000, MATCH($C156, VAV_Schedule_5_21[[#All],[UNIT TAG]], FALSE), 6)</f>
        <v>130</v>
      </c>
      <c r="Z156" s="27">
        <f>INDEX(Schedule!$A$1:$N$2000, MATCH($C156, VAV_Schedule_5_21[[#All],[UNIT TAG]], FALSE), 6)</f>
        <v>130</v>
      </c>
      <c r="AA156" s="27">
        <v>1000</v>
      </c>
      <c r="AB156" s="27">
        <v>1100</v>
      </c>
      <c r="AC156">
        <v>1400</v>
      </c>
      <c r="AD156" s="29" t="str">
        <f>IF(INDEX(Schedule!$A$1:$N$2000, MATCH($C156, VAV_Schedule_5_21[[#All],[UNIT TAG]], FALSE), 7)="-", 0, INDEX(Schedule!$A$1:$N$2000, MATCH($C156, VAV_Schedule_5_21[[#All],[UNIT TAG]], FALSE), 7))</f>
        <v>6</v>
      </c>
      <c r="AE156" t="str">
        <f>"B_01'" &amp; "Flr_0" &amp; INDEX(Joined!$A$3:$M$2000, MATCH($A156, Joined!$I$3:$I$2000, FALSE), 8)</f>
        <v>B_01'Flr_04</v>
      </c>
      <c r="AF156" t="str">
        <f>"R_" &amp; INDEX(Joined!$A$3:$M$2000, MATCH($A156, Joined!$I$3:$I$2000, FALSE), 7)</f>
        <v>R_VAV-4W-47</v>
      </c>
      <c r="AG156" t="str">
        <f>"B_01'" &amp; "Flr_0" &amp; INDEX(Joined!$A$3:$M$2000, MATCH($A156, Joined!$I$3:$I$2000, FALSE), 8)</f>
        <v>B_01'Flr_04</v>
      </c>
      <c r="AH156" t="str">
        <f>INDEX(Joined!$A$3:$M$2000, MATCH($A156, Joined!$I$3:$I$2000, FALSE), 7)</f>
        <v>VAV-4W-47</v>
      </c>
      <c r="AI156" t="s">
        <v>957</v>
      </c>
    </row>
    <row r="157" spans="1:35" x14ac:dyDescent="0.2">
      <c r="A157" t="s">
        <v>547</v>
      </c>
      <c r="B157" t="str">
        <f>"B_01'" &amp; "Flr_0" &amp; INDEX(Joined!$A$3:$M$2000, MATCH($A157, Joined!$I$3:$I$2000, FALSE), 8)</f>
        <v>B_01'Flr_04</v>
      </c>
      <c r="C157" t="str">
        <f>INDEX(Joined!$A$3:$M$2000, MATCH($A157, Joined!$I$3:$I$2000, FALSE), 7)</f>
        <v>VAV-4W-48</v>
      </c>
      <c r="D157">
        <f>INDEX(Joined!$A$3:$M$2000, MATCH($A157, Joined!$I$3:$I$2000, FALSE), 5)</f>
        <v>150912</v>
      </c>
      <c r="E157" t="str">
        <f>INDEX(Joined!$A$3:$M$2000, MATCH($A157, Joined!$I$3:$I$2000, FALSE), 7)</f>
        <v>VAV-4W-48</v>
      </c>
      <c r="F157" t="s">
        <v>38</v>
      </c>
      <c r="G157" t="str">
        <f>INDEX(Schedule!$Q$2:$R$7, MATCH(ABT!$H157,Schedule!$Q$2:$Q$7, 0), 2)</f>
        <v>15009_ADXR_VAV_DXRM10_Hum</v>
      </c>
      <c r="H157">
        <f>INDEX(Joined!$A$3:$M$2000, MATCH($A157, Joined!$I$3:$I$2000, FALSE), 6)</f>
        <v>15009</v>
      </c>
      <c r="I157" t="str">
        <f>INDEX(Joined!$A$3:$M$2000, MATCH($A157, Joined!$I$3:$I$2000, FALSE), 4)</f>
        <v>509</v>
      </c>
      <c r="J157" t="b">
        <v>0</v>
      </c>
      <c r="K157">
        <f>INDEX(Joined!$A$3:$M$2000, MATCH($A157, Joined!$I$3:$I$2000, FALSE), 3)</f>
        <v>12</v>
      </c>
      <c r="L157">
        <v>85</v>
      </c>
      <c r="M157">
        <v>38400</v>
      </c>
      <c r="N157" s="27">
        <f>PI()*(INDEX(Schedule!$A$1:$N$2000, MATCH($C157, VAV_Schedule_5_21[[#All],[UNIT TAG]], FALSE), 4)/2/12)^2</f>
        <v>0.54541539124822802</v>
      </c>
      <c r="O157" s="27">
        <f>INDEX(Schedule!$A$1:$N$2000, MATCH($C157, VAV_Schedule_5_21[[#All],[UNIT TAG]], FALSE), 4)</f>
        <v>10</v>
      </c>
      <c r="P157">
        <v>155.63</v>
      </c>
      <c r="Q157" s="27">
        <f>INDEX(Schedule!$A$1:$N$2000, MATCH($C157, VAV_Schedule_5_21[[#All],[UNIT TAG]], FALSE), 5)</f>
        <v>950</v>
      </c>
      <c r="R157" s="27">
        <f>INDEX(Schedule!$A$1:$N$2000, MATCH($C157, VAV_Schedule_5_21[[#All],[UNIT TAG]], FALSE), 6)</f>
        <v>0</v>
      </c>
      <c r="S157" s="27">
        <f>INDEX(Schedule!$A$1:$N$2000, MATCH($C157, VAV_Schedule_5_21[[#All],[UNIT TAG]], FALSE), 5)</f>
        <v>950</v>
      </c>
      <c r="T157" s="27">
        <f>INDEX(Schedule!$A$1:$N$2000, MATCH($C157, VAV_Schedule_5_21[[#All],[UNIT TAG]], FALSE), 6)</f>
        <v>0</v>
      </c>
      <c r="U157" s="27">
        <f>INDEX(Schedule!$A$1:$N$2000, MATCH($C157, VAV_Schedule_5_21[[#All],[UNIT TAG]], FALSE), 5)</f>
        <v>950</v>
      </c>
      <c r="V157" s="27">
        <f>INDEX(Schedule!$A$1:$N$2000, MATCH($C157, VAV_Schedule_5_21[[#All],[UNIT TAG]], FALSE), 6)</f>
        <v>0</v>
      </c>
      <c r="W157" s="27">
        <f>INDEX(Schedule!$A$1:$N$2000, MATCH($C157, VAV_Schedule_5_21[[#All],[UNIT TAG]], FALSE), 6)</f>
        <v>0</v>
      </c>
      <c r="X157" s="27">
        <f>INDEX(Schedule!$A$1:$N$2000, MATCH($C157, VAV_Schedule_5_21[[#All],[UNIT TAG]], FALSE), 6)</f>
        <v>0</v>
      </c>
      <c r="Y157" s="27">
        <f>INDEX(Schedule!$A$1:$N$2000, MATCH($C157, VAV_Schedule_5_21[[#All],[UNIT TAG]], FALSE), 6)</f>
        <v>0</v>
      </c>
      <c r="Z157" s="27">
        <f>INDEX(Schedule!$A$1:$N$2000, MATCH($C157, VAV_Schedule_5_21[[#All],[UNIT TAG]], FALSE), 6)</f>
        <v>0</v>
      </c>
      <c r="AA157" s="27">
        <v>1000</v>
      </c>
      <c r="AB157" s="27">
        <v>1100</v>
      </c>
      <c r="AC157">
        <v>1400</v>
      </c>
      <c r="AD157" s="29" t="str">
        <f>IF(INDEX(Schedule!$A$1:$N$2000, MATCH($C157, VAV_Schedule_5_21[[#All],[UNIT TAG]], FALSE), 7)="-", 0, INDEX(Schedule!$A$1:$N$2000, MATCH($C157, VAV_Schedule_5_21[[#All],[UNIT TAG]], FALSE), 7))</f>
        <v>6</v>
      </c>
      <c r="AE157" t="str">
        <f>"B_01'" &amp; "Flr_0" &amp; INDEX(Joined!$A$3:$M$2000, MATCH($A157, Joined!$I$3:$I$2000, FALSE), 8)</f>
        <v>B_01'Flr_04</v>
      </c>
      <c r="AF157" t="str">
        <f>"R_" &amp; INDEX(Joined!$A$3:$M$2000, MATCH($A157, Joined!$I$3:$I$2000, FALSE), 7)</f>
        <v>R_VAV-4W-48</v>
      </c>
      <c r="AG157" t="str">
        <f>"B_01'" &amp; "Flr_0" &amp; INDEX(Joined!$A$3:$M$2000, MATCH($A157, Joined!$I$3:$I$2000, FALSE), 8)</f>
        <v>B_01'Flr_04</v>
      </c>
      <c r="AH157" t="str">
        <f>INDEX(Joined!$A$3:$M$2000, MATCH($A157, Joined!$I$3:$I$2000, FALSE), 7)</f>
        <v>VAV-4W-48</v>
      </c>
      <c r="AI157" t="s">
        <v>980</v>
      </c>
    </row>
    <row r="158" spans="1:35" x14ac:dyDescent="0.2">
      <c r="A158" t="s">
        <v>548</v>
      </c>
      <c r="B158" t="str">
        <f>"B_01'" &amp; "Flr_0" &amp; INDEX(Joined!$A$3:$M$2000, MATCH($A158, Joined!$I$3:$I$2000, FALSE), 8)</f>
        <v>B_01'Flr_04</v>
      </c>
      <c r="C158" t="str">
        <f>INDEX(Joined!$A$3:$M$2000, MATCH($A158, Joined!$I$3:$I$2000, FALSE), 7)</f>
        <v>VAV-4W-49</v>
      </c>
      <c r="D158">
        <f>INDEX(Joined!$A$3:$M$2000, MATCH($A158, Joined!$I$3:$I$2000, FALSE), 5)</f>
        <v>150913</v>
      </c>
      <c r="E158" t="str">
        <f>INDEX(Joined!$A$3:$M$2000, MATCH($A158, Joined!$I$3:$I$2000, FALSE), 7)</f>
        <v>VAV-4W-49</v>
      </c>
      <c r="F158" t="s">
        <v>38</v>
      </c>
      <c r="G158" t="str">
        <f>INDEX(Schedule!$Q$2:$R$7, MATCH(ABT!$H158,Schedule!$Q$2:$Q$7, 0), 2)</f>
        <v>15008_ADXR_VAV_DXRM10_Hum</v>
      </c>
      <c r="H158">
        <f>INDEX(Joined!$A$3:$M$2000, MATCH($A158, Joined!$I$3:$I$2000, FALSE), 6)</f>
        <v>15008</v>
      </c>
      <c r="I158" t="str">
        <f>INDEX(Joined!$A$3:$M$2000, MATCH($A158, Joined!$I$3:$I$2000, FALSE), 4)</f>
        <v>509</v>
      </c>
      <c r="J158" t="b">
        <v>0</v>
      </c>
      <c r="K158">
        <f>INDEX(Joined!$A$3:$M$2000, MATCH($A158, Joined!$I$3:$I$2000, FALSE), 3)</f>
        <v>13</v>
      </c>
      <c r="L158">
        <v>85</v>
      </c>
      <c r="M158">
        <v>38400</v>
      </c>
      <c r="N158" s="27">
        <f>PI()*(INDEX(Schedule!$A$1:$N$2000, MATCH($C158, VAV_Schedule_5_21[[#All],[UNIT TAG]], FALSE), 4)/2/12)^2</f>
        <v>0.78539816339744828</v>
      </c>
      <c r="O158" s="27">
        <f>INDEX(Schedule!$A$1:$N$2000, MATCH($C158, VAV_Schedule_5_21[[#All],[UNIT TAG]], FALSE), 4)</f>
        <v>12</v>
      </c>
      <c r="P158">
        <v>156.63</v>
      </c>
      <c r="Q158" s="27">
        <f>INDEX(Schedule!$A$1:$N$2000, MATCH($C158, VAV_Schedule_5_21[[#All],[UNIT TAG]], FALSE), 5)</f>
        <v>1.4</v>
      </c>
      <c r="R158" s="27">
        <f>INDEX(Schedule!$A$1:$N$2000, MATCH($C158, VAV_Schedule_5_21[[#All],[UNIT TAG]], FALSE), 6)</f>
        <v>0</v>
      </c>
      <c r="S158" s="27">
        <f>INDEX(Schedule!$A$1:$N$2000, MATCH($C158, VAV_Schedule_5_21[[#All],[UNIT TAG]], FALSE), 5)</f>
        <v>1.4</v>
      </c>
      <c r="T158" s="27">
        <f>INDEX(Schedule!$A$1:$N$2000, MATCH($C158, VAV_Schedule_5_21[[#All],[UNIT TAG]], FALSE), 6)</f>
        <v>0</v>
      </c>
      <c r="U158" s="27">
        <f>INDEX(Schedule!$A$1:$N$2000, MATCH($C158, VAV_Schedule_5_21[[#All],[UNIT TAG]], FALSE), 5)</f>
        <v>1.4</v>
      </c>
      <c r="V158" s="27">
        <f>INDEX(Schedule!$A$1:$N$2000, MATCH($C158, VAV_Schedule_5_21[[#All],[UNIT TAG]], FALSE), 6)</f>
        <v>0</v>
      </c>
      <c r="W158" s="27">
        <f>INDEX(Schedule!$A$1:$N$2000, MATCH($C158, VAV_Schedule_5_21[[#All],[UNIT TAG]], FALSE), 6)</f>
        <v>0</v>
      </c>
      <c r="X158" s="27">
        <f>INDEX(Schedule!$A$1:$N$2000, MATCH($C158, VAV_Schedule_5_21[[#All],[UNIT TAG]], FALSE), 6)</f>
        <v>0</v>
      </c>
      <c r="Y158" s="27">
        <f>INDEX(Schedule!$A$1:$N$2000, MATCH($C158, VAV_Schedule_5_21[[#All],[UNIT TAG]], FALSE), 6)</f>
        <v>0</v>
      </c>
      <c r="Z158" s="27">
        <f>INDEX(Schedule!$A$1:$N$2000, MATCH($C158, VAV_Schedule_5_21[[#All],[UNIT TAG]], FALSE), 6)</f>
        <v>0</v>
      </c>
      <c r="AA158" s="27">
        <v>1000</v>
      </c>
      <c r="AB158" s="27">
        <v>1100</v>
      </c>
      <c r="AC158">
        <v>1400</v>
      </c>
      <c r="AD158" s="29">
        <f>IF(INDEX(Schedule!$A$1:$N$2000, MATCH($C158, VAV_Schedule_5_21[[#All],[UNIT TAG]], FALSE), 7)="-", 0, INDEX(Schedule!$A$1:$N$2000, MATCH($C158, VAV_Schedule_5_21[[#All],[UNIT TAG]], FALSE), 7))</f>
        <v>0</v>
      </c>
      <c r="AE158" t="str">
        <f>"B_01'" &amp; "Flr_0" &amp; INDEX(Joined!$A$3:$M$2000, MATCH($A158, Joined!$I$3:$I$2000, FALSE), 8)</f>
        <v>B_01'Flr_04</v>
      </c>
      <c r="AF158" t="str">
        <f>"R_" &amp; INDEX(Joined!$A$3:$M$2000, MATCH($A158, Joined!$I$3:$I$2000, FALSE), 7)</f>
        <v>R_VAV-4W-49</v>
      </c>
      <c r="AG158" t="str">
        <f>"B_01'" &amp; "Flr_0" &amp; INDEX(Joined!$A$3:$M$2000, MATCH($A158, Joined!$I$3:$I$2000, FALSE), 8)</f>
        <v>B_01'Flr_04</v>
      </c>
      <c r="AH158" t="str">
        <f>INDEX(Joined!$A$3:$M$2000, MATCH($A158, Joined!$I$3:$I$2000, FALSE), 7)</f>
        <v>VAV-4W-49</v>
      </c>
      <c r="AI158" t="s">
        <v>965</v>
      </c>
    </row>
    <row r="159" spans="1:35" x14ac:dyDescent="0.2">
      <c r="A159" t="s">
        <v>540</v>
      </c>
      <c r="B159" t="str">
        <f>"B_01'" &amp; "Flr_0" &amp; INDEX(Joined!$A$3:$M$2000, MATCH($A159, Joined!$I$3:$I$2000, FALSE), 8)</f>
        <v>B_01'Flr_04</v>
      </c>
      <c r="C159" t="str">
        <f>INDEX(Joined!$A$3:$M$2000, MATCH($A159, Joined!$I$3:$I$2000, FALSE), 7)</f>
        <v>VAV-4W-5</v>
      </c>
      <c r="D159">
        <f>INDEX(Joined!$A$3:$M$2000, MATCH($A159, Joined!$I$3:$I$2000, FALSE), 5)</f>
        <v>150905</v>
      </c>
      <c r="E159" t="str">
        <f>INDEX(Joined!$A$3:$M$2000, MATCH($A159, Joined!$I$3:$I$2000, FALSE), 7)</f>
        <v>VAV-4W-5</v>
      </c>
      <c r="F159" t="s">
        <v>38</v>
      </c>
      <c r="G159" t="str">
        <f>INDEX(Schedule!$Q$2:$R$7, MATCH(ABT!$H159,Schedule!$Q$2:$Q$7, 0), 2)</f>
        <v>15009_ADXR_VAV_DXRM10_Hum</v>
      </c>
      <c r="H159">
        <f>INDEX(Joined!$A$3:$M$2000, MATCH($A159, Joined!$I$3:$I$2000, FALSE), 6)</f>
        <v>15009</v>
      </c>
      <c r="I159" t="str">
        <f>INDEX(Joined!$A$3:$M$2000, MATCH($A159, Joined!$I$3:$I$2000, FALSE), 4)</f>
        <v>509</v>
      </c>
      <c r="J159" t="b">
        <v>0</v>
      </c>
      <c r="K159">
        <f>INDEX(Joined!$A$3:$M$2000, MATCH($A159, Joined!$I$3:$I$2000, FALSE), 3)</f>
        <v>5</v>
      </c>
      <c r="L159">
        <v>85</v>
      </c>
      <c r="M159">
        <v>38400</v>
      </c>
      <c r="N159" s="27">
        <f>PI()*(INDEX(Schedule!$A$1:$N$2000, MATCH($C159, VAV_Schedule_5_21[[#All],[UNIT TAG]], FALSE), 4)/2/12)^2</f>
        <v>0.3490658503988659</v>
      </c>
      <c r="O159" s="27">
        <f>INDEX(Schedule!$A$1:$N$2000, MATCH($C159, VAV_Schedule_5_21[[#All],[UNIT TAG]], FALSE), 4)</f>
        <v>8</v>
      </c>
      <c r="P159">
        <v>157.63</v>
      </c>
      <c r="Q159" s="27">
        <f>INDEX(Schedule!$A$1:$N$2000, MATCH($C159, VAV_Schedule_5_21[[#All],[UNIT TAG]], FALSE), 5)</f>
        <v>450</v>
      </c>
      <c r="R159" s="27">
        <f>INDEX(Schedule!$A$1:$N$2000, MATCH($C159, VAV_Schedule_5_21[[#All],[UNIT TAG]], FALSE), 6)</f>
        <v>0</v>
      </c>
      <c r="S159" s="27">
        <f>INDEX(Schedule!$A$1:$N$2000, MATCH($C159, VAV_Schedule_5_21[[#All],[UNIT TAG]], FALSE), 5)</f>
        <v>450</v>
      </c>
      <c r="T159" s="27">
        <f>INDEX(Schedule!$A$1:$N$2000, MATCH($C159, VAV_Schedule_5_21[[#All],[UNIT TAG]], FALSE), 6)</f>
        <v>0</v>
      </c>
      <c r="U159" s="27">
        <f>INDEX(Schedule!$A$1:$N$2000, MATCH($C159, VAV_Schedule_5_21[[#All],[UNIT TAG]], FALSE), 5)</f>
        <v>450</v>
      </c>
      <c r="V159" s="27">
        <f>INDEX(Schedule!$A$1:$N$2000, MATCH($C159, VAV_Schedule_5_21[[#All],[UNIT TAG]], FALSE), 6)</f>
        <v>0</v>
      </c>
      <c r="W159" s="27">
        <f>INDEX(Schedule!$A$1:$N$2000, MATCH($C159, VAV_Schedule_5_21[[#All],[UNIT TAG]], FALSE), 6)</f>
        <v>0</v>
      </c>
      <c r="X159" s="27">
        <f>INDEX(Schedule!$A$1:$N$2000, MATCH($C159, VAV_Schedule_5_21[[#All],[UNIT TAG]], FALSE), 6)</f>
        <v>0</v>
      </c>
      <c r="Y159" s="27">
        <f>INDEX(Schedule!$A$1:$N$2000, MATCH($C159, VAV_Schedule_5_21[[#All],[UNIT TAG]], FALSE), 6)</f>
        <v>0</v>
      </c>
      <c r="Z159" s="27">
        <f>INDEX(Schedule!$A$1:$N$2000, MATCH($C159, VAV_Schedule_5_21[[#All],[UNIT TAG]], FALSE), 6)</f>
        <v>0</v>
      </c>
      <c r="AA159" s="27">
        <v>1000</v>
      </c>
      <c r="AB159" s="27">
        <v>1100</v>
      </c>
      <c r="AC159">
        <v>1400</v>
      </c>
      <c r="AD159" s="29" t="str">
        <f>IF(INDEX(Schedule!$A$1:$N$2000, MATCH($C159, VAV_Schedule_5_21[[#All],[UNIT TAG]], FALSE), 7)="-", 0, INDEX(Schedule!$A$1:$N$2000, MATCH($C159, VAV_Schedule_5_21[[#All],[UNIT TAG]], FALSE), 7))</f>
        <v>3</v>
      </c>
      <c r="AE159" t="str">
        <f>"B_01'" &amp; "Flr_0" &amp; INDEX(Joined!$A$3:$M$2000, MATCH($A159, Joined!$I$3:$I$2000, FALSE), 8)</f>
        <v>B_01'Flr_04</v>
      </c>
      <c r="AF159" t="str">
        <f>"R_" &amp; INDEX(Joined!$A$3:$M$2000, MATCH($A159, Joined!$I$3:$I$2000, FALSE), 7)</f>
        <v>R_VAV-4W-5</v>
      </c>
      <c r="AG159" t="str">
        <f>"B_01'" &amp; "Flr_0" &amp; INDEX(Joined!$A$3:$M$2000, MATCH($A159, Joined!$I$3:$I$2000, FALSE), 8)</f>
        <v>B_01'Flr_04</v>
      </c>
      <c r="AH159" t="str">
        <f>INDEX(Joined!$A$3:$M$2000, MATCH($A159, Joined!$I$3:$I$2000, FALSE), 7)</f>
        <v>VAV-4W-5</v>
      </c>
      <c r="AI159" t="s">
        <v>981</v>
      </c>
    </row>
    <row r="160" spans="1:35" x14ac:dyDescent="0.2">
      <c r="A160" t="s">
        <v>549</v>
      </c>
      <c r="B160" t="str">
        <f>"B_01'" &amp; "Flr_0" &amp; INDEX(Joined!$A$3:$M$2000, MATCH($A160, Joined!$I$3:$I$2000, FALSE), 8)</f>
        <v>B_01'Flr_04</v>
      </c>
      <c r="C160" t="str">
        <f>INDEX(Joined!$A$3:$M$2000, MATCH($A160, Joined!$I$3:$I$2000, FALSE), 7)</f>
        <v>VAV-4W-50</v>
      </c>
      <c r="D160">
        <f>INDEX(Joined!$A$3:$M$2000, MATCH($A160, Joined!$I$3:$I$2000, FALSE), 5)</f>
        <v>150914</v>
      </c>
      <c r="E160" t="str">
        <f>INDEX(Joined!$A$3:$M$2000, MATCH($A160, Joined!$I$3:$I$2000, FALSE), 7)</f>
        <v>VAV-4W-50</v>
      </c>
      <c r="F160" t="s">
        <v>38</v>
      </c>
      <c r="G160" t="str">
        <f>INDEX(Schedule!$Q$2:$R$7, MATCH(ABT!$H160,Schedule!$Q$2:$Q$7, 0), 2)</f>
        <v>15009_ADXR_VAV_DXRM10_Hum</v>
      </c>
      <c r="H160">
        <f>INDEX(Joined!$A$3:$M$2000, MATCH($A160, Joined!$I$3:$I$2000, FALSE), 6)</f>
        <v>15009</v>
      </c>
      <c r="I160" t="str">
        <f>INDEX(Joined!$A$3:$M$2000, MATCH($A160, Joined!$I$3:$I$2000, FALSE), 4)</f>
        <v>509</v>
      </c>
      <c r="J160" t="b">
        <v>0</v>
      </c>
      <c r="K160">
        <f>INDEX(Joined!$A$3:$M$2000, MATCH($A160, Joined!$I$3:$I$2000, FALSE), 3)</f>
        <v>14</v>
      </c>
      <c r="L160">
        <v>85</v>
      </c>
      <c r="M160">
        <v>38400</v>
      </c>
      <c r="N160" s="27">
        <f>PI()*(INDEX(Schedule!$A$1:$N$2000, MATCH($C160, VAV_Schedule_5_21[[#All],[UNIT TAG]], FALSE), 4)/2/12)^2</f>
        <v>0.54541539124822802</v>
      </c>
      <c r="O160" s="27">
        <f>INDEX(Schedule!$A$1:$N$2000, MATCH($C160, VAV_Schedule_5_21[[#All],[UNIT TAG]], FALSE), 4)</f>
        <v>10</v>
      </c>
      <c r="P160">
        <v>158.63</v>
      </c>
      <c r="Q160" s="27">
        <f>INDEX(Schedule!$A$1:$N$2000, MATCH($C160, VAV_Schedule_5_21[[#All],[UNIT TAG]], FALSE), 5)</f>
        <v>900</v>
      </c>
      <c r="R160" s="27">
        <f>INDEX(Schedule!$A$1:$N$2000, MATCH($C160, VAV_Schedule_5_21[[#All],[UNIT TAG]], FALSE), 6)</f>
        <v>0</v>
      </c>
      <c r="S160" s="27">
        <f>INDEX(Schedule!$A$1:$N$2000, MATCH($C160, VAV_Schedule_5_21[[#All],[UNIT TAG]], FALSE), 5)</f>
        <v>900</v>
      </c>
      <c r="T160" s="27">
        <f>INDEX(Schedule!$A$1:$N$2000, MATCH($C160, VAV_Schedule_5_21[[#All],[UNIT TAG]], FALSE), 6)</f>
        <v>0</v>
      </c>
      <c r="U160" s="27">
        <f>INDEX(Schedule!$A$1:$N$2000, MATCH($C160, VAV_Schedule_5_21[[#All],[UNIT TAG]], FALSE), 5)</f>
        <v>900</v>
      </c>
      <c r="V160" s="27">
        <f>INDEX(Schedule!$A$1:$N$2000, MATCH($C160, VAV_Schedule_5_21[[#All],[UNIT TAG]], FALSE), 6)</f>
        <v>0</v>
      </c>
      <c r="W160" s="27">
        <f>INDEX(Schedule!$A$1:$N$2000, MATCH($C160, VAV_Schedule_5_21[[#All],[UNIT TAG]], FALSE), 6)</f>
        <v>0</v>
      </c>
      <c r="X160" s="27">
        <f>INDEX(Schedule!$A$1:$N$2000, MATCH($C160, VAV_Schedule_5_21[[#All],[UNIT TAG]], FALSE), 6)</f>
        <v>0</v>
      </c>
      <c r="Y160" s="27">
        <f>INDEX(Schedule!$A$1:$N$2000, MATCH($C160, VAV_Schedule_5_21[[#All],[UNIT TAG]], FALSE), 6)</f>
        <v>0</v>
      </c>
      <c r="Z160" s="27">
        <f>INDEX(Schedule!$A$1:$N$2000, MATCH($C160, VAV_Schedule_5_21[[#All],[UNIT TAG]], FALSE), 6)</f>
        <v>0</v>
      </c>
      <c r="AA160" s="27">
        <v>1000</v>
      </c>
      <c r="AB160" s="27">
        <v>1100</v>
      </c>
      <c r="AC160">
        <v>1400</v>
      </c>
      <c r="AD160" s="29" t="str">
        <f>IF(INDEX(Schedule!$A$1:$N$2000, MATCH($C160, VAV_Schedule_5_21[[#All],[UNIT TAG]], FALSE), 7)="-", 0, INDEX(Schedule!$A$1:$N$2000, MATCH($C160, VAV_Schedule_5_21[[#All],[UNIT TAG]], FALSE), 7))</f>
        <v>6</v>
      </c>
      <c r="AE160" t="str">
        <f>"B_01'" &amp; "Flr_0" &amp; INDEX(Joined!$A$3:$M$2000, MATCH($A160, Joined!$I$3:$I$2000, FALSE), 8)</f>
        <v>B_01'Flr_04</v>
      </c>
      <c r="AF160" t="str">
        <f>"R_" &amp; INDEX(Joined!$A$3:$M$2000, MATCH($A160, Joined!$I$3:$I$2000, FALSE), 7)</f>
        <v>R_VAV-4W-50</v>
      </c>
      <c r="AG160" t="str">
        <f>"B_01'" &amp; "Flr_0" &amp; INDEX(Joined!$A$3:$M$2000, MATCH($A160, Joined!$I$3:$I$2000, FALSE), 8)</f>
        <v>B_01'Flr_04</v>
      </c>
      <c r="AH160" t="str">
        <f>INDEX(Joined!$A$3:$M$2000, MATCH($A160, Joined!$I$3:$I$2000, FALSE), 7)</f>
        <v>VAV-4W-50</v>
      </c>
      <c r="AI160" t="s">
        <v>982</v>
      </c>
    </row>
    <row r="161" spans="1:35" x14ac:dyDescent="0.2">
      <c r="A161" t="s">
        <v>550</v>
      </c>
      <c r="B161" t="str">
        <f>"B_01'" &amp; "Flr_0" &amp; INDEX(Joined!$A$3:$M$2000, MATCH($A161, Joined!$I$3:$I$2000, FALSE), 8)</f>
        <v>B_01'Flr_04</v>
      </c>
      <c r="C161" t="str">
        <f>INDEX(Joined!$A$3:$M$2000, MATCH($A161, Joined!$I$3:$I$2000, FALSE), 7)</f>
        <v>VAV-4W-51</v>
      </c>
      <c r="D161">
        <f>INDEX(Joined!$A$3:$M$2000, MATCH($A161, Joined!$I$3:$I$2000, FALSE), 5)</f>
        <v>150915</v>
      </c>
      <c r="E161" t="str">
        <f>INDEX(Joined!$A$3:$M$2000, MATCH($A161, Joined!$I$3:$I$2000, FALSE), 7)</f>
        <v>VAV-4W-51</v>
      </c>
      <c r="F161" t="s">
        <v>38</v>
      </c>
      <c r="G161" t="str">
        <f>INDEX(Schedule!$Q$2:$R$7, MATCH(ABT!$H161,Schedule!$Q$2:$Q$7, 0), 2)</f>
        <v>15008_ADXR_VAV_DXRM10_Hum</v>
      </c>
      <c r="H161">
        <f>INDEX(Joined!$A$3:$M$2000, MATCH($A161, Joined!$I$3:$I$2000, FALSE), 6)</f>
        <v>15008</v>
      </c>
      <c r="I161" t="str">
        <f>INDEX(Joined!$A$3:$M$2000, MATCH($A161, Joined!$I$3:$I$2000, FALSE), 4)</f>
        <v>509</v>
      </c>
      <c r="J161" t="b">
        <v>0</v>
      </c>
      <c r="K161">
        <f>INDEX(Joined!$A$3:$M$2000, MATCH($A161, Joined!$I$3:$I$2000, FALSE), 3)</f>
        <v>15</v>
      </c>
      <c r="L161">
        <v>85</v>
      </c>
      <c r="M161">
        <v>38400</v>
      </c>
      <c r="N161" s="27">
        <f>PI()*(INDEX(Schedule!$A$1:$N$2000, MATCH($C161, VAV_Schedule_5_21[[#All],[UNIT TAG]], FALSE), 4)/2/12)^2</f>
        <v>0.78539816339744828</v>
      </c>
      <c r="O161" s="27">
        <f>INDEX(Schedule!$A$1:$N$2000, MATCH($C161, VAV_Schedule_5_21[[#All],[UNIT TAG]], FALSE), 4)</f>
        <v>12</v>
      </c>
      <c r="P161">
        <v>159.63</v>
      </c>
      <c r="Q161" s="27">
        <f>INDEX(Schedule!$A$1:$N$2000, MATCH($C161, VAV_Schedule_5_21[[#All],[UNIT TAG]], FALSE), 5)</f>
        <v>1.2050000000000001</v>
      </c>
      <c r="R161" s="27">
        <f>INDEX(Schedule!$A$1:$N$2000, MATCH($C161, VAV_Schedule_5_21[[#All],[UNIT TAG]], FALSE), 6)</f>
        <v>0</v>
      </c>
      <c r="S161" s="27">
        <f>INDEX(Schedule!$A$1:$N$2000, MATCH($C161, VAV_Schedule_5_21[[#All],[UNIT TAG]], FALSE), 5)</f>
        <v>1.2050000000000001</v>
      </c>
      <c r="T161" s="27">
        <f>INDEX(Schedule!$A$1:$N$2000, MATCH($C161, VAV_Schedule_5_21[[#All],[UNIT TAG]], FALSE), 6)</f>
        <v>0</v>
      </c>
      <c r="U161" s="27">
        <f>INDEX(Schedule!$A$1:$N$2000, MATCH($C161, VAV_Schedule_5_21[[#All],[UNIT TAG]], FALSE), 5)</f>
        <v>1.2050000000000001</v>
      </c>
      <c r="V161" s="27">
        <f>INDEX(Schedule!$A$1:$N$2000, MATCH($C161, VAV_Schedule_5_21[[#All],[UNIT TAG]], FALSE), 6)</f>
        <v>0</v>
      </c>
      <c r="W161" s="27">
        <f>INDEX(Schedule!$A$1:$N$2000, MATCH($C161, VAV_Schedule_5_21[[#All],[UNIT TAG]], FALSE), 6)</f>
        <v>0</v>
      </c>
      <c r="X161" s="27">
        <f>INDEX(Schedule!$A$1:$N$2000, MATCH($C161, VAV_Schedule_5_21[[#All],[UNIT TAG]], FALSE), 6)</f>
        <v>0</v>
      </c>
      <c r="Y161" s="27">
        <f>INDEX(Schedule!$A$1:$N$2000, MATCH($C161, VAV_Schedule_5_21[[#All],[UNIT TAG]], FALSE), 6)</f>
        <v>0</v>
      </c>
      <c r="Z161" s="27">
        <f>INDEX(Schedule!$A$1:$N$2000, MATCH($C161, VAV_Schedule_5_21[[#All],[UNIT TAG]], FALSE), 6)</f>
        <v>0</v>
      </c>
      <c r="AA161" s="27">
        <v>1000</v>
      </c>
      <c r="AB161" s="27">
        <v>1100</v>
      </c>
      <c r="AC161">
        <v>1400</v>
      </c>
      <c r="AD161" s="29">
        <f>IF(INDEX(Schedule!$A$1:$N$2000, MATCH($C161, VAV_Schedule_5_21[[#All],[UNIT TAG]], FALSE), 7)="-", 0, INDEX(Schedule!$A$1:$N$2000, MATCH($C161, VAV_Schedule_5_21[[#All],[UNIT TAG]], FALSE), 7))</f>
        <v>0</v>
      </c>
      <c r="AE161" t="str">
        <f>"B_01'" &amp; "Flr_0" &amp; INDEX(Joined!$A$3:$M$2000, MATCH($A161, Joined!$I$3:$I$2000, FALSE), 8)</f>
        <v>B_01'Flr_04</v>
      </c>
      <c r="AF161" t="str">
        <f>"R_" &amp; INDEX(Joined!$A$3:$M$2000, MATCH($A161, Joined!$I$3:$I$2000, FALSE), 7)</f>
        <v>R_VAV-4W-51</v>
      </c>
      <c r="AG161" t="str">
        <f>"B_01'" &amp; "Flr_0" &amp; INDEX(Joined!$A$3:$M$2000, MATCH($A161, Joined!$I$3:$I$2000, FALSE), 8)</f>
        <v>B_01'Flr_04</v>
      </c>
      <c r="AH161" t="str">
        <f>INDEX(Joined!$A$3:$M$2000, MATCH($A161, Joined!$I$3:$I$2000, FALSE), 7)</f>
        <v>VAV-4W-51</v>
      </c>
      <c r="AI161" t="s">
        <v>966</v>
      </c>
    </row>
    <row r="162" spans="1:35" x14ac:dyDescent="0.2">
      <c r="A162" t="s">
        <v>551</v>
      </c>
      <c r="B162" t="str">
        <f>"B_01'" &amp; "Flr_0" &amp; INDEX(Joined!$A$3:$M$2000, MATCH($A162, Joined!$I$3:$I$2000, FALSE), 8)</f>
        <v>B_01'Flr_04</v>
      </c>
      <c r="C162" t="str">
        <f>INDEX(Joined!$A$3:$M$2000, MATCH($A162, Joined!$I$3:$I$2000, FALSE), 7)</f>
        <v>VAV-4W-52</v>
      </c>
      <c r="D162">
        <f>INDEX(Joined!$A$3:$M$2000, MATCH($A162, Joined!$I$3:$I$2000, FALSE), 5)</f>
        <v>150916</v>
      </c>
      <c r="E162" t="str">
        <f>INDEX(Joined!$A$3:$M$2000, MATCH($A162, Joined!$I$3:$I$2000, FALSE), 7)</f>
        <v>VAV-4W-52</v>
      </c>
      <c r="F162" t="s">
        <v>38</v>
      </c>
      <c r="G162" t="str">
        <f>INDEX(Schedule!$Q$2:$R$7, MATCH(ABT!$H162,Schedule!$Q$2:$Q$7, 0), 2)</f>
        <v>15008_ADXR_VAV_DXRM10_Hum</v>
      </c>
      <c r="H162">
        <f>INDEX(Joined!$A$3:$M$2000, MATCH($A162, Joined!$I$3:$I$2000, FALSE), 6)</f>
        <v>15008</v>
      </c>
      <c r="I162" t="str">
        <f>INDEX(Joined!$A$3:$M$2000, MATCH($A162, Joined!$I$3:$I$2000, FALSE), 4)</f>
        <v>509</v>
      </c>
      <c r="J162" t="b">
        <v>0</v>
      </c>
      <c r="K162">
        <f>INDEX(Joined!$A$3:$M$2000, MATCH($A162, Joined!$I$3:$I$2000, FALSE), 3)</f>
        <v>16</v>
      </c>
      <c r="L162">
        <v>85</v>
      </c>
      <c r="M162">
        <v>38400</v>
      </c>
      <c r="N162" s="27">
        <f>PI()*(INDEX(Schedule!$A$1:$N$2000, MATCH($C162, VAV_Schedule_5_21[[#All],[UNIT TAG]], FALSE), 4)/2/12)^2</f>
        <v>0.19634954084936207</v>
      </c>
      <c r="O162" s="27">
        <f>INDEX(Schedule!$A$1:$N$2000, MATCH($C162, VAV_Schedule_5_21[[#All],[UNIT TAG]], FALSE), 4)</f>
        <v>6</v>
      </c>
      <c r="P162">
        <v>160.63</v>
      </c>
      <c r="Q162" s="27">
        <f>INDEX(Schedule!$A$1:$N$2000, MATCH($C162, VAV_Schedule_5_21[[#All],[UNIT TAG]], FALSE), 5)</f>
        <v>320</v>
      </c>
      <c r="R162" s="27">
        <f>INDEX(Schedule!$A$1:$N$2000, MATCH($C162, VAV_Schedule_5_21[[#All],[UNIT TAG]], FALSE), 6)</f>
        <v>0</v>
      </c>
      <c r="S162" s="27">
        <f>INDEX(Schedule!$A$1:$N$2000, MATCH($C162, VAV_Schedule_5_21[[#All],[UNIT TAG]], FALSE), 5)</f>
        <v>320</v>
      </c>
      <c r="T162" s="27">
        <f>INDEX(Schedule!$A$1:$N$2000, MATCH($C162, VAV_Schedule_5_21[[#All],[UNIT TAG]], FALSE), 6)</f>
        <v>0</v>
      </c>
      <c r="U162" s="27">
        <f>INDEX(Schedule!$A$1:$N$2000, MATCH($C162, VAV_Schedule_5_21[[#All],[UNIT TAG]], FALSE), 5)</f>
        <v>320</v>
      </c>
      <c r="V162" s="27">
        <f>INDEX(Schedule!$A$1:$N$2000, MATCH($C162, VAV_Schedule_5_21[[#All],[UNIT TAG]], FALSE), 6)</f>
        <v>0</v>
      </c>
      <c r="W162" s="27">
        <f>INDEX(Schedule!$A$1:$N$2000, MATCH($C162, VAV_Schedule_5_21[[#All],[UNIT TAG]], FALSE), 6)</f>
        <v>0</v>
      </c>
      <c r="X162" s="27">
        <f>INDEX(Schedule!$A$1:$N$2000, MATCH($C162, VAV_Schedule_5_21[[#All],[UNIT TAG]], FALSE), 6)</f>
        <v>0</v>
      </c>
      <c r="Y162" s="27">
        <f>INDEX(Schedule!$A$1:$N$2000, MATCH($C162, VAV_Schedule_5_21[[#All],[UNIT TAG]], FALSE), 6)</f>
        <v>0</v>
      </c>
      <c r="Z162" s="27">
        <f>INDEX(Schedule!$A$1:$N$2000, MATCH($C162, VAV_Schedule_5_21[[#All],[UNIT TAG]], FALSE), 6)</f>
        <v>0</v>
      </c>
      <c r="AA162" s="27">
        <v>1000</v>
      </c>
      <c r="AB162" s="27">
        <v>1100</v>
      </c>
      <c r="AC162">
        <v>1400</v>
      </c>
      <c r="AD162" s="29">
        <f>IF(INDEX(Schedule!$A$1:$N$2000, MATCH($C162, VAV_Schedule_5_21[[#All],[UNIT TAG]], FALSE), 7)="-", 0, INDEX(Schedule!$A$1:$N$2000, MATCH($C162, VAV_Schedule_5_21[[#All],[UNIT TAG]], FALSE), 7))</f>
        <v>0</v>
      </c>
      <c r="AE162" t="str">
        <f>"B_01'" &amp; "Flr_0" &amp; INDEX(Joined!$A$3:$M$2000, MATCH($A162, Joined!$I$3:$I$2000, FALSE), 8)</f>
        <v>B_01'Flr_04</v>
      </c>
      <c r="AF162" t="str">
        <f>"R_" &amp; INDEX(Joined!$A$3:$M$2000, MATCH($A162, Joined!$I$3:$I$2000, FALSE), 7)</f>
        <v>R_VAV-4W-52</v>
      </c>
      <c r="AG162" t="str">
        <f>"B_01'" &amp; "Flr_0" &amp; INDEX(Joined!$A$3:$M$2000, MATCH($A162, Joined!$I$3:$I$2000, FALSE), 8)</f>
        <v>B_01'Flr_04</v>
      </c>
      <c r="AH162" t="str">
        <f>INDEX(Joined!$A$3:$M$2000, MATCH($A162, Joined!$I$3:$I$2000, FALSE), 7)</f>
        <v>VAV-4W-52</v>
      </c>
      <c r="AI162" t="s">
        <v>967</v>
      </c>
    </row>
    <row r="163" spans="1:35" x14ac:dyDescent="0.2">
      <c r="A163" t="s">
        <v>552</v>
      </c>
      <c r="B163" t="str">
        <f>"B_01'" &amp; "Flr_0" &amp; INDEX(Joined!$A$3:$M$2000, MATCH($A163, Joined!$I$3:$I$2000, FALSE), 8)</f>
        <v>B_01'Flr_04</v>
      </c>
      <c r="C163" t="str">
        <f>INDEX(Joined!$A$3:$M$2000, MATCH($A163, Joined!$I$3:$I$2000, FALSE), 7)</f>
        <v>VAV-4W-53</v>
      </c>
      <c r="D163">
        <f>INDEX(Joined!$A$3:$M$2000, MATCH($A163, Joined!$I$3:$I$2000, FALSE), 5)</f>
        <v>150917</v>
      </c>
      <c r="E163" t="str">
        <f>INDEX(Joined!$A$3:$M$2000, MATCH($A163, Joined!$I$3:$I$2000, FALSE), 7)</f>
        <v>VAV-4W-53</v>
      </c>
      <c r="F163" t="s">
        <v>38</v>
      </c>
      <c r="G163" t="str">
        <f>INDEX(Schedule!$Q$2:$R$7, MATCH(ABT!$H163,Schedule!$Q$2:$Q$7, 0), 2)</f>
        <v>15008_ADXR_VAV_DXRM10_Hum</v>
      </c>
      <c r="H163">
        <f>INDEX(Joined!$A$3:$M$2000, MATCH($A163, Joined!$I$3:$I$2000, FALSE), 6)</f>
        <v>15008</v>
      </c>
      <c r="I163" t="str">
        <f>INDEX(Joined!$A$3:$M$2000, MATCH($A163, Joined!$I$3:$I$2000, FALSE), 4)</f>
        <v>509</v>
      </c>
      <c r="J163" t="b">
        <v>0</v>
      </c>
      <c r="K163">
        <f>INDEX(Joined!$A$3:$M$2000, MATCH($A163, Joined!$I$3:$I$2000, FALSE), 3)</f>
        <v>17</v>
      </c>
      <c r="L163">
        <v>85</v>
      </c>
      <c r="M163">
        <v>38400</v>
      </c>
      <c r="N163" s="27">
        <f>PI()*(INDEX(Schedule!$A$1:$N$2000, MATCH($C163, VAV_Schedule_5_21[[#All],[UNIT TAG]], FALSE), 4)/2/12)^2</f>
        <v>0.3490658503988659</v>
      </c>
      <c r="O163" s="27">
        <f>INDEX(Schedule!$A$1:$N$2000, MATCH($C163, VAV_Schedule_5_21[[#All],[UNIT TAG]], FALSE), 4)</f>
        <v>8</v>
      </c>
      <c r="P163">
        <v>161.63</v>
      </c>
      <c r="Q163" s="27">
        <f>INDEX(Schedule!$A$1:$N$2000, MATCH($C163, VAV_Schedule_5_21[[#All],[UNIT TAG]], FALSE), 5)</f>
        <v>600</v>
      </c>
      <c r="R163" s="27">
        <f>INDEX(Schedule!$A$1:$N$2000, MATCH($C163, VAV_Schedule_5_21[[#All],[UNIT TAG]], FALSE), 6)</f>
        <v>0</v>
      </c>
      <c r="S163" s="27">
        <f>INDEX(Schedule!$A$1:$N$2000, MATCH($C163, VAV_Schedule_5_21[[#All],[UNIT TAG]], FALSE), 5)</f>
        <v>600</v>
      </c>
      <c r="T163" s="27">
        <f>INDEX(Schedule!$A$1:$N$2000, MATCH($C163, VAV_Schedule_5_21[[#All],[UNIT TAG]], FALSE), 6)</f>
        <v>0</v>
      </c>
      <c r="U163" s="27">
        <f>INDEX(Schedule!$A$1:$N$2000, MATCH($C163, VAV_Schedule_5_21[[#All],[UNIT TAG]], FALSE), 5)</f>
        <v>600</v>
      </c>
      <c r="V163" s="27">
        <f>INDEX(Schedule!$A$1:$N$2000, MATCH($C163, VAV_Schedule_5_21[[#All],[UNIT TAG]], FALSE), 6)</f>
        <v>0</v>
      </c>
      <c r="W163" s="27">
        <f>INDEX(Schedule!$A$1:$N$2000, MATCH($C163, VAV_Schedule_5_21[[#All],[UNIT TAG]], FALSE), 6)</f>
        <v>0</v>
      </c>
      <c r="X163" s="27">
        <f>INDEX(Schedule!$A$1:$N$2000, MATCH($C163, VAV_Schedule_5_21[[#All],[UNIT TAG]], FALSE), 6)</f>
        <v>0</v>
      </c>
      <c r="Y163" s="27">
        <f>INDEX(Schedule!$A$1:$N$2000, MATCH($C163, VAV_Schedule_5_21[[#All],[UNIT TAG]], FALSE), 6)</f>
        <v>0</v>
      </c>
      <c r="Z163" s="27">
        <f>INDEX(Schedule!$A$1:$N$2000, MATCH($C163, VAV_Schedule_5_21[[#All],[UNIT TAG]], FALSE), 6)</f>
        <v>0</v>
      </c>
      <c r="AA163" s="27">
        <v>1000</v>
      </c>
      <c r="AB163" s="27">
        <v>1100</v>
      </c>
      <c r="AC163">
        <v>1400</v>
      </c>
      <c r="AD163" s="29">
        <f>IF(INDEX(Schedule!$A$1:$N$2000, MATCH($C163, VAV_Schedule_5_21[[#All],[UNIT TAG]], FALSE), 7)="-", 0, INDEX(Schedule!$A$1:$N$2000, MATCH($C163, VAV_Schedule_5_21[[#All],[UNIT TAG]], FALSE), 7))</f>
        <v>0</v>
      </c>
      <c r="AE163" t="str">
        <f>"B_01'" &amp; "Flr_0" &amp; INDEX(Joined!$A$3:$M$2000, MATCH($A163, Joined!$I$3:$I$2000, FALSE), 8)</f>
        <v>B_01'Flr_04</v>
      </c>
      <c r="AF163" t="str">
        <f>"R_" &amp; INDEX(Joined!$A$3:$M$2000, MATCH($A163, Joined!$I$3:$I$2000, FALSE), 7)</f>
        <v>R_VAV-4W-53</v>
      </c>
      <c r="AG163" t="str">
        <f>"B_01'" &amp; "Flr_0" &amp; INDEX(Joined!$A$3:$M$2000, MATCH($A163, Joined!$I$3:$I$2000, FALSE), 8)</f>
        <v>B_01'Flr_04</v>
      </c>
      <c r="AH163" t="str">
        <f>INDEX(Joined!$A$3:$M$2000, MATCH($A163, Joined!$I$3:$I$2000, FALSE), 7)</f>
        <v>VAV-4W-53</v>
      </c>
      <c r="AI163" t="s">
        <v>968</v>
      </c>
    </row>
    <row r="164" spans="1:35" x14ac:dyDescent="0.2">
      <c r="A164" t="s">
        <v>553</v>
      </c>
      <c r="B164" t="str">
        <f>"B_01'" &amp; "Flr_0" &amp; INDEX(Joined!$A$3:$M$2000, MATCH($A164, Joined!$I$3:$I$2000, FALSE), 8)</f>
        <v>B_01'Flr_04</v>
      </c>
      <c r="C164" t="str">
        <f>INDEX(Joined!$A$3:$M$2000, MATCH($A164, Joined!$I$3:$I$2000, FALSE), 7)</f>
        <v>VAV-4W-54</v>
      </c>
      <c r="D164">
        <f>INDEX(Joined!$A$3:$M$2000, MATCH($A164, Joined!$I$3:$I$2000, FALSE), 5)</f>
        <v>150918</v>
      </c>
      <c r="E164" t="str">
        <f>INDEX(Joined!$A$3:$M$2000, MATCH($A164, Joined!$I$3:$I$2000, FALSE), 7)</f>
        <v>VAV-4W-54</v>
      </c>
      <c r="F164" t="s">
        <v>38</v>
      </c>
      <c r="G164" t="str">
        <f>INDEX(Schedule!$Q$2:$R$7, MATCH(ABT!$H164,Schedule!$Q$2:$Q$7, 0), 2)</f>
        <v>15009_ADXR_VAV_DXRM10_Hum</v>
      </c>
      <c r="H164">
        <f>INDEX(Joined!$A$3:$M$2000, MATCH($A164, Joined!$I$3:$I$2000, FALSE), 6)</f>
        <v>15009</v>
      </c>
      <c r="I164" t="str">
        <f>INDEX(Joined!$A$3:$M$2000, MATCH($A164, Joined!$I$3:$I$2000, FALSE), 4)</f>
        <v>509</v>
      </c>
      <c r="J164" t="b">
        <v>0</v>
      </c>
      <c r="K164">
        <f>INDEX(Joined!$A$3:$M$2000, MATCH($A164, Joined!$I$3:$I$2000, FALSE), 3)</f>
        <v>18</v>
      </c>
      <c r="L164">
        <v>85</v>
      </c>
      <c r="M164">
        <v>38400</v>
      </c>
      <c r="N164" s="27">
        <f>PI()*(INDEX(Schedule!$A$1:$N$2000, MATCH($C164, VAV_Schedule_5_21[[#All],[UNIT TAG]], FALSE), 4)/2/12)^2</f>
        <v>0.78539816339744828</v>
      </c>
      <c r="O164" s="27">
        <f>INDEX(Schedule!$A$1:$N$2000, MATCH($C164, VAV_Schedule_5_21[[#All],[UNIT TAG]], FALSE), 4)</f>
        <v>12</v>
      </c>
      <c r="P164">
        <v>162.63</v>
      </c>
      <c r="Q164" s="27">
        <f>INDEX(Schedule!$A$1:$N$2000, MATCH($C164, VAV_Schedule_5_21[[#All],[UNIT TAG]], FALSE), 5)</f>
        <v>1.2</v>
      </c>
      <c r="R164" s="27">
        <f>INDEX(Schedule!$A$1:$N$2000, MATCH($C164, VAV_Schedule_5_21[[#All],[UNIT TAG]], FALSE), 6)</f>
        <v>0</v>
      </c>
      <c r="S164" s="27">
        <f>INDEX(Schedule!$A$1:$N$2000, MATCH($C164, VAV_Schedule_5_21[[#All],[UNIT TAG]], FALSE), 5)</f>
        <v>1.2</v>
      </c>
      <c r="T164" s="27">
        <f>INDEX(Schedule!$A$1:$N$2000, MATCH($C164, VAV_Schedule_5_21[[#All],[UNIT TAG]], FALSE), 6)</f>
        <v>0</v>
      </c>
      <c r="U164" s="27">
        <f>INDEX(Schedule!$A$1:$N$2000, MATCH($C164, VAV_Schedule_5_21[[#All],[UNIT TAG]], FALSE), 5)</f>
        <v>1.2</v>
      </c>
      <c r="V164" s="27">
        <f>INDEX(Schedule!$A$1:$N$2000, MATCH($C164, VAV_Schedule_5_21[[#All],[UNIT TAG]], FALSE), 6)</f>
        <v>0</v>
      </c>
      <c r="W164" s="27">
        <f>INDEX(Schedule!$A$1:$N$2000, MATCH($C164, VAV_Schedule_5_21[[#All],[UNIT TAG]], FALSE), 6)</f>
        <v>0</v>
      </c>
      <c r="X164" s="27">
        <f>INDEX(Schedule!$A$1:$N$2000, MATCH($C164, VAV_Schedule_5_21[[#All],[UNIT TAG]], FALSE), 6)</f>
        <v>0</v>
      </c>
      <c r="Y164" s="27">
        <f>INDEX(Schedule!$A$1:$N$2000, MATCH($C164, VAV_Schedule_5_21[[#All],[UNIT TAG]], FALSE), 6)</f>
        <v>0</v>
      </c>
      <c r="Z164" s="27">
        <f>INDEX(Schedule!$A$1:$N$2000, MATCH($C164, VAV_Schedule_5_21[[#All],[UNIT TAG]], FALSE), 6)</f>
        <v>0</v>
      </c>
      <c r="AA164" s="27">
        <v>1000</v>
      </c>
      <c r="AB164" s="27">
        <v>1100</v>
      </c>
      <c r="AC164">
        <v>1400</v>
      </c>
      <c r="AD164" s="29" t="str">
        <f>IF(INDEX(Schedule!$A$1:$N$2000, MATCH($C164, VAV_Schedule_5_21[[#All],[UNIT TAG]], FALSE), 7)="-", 0, INDEX(Schedule!$A$1:$N$2000, MATCH($C164, VAV_Schedule_5_21[[#All],[UNIT TAG]], FALSE), 7))</f>
        <v>7</v>
      </c>
      <c r="AE164" t="str">
        <f>"B_01'" &amp; "Flr_0" &amp; INDEX(Joined!$A$3:$M$2000, MATCH($A164, Joined!$I$3:$I$2000, FALSE), 8)</f>
        <v>B_01'Flr_04</v>
      </c>
      <c r="AF164" t="str">
        <f>"R_" &amp; INDEX(Joined!$A$3:$M$2000, MATCH($A164, Joined!$I$3:$I$2000, FALSE), 7)</f>
        <v>R_VAV-4W-54</v>
      </c>
      <c r="AG164" t="str">
        <f>"B_01'" &amp; "Flr_0" &amp; INDEX(Joined!$A$3:$M$2000, MATCH($A164, Joined!$I$3:$I$2000, FALSE), 8)</f>
        <v>B_01'Flr_04</v>
      </c>
      <c r="AH164" t="str">
        <f>INDEX(Joined!$A$3:$M$2000, MATCH($A164, Joined!$I$3:$I$2000, FALSE), 7)</f>
        <v>VAV-4W-54</v>
      </c>
      <c r="AI164" t="s">
        <v>983</v>
      </c>
    </row>
    <row r="165" spans="1:35" x14ac:dyDescent="0.2">
      <c r="A165" t="s">
        <v>554</v>
      </c>
      <c r="B165" t="str">
        <f>"B_01'" &amp; "Flr_0" &amp; INDEX(Joined!$A$3:$M$2000, MATCH($A165, Joined!$I$3:$I$2000, FALSE), 8)</f>
        <v>B_01'Flr_04</v>
      </c>
      <c r="C165" t="str">
        <f>INDEX(Joined!$A$3:$M$2000, MATCH($A165, Joined!$I$3:$I$2000, FALSE), 7)</f>
        <v>VAV-4W-55</v>
      </c>
      <c r="D165">
        <f>INDEX(Joined!$A$3:$M$2000, MATCH($A165, Joined!$I$3:$I$2000, FALSE), 5)</f>
        <v>150919</v>
      </c>
      <c r="E165" t="str">
        <f>INDEX(Joined!$A$3:$M$2000, MATCH($A165, Joined!$I$3:$I$2000, FALSE), 7)</f>
        <v>VAV-4W-55</v>
      </c>
      <c r="F165" t="s">
        <v>38</v>
      </c>
      <c r="G165" t="str">
        <f>INDEX(Schedule!$Q$2:$R$7, MATCH(ABT!$H165,Schedule!$Q$2:$Q$7, 0), 2)</f>
        <v>15006_ADXR_VAV_DXR2M10</v>
      </c>
      <c r="H165">
        <f>INDEX(Joined!$A$3:$M$2000, MATCH($A165, Joined!$I$3:$I$2000, FALSE), 6)</f>
        <v>15006</v>
      </c>
      <c r="I165" t="str">
        <f>INDEX(Joined!$A$3:$M$2000, MATCH($A165, Joined!$I$3:$I$2000, FALSE), 4)</f>
        <v>509</v>
      </c>
      <c r="J165" t="b">
        <v>0</v>
      </c>
      <c r="K165">
        <f>INDEX(Joined!$A$3:$M$2000, MATCH($A165, Joined!$I$3:$I$2000, FALSE), 3)</f>
        <v>19</v>
      </c>
      <c r="L165">
        <v>85</v>
      </c>
      <c r="M165">
        <v>38400</v>
      </c>
      <c r="N165" s="27">
        <f>PI()*(INDEX(Schedule!$A$1:$N$2000, MATCH($C165, VAV_Schedule_5_21[[#All],[UNIT TAG]], FALSE), 4)/2/12)^2</f>
        <v>0.3490658503988659</v>
      </c>
      <c r="O165" s="27">
        <f>INDEX(Schedule!$A$1:$N$2000, MATCH($C165, VAV_Schedule_5_21[[#All],[UNIT TAG]], FALSE), 4)</f>
        <v>8</v>
      </c>
      <c r="P165">
        <v>163.63</v>
      </c>
      <c r="Q165" s="27">
        <f>INDEX(Schedule!$A$1:$N$2000, MATCH($C165, VAV_Schedule_5_21[[#All],[UNIT TAG]], FALSE), 5)</f>
        <v>580</v>
      </c>
      <c r="R165" s="27">
        <f>INDEX(Schedule!$A$1:$N$2000, MATCH($C165, VAV_Schedule_5_21[[#All],[UNIT TAG]], FALSE), 6)</f>
        <v>120</v>
      </c>
      <c r="S165" s="27">
        <f>INDEX(Schedule!$A$1:$N$2000, MATCH($C165, VAV_Schedule_5_21[[#All],[UNIT TAG]], FALSE), 5)</f>
        <v>580</v>
      </c>
      <c r="T165" s="27">
        <f>INDEX(Schedule!$A$1:$N$2000, MATCH($C165, VAV_Schedule_5_21[[#All],[UNIT TAG]], FALSE), 6)</f>
        <v>120</v>
      </c>
      <c r="U165" s="27">
        <f>INDEX(Schedule!$A$1:$N$2000, MATCH($C165, VAV_Schedule_5_21[[#All],[UNIT TAG]], FALSE), 5)</f>
        <v>580</v>
      </c>
      <c r="V165" s="27">
        <f>INDEX(Schedule!$A$1:$N$2000, MATCH($C165, VAV_Schedule_5_21[[#All],[UNIT TAG]], FALSE), 6)</f>
        <v>120</v>
      </c>
      <c r="W165" s="27">
        <f>INDEX(Schedule!$A$1:$N$2000, MATCH($C165, VAV_Schedule_5_21[[#All],[UNIT TAG]], FALSE), 6)</f>
        <v>120</v>
      </c>
      <c r="X165" s="27">
        <f>INDEX(Schedule!$A$1:$N$2000, MATCH($C165, VAV_Schedule_5_21[[#All],[UNIT TAG]], FALSE), 6)</f>
        <v>120</v>
      </c>
      <c r="Y165" s="27">
        <f>INDEX(Schedule!$A$1:$N$2000, MATCH($C165, VAV_Schedule_5_21[[#All],[UNIT TAG]], FALSE), 6)</f>
        <v>120</v>
      </c>
      <c r="Z165" s="27">
        <f>INDEX(Schedule!$A$1:$N$2000, MATCH($C165, VAV_Schedule_5_21[[#All],[UNIT TAG]], FALSE), 6)</f>
        <v>120</v>
      </c>
      <c r="AA165" s="27">
        <v>1000</v>
      </c>
      <c r="AB165" s="27">
        <v>1100</v>
      </c>
      <c r="AC165">
        <v>1400</v>
      </c>
      <c r="AD165" s="29">
        <f>IF(INDEX(Schedule!$A$1:$N$2000, MATCH($C165, VAV_Schedule_5_21[[#All],[UNIT TAG]], FALSE), 7)="-", 0, INDEX(Schedule!$A$1:$N$2000, MATCH($C165, VAV_Schedule_5_21[[#All],[UNIT TAG]], FALSE), 7))</f>
        <v>0</v>
      </c>
      <c r="AE165" t="str">
        <f>"B_01'" &amp; "Flr_0" &amp; INDEX(Joined!$A$3:$M$2000, MATCH($A165, Joined!$I$3:$I$2000, FALSE), 8)</f>
        <v>B_01'Flr_04</v>
      </c>
      <c r="AF165" t="str">
        <f>"R_" &amp; INDEX(Joined!$A$3:$M$2000, MATCH($A165, Joined!$I$3:$I$2000, FALSE), 7)</f>
        <v>R_VAV-4W-55</v>
      </c>
      <c r="AG165" t="str">
        <f>"B_01'" &amp; "Flr_0" &amp; INDEX(Joined!$A$3:$M$2000, MATCH($A165, Joined!$I$3:$I$2000, FALSE), 8)</f>
        <v>B_01'Flr_04</v>
      </c>
      <c r="AH165" t="str">
        <f>INDEX(Joined!$A$3:$M$2000, MATCH($A165, Joined!$I$3:$I$2000, FALSE), 7)</f>
        <v>VAV-4W-55</v>
      </c>
      <c r="AI165" t="s">
        <v>942</v>
      </c>
    </row>
    <row r="166" spans="1:35" x14ac:dyDescent="0.2">
      <c r="A166" t="s">
        <v>555</v>
      </c>
      <c r="B166" t="str">
        <f>"B_01'" &amp; "Flr_0" &amp; INDEX(Joined!$A$3:$M$2000, MATCH($A166, Joined!$I$3:$I$2000, FALSE), 8)</f>
        <v>B_01'Flr_04</v>
      </c>
      <c r="C166" t="str">
        <f>INDEX(Joined!$A$3:$M$2000, MATCH($A166, Joined!$I$3:$I$2000, FALSE), 7)</f>
        <v>VAV-4W-56</v>
      </c>
      <c r="D166">
        <f>INDEX(Joined!$A$3:$M$2000, MATCH($A166, Joined!$I$3:$I$2000, FALSE), 5)</f>
        <v>150920</v>
      </c>
      <c r="E166" t="str">
        <f>INDEX(Joined!$A$3:$M$2000, MATCH($A166, Joined!$I$3:$I$2000, FALSE), 7)</f>
        <v>VAV-4W-56</v>
      </c>
      <c r="F166" t="s">
        <v>38</v>
      </c>
      <c r="G166" t="str">
        <f>INDEX(Schedule!$Q$2:$R$7, MATCH(ABT!$H166,Schedule!$Q$2:$Q$7, 0), 2)</f>
        <v>15007_ADXR_VAV_DXR2M10</v>
      </c>
      <c r="H166">
        <f>INDEX(Joined!$A$3:$M$2000, MATCH($A166, Joined!$I$3:$I$2000, FALSE), 6)</f>
        <v>15007</v>
      </c>
      <c r="I166" t="str">
        <f>INDEX(Joined!$A$3:$M$2000, MATCH($A166, Joined!$I$3:$I$2000, FALSE), 4)</f>
        <v>509</v>
      </c>
      <c r="J166" t="b">
        <v>0</v>
      </c>
      <c r="K166">
        <f>INDEX(Joined!$A$3:$M$2000, MATCH($A166, Joined!$I$3:$I$2000, FALSE), 3)</f>
        <v>20</v>
      </c>
      <c r="L166">
        <v>85</v>
      </c>
      <c r="M166">
        <v>38400</v>
      </c>
      <c r="N166" s="27">
        <f>PI()*(INDEX(Schedule!$A$1:$N$2000, MATCH($C166, VAV_Schedule_5_21[[#All],[UNIT TAG]], FALSE), 4)/2/12)^2</f>
        <v>0.78539816339744828</v>
      </c>
      <c r="O166" s="27">
        <f>INDEX(Schedule!$A$1:$N$2000, MATCH($C166, VAV_Schedule_5_21[[#All],[UNIT TAG]], FALSE), 4)</f>
        <v>12</v>
      </c>
      <c r="P166">
        <v>164.63</v>
      </c>
      <c r="Q166" s="27">
        <f>INDEX(Schedule!$A$1:$N$2000, MATCH($C166, VAV_Schedule_5_21[[#All],[UNIT TAG]], FALSE), 5)</f>
        <v>1.1599999999999999</v>
      </c>
      <c r="R166" s="27">
        <f>INDEX(Schedule!$A$1:$N$2000, MATCH($C166, VAV_Schedule_5_21[[#All],[UNIT TAG]], FALSE), 6)</f>
        <v>235</v>
      </c>
      <c r="S166" s="27">
        <f>INDEX(Schedule!$A$1:$N$2000, MATCH($C166, VAV_Schedule_5_21[[#All],[UNIT TAG]], FALSE), 5)</f>
        <v>1.1599999999999999</v>
      </c>
      <c r="T166" s="27">
        <f>INDEX(Schedule!$A$1:$N$2000, MATCH($C166, VAV_Schedule_5_21[[#All],[UNIT TAG]], FALSE), 6)</f>
        <v>235</v>
      </c>
      <c r="U166" s="27">
        <f>INDEX(Schedule!$A$1:$N$2000, MATCH($C166, VAV_Schedule_5_21[[#All],[UNIT TAG]], FALSE), 5)</f>
        <v>1.1599999999999999</v>
      </c>
      <c r="V166" s="27">
        <f>INDEX(Schedule!$A$1:$N$2000, MATCH($C166, VAV_Schedule_5_21[[#All],[UNIT TAG]], FALSE), 6)</f>
        <v>235</v>
      </c>
      <c r="W166" s="27">
        <f>INDEX(Schedule!$A$1:$N$2000, MATCH($C166, VAV_Schedule_5_21[[#All],[UNIT TAG]], FALSE), 6)</f>
        <v>235</v>
      </c>
      <c r="X166" s="27">
        <f>INDEX(Schedule!$A$1:$N$2000, MATCH($C166, VAV_Schedule_5_21[[#All],[UNIT TAG]], FALSE), 6)</f>
        <v>235</v>
      </c>
      <c r="Y166" s="27">
        <f>INDEX(Schedule!$A$1:$N$2000, MATCH($C166, VAV_Schedule_5_21[[#All],[UNIT TAG]], FALSE), 6)</f>
        <v>235</v>
      </c>
      <c r="Z166" s="27">
        <f>INDEX(Schedule!$A$1:$N$2000, MATCH($C166, VAV_Schedule_5_21[[#All],[UNIT TAG]], FALSE), 6)</f>
        <v>235</v>
      </c>
      <c r="AA166" s="27">
        <v>1000</v>
      </c>
      <c r="AB166" s="27">
        <v>1100</v>
      </c>
      <c r="AC166">
        <v>1400</v>
      </c>
      <c r="AD166" s="29" t="str">
        <f>IF(INDEX(Schedule!$A$1:$N$2000, MATCH($C166, VAV_Schedule_5_21[[#All],[UNIT TAG]], FALSE), 7)="-", 0, INDEX(Schedule!$A$1:$N$2000, MATCH($C166, VAV_Schedule_5_21[[#All],[UNIT TAG]], FALSE), 7))</f>
        <v>6</v>
      </c>
      <c r="AE166" t="str">
        <f>"B_01'" &amp; "Flr_0" &amp; INDEX(Joined!$A$3:$M$2000, MATCH($A166, Joined!$I$3:$I$2000, FALSE), 8)</f>
        <v>B_01'Flr_04</v>
      </c>
      <c r="AF166" t="str">
        <f>"R_" &amp; INDEX(Joined!$A$3:$M$2000, MATCH($A166, Joined!$I$3:$I$2000, FALSE), 7)</f>
        <v>R_VAV-4W-56</v>
      </c>
      <c r="AG166" t="str">
        <f>"B_01'" &amp; "Flr_0" &amp; INDEX(Joined!$A$3:$M$2000, MATCH($A166, Joined!$I$3:$I$2000, FALSE), 8)</f>
        <v>B_01'Flr_04</v>
      </c>
      <c r="AH166" t="str">
        <f>INDEX(Joined!$A$3:$M$2000, MATCH($A166, Joined!$I$3:$I$2000, FALSE), 7)</f>
        <v>VAV-4W-56</v>
      </c>
      <c r="AI166" t="s">
        <v>958</v>
      </c>
    </row>
    <row r="167" spans="1:35" x14ac:dyDescent="0.2">
      <c r="A167" t="s">
        <v>556</v>
      </c>
      <c r="B167" t="str">
        <f>"B_01'" &amp; "Flr_0" &amp; INDEX(Joined!$A$3:$M$2000, MATCH($A167, Joined!$I$3:$I$2000, FALSE), 8)</f>
        <v>B_01'Flr_04</v>
      </c>
      <c r="C167" t="str">
        <f>INDEX(Joined!$A$3:$M$2000, MATCH($A167, Joined!$I$3:$I$2000, FALSE), 7)</f>
        <v>VAV-4W-57</v>
      </c>
      <c r="D167">
        <f>INDEX(Joined!$A$3:$M$2000, MATCH($A167, Joined!$I$3:$I$2000, FALSE), 5)</f>
        <v>150921</v>
      </c>
      <c r="E167" t="str">
        <f>INDEX(Joined!$A$3:$M$2000, MATCH($A167, Joined!$I$3:$I$2000, FALSE), 7)</f>
        <v>VAV-4W-57</v>
      </c>
      <c r="F167" t="s">
        <v>38</v>
      </c>
      <c r="G167" t="str">
        <f>INDEX(Schedule!$Q$2:$R$7, MATCH(ABT!$H167,Schedule!$Q$2:$Q$7, 0), 2)</f>
        <v>15006_ADXR_VAV_DXR2M10</v>
      </c>
      <c r="H167">
        <f>INDEX(Joined!$A$3:$M$2000, MATCH($A167, Joined!$I$3:$I$2000, FALSE), 6)</f>
        <v>15006</v>
      </c>
      <c r="I167" t="str">
        <f>INDEX(Joined!$A$3:$M$2000, MATCH($A167, Joined!$I$3:$I$2000, FALSE), 4)</f>
        <v>509</v>
      </c>
      <c r="J167" t="b">
        <v>0</v>
      </c>
      <c r="K167">
        <f>INDEX(Joined!$A$3:$M$2000, MATCH($A167, Joined!$I$3:$I$2000, FALSE), 3)</f>
        <v>21</v>
      </c>
      <c r="L167">
        <v>85</v>
      </c>
      <c r="M167">
        <v>38400</v>
      </c>
      <c r="N167" s="27">
        <f>PI()*(INDEX(Schedule!$A$1:$N$2000, MATCH($C167, VAV_Schedule_5_21[[#All],[UNIT TAG]], FALSE), 4)/2/12)^2</f>
        <v>0.3490658503988659</v>
      </c>
      <c r="O167" s="27">
        <f>INDEX(Schedule!$A$1:$N$2000, MATCH($C167, VAV_Schedule_5_21[[#All],[UNIT TAG]], FALSE), 4)</f>
        <v>8</v>
      </c>
      <c r="P167">
        <v>165.63</v>
      </c>
      <c r="Q167" s="27">
        <f>INDEX(Schedule!$A$1:$N$2000, MATCH($C167, VAV_Schedule_5_21[[#All],[UNIT TAG]], FALSE), 5)</f>
        <v>600</v>
      </c>
      <c r="R167" s="27">
        <f>INDEX(Schedule!$A$1:$N$2000, MATCH($C167, VAV_Schedule_5_21[[#All],[UNIT TAG]], FALSE), 6)</f>
        <v>120</v>
      </c>
      <c r="S167" s="27">
        <f>INDEX(Schedule!$A$1:$N$2000, MATCH($C167, VAV_Schedule_5_21[[#All],[UNIT TAG]], FALSE), 5)</f>
        <v>600</v>
      </c>
      <c r="T167" s="27">
        <f>INDEX(Schedule!$A$1:$N$2000, MATCH($C167, VAV_Schedule_5_21[[#All],[UNIT TAG]], FALSE), 6)</f>
        <v>120</v>
      </c>
      <c r="U167" s="27">
        <f>INDEX(Schedule!$A$1:$N$2000, MATCH($C167, VAV_Schedule_5_21[[#All],[UNIT TAG]], FALSE), 5)</f>
        <v>600</v>
      </c>
      <c r="V167" s="27">
        <f>INDEX(Schedule!$A$1:$N$2000, MATCH($C167, VAV_Schedule_5_21[[#All],[UNIT TAG]], FALSE), 6)</f>
        <v>120</v>
      </c>
      <c r="W167" s="27">
        <f>INDEX(Schedule!$A$1:$N$2000, MATCH($C167, VAV_Schedule_5_21[[#All],[UNIT TAG]], FALSE), 6)</f>
        <v>120</v>
      </c>
      <c r="X167" s="27">
        <f>INDEX(Schedule!$A$1:$N$2000, MATCH($C167, VAV_Schedule_5_21[[#All],[UNIT TAG]], FALSE), 6)</f>
        <v>120</v>
      </c>
      <c r="Y167" s="27">
        <f>INDEX(Schedule!$A$1:$N$2000, MATCH($C167, VAV_Schedule_5_21[[#All],[UNIT TAG]], FALSE), 6)</f>
        <v>120</v>
      </c>
      <c r="Z167" s="27">
        <f>INDEX(Schedule!$A$1:$N$2000, MATCH($C167, VAV_Schedule_5_21[[#All],[UNIT TAG]], FALSE), 6)</f>
        <v>120</v>
      </c>
      <c r="AA167" s="27">
        <v>1000</v>
      </c>
      <c r="AB167" s="27">
        <v>1100</v>
      </c>
      <c r="AC167">
        <v>1400</v>
      </c>
      <c r="AD167" s="29">
        <f>IF(INDEX(Schedule!$A$1:$N$2000, MATCH($C167, VAV_Schedule_5_21[[#All],[UNIT TAG]], FALSE), 7)="-", 0, INDEX(Schedule!$A$1:$N$2000, MATCH($C167, VAV_Schedule_5_21[[#All],[UNIT TAG]], FALSE), 7))</f>
        <v>0</v>
      </c>
      <c r="AE167" t="str">
        <f>"B_01'" &amp; "Flr_0" &amp; INDEX(Joined!$A$3:$M$2000, MATCH($A167, Joined!$I$3:$I$2000, FALSE), 8)</f>
        <v>B_01'Flr_04</v>
      </c>
      <c r="AF167" t="str">
        <f>"R_" &amp; INDEX(Joined!$A$3:$M$2000, MATCH($A167, Joined!$I$3:$I$2000, FALSE), 7)</f>
        <v>R_VAV-4W-57</v>
      </c>
      <c r="AG167" t="str">
        <f>"B_01'" &amp; "Flr_0" &amp; INDEX(Joined!$A$3:$M$2000, MATCH($A167, Joined!$I$3:$I$2000, FALSE), 8)</f>
        <v>B_01'Flr_04</v>
      </c>
      <c r="AH167" t="str">
        <f>INDEX(Joined!$A$3:$M$2000, MATCH($A167, Joined!$I$3:$I$2000, FALSE), 7)</f>
        <v>VAV-4W-57</v>
      </c>
      <c r="AI167" t="s">
        <v>943</v>
      </c>
    </row>
    <row r="168" spans="1:35" x14ac:dyDescent="0.2">
      <c r="A168" t="s">
        <v>557</v>
      </c>
      <c r="B168" t="str">
        <f>"B_01'" &amp; "Flr_0" &amp; INDEX(Joined!$A$3:$M$2000, MATCH($A168, Joined!$I$3:$I$2000, FALSE), 8)</f>
        <v>B_01'Flr_04</v>
      </c>
      <c r="C168" t="str">
        <f>INDEX(Joined!$A$3:$M$2000, MATCH($A168, Joined!$I$3:$I$2000, FALSE), 7)</f>
        <v>VAV-4W-58</v>
      </c>
      <c r="D168">
        <f>INDEX(Joined!$A$3:$M$2000, MATCH($A168, Joined!$I$3:$I$2000, FALSE), 5)</f>
        <v>150922</v>
      </c>
      <c r="E168" t="str">
        <f>INDEX(Joined!$A$3:$M$2000, MATCH($A168, Joined!$I$3:$I$2000, FALSE), 7)</f>
        <v>VAV-4W-58</v>
      </c>
      <c r="F168" t="s">
        <v>38</v>
      </c>
      <c r="G168" t="str">
        <f>INDEX(Schedule!$Q$2:$R$7, MATCH(ABT!$H168,Schedule!$Q$2:$Q$7, 0), 2)</f>
        <v>15007_ADXR_VAV_DXR2M10</v>
      </c>
      <c r="H168">
        <f>INDEX(Joined!$A$3:$M$2000, MATCH($A168, Joined!$I$3:$I$2000, FALSE), 6)</f>
        <v>15007</v>
      </c>
      <c r="I168" t="str">
        <f>INDEX(Joined!$A$3:$M$2000, MATCH($A168, Joined!$I$3:$I$2000, FALSE), 4)</f>
        <v>509</v>
      </c>
      <c r="J168" t="b">
        <v>0</v>
      </c>
      <c r="K168">
        <f>INDEX(Joined!$A$3:$M$2000, MATCH($A168, Joined!$I$3:$I$2000, FALSE), 3)</f>
        <v>22</v>
      </c>
      <c r="L168">
        <v>85</v>
      </c>
      <c r="M168">
        <v>38400</v>
      </c>
      <c r="N168" s="27">
        <f>PI()*(INDEX(Schedule!$A$1:$N$2000, MATCH($C168, VAV_Schedule_5_21[[#All],[UNIT TAG]], FALSE), 4)/2/12)^2</f>
        <v>0.54541539124822802</v>
      </c>
      <c r="O168" s="27">
        <f>INDEX(Schedule!$A$1:$N$2000, MATCH($C168, VAV_Schedule_5_21[[#All],[UNIT TAG]], FALSE), 4)</f>
        <v>10</v>
      </c>
      <c r="P168">
        <v>166.63</v>
      </c>
      <c r="Q168" s="27">
        <f>INDEX(Schedule!$A$1:$N$2000, MATCH($C168, VAV_Schedule_5_21[[#All],[UNIT TAG]], FALSE), 5)</f>
        <v>1.1000000000000001</v>
      </c>
      <c r="R168" s="27">
        <f>INDEX(Schedule!$A$1:$N$2000, MATCH($C168, VAV_Schedule_5_21[[#All],[UNIT TAG]], FALSE), 6)</f>
        <v>220</v>
      </c>
      <c r="S168" s="27">
        <f>INDEX(Schedule!$A$1:$N$2000, MATCH($C168, VAV_Schedule_5_21[[#All],[UNIT TAG]], FALSE), 5)</f>
        <v>1.1000000000000001</v>
      </c>
      <c r="T168" s="27">
        <f>INDEX(Schedule!$A$1:$N$2000, MATCH($C168, VAV_Schedule_5_21[[#All],[UNIT TAG]], FALSE), 6)</f>
        <v>220</v>
      </c>
      <c r="U168" s="27">
        <f>INDEX(Schedule!$A$1:$N$2000, MATCH($C168, VAV_Schedule_5_21[[#All],[UNIT TAG]], FALSE), 5)</f>
        <v>1.1000000000000001</v>
      </c>
      <c r="V168" s="27">
        <f>INDEX(Schedule!$A$1:$N$2000, MATCH($C168, VAV_Schedule_5_21[[#All],[UNIT TAG]], FALSE), 6)</f>
        <v>220</v>
      </c>
      <c r="W168" s="27">
        <f>INDEX(Schedule!$A$1:$N$2000, MATCH($C168, VAV_Schedule_5_21[[#All],[UNIT TAG]], FALSE), 6)</f>
        <v>220</v>
      </c>
      <c r="X168" s="27">
        <f>INDEX(Schedule!$A$1:$N$2000, MATCH($C168, VAV_Schedule_5_21[[#All],[UNIT TAG]], FALSE), 6)</f>
        <v>220</v>
      </c>
      <c r="Y168" s="27">
        <f>INDEX(Schedule!$A$1:$N$2000, MATCH($C168, VAV_Schedule_5_21[[#All],[UNIT TAG]], FALSE), 6)</f>
        <v>220</v>
      </c>
      <c r="Z168" s="27">
        <f>INDEX(Schedule!$A$1:$N$2000, MATCH($C168, VAV_Schedule_5_21[[#All],[UNIT TAG]], FALSE), 6)</f>
        <v>220</v>
      </c>
      <c r="AA168" s="27">
        <v>1000</v>
      </c>
      <c r="AB168" s="27">
        <v>1100</v>
      </c>
      <c r="AC168">
        <v>1400</v>
      </c>
      <c r="AD168" s="29" t="str">
        <f>IF(INDEX(Schedule!$A$1:$N$2000, MATCH($C168, VAV_Schedule_5_21[[#All],[UNIT TAG]], FALSE), 7)="-", 0, INDEX(Schedule!$A$1:$N$2000, MATCH($C168, VAV_Schedule_5_21[[#All],[UNIT TAG]], FALSE), 7))</f>
        <v>7</v>
      </c>
      <c r="AE168" t="str">
        <f>"B_01'" &amp; "Flr_0" &amp; INDEX(Joined!$A$3:$M$2000, MATCH($A168, Joined!$I$3:$I$2000, FALSE), 8)</f>
        <v>B_01'Flr_04</v>
      </c>
      <c r="AF168" t="str">
        <f>"R_" &amp; INDEX(Joined!$A$3:$M$2000, MATCH($A168, Joined!$I$3:$I$2000, FALSE), 7)</f>
        <v>R_VAV-4W-58</v>
      </c>
      <c r="AG168" t="str">
        <f>"B_01'" &amp; "Flr_0" &amp; INDEX(Joined!$A$3:$M$2000, MATCH($A168, Joined!$I$3:$I$2000, FALSE), 8)</f>
        <v>B_01'Flr_04</v>
      </c>
      <c r="AH168" t="str">
        <f>INDEX(Joined!$A$3:$M$2000, MATCH($A168, Joined!$I$3:$I$2000, FALSE), 7)</f>
        <v>VAV-4W-58</v>
      </c>
      <c r="AI168" t="s">
        <v>959</v>
      </c>
    </row>
    <row r="169" spans="1:35" x14ac:dyDescent="0.2">
      <c r="A169" t="s">
        <v>697</v>
      </c>
      <c r="B169" t="str">
        <f>"B_01'" &amp; "Flr_0" &amp; INDEX(Joined!$A$3:$M$2000, MATCH($A169, Joined!$I$3:$I$2000, FALSE), 8)</f>
        <v>B_01'Flr_04</v>
      </c>
      <c r="C169" t="str">
        <f>INDEX(Joined!$A$3:$M$2000, MATCH($A169, Joined!$I$3:$I$2000, FALSE), 7)</f>
        <v>VAV-4W-59</v>
      </c>
      <c r="D169">
        <f>INDEX(Joined!$A$3:$M$2000, MATCH($A169, Joined!$I$3:$I$2000, FALSE), 5)</f>
        <v>150923</v>
      </c>
      <c r="E169" t="str">
        <f>INDEX(Joined!$A$3:$M$2000, MATCH($A169, Joined!$I$3:$I$2000, FALSE), 7)</f>
        <v>VAV-4W-59</v>
      </c>
      <c r="F169" t="s">
        <v>38</v>
      </c>
      <c r="G169" t="str">
        <f>INDEX(Schedule!$Q$2:$R$7, MATCH(ABT!$H169,Schedule!$Q$2:$Q$7, 0), 2)</f>
        <v>15008_ADXR_VAV_DXRM10_Hum</v>
      </c>
      <c r="H169">
        <f>INDEX(Joined!$A$3:$M$2000, MATCH($A169, Joined!$I$3:$I$2000, FALSE), 6)</f>
        <v>15008</v>
      </c>
      <c r="I169" t="str">
        <f>INDEX(Joined!$A$3:$M$2000, MATCH($A169, Joined!$I$3:$I$2000, FALSE), 4)</f>
        <v>509</v>
      </c>
      <c r="J169" t="b">
        <v>0</v>
      </c>
      <c r="K169">
        <f>INDEX(Joined!$A$3:$M$2000, MATCH($A169, Joined!$I$3:$I$2000, FALSE), 3)</f>
        <v>23</v>
      </c>
      <c r="L169">
        <v>85</v>
      </c>
      <c r="M169">
        <v>38400</v>
      </c>
      <c r="N169" s="27">
        <f>PI()*(INDEX(Schedule!$A$1:$N$2000, MATCH($C169, VAV_Schedule_5_21[[#All],[UNIT TAG]], FALSE), 4)/2/12)^2</f>
        <v>0.19634954084936207</v>
      </c>
      <c r="O169" s="27">
        <f>INDEX(Schedule!$A$1:$N$2000, MATCH($C169, VAV_Schedule_5_21[[#All],[UNIT TAG]], FALSE), 4)</f>
        <v>6</v>
      </c>
      <c r="P169">
        <v>167.63</v>
      </c>
      <c r="Q169" s="27">
        <f>INDEX(Schedule!$A$1:$N$2000, MATCH($C169, VAV_Schedule_5_21[[#All],[UNIT TAG]], FALSE), 5)</f>
        <v>315</v>
      </c>
      <c r="R169" s="27">
        <f>INDEX(Schedule!$A$1:$N$2000, MATCH($C169, VAV_Schedule_5_21[[#All],[UNIT TAG]], FALSE), 6)</f>
        <v>0</v>
      </c>
      <c r="S169" s="27">
        <f>INDEX(Schedule!$A$1:$N$2000, MATCH($C169, VAV_Schedule_5_21[[#All],[UNIT TAG]], FALSE), 5)</f>
        <v>315</v>
      </c>
      <c r="T169" s="27">
        <f>INDEX(Schedule!$A$1:$N$2000, MATCH($C169, VAV_Schedule_5_21[[#All],[UNIT TAG]], FALSE), 6)</f>
        <v>0</v>
      </c>
      <c r="U169" s="27">
        <f>INDEX(Schedule!$A$1:$N$2000, MATCH($C169, VAV_Schedule_5_21[[#All],[UNIT TAG]], FALSE), 5)</f>
        <v>315</v>
      </c>
      <c r="V169" s="27">
        <f>INDEX(Schedule!$A$1:$N$2000, MATCH($C169, VAV_Schedule_5_21[[#All],[UNIT TAG]], FALSE), 6)</f>
        <v>0</v>
      </c>
      <c r="W169" s="27">
        <f>INDEX(Schedule!$A$1:$N$2000, MATCH($C169, VAV_Schedule_5_21[[#All],[UNIT TAG]], FALSE), 6)</f>
        <v>0</v>
      </c>
      <c r="X169" s="27">
        <f>INDEX(Schedule!$A$1:$N$2000, MATCH($C169, VAV_Schedule_5_21[[#All],[UNIT TAG]], FALSE), 6)</f>
        <v>0</v>
      </c>
      <c r="Y169" s="27">
        <f>INDEX(Schedule!$A$1:$N$2000, MATCH($C169, VAV_Schedule_5_21[[#All],[UNIT TAG]], FALSE), 6)</f>
        <v>0</v>
      </c>
      <c r="Z169" s="27">
        <f>INDEX(Schedule!$A$1:$N$2000, MATCH($C169, VAV_Schedule_5_21[[#All],[UNIT TAG]], FALSE), 6)</f>
        <v>0</v>
      </c>
      <c r="AA169" s="27">
        <v>1000</v>
      </c>
      <c r="AB169" s="27">
        <v>1100</v>
      </c>
      <c r="AC169">
        <v>1400</v>
      </c>
      <c r="AD169" s="29">
        <f>IF(INDEX(Schedule!$A$1:$N$2000, MATCH($C169, VAV_Schedule_5_21[[#All],[UNIT TAG]], FALSE), 7)="-", 0, INDEX(Schedule!$A$1:$N$2000, MATCH($C169, VAV_Schedule_5_21[[#All],[UNIT TAG]], FALSE), 7))</f>
        <v>0</v>
      </c>
      <c r="AE169" t="str">
        <f>"B_01'" &amp; "Flr_0" &amp; INDEX(Joined!$A$3:$M$2000, MATCH($A169, Joined!$I$3:$I$2000, FALSE), 8)</f>
        <v>B_01'Flr_04</v>
      </c>
      <c r="AF169" t="str">
        <f>"R_" &amp; INDEX(Joined!$A$3:$M$2000, MATCH($A169, Joined!$I$3:$I$2000, FALSE), 7)</f>
        <v>R_VAV-4W-59</v>
      </c>
      <c r="AG169" t="str">
        <f>"B_01'" &amp; "Flr_0" &amp; INDEX(Joined!$A$3:$M$2000, MATCH($A169, Joined!$I$3:$I$2000, FALSE), 8)</f>
        <v>B_01'Flr_04</v>
      </c>
      <c r="AH169" t="str">
        <f>INDEX(Joined!$A$3:$M$2000, MATCH($A169, Joined!$I$3:$I$2000, FALSE), 7)</f>
        <v>VAV-4W-59</v>
      </c>
      <c r="AI169" t="s">
        <v>969</v>
      </c>
    </row>
    <row r="170" spans="1:35" x14ac:dyDescent="0.2">
      <c r="A170" t="s">
        <v>541</v>
      </c>
      <c r="B170" t="str">
        <f>"B_01'" &amp; "Flr_0" &amp; INDEX(Joined!$A$3:$M$2000, MATCH($A170, Joined!$I$3:$I$2000, FALSE), 8)</f>
        <v>B_01'Flr_04</v>
      </c>
      <c r="C170" t="str">
        <f>INDEX(Joined!$A$3:$M$2000, MATCH($A170, Joined!$I$3:$I$2000, FALSE), 7)</f>
        <v>VAV-4W-6</v>
      </c>
      <c r="D170">
        <f>INDEX(Joined!$A$3:$M$2000, MATCH($A170, Joined!$I$3:$I$2000, FALSE), 5)</f>
        <v>150906</v>
      </c>
      <c r="E170" t="str">
        <f>INDEX(Joined!$A$3:$M$2000, MATCH($A170, Joined!$I$3:$I$2000, FALSE), 7)</f>
        <v>VAV-4W-6</v>
      </c>
      <c r="F170" t="s">
        <v>38</v>
      </c>
      <c r="G170" t="str">
        <f>INDEX(Schedule!$Q$2:$R$7, MATCH(ABT!$H170,Schedule!$Q$2:$Q$7, 0), 2)</f>
        <v>15009_ADXR_VAV_DXRM10_Hum</v>
      </c>
      <c r="H170">
        <f>INDEX(Joined!$A$3:$M$2000, MATCH($A170, Joined!$I$3:$I$2000, FALSE), 6)</f>
        <v>15009</v>
      </c>
      <c r="I170" t="str">
        <f>INDEX(Joined!$A$3:$M$2000, MATCH($A170, Joined!$I$3:$I$2000, FALSE), 4)</f>
        <v>509</v>
      </c>
      <c r="J170" t="b">
        <v>0</v>
      </c>
      <c r="K170">
        <f>INDEX(Joined!$A$3:$M$2000, MATCH($A170, Joined!$I$3:$I$2000, FALSE), 3)</f>
        <v>6</v>
      </c>
      <c r="L170">
        <v>85</v>
      </c>
      <c r="M170">
        <v>38400</v>
      </c>
      <c r="N170" s="27">
        <f>PI()*(INDEX(Schedule!$A$1:$N$2000, MATCH($C170, VAV_Schedule_5_21[[#All],[UNIT TAG]], FALSE), 4)/2/12)^2</f>
        <v>0.3490658503988659</v>
      </c>
      <c r="O170" s="27">
        <f>INDEX(Schedule!$A$1:$N$2000, MATCH($C170, VAV_Schedule_5_21[[#All],[UNIT TAG]], FALSE), 4)</f>
        <v>8</v>
      </c>
      <c r="P170">
        <v>168.63</v>
      </c>
      <c r="Q170" s="27">
        <f>INDEX(Schedule!$A$1:$N$2000, MATCH($C170, VAV_Schedule_5_21[[#All],[UNIT TAG]], FALSE), 5)</f>
        <v>510</v>
      </c>
      <c r="R170" s="27">
        <f>INDEX(Schedule!$A$1:$N$2000, MATCH($C170, VAV_Schedule_5_21[[#All],[UNIT TAG]], FALSE), 6)</f>
        <v>0</v>
      </c>
      <c r="S170" s="27">
        <f>INDEX(Schedule!$A$1:$N$2000, MATCH($C170, VAV_Schedule_5_21[[#All],[UNIT TAG]], FALSE), 5)</f>
        <v>510</v>
      </c>
      <c r="T170" s="27">
        <f>INDEX(Schedule!$A$1:$N$2000, MATCH($C170, VAV_Schedule_5_21[[#All],[UNIT TAG]], FALSE), 6)</f>
        <v>0</v>
      </c>
      <c r="U170" s="27">
        <f>INDEX(Schedule!$A$1:$N$2000, MATCH($C170, VAV_Schedule_5_21[[#All],[UNIT TAG]], FALSE), 5)</f>
        <v>510</v>
      </c>
      <c r="V170" s="27">
        <f>INDEX(Schedule!$A$1:$N$2000, MATCH($C170, VAV_Schedule_5_21[[#All],[UNIT TAG]], FALSE), 6)</f>
        <v>0</v>
      </c>
      <c r="W170" s="27">
        <f>INDEX(Schedule!$A$1:$N$2000, MATCH($C170, VAV_Schedule_5_21[[#All],[UNIT TAG]], FALSE), 6)</f>
        <v>0</v>
      </c>
      <c r="X170" s="27">
        <f>INDEX(Schedule!$A$1:$N$2000, MATCH($C170, VAV_Schedule_5_21[[#All],[UNIT TAG]], FALSE), 6)</f>
        <v>0</v>
      </c>
      <c r="Y170" s="27">
        <f>INDEX(Schedule!$A$1:$N$2000, MATCH($C170, VAV_Schedule_5_21[[#All],[UNIT TAG]], FALSE), 6)</f>
        <v>0</v>
      </c>
      <c r="Z170" s="27">
        <f>INDEX(Schedule!$A$1:$N$2000, MATCH($C170, VAV_Schedule_5_21[[#All],[UNIT TAG]], FALSE), 6)</f>
        <v>0</v>
      </c>
      <c r="AA170" s="27">
        <v>1000</v>
      </c>
      <c r="AB170" s="27">
        <v>1100</v>
      </c>
      <c r="AC170">
        <v>1400</v>
      </c>
      <c r="AD170" s="29" t="str">
        <f>IF(INDEX(Schedule!$A$1:$N$2000, MATCH($C170, VAV_Schedule_5_21[[#All],[UNIT TAG]], FALSE), 7)="-", 0, INDEX(Schedule!$A$1:$N$2000, MATCH($C170, VAV_Schedule_5_21[[#All],[UNIT TAG]], FALSE), 7))</f>
        <v>5</v>
      </c>
      <c r="AE170" t="str">
        <f>"B_01'" &amp; "Flr_0" &amp; INDEX(Joined!$A$3:$M$2000, MATCH($A170, Joined!$I$3:$I$2000, FALSE), 8)</f>
        <v>B_01'Flr_04</v>
      </c>
      <c r="AF170" t="str">
        <f>"R_" &amp; INDEX(Joined!$A$3:$M$2000, MATCH($A170, Joined!$I$3:$I$2000, FALSE), 7)</f>
        <v>R_VAV-4W-6</v>
      </c>
      <c r="AG170" t="str">
        <f>"B_01'" &amp; "Flr_0" &amp; INDEX(Joined!$A$3:$M$2000, MATCH($A170, Joined!$I$3:$I$2000, FALSE), 8)</f>
        <v>B_01'Flr_04</v>
      </c>
      <c r="AH170" t="str">
        <f>INDEX(Joined!$A$3:$M$2000, MATCH($A170, Joined!$I$3:$I$2000, FALSE), 7)</f>
        <v>VAV-4W-6</v>
      </c>
      <c r="AI170" t="s">
        <v>984</v>
      </c>
    </row>
    <row r="171" spans="1:35" x14ac:dyDescent="0.2">
      <c r="A171" t="s">
        <v>542</v>
      </c>
      <c r="B171" t="str">
        <f>"B_01'" &amp; "Flr_0" &amp; INDEX(Joined!$A$3:$M$2000, MATCH($A171, Joined!$I$3:$I$2000, FALSE), 8)</f>
        <v>B_01'Flr_04</v>
      </c>
      <c r="C171" t="str">
        <f>INDEX(Joined!$A$3:$M$2000, MATCH($A171, Joined!$I$3:$I$2000, FALSE), 7)</f>
        <v>VAV-4W-7</v>
      </c>
      <c r="D171">
        <f>INDEX(Joined!$A$3:$M$2000, MATCH($A171, Joined!$I$3:$I$2000, FALSE), 5)</f>
        <v>150907</v>
      </c>
      <c r="E171" t="str">
        <f>INDEX(Joined!$A$3:$M$2000, MATCH($A171, Joined!$I$3:$I$2000, FALSE), 7)</f>
        <v>VAV-4W-7</v>
      </c>
      <c r="F171" t="s">
        <v>38</v>
      </c>
      <c r="G171" t="str">
        <f>INDEX(Schedule!$Q$2:$R$7, MATCH(ABT!$H171,Schedule!$Q$2:$Q$7, 0), 2)</f>
        <v>15009_ADXR_VAV_DXRM10_Hum</v>
      </c>
      <c r="H171">
        <f>INDEX(Joined!$A$3:$M$2000, MATCH($A171, Joined!$I$3:$I$2000, FALSE), 6)</f>
        <v>15009</v>
      </c>
      <c r="I171" t="str">
        <f>INDEX(Joined!$A$3:$M$2000, MATCH($A171, Joined!$I$3:$I$2000, FALSE), 4)</f>
        <v>509</v>
      </c>
      <c r="J171" t="b">
        <v>0</v>
      </c>
      <c r="K171">
        <f>INDEX(Joined!$A$3:$M$2000, MATCH($A171, Joined!$I$3:$I$2000, FALSE), 3)</f>
        <v>7</v>
      </c>
      <c r="L171">
        <v>85</v>
      </c>
      <c r="M171">
        <v>38400</v>
      </c>
      <c r="N171" s="27">
        <f>PI()*(INDEX(Schedule!$A$1:$N$2000, MATCH($C171, VAV_Schedule_5_21[[#All],[UNIT TAG]], FALSE), 4)/2/12)^2</f>
        <v>0.78539816339744828</v>
      </c>
      <c r="O171" s="27">
        <f>INDEX(Schedule!$A$1:$N$2000, MATCH($C171, VAV_Schedule_5_21[[#All],[UNIT TAG]], FALSE), 4)</f>
        <v>12</v>
      </c>
      <c r="P171">
        <v>169.63</v>
      </c>
      <c r="Q171" s="27">
        <f>INDEX(Schedule!$A$1:$N$2000, MATCH($C171, VAV_Schedule_5_21[[#All],[UNIT TAG]], FALSE), 5)</f>
        <v>1.26</v>
      </c>
      <c r="R171" s="27">
        <f>INDEX(Schedule!$A$1:$N$2000, MATCH($C171, VAV_Schedule_5_21[[#All],[UNIT TAG]], FALSE), 6)</f>
        <v>0</v>
      </c>
      <c r="S171" s="27">
        <f>INDEX(Schedule!$A$1:$N$2000, MATCH($C171, VAV_Schedule_5_21[[#All],[UNIT TAG]], FALSE), 5)</f>
        <v>1.26</v>
      </c>
      <c r="T171" s="27">
        <f>INDEX(Schedule!$A$1:$N$2000, MATCH($C171, VAV_Schedule_5_21[[#All],[UNIT TAG]], FALSE), 6)</f>
        <v>0</v>
      </c>
      <c r="U171" s="27">
        <f>INDEX(Schedule!$A$1:$N$2000, MATCH($C171, VAV_Schedule_5_21[[#All],[UNIT TAG]], FALSE), 5)</f>
        <v>1.26</v>
      </c>
      <c r="V171" s="27">
        <f>INDEX(Schedule!$A$1:$N$2000, MATCH($C171, VAV_Schedule_5_21[[#All],[UNIT TAG]], FALSE), 6)</f>
        <v>0</v>
      </c>
      <c r="W171" s="27">
        <f>INDEX(Schedule!$A$1:$N$2000, MATCH($C171, VAV_Schedule_5_21[[#All],[UNIT TAG]], FALSE), 6)</f>
        <v>0</v>
      </c>
      <c r="X171" s="27">
        <f>INDEX(Schedule!$A$1:$N$2000, MATCH($C171, VAV_Schedule_5_21[[#All],[UNIT TAG]], FALSE), 6)</f>
        <v>0</v>
      </c>
      <c r="Y171" s="27">
        <f>INDEX(Schedule!$A$1:$N$2000, MATCH($C171, VAV_Schedule_5_21[[#All],[UNIT TAG]], FALSE), 6)</f>
        <v>0</v>
      </c>
      <c r="Z171" s="27">
        <f>INDEX(Schedule!$A$1:$N$2000, MATCH($C171, VAV_Schedule_5_21[[#All],[UNIT TAG]], FALSE), 6)</f>
        <v>0</v>
      </c>
      <c r="AA171" s="27">
        <v>1000</v>
      </c>
      <c r="AB171" s="27">
        <v>1100</v>
      </c>
      <c r="AC171">
        <v>1400</v>
      </c>
      <c r="AD171" s="29" t="str">
        <f>IF(INDEX(Schedule!$A$1:$N$2000, MATCH($C171, VAV_Schedule_5_21[[#All],[UNIT TAG]], FALSE), 7)="-", 0, INDEX(Schedule!$A$1:$N$2000, MATCH($C171, VAV_Schedule_5_21[[#All],[UNIT TAG]], FALSE), 7))</f>
        <v>12</v>
      </c>
      <c r="AE171" t="str">
        <f>"B_01'" &amp; "Flr_0" &amp; INDEX(Joined!$A$3:$M$2000, MATCH($A171, Joined!$I$3:$I$2000, FALSE), 8)</f>
        <v>B_01'Flr_04</v>
      </c>
      <c r="AF171" t="str">
        <f>"R_" &amp; INDEX(Joined!$A$3:$M$2000, MATCH($A171, Joined!$I$3:$I$2000, FALSE), 7)</f>
        <v>R_VAV-4W-7</v>
      </c>
      <c r="AG171" t="str">
        <f>"B_01'" &amp; "Flr_0" &amp; INDEX(Joined!$A$3:$M$2000, MATCH($A171, Joined!$I$3:$I$2000, FALSE), 8)</f>
        <v>B_01'Flr_04</v>
      </c>
      <c r="AH171" t="str">
        <f>INDEX(Joined!$A$3:$M$2000, MATCH($A171, Joined!$I$3:$I$2000, FALSE), 7)</f>
        <v>VAV-4W-7</v>
      </c>
      <c r="AI171" t="s">
        <v>985</v>
      </c>
    </row>
    <row r="172" spans="1:35" x14ac:dyDescent="0.2">
      <c r="A172" t="s">
        <v>558</v>
      </c>
      <c r="B172" t="str">
        <f>"B_01'" &amp; "Flr_0" &amp; INDEX(Joined!$A$3:$M$2000, MATCH($A172, Joined!$I$3:$I$2000, FALSE), 8)</f>
        <v>B_01'Flr_05</v>
      </c>
      <c r="C172" t="str">
        <f>INDEX(Joined!$A$3:$M$2000, MATCH($A172, Joined!$I$3:$I$2000, FALSE), 7)</f>
        <v>VAV-5E-11</v>
      </c>
      <c r="D172">
        <f>INDEX(Joined!$A$3:$M$2000, MATCH($A172, Joined!$I$3:$I$2000, FALSE), 5)</f>
        <v>151101</v>
      </c>
      <c r="E172" t="str">
        <f>INDEX(Joined!$A$3:$M$2000, MATCH($A172, Joined!$I$3:$I$2000, FALSE), 7)</f>
        <v>VAV-5E-11</v>
      </c>
      <c r="F172" t="s">
        <v>38</v>
      </c>
      <c r="G172" t="str">
        <f>INDEX(Schedule!$Q$2:$R$7, MATCH(ABT!$H172,Schedule!$Q$2:$Q$7, 0), 2)</f>
        <v>15007_ADXR_VAV_DXR2M10</v>
      </c>
      <c r="H172">
        <f>INDEX(Joined!$A$3:$M$2000, MATCH($A172, Joined!$I$3:$I$2000, FALSE), 6)</f>
        <v>15007</v>
      </c>
      <c r="I172" t="str">
        <f>INDEX(Joined!$A$3:$M$2000, MATCH($A172, Joined!$I$3:$I$2000, FALSE), 4)</f>
        <v>511</v>
      </c>
      <c r="J172" t="b">
        <v>0</v>
      </c>
      <c r="K172">
        <f>INDEX(Joined!$A$3:$M$2000, MATCH($A172, Joined!$I$3:$I$2000, FALSE), 3)</f>
        <v>1</v>
      </c>
      <c r="L172">
        <v>85</v>
      </c>
      <c r="M172">
        <v>38400</v>
      </c>
      <c r="N172" s="27">
        <f>PI()*(INDEX(Schedule!$A$1:$N$2000, MATCH($C172, VAV_Schedule_5_21[[#All],[UNIT TAG]], FALSE), 4)/2/12)^2</f>
        <v>0.78539816339744828</v>
      </c>
      <c r="O172" s="27">
        <f>INDEX(Schedule!$A$1:$N$2000, MATCH($C172, VAV_Schedule_5_21[[#All],[UNIT TAG]], FALSE), 4)</f>
        <v>12</v>
      </c>
      <c r="P172">
        <v>170.63</v>
      </c>
      <c r="Q172" s="27">
        <f>INDEX(Schedule!$A$1:$N$2000, MATCH($C172, VAV_Schedule_5_21[[#All],[UNIT TAG]], FALSE), 5)</f>
        <v>1200</v>
      </c>
      <c r="R172" s="27">
        <f>INDEX(Schedule!$A$1:$N$2000, MATCH($C172, VAV_Schedule_5_21[[#All],[UNIT TAG]], FALSE), 6)</f>
        <v>240</v>
      </c>
      <c r="S172" s="27">
        <f>INDEX(Schedule!$A$1:$N$2000, MATCH($C172, VAV_Schedule_5_21[[#All],[UNIT TAG]], FALSE), 5)</f>
        <v>1200</v>
      </c>
      <c r="T172" s="27">
        <f>INDEX(Schedule!$A$1:$N$2000, MATCH($C172, VAV_Schedule_5_21[[#All],[UNIT TAG]], FALSE), 6)</f>
        <v>240</v>
      </c>
      <c r="U172" s="27">
        <f>INDEX(Schedule!$A$1:$N$2000, MATCH($C172, VAV_Schedule_5_21[[#All],[UNIT TAG]], FALSE), 5)</f>
        <v>1200</v>
      </c>
      <c r="V172" s="27">
        <f>INDEX(Schedule!$A$1:$N$2000, MATCH($C172, VAV_Schedule_5_21[[#All],[UNIT TAG]], FALSE), 6)</f>
        <v>240</v>
      </c>
      <c r="W172" s="27">
        <f>INDEX(Schedule!$A$1:$N$2000, MATCH($C172, VAV_Schedule_5_21[[#All],[UNIT TAG]], FALSE), 6)</f>
        <v>240</v>
      </c>
      <c r="X172" s="27">
        <f>INDEX(Schedule!$A$1:$N$2000, MATCH($C172, VAV_Schedule_5_21[[#All],[UNIT TAG]], FALSE), 6)</f>
        <v>240</v>
      </c>
      <c r="Y172" s="27">
        <f>INDEX(Schedule!$A$1:$N$2000, MATCH($C172, VAV_Schedule_5_21[[#All],[UNIT TAG]], FALSE), 6)</f>
        <v>240</v>
      </c>
      <c r="Z172" s="27">
        <f>INDEX(Schedule!$A$1:$N$2000, MATCH($C172, VAV_Schedule_5_21[[#All],[UNIT TAG]], FALSE), 6)</f>
        <v>240</v>
      </c>
      <c r="AA172" s="27">
        <v>1000</v>
      </c>
      <c r="AB172" s="27">
        <v>1100</v>
      </c>
      <c r="AC172">
        <v>1400</v>
      </c>
      <c r="AD172" s="29" t="str">
        <f>IF(INDEX(Schedule!$A$1:$N$2000, MATCH($C172, VAV_Schedule_5_21[[#All],[UNIT TAG]], FALSE), 7)="-", 0, INDEX(Schedule!$A$1:$N$2000, MATCH($C172, VAV_Schedule_5_21[[#All],[UNIT TAG]], FALSE), 7))</f>
        <v>12</v>
      </c>
      <c r="AE172" t="str">
        <f>"B_01'" &amp; "Flr_0" &amp; INDEX(Joined!$A$3:$M$2000, MATCH($A172, Joined!$I$3:$I$2000, FALSE), 8)</f>
        <v>B_01'Flr_05</v>
      </c>
      <c r="AF172" t="str">
        <f>"R_" &amp; INDEX(Joined!$A$3:$M$2000, MATCH($A172, Joined!$I$3:$I$2000, FALSE), 7)</f>
        <v>R_VAV-5E-11</v>
      </c>
      <c r="AG172" t="str">
        <f>"B_01'" &amp; "Flr_0" &amp; INDEX(Joined!$A$3:$M$2000, MATCH($A172, Joined!$I$3:$I$2000, FALSE), 8)</f>
        <v>B_01'Flr_05</v>
      </c>
      <c r="AH172" t="str">
        <f>INDEX(Joined!$A$3:$M$2000, MATCH($A172, Joined!$I$3:$I$2000, FALSE), 7)</f>
        <v>VAV-5E-11</v>
      </c>
      <c r="AI172" t="s">
        <v>1463</v>
      </c>
    </row>
    <row r="173" spans="1:35" x14ac:dyDescent="0.2">
      <c r="A173" t="s">
        <v>559</v>
      </c>
      <c r="B173" t="str">
        <f>"B_01'" &amp; "Flr_0" &amp; INDEX(Joined!$A$3:$M$2000, MATCH($A173, Joined!$I$3:$I$2000, FALSE), 8)</f>
        <v>B_01'Flr_05</v>
      </c>
      <c r="C173" t="str">
        <f>INDEX(Joined!$A$3:$M$2000, MATCH($A173, Joined!$I$3:$I$2000, FALSE), 7)</f>
        <v>VAV-5E-12</v>
      </c>
      <c r="D173">
        <f>INDEX(Joined!$A$3:$M$2000, MATCH($A173, Joined!$I$3:$I$2000, FALSE), 5)</f>
        <v>151102</v>
      </c>
      <c r="E173" t="str">
        <f>INDEX(Joined!$A$3:$M$2000, MATCH($A173, Joined!$I$3:$I$2000, FALSE), 7)</f>
        <v>VAV-5E-12</v>
      </c>
      <c r="F173" t="s">
        <v>38</v>
      </c>
      <c r="G173" t="str">
        <f>INDEX(Schedule!$Q$2:$R$7, MATCH(ABT!$H173,Schedule!$Q$2:$Q$7, 0), 2)</f>
        <v>15007_ADXR_VAV_DXR2M10</v>
      </c>
      <c r="H173">
        <f>INDEX(Joined!$A$3:$M$2000, MATCH($A173, Joined!$I$3:$I$2000, FALSE), 6)</f>
        <v>15007</v>
      </c>
      <c r="I173" t="str">
        <f>INDEX(Joined!$A$3:$M$2000, MATCH($A173, Joined!$I$3:$I$2000, FALSE), 4)</f>
        <v>511</v>
      </c>
      <c r="J173" t="b">
        <v>0</v>
      </c>
      <c r="K173">
        <f>INDEX(Joined!$A$3:$M$2000, MATCH($A173, Joined!$I$3:$I$2000, FALSE), 3)</f>
        <v>2</v>
      </c>
      <c r="L173">
        <v>85</v>
      </c>
      <c r="M173">
        <v>38400</v>
      </c>
      <c r="N173" s="27">
        <f>PI()*(INDEX(Schedule!$A$1:$N$2000, MATCH($C173, VAV_Schedule_5_21[[#All],[UNIT TAG]], FALSE), 4)/2/12)^2</f>
        <v>0.3490658503988659</v>
      </c>
      <c r="O173" s="27">
        <f>INDEX(Schedule!$A$1:$N$2000, MATCH($C173, VAV_Schedule_5_21[[#All],[UNIT TAG]], FALSE), 4)</f>
        <v>8</v>
      </c>
      <c r="P173">
        <v>171.63</v>
      </c>
      <c r="Q173" s="27">
        <f>INDEX(Schedule!$A$1:$N$2000, MATCH($C173, VAV_Schedule_5_21[[#All],[UNIT TAG]], FALSE), 5)</f>
        <v>570</v>
      </c>
      <c r="R173" s="27">
        <f>INDEX(Schedule!$A$1:$N$2000, MATCH($C173, VAV_Schedule_5_21[[#All],[UNIT TAG]], FALSE), 6)</f>
        <v>115</v>
      </c>
      <c r="S173" s="27">
        <f>INDEX(Schedule!$A$1:$N$2000, MATCH($C173, VAV_Schedule_5_21[[#All],[UNIT TAG]], FALSE), 5)</f>
        <v>570</v>
      </c>
      <c r="T173" s="27">
        <f>INDEX(Schedule!$A$1:$N$2000, MATCH($C173, VAV_Schedule_5_21[[#All],[UNIT TAG]], FALSE), 6)</f>
        <v>115</v>
      </c>
      <c r="U173" s="27">
        <f>INDEX(Schedule!$A$1:$N$2000, MATCH($C173, VAV_Schedule_5_21[[#All],[UNIT TAG]], FALSE), 5)</f>
        <v>570</v>
      </c>
      <c r="V173" s="27">
        <f>INDEX(Schedule!$A$1:$N$2000, MATCH($C173, VAV_Schedule_5_21[[#All],[UNIT TAG]], FALSE), 6)</f>
        <v>115</v>
      </c>
      <c r="W173" s="27">
        <f>INDEX(Schedule!$A$1:$N$2000, MATCH($C173, VAV_Schedule_5_21[[#All],[UNIT TAG]], FALSE), 6)</f>
        <v>115</v>
      </c>
      <c r="X173" s="27">
        <f>INDEX(Schedule!$A$1:$N$2000, MATCH($C173, VAV_Schedule_5_21[[#All],[UNIT TAG]], FALSE), 6)</f>
        <v>115</v>
      </c>
      <c r="Y173" s="27">
        <f>INDEX(Schedule!$A$1:$N$2000, MATCH($C173, VAV_Schedule_5_21[[#All],[UNIT TAG]], FALSE), 6)</f>
        <v>115</v>
      </c>
      <c r="Z173" s="27">
        <f>INDEX(Schedule!$A$1:$N$2000, MATCH($C173, VAV_Schedule_5_21[[#All],[UNIT TAG]], FALSE), 6)</f>
        <v>115</v>
      </c>
      <c r="AA173" s="27">
        <v>1000</v>
      </c>
      <c r="AB173" s="27">
        <v>1100</v>
      </c>
      <c r="AC173">
        <v>1400</v>
      </c>
      <c r="AD173" s="29" t="str">
        <f>IF(INDEX(Schedule!$A$1:$N$2000, MATCH($C173, VAV_Schedule_5_21[[#All],[UNIT TAG]], FALSE), 7)="-", 0, INDEX(Schedule!$A$1:$N$2000, MATCH($C173, VAV_Schedule_5_21[[#All],[UNIT TAG]], FALSE), 7))</f>
        <v>5</v>
      </c>
      <c r="AE173" t="str">
        <f>"B_01'" &amp; "Flr_0" &amp; INDEX(Joined!$A$3:$M$2000, MATCH($A173, Joined!$I$3:$I$2000, FALSE), 8)</f>
        <v>B_01'Flr_05</v>
      </c>
      <c r="AF173" t="str">
        <f>"R_" &amp; INDEX(Joined!$A$3:$M$2000, MATCH($A173, Joined!$I$3:$I$2000, FALSE), 7)</f>
        <v>R_VAV-5E-12</v>
      </c>
      <c r="AG173" t="str">
        <f>"B_01'" &amp; "Flr_0" &amp; INDEX(Joined!$A$3:$M$2000, MATCH($A173, Joined!$I$3:$I$2000, FALSE), 8)</f>
        <v>B_01'Flr_05</v>
      </c>
      <c r="AH173" t="str">
        <f>INDEX(Joined!$A$3:$M$2000, MATCH($A173, Joined!$I$3:$I$2000, FALSE), 7)</f>
        <v>VAV-5E-12</v>
      </c>
      <c r="AI173" t="s">
        <v>1464</v>
      </c>
    </row>
    <row r="174" spans="1:35" x14ac:dyDescent="0.2">
      <c r="A174" t="s">
        <v>560</v>
      </c>
      <c r="B174" t="str">
        <f>"B_01'" &amp; "Flr_0" &amp; INDEX(Joined!$A$3:$M$2000, MATCH($A174, Joined!$I$3:$I$2000, FALSE), 8)</f>
        <v>B_01'Flr_05</v>
      </c>
      <c r="C174" t="str">
        <f>INDEX(Joined!$A$3:$M$2000, MATCH($A174, Joined!$I$3:$I$2000, FALSE), 7)</f>
        <v>VAV-5E-13</v>
      </c>
      <c r="D174">
        <f>INDEX(Joined!$A$3:$M$2000, MATCH($A174, Joined!$I$3:$I$2000, FALSE), 5)</f>
        <v>151103</v>
      </c>
      <c r="E174" t="str">
        <f>INDEX(Joined!$A$3:$M$2000, MATCH($A174, Joined!$I$3:$I$2000, FALSE), 7)</f>
        <v>VAV-5E-13</v>
      </c>
      <c r="F174" t="s">
        <v>38</v>
      </c>
      <c r="G174" t="str">
        <f>INDEX(Schedule!$Q$2:$R$7, MATCH(ABT!$H174,Schedule!$Q$2:$Q$7, 0), 2)</f>
        <v>15007_ADXR_VAV_DXR2M10</v>
      </c>
      <c r="H174">
        <f>INDEX(Joined!$A$3:$M$2000, MATCH($A174, Joined!$I$3:$I$2000, FALSE), 6)</f>
        <v>15007</v>
      </c>
      <c r="I174" t="str">
        <f>INDEX(Joined!$A$3:$M$2000, MATCH($A174, Joined!$I$3:$I$2000, FALSE), 4)</f>
        <v>511</v>
      </c>
      <c r="J174" t="b">
        <v>0</v>
      </c>
      <c r="K174">
        <f>INDEX(Joined!$A$3:$M$2000, MATCH($A174, Joined!$I$3:$I$2000, FALSE), 3)</f>
        <v>3</v>
      </c>
      <c r="L174">
        <v>85</v>
      </c>
      <c r="M174">
        <v>38400</v>
      </c>
      <c r="N174" s="27">
        <f>PI()*(INDEX(Schedule!$A$1:$N$2000, MATCH($C174, VAV_Schedule_5_21[[#All],[UNIT TAG]], FALSE), 4)/2/12)^2</f>
        <v>0.3490658503988659</v>
      </c>
      <c r="O174" s="27">
        <f>INDEX(Schedule!$A$1:$N$2000, MATCH($C174, VAV_Schedule_5_21[[#All],[UNIT TAG]], FALSE), 4)</f>
        <v>8</v>
      </c>
      <c r="P174">
        <v>172.63</v>
      </c>
      <c r="Q174" s="27">
        <f>INDEX(Schedule!$A$1:$N$2000, MATCH($C174, VAV_Schedule_5_21[[#All],[UNIT TAG]], FALSE), 5)</f>
        <v>525</v>
      </c>
      <c r="R174" s="27">
        <f>INDEX(Schedule!$A$1:$N$2000, MATCH($C174, VAV_Schedule_5_21[[#All],[UNIT TAG]], FALSE), 6)</f>
        <v>105</v>
      </c>
      <c r="S174" s="27">
        <f>INDEX(Schedule!$A$1:$N$2000, MATCH($C174, VAV_Schedule_5_21[[#All],[UNIT TAG]], FALSE), 5)</f>
        <v>525</v>
      </c>
      <c r="T174" s="27">
        <f>INDEX(Schedule!$A$1:$N$2000, MATCH($C174, VAV_Schedule_5_21[[#All],[UNIT TAG]], FALSE), 6)</f>
        <v>105</v>
      </c>
      <c r="U174" s="27">
        <f>INDEX(Schedule!$A$1:$N$2000, MATCH($C174, VAV_Schedule_5_21[[#All],[UNIT TAG]], FALSE), 5)</f>
        <v>525</v>
      </c>
      <c r="V174" s="27">
        <f>INDEX(Schedule!$A$1:$N$2000, MATCH($C174, VAV_Schedule_5_21[[#All],[UNIT TAG]], FALSE), 6)</f>
        <v>105</v>
      </c>
      <c r="W174" s="27">
        <f>INDEX(Schedule!$A$1:$N$2000, MATCH($C174, VAV_Schedule_5_21[[#All],[UNIT TAG]], FALSE), 6)</f>
        <v>105</v>
      </c>
      <c r="X174" s="27">
        <f>INDEX(Schedule!$A$1:$N$2000, MATCH($C174, VAV_Schedule_5_21[[#All],[UNIT TAG]], FALSE), 6)</f>
        <v>105</v>
      </c>
      <c r="Y174" s="27">
        <f>INDEX(Schedule!$A$1:$N$2000, MATCH($C174, VAV_Schedule_5_21[[#All],[UNIT TAG]], FALSE), 6)</f>
        <v>105</v>
      </c>
      <c r="Z174" s="27">
        <f>INDEX(Schedule!$A$1:$N$2000, MATCH($C174, VAV_Schedule_5_21[[#All],[UNIT TAG]], FALSE), 6)</f>
        <v>105</v>
      </c>
      <c r="AA174" s="27">
        <v>1000</v>
      </c>
      <c r="AB174" s="27">
        <v>1100</v>
      </c>
      <c r="AC174">
        <v>1400</v>
      </c>
      <c r="AD174" s="29" t="str">
        <f>IF(INDEX(Schedule!$A$1:$N$2000, MATCH($C174, VAV_Schedule_5_21[[#All],[UNIT TAG]], FALSE), 7)="-", 0, INDEX(Schedule!$A$1:$N$2000, MATCH($C174, VAV_Schedule_5_21[[#All],[UNIT TAG]], FALSE), 7))</f>
        <v>5</v>
      </c>
      <c r="AE174" t="str">
        <f>"B_01'" &amp; "Flr_0" &amp; INDEX(Joined!$A$3:$M$2000, MATCH($A174, Joined!$I$3:$I$2000, FALSE), 8)</f>
        <v>B_01'Flr_05</v>
      </c>
      <c r="AF174" t="str">
        <f>"R_" &amp; INDEX(Joined!$A$3:$M$2000, MATCH($A174, Joined!$I$3:$I$2000, FALSE), 7)</f>
        <v>R_VAV-5E-13</v>
      </c>
      <c r="AG174" t="str">
        <f>"B_01'" &amp; "Flr_0" &amp; INDEX(Joined!$A$3:$M$2000, MATCH($A174, Joined!$I$3:$I$2000, FALSE), 8)</f>
        <v>B_01'Flr_05</v>
      </c>
      <c r="AH174" t="str">
        <f>INDEX(Joined!$A$3:$M$2000, MATCH($A174, Joined!$I$3:$I$2000, FALSE), 7)</f>
        <v>VAV-5E-13</v>
      </c>
      <c r="AI174" t="s">
        <v>1465</v>
      </c>
    </row>
    <row r="175" spans="1:35" x14ac:dyDescent="0.2">
      <c r="A175" t="s">
        <v>561</v>
      </c>
      <c r="B175" t="str">
        <f>"B_01'" &amp; "Flr_0" &amp; INDEX(Joined!$A$3:$M$2000, MATCH($A175, Joined!$I$3:$I$2000, FALSE), 8)</f>
        <v>B_01'Flr_05</v>
      </c>
      <c r="C175" t="str">
        <f>INDEX(Joined!$A$3:$M$2000, MATCH($A175, Joined!$I$3:$I$2000, FALSE), 7)</f>
        <v>VAV-5E-14</v>
      </c>
      <c r="D175">
        <f>INDEX(Joined!$A$3:$M$2000, MATCH($A175, Joined!$I$3:$I$2000, FALSE), 5)</f>
        <v>151104</v>
      </c>
      <c r="E175" t="str">
        <f>INDEX(Joined!$A$3:$M$2000, MATCH($A175, Joined!$I$3:$I$2000, FALSE), 7)</f>
        <v>VAV-5E-14</v>
      </c>
      <c r="F175" t="s">
        <v>38</v>
      </c>
      <c r="G175" t="str">
        <f>INDEX(Schedule!$Q$2:$R$7, MATCH(ABT!$H175,Schedule!$Q$2:$Q$7, 0), 2)</f>
        <v>15007_ADXR_VAV_DXR2M10</v>
      </c>
      <c r="H175">
        <f>INDEX(Joined!$A$3:$M$2000, MATCH($A175, Joined!$I$3:$I$2000, FALSE), 6)</f>
        <v>15007</v>
      </c>
      <c r="I175" t="str">
        <f>INDEX(Joined!$A$3:$M$2000, MATCH($A175, Joined!$I$3:$I$2000, FALSE), 4)</f>
        <v>511</v>
      </c>
      <c r="J175" t="b">
        <v>0</v>
      </c>
      <c r="K175">
        <f>INDEX(Joined!$A$3:$M$2000, MATCH($A175, Joined!$I$3:$I$2000, FALSE), 3)</f>
        <v>4</v>
      </c>
      <c r="L175">
        <v>85</v>
      </c>
      <c r="M175">
        <v>38400</v>
      </c>
      <c r="N175" s="27">
        <f>PI()*(INDEX(Schedule!$A$1:$N$2000, MATCH($C175, VAV_Schedule_5_21[[#All],[UNIT TAG]], FALSE), 4)/2/12)^2</f>
        <v>0.3490658503988659</v>
      </c>
      <c r="O175" s="27">
        <f>INDEX(Schedule!$A$1:$N$2000, MATCH($C175, VAV_Schedule_5_21[[#All],[UNIT TAG]], FALSE), 4)</f>
        <v>8</v>
      </c>
      <c r="P175">
        <v>173.63</v>
      </c>
      <c r="Q175" s="27">
        <f>INDEX(Schedule!$A$1:$N$2000, MATCH($C175, VAV_Schedule_5_21[[#All],[UNIT TAG]], FALSE), 5)</f>
        <v>490</v>
      </c>
      <c r="R175" s="27">
        <f>INDEX(Schedule!$A$1:$N$2000, MATCH($C175, VAV_Schedule_5_21[[#All],[UNIT TAG]], FALSE), 6)</f>
        <v>100</v>
      </c>
      <c r="S175" s="27">
        <f>INDEX(Schedule!$A$1:$N$2000, MATCH($C175, VAV_Schedule_5_21[[#All],[UNIT TAG]], FALSE), 5)</f>
        <v>490</v>
      </c>
      <c r="T175" s="27">
        <f>INDEX(Schedule!$A$1:$N$2000, MATCH($C175, VAV_Schedule_5_21[[#All],[UNIT TAG]], FALSE), 6)</f>
        <v>100</v>
      </c>
      <c r="U175" s="27">
        <f>INDEX(Schedule!$A$1:$N$2000, MATCH($C175, VAV_Schedule_5_21[[#All],[UNIT TAG]], FALSE), 5)</f>
        <v>490</v>
      </c>
      <c r="V175" s="27">
        <f>INDEX(Schedule!$A$1:$N$2000, MATCH($C175, VAV_Schedule_5_21[[#All],[UNIT TAG]], FALSE), 6)</f>
        <v>100</v>
      </c>
      <c r="W175" s="27">
        <f>INDEX(Schedule!$A$1:$N$2000, MATCH($C175, VAV_Schedule_5_21[[#All],[UNIT TAG]], FALSE), 6)</f>
        <v>100</v>
      </c>
      <c r="X175" s="27">
        <f>INDEX(Schedule!$A$1:$N$2000, MATCH($C175, VAV_Schedule_5_21[[#All],[UNIT TAG]], FALSE), 6)</f>
        <v>100</v>
      </c>
      <c r="Y175" s="27">
        <f>INDEX(Schedule!$A$1:$N$2000, MATCH($C175, VAV_Schedule_5_21[[#All],[UNIT TAG]], FALSE), 6)</f>
        <v>100</v>
      </c>
      <c r="Z175" s="27">
        <f>INDEX(Schedule!$A$1:$N$2000, MATCH($C175, VAV_Schedule_5_21[[#All],[UNIT TAG]], FALSE), 6)</f>
        <v>100</v>
      </c>
      <c r="AA175" s="27">
        <v>1000</v>
      </c>
      <c r="AB175" s="27">
        <v>1100</v>
      </c>
      <c r="AC175">
        <v>1400</v>
      </c>
      <c r="AD175" s="29" t="str">
        <f>IF(INDEX(Schedule!$A$1:$N$2000, MATCH($C175, VAV_Schedule_5_21[[#All],[UNIT TAG]], FALSE), 7)="-", 0, INDEX(Schedule!$A$1:$N$2000, MATCH($C175, VAV_Schedule_5_21[[#All],[UNIT TAG]], FALSE), 7))</f>
        <v>5</v>
      </c>
      <c r="AE175" t="str">
        <f>"B_01'" &amp; "Flr_0" &amp; INDEX(Joined!$A$3:$M$2000, MATCH($A175, Joined!$I$3:$I$2000, FALSE), 8)</f>
        <v>B_01'Flr_05</v>
      </c>
      <c r="AF175" t="str">
        <f>"R_" &amp; INDEX(Joined!$A$3:$M$2000, MATCH($A175, Joined!$I$3:$I$2000, FALSE), 7)</f>
        <v>R_VAV-5E-14</v>
      </c>
      <c r="AG175" t="str">
        <f>"B_01'" &amp; "Flr_0" &amp; INDEX(Joined!$A$3:$M$2000, MATCH($A175, Joined!$I$3:$I$2000, FALSE), 8)</f>
        <v>B_01'Flr_05</v>
      </c>
      <c r="AH175" t="str">
        <f>INDEX(Joined!$A$3:$M$2000, MATCH($A175, Joined!$I$3:$I$2000, FALSE), 7)</f>
        <v>VAV-5E-14</v>
      </c>
      <c r="AI175" t="s">
        <v>1466</v>
      </c>
    </row>
    <row r="176" spans="1:35" x14ac:dyDescent="0.2">
      <c r="A176" s="20" t="s">
        <v>699</v>
      </c>
      <c r="B176" t="str">
        <f>"B_01'" &amp; "Flr_0" &amp; INDEX(Joined!$A$3:$M$2000, MATCH($A176, Joined!$I$3:$I$2000, FALSE), 8)</f>
        <v>B_01'Flr_05</v>
      </c>
      <c r="C176" t="str">
        <f>INDEX(Joined!$A$3:$M$2000, MATCH($A176, Joined!$I$3:$I$2000, FALSE), 7)</f>
        <v>VAV-5E-14A</v>
      </c>
      <c r="D176">
        <f>INDEX(Joined!$A$3:$M$2000, MATCH($A176, Joined!$I$3:$I$2000, FALSE), 5)</f>
        <v>151105</v>
      </c>
      <c r="E176" t="str">
        <f>INDEX(Joined!$A$3:$M$2000, MATCH($A176, Joined!$I$3:$I$2000, FALSE), 7)</f>
        <v>VAV-5E-14A</v>
      </c>
      <c r="F176" t="s">
        <v>38</v>
      </c>
      <c r="G176" t="str">
        <f>INDEX(Schedule!$Q$2:$R$7, MATCH(ABT!$H176,Schedule!$Q$2:$Q$7, 0), 2)</f>
        <v>15006_ADXR_VAV_DXR2M10</v>
      </c>
      <c r="H176">
        <f>INDEX(Joined!$A$3:$M$2000, MATCH($A176, Joined!$I$3:$I$2000, FALSE), 6)</f>
        <v>15006</v>
      </c>
      <c r="I176" t="str">
        <f>INDEX(Joined!$A$3:$M$2000, MATCH($A176, Joined!$I$3:$I$2000, FALSE), 4)</f>
        <v>511</v>
      </c>
      <c r="J176" t="b">
        <v>0</v>
      </c>
      <c r="K176">
        <f>INDEX(Joined!$A$3:$M$2000, MATCH($A176, Joined!$I$3:$I$2000, FALSE), 3)</f>
        <v>5</v>
      </c>
      <c r="L176">
        <v>85</v>
      </c>
      <c r="M176">
        <v>38400</v>
      </c>
      <c r="N176" s="27">
        <f>PI()*(INDEX(Schedule!$A$1:$N$2000, MATCH($C176, VAV_Schedule_5_21[[#All],[UNIT TAG]], FALSE), 4)/2/12)^2</f>
        <v>0.54541539124822802</v>
      </c>
      <c r="O176" s="27">
        <f>INDEX(Schedule!$A$1:$N$2000, MATCH($C176, VAV_Schedule_5_21[[#All],[UNIT TAG]], FALSE), 4)</f>
        <v>10</v>
      </c>
      <c r="P176">
        <v>174.63</v>
      </c>
      <c r="Q176" s="27">
        <f>INDEX(Schedule!$A$1:$N$2000, MATCH($C176, VAV_Schedule_5_21[[#All],[UNIT TAG]], FALSE), 5)</f>
        <v>800</v>
      </c>
      <c r="R176" s="27">
        <f>INDEX(Schedule!$A$1:$N$2000, MATCH($C176, VAV_Schedule_5_21[[#All],[UNIT TAG]], FALSE), 6)</f>
        <v>160</v>
      </c>
      <c r="S176" s="27">
        <f>INDEX(Schedule!$A$1:$N$2000, MATCH($C176, VAV_Schedule_5_21[[#All],[UNIT TAG]], FALSE), 5)</f>
        <v>800</v>
      </c>
      <c r="T176" s="27">
        <f>INDEX(Schedule!$A$1:$N$2000, MATCH($C176, VAV_Schedule_5_21[[#All],[UNIT TAG]], FALSE), 6)</f>
        <v>160</v>
      </c>
      <c r="U176" s="27">
        <f>INDEX(Schedule!$A$1:$N$2000, MATCH($C176, VAV_Schedule_5_21[[#All],[UNIT TAG]], FALSE), 5)</f>
        <v>800</v>
      </c>
      <c r="V176" s="27">
        <f>INDEX(Schedule!$A$1:$N$2000, MATCH($C176, VAV_Schedule_5_21[[#All],[UNIT TAG]], FALSE), 6)</f>
        <v>160</v>
      </c>
      <c r="W176" s="27">
        <f>INDEX(Schedule!$A$1:$N$2000, MATCH($C176, VAV_Schedule_5_21[[#All],[UNIT TAG]], FALSE), 6)</f>
        <v>160</v>
      </c>
      <c r="X176" s="27">
        <f>INDEX(Schedule!$A$1:$N$2000, MATCH($C176, VAV_Schedule_5_21[[#All],[UNIT TAG]], FALSE), 6)</f>
        <v>160</v>
      </c>
      <c r="Y176" s="27">
        <f>INDEX(Schedule!$A$1:$N$2000, MATCH($C176, VAV_Schedule_5_21[[#All],[UNIT TAG]], FALSE), 6)</f>
        <v>160</v>
      </c>
      <c r="Z176" s="27">
        <f>INDEX(Schedule!$A$1:$N$2000, MATCH($C176, VAV_Schedule_5_21[[#All],[UNIT TAG]], FALSE), 6)</f>
        <v>160</v>
      </c>
      <c r="AA176" s="27">
        <v>1000</v>
      </c>
      <c r="AB176" s="27">
        <v>1100</v>
      </c>
      <c r="AC176">
        <v>1400</v>
      </c>
      <c r="AD176" s="29">
        <f>IF(INDEX(Schedule!$A$1:$N$2000, MATCH($C176, VAV_Schedule_5_21[[#All],[UNIT TAG]], FALSE), 7)="-", 0, INDEX(Schedule!$A$1:$N$2000, MATCH($C176, VAV_Schedule_5_21[[#All],[UNIT TAG]], FALSE), 7))</f>
        <v>0</v>
      </c>
      <c r="AE176" t="str">
        <f>"B_01'" &amp; "Flr_0" &amp; INDEX(Joined!$A$3:$M$2000, MATCH($A176, Joined!$I$3:$I$2000, FALSE), 8)</f>
        <v>B_01'Flr_05</v>
      </c>
      <c r="AF176" t="str">
        <f>"R_" &amp; INDEX(Joined!$A$3:$M$2000, MATCH($A176, Joined!$I$3:$I$2000, FALSE), 7)</f>
        <v>R_VAV-5E-14A</v>
      </c>
      <c r="AG176" t="str">
        <f>"B_01'" &amp; "Flr_0" &amp; INDEX(Joined!$A$3:$M$2000, MATCH($A176, Joined!$I$3:$I$2000, FALSE), 8)</f>
        <v>B_01'Flr_05</v>
      </c>
      <c r="AH176" t="str">
        <f>INDEX(Joined!$A$3:$M$2000, MATCH($A176, Joined!$I$3:$I$2000, FALSE), 7)</f>
        <v>VAV-5E-14A</v>
      </c>
      <c r="AI176" t="s">
        <v>1905</v>
      </c>
    </row>
    <row r="177" spans="1:35" x14ac:dyDescent="0.2">
      <c r="A177" s="4" t="s">
        <v>562</v>
      </c>
      <c r="B177" t="str">
        <f>"B_01'" &amp; "Flr_0" &amp; INDEX(Joined!$A$3:$M$2000, MATCH($A177, Joined!$I$3:$I$2000, FALSE), 8)</f>
        <v>B_01'Flr_05</v>
      </c>
      <c r="C177" t="str">
        <f>INDEX(Joined!$A$3:$M$2000, MATCH($A177, Joined!$I$3:$I$2000, FALSE), 7)</f>
        <v>VAV-5E-15</v>
      </c>
      <c r="D177">
        <f>INDEX(Joined!$A$3:$M$2000, MATCH($A177, Joined!$I$3:$I$2000, FALSE), 5)</f>
        <v>151106</v>
      </c>
      <c r="E177" t="str">
        <f>INDEX(Joined!$A$3:$M$2000, MATCH($A177, Joined!$I$3:$I$2000, FALSE), 7)</f>
        <v>VAV-5E-15</v>
      </c>
      <c r="F177" t="s">
        <v>38</v>
      </c>
      <c r="G177" t="str">
        <f>INDEX(Schedule!$Q$2:$R$7, MATCH(ABT!$H177,Schedule!$Q$2:$Q$7, 0), 2)</f>
        <v>15007_ADXR_VAV_DXR2M10</v>
      </c>
      <c r="H177">
        <f>INDEX(Joined!$A$3:$M$2000, MATCH($A177, Joined!$I$3:$I$2000, FALSE), 6)</f>
        <v>15007</v>
      </c>
      <c r="I177" t="str">
        <f>INDEX(Joined!$A$3:$M$2000, MATCH($A177, Joined!$I$3:$I$2000, FALSE), 4)</f>
        <v>511</v>
      </c>
      <c r="J177" t="b">
        <v>0</v>
      </c>
      <c r="K177">
        <f>INDEX(Joined!$A$3:$M$2000, MATCH($A177, Joined!$I$3:$I$2000, FALSE), 3)</f>
        <v>6</v>
      </c>
      <c r="L177">
        <v>85</v>
      </c>
      <c r="M177">
        <v>38400</v>
      </c>
      <c r="N177" s="27">
        <f>PI()*(INDEX(Schedule!$A$1:$N$2000, MATCH($C177, VAV_Schedule_5_21[[#All],[UNIT TAG]], FALSE), 4)/2/12)^2</f>
        <v>0.54541539124822802</v>
      </c>
      <c r="O177" s="27">
        <f>INDEX(Schedule!$A$1:$N$2000, MATCH($C177, VAV_Schedule_5_21[[#All],[UNIT TAG]], FALSE), 4)</f>
        <v>10</v>
      </c>
      <c r="P177">
        <v>175.63</v>
      </c>
      <c r="Q177" s="27">
        <f>INDEX(Schedule!$A$1:$N$2000, MATCH($C177, VAV_Schedule_5_21[[#All],[UNIT TAG]], FALSE), 5)</f>
        <v>1050</v>
      </c>
      <c r="R177" s="27">
        <f>INDEX(Schedule!$A$1:$N$2000, MATCH($C177, VAV_Schedule_5_21[[#All],[UNIT TAG]], FALSE), 6)</f>
        <v>210</v>
      </c>
      <c r="S177" s="27">
        <f>INDEX(Schedule!$A$1:$N$2000, MATCH($C177, VAV_Schedule_5_21[[#All],[UNIT TAG]], FALSE), 5)</f>
        <v>1050</v>
      </c>
      <c r="T177" s="27">
        <f>INDEX(Schedule!$A$1:$N$2000, MATCH($C177, VAV_Schedule_5_21[[#All],[UNIT TAG]], FALSE), 6)</f>
        <v>210</v>
      </c>
      <c r="U177" s="27">
        <f>INDEX(Schedule!$A$1:$N$2000, MATCH($C177, VAV_Schedule_5_21[[#All],[UNIT TAG]], FALSE), 5)</f>
        <v>1050</v>
      </c>
      <c r="V177" s="27">
        <f>INDEX(Schedule!$A$1:$N$2000, MATCH($C177, VAV_Schedule_5_21[[#All],[UNIT TAG]], FALSE), 6)</f>
        <v>210</v>
      </c>
      <c r="W177" s="27">
        <f>INDEX(Schedule!$A$1:$N$2000, MATCH($C177, VAV_Schedule_5_21[[#All],[UNIT TAG]], FALSE), 6)</f>
        <v>210</v>
      </c>
      <c r="X177" s="27">
        <f>INDEX(Schedule!$A$1:$N$2000, MATCH($C177, VAV_Schedule_5_21[[#All],[UNIT TAG]], FALSE), 6)</f>
        <v>210</v>
      </c>
      <c r="Y177" s="27">
        <f>INDEX(Schedule!$A$1:$N$2000, MATCH($C177, VAV_Schedule_5_21[[#All],[UNIT TAG]], FALSE), 6)</f>
        <v>210</v>
      </c>
      <c r="Z177" s="27">
        <f>INDEX(Schedule!$A$1:$N$2000, MATCH($C177, VAV_Schedule_5_21[[#All],[UNIT TAG]], FALSE), 6)</f>
        <v>210</v>
      </c>
      <c r="AA177" s="27">
        <v>1000</v>
      </c>
      <c r="AB177" s="27">
        <v>1100</v>
      </c>
      <c r="AC177">
        <v>1400</v>
      </c>
      <c r="AD177" s="29" t="str">
        <f>IF(INDEX(Schedule!$A$1:$N$2000, MATCH($C177, VAV_Schedule_5_21[[#All],[UNIT TAG]], FALSE), 7)="-", 0, INDEX(Schedule!$A$1:$N$2000, MATCH($C177, VAV_Schedule_5_21[[#All],[UNIT TAG]], FALSE), 7))</f>
        <v>7</v>
      </c>
      <c r="AE177" t="str">
        <f>"B_01'" &amp; "Flr_0" &amp; INDEX(Joined!$A$3:$M$2000, MATCH($A177, Joined!$I$3:$I$2000, FALSE), 8)</f>
        <v>B_01'Flr_05</v>
      </c>
      <c r="AF177" t="str">
        <f>"R_" &amp; INDEX(Joined!$A$3:$M$2000, MATCH($A177, Joined!$I$3:$I$2000, FALSE), 7)</f>
        <v>R_VAV-5E-15</v>
      </c>
      <c r="AG177" t="str">
        <f>"B_01'" &amp; "Flr_0" &amp; INDEX(Joined!$A$3:$M$2000, MATCH($A177, Joined!$I$3:$I$2000, FALSE), 8)</f>
        <v>B_01'Flr_05</v>
      </c>
      <c r="AH177" t="str">
        <f>INDEX(Joined!$A$3:$M$2000, MATCH($A177, Joined!$I$3:$I$2000, FALSE), 7)</f>
        <v>VAV-5E-15</v>
      </c>
      <c r="AI177" t="s">
        <v>1483</v>
      </c>
    </row>
    <row r="178" spans="1:35" x14ac:dyDescent="0.2">
      <c r="A178" s="20" t="s">
        <v>700</v>
      </c>
      <c r="B178" t="str">
        <f>"B_01'" &amp; "Flr_0" &amp; INDEX(Joined!$A$3:$M$2000, MATCH($A178, Joined!$I$3:$I$2000, FALSE), 8)</f>
        <v>B_01'Flr_05</v>
      </c>
      <c r="C178" t="str">
        <f>INDEX(Joined!$A$3:$M$2000, MATCH($A178, Joined!$I$3:$I$2000, FALSE), 7)</f>
        <v>VAV-5E-15A</v>
      </c>
      <c r="D178">
        <f>INDEX(Joined!$A$3:$M$2000, MATCH($A178, Joined!$I$3:$I$2000, FALSE), 5)</f>
        <v>151107</v>
      </c>
      <c r="E178" t="str">
        <f>INDEX(Joined!$A$3:$M$2000, MATCH($A178, Joined!$I$3:$I$2000, FALSE), 7)</f>
        <v>VAV-5E-15A</v>
      </c>
      <c r="F178" t="s">
        <v>38</v>
      </c>
      <c r="G178" t="str">
        <f>INDEX(Schedule!$Q$2:$R$7, MATCH(ABT!$H178,Schedule!$Q$2:$Q$7, 0), 2)</f>
        <v>15006_ADXR_VAV_DXR2M10</v>
      </c>
      <c r="H178">
        <f>INDEX(Joined!$A$3:$M$2000, MATCH($A178, Joined!$I$3:$I$2000, FALSE), 6)</f>
        <v>15006</v>
      </c>
      <c r="I178" t="str">
        <f>INDEX(Joined!$A$3:$M$2000, MATCH($A178, Joined!$I$3:$I$2000, FALSE), 4)</f>
        <v>511</v>
      </c>
      <c r="J178" t="b">
        <v>0</v>
      </c>
      <c r="K178">
        <f>INDEX(Joined!$A$3:$M$2000, MATCH($A178, Joined!$I$3:$I$2000, FALSE), 3)</f>
        <v>7</v>
      </c>
      <c r="L178">
        <v>85</v>
      </c>
      <c r="M178">
        <v>38400</v>
      </c>
      <c r="N178" s="27">
        <f>PI()*(INDEX(Schedule!$A$1:$N$2000, MATCH($C178, VAV_Schedule_5_21[[#All],[UNIT TAG]], FALSE), 4)/2/12)^2</f>
        <v>0.54541539124822802</v>
      </c>
      <c r="O178" s="27">
        <f>INDEX(Schedule!$A$1:$N$2000, MATCH($C178, VAV_Schedule_5_21[[#All],[UNIT TAG]], FALSE), 4)</f>
        <v>10</v>
      </c>
      <c r="P178">
        <v>176.63</v>
      </c>
      <c r="Q178" s="27">
        <f>INDEX(Schedule!$A$1:$N$2000, MATCH($C178, VAV_Schedule_5_21[[#All],[UNIT TAG]], FALSE), 5)</f>
        <v>800</v>
      </c>
      <c r="R178" s="27">
        <f>INDEX(Schedule!$A$1:$N$2000, MATCH($C178, VAV_Schedule_5_21[[#All],[UNIT TAG]], FALSE), 6)</f>
        <v>160</v>
      </c>
      <c r="S178" s="27">
        <f>INDEX(Schedule!$A$1:$N$2000, MATCH($C178, VAV_Schedule_5_21[[#All],[UNIT TAG]], FALSE), 5)</f>
        <v>800</v>
      </c>
      <c r="T178" s="27">
        <f>INDEX(Schedule!$A$1:$N$2000, MATCH($C178, VAV_Schedule_5_21[[#All],[UNIT TAG]], FALSE), 6)</f>
        <v>160</v>
      </c>
      <c r="U178" s="27">
        <f>INDEX(Schedule!$A$1:$N$2000, MATCH($C178, VAV_Schedule_5_21[[#All],[UNIT TAG]], FALSE), 5)</f>
        <v>800</v>
      </c>
      <c r="V178" s="27">
        <f>INDEX(Schedule!$A$1:$N$2000, MATCH($C178, VAV_Schedule_5_21[[#All],[UNIT TAG]], FALSE), 6)</f>
        <v>160</v>
      </c>
      <c r="W178" s="27">
        <f>INDEX(Schedule!$A$1:$N$2000, MATCH($C178, VAV_Schedule_5_21[[#All],[UNIT TAG]], FALSE), 6)</f>
        <v>160</v>
      </c>
      <c r="X178" s="27">
        <f>INDEX(Schedule!$A$1:$N$2000, MATCH($C178, VAV_Schedule_5_21[[#All],[UNIT TAG]], FALSE), 6)</f>
        <v>160</v>
      </c>
      <c r="Y178" s="27">
        <f>INDEX(Schedule!$A$1:$N$2000, MATCH($C178, VAV_Schedule_5_21[[#All],[UNIT TAG]], FALSE), 6)</f>
        <v>160</v>
      </c>
      <c r="Z178" s="27">
        <f>INDEX(Schedule!$A$1:$N$2000, MATCH($C178, VAV_Schedule_5_21[[#All],[UNIT TAG]], FALSE), 6)</f>
        <v>160</v>
      </c>
      <c r="AA178" s="27">
        <v>1000</v>
      </c>
      <c r="AB178" s="27">
        <v>1100</v>
      </c>
      <c r="AC178">
        <v>1400</v>
      </c>
      <c r="AD178" s="29">
        <f>IF(INDEX(Schedule!$A$1:$N$2000, MATCH($C178, VAV_Schedule_5_21[[#All],[UNIT TAG]], FALSE), 7)="-", 0, INDEX(Schedule!$A$1:$N$2000, MATCH($C178, VAV_Schedule_5_21[[#All],[UNIT TAG]], FALSE), 7))</f>
        <v>0</v>
      </c>
      <c r="AE178" t="str">
        <f>"B_01'" &amp; "Flr_0" &amp; INDEX(Joined!$A$3:$M$2000, MATCH($A178, Joined!$I$3:$I$2000, FALSE), 8)</f>
        <v>B_01'Flr_05</v>
      </c>
      <c r="AF178" t="str">
        <f>"R_" &amp; INDEX(Joined!$A$3:$M$2000, MATCH($A178, Joined!$I$3:$I$2000, FALSE), 7)</f>
        <v>R_VAV-5E-15A</v>
      </c>
      <c r="AG178" t="str">
        <f>"B_01'" &amp; "Flr_0" &amp; INDEX(Joined!$A$3:$M$2000, MATCH($A178, Joined!$I$3:$I$2000, FALSE), 8)</f>
        <v>B_01'Flr_05</v>
      </c>
      <c r="AH178" t="str">
        <f>INDEX(Joined!$A$3:$M$2000, MATCH($A178, Joined!$I$3:$I$2000, FALSE), 7)</f>
        <v>VAV-5E-15A</v>
      </c>
      <c r="AI178" t="s">
        <v>1904</v>
      </c>
    </row>
    <row r="179" spans="1:35" x14ac:dyDescent="0.2">
      <c r="A179" t="s">
        <v>563</v>
      </c>
      <c r="B179" t="str">
        <f>"B_01'" &amp; "Flr_0" &amp; INDEX(Joined!$A$3:$M$2000, MATCH($A179, Joined!$I$3:$I$2000, FALSE), 8)</f>
        <v>B_01'Flr_05</v>
      </c>
      <c r="C179" t="str">
        <f>INDEX(Joined!$A$3:$M$2000, MATCH($A179, Joined!$I$3:$I$2000, FALSE), 7)</f>
        <v>VAV-5E-16</v>
      </c>
      <c r="D179">
        <f>INDEX(Joined!$A$3:$M$2000, MATCH($A179, Joined!$I$3:$I$2000, FALSE), 5)</f>
        <v>151108</v>
      </c>
      <c r="E179" t="str">
        <f>INDEX(Joined!$A$3:$M$2000, MATCH($A179, Joined!$I$3:$I$2000, FALSE), 7)</f>
        <v>VAV-5E-16</v>
      </c>
      <c r="F179" t="s">
        <v>38</v>
      </c>
      <c r="G179" t="str">
        <f>INDEX(Schedule!$Q$2:$R$7, MATCH(ABT!$H179,Schedule!$Q$2:$Q$7, 0), 2)</f>
        <v>15007_ADXR_VAV_DXR2M10</v>
      </c>
      <c r="H179">
        <f>INDEX(Joined!$A$3:$M$2000, MATCH($A179, Joined!$I$3:$I$2000, FALSE), 6)</f>
        <v>15007</v>
      </c>
      <c r="I179" t="str">
        <f>INDEX(Joined!$A$3:$M$2000, MATCH($A179, Joined!$I$3:$I$2000, FALSE), 4)</f>
        <v>511</v>
      </c>
      <c r="J179" t="b">
        <v>0</v>
      </c>
      <c r="K179">
        <f>INDEX(Joined!$A$3:$M$2000, MATCH($A179, Joined!$I$3:$I$2000, FALSE), 3)</f>
        <v>8</v>
      </c>
      <c r="L179">
        <v>85</v>
      </c>
      <c r="M179">
        <v>38400</v>
      </c>
      <c r="N179" s="27">
        <f>PI()*(INDEX(Schedule!$A$1:$N$2000, MATCH($C179, VAV_Schedule_5_21[[#All],[UNIT TAG]], FALSE), 4)/2/12)^2</f>
        <v>0.54541539124822802</v>
      </c>
      <c r="O179" s="27">
        <f>INDEX(Schedule!$A$1:$N$2000, MATCH($C179, VAV_Schedule_5_21[[#All],[UNIT TAG]], FALSE), 4)</f>
        <v>10</v>
      </c>
      <c r="P179">
        <v>177.63</v>
      </c>
      <c r="Q179" s="27">
        <f>INDEX(Schedule!$A$1:$N$2000, MATCH($C179, VAV_Schedule_5_21[[#All],[UNIT TAG]], FALSE), 5)</f>
        <v>840</v>
      </c>
      <c r="R179" s="27">
        <f>INDEX(Schedule!$A$1:$N$2000, MATCH($C179, VAV_Schedule_5_21[[#All],[UNIT TAG]], FALSE), 6)</f>
        <v>170</v>
      </c>
      <c r="S179" s="27">
        <f>INDEX(Schedule!$A$1:$N$2000, MATCH($C179, VAV_Schedule_5_21[[#All],[UNIT TAG]], FALSE), 5)</f>
        <v>840</v>
      </c>
      <c r="T179" s="27">
        <f>INDEX(Schedule!$A$1:$N$2000, MATCH($C179, VAV_Schedule_5_21[[#All],[UNIT TAG]], FALSE), 6)</f>
        <v>170</v>
      </c>
      <c r="U179" s="27">
        <f>INDEX(Schedule!$A$1:$N$2000, MATCH($C179, VAV_Schedule_5_21[[#All],[UNIT TAG]], FALSE), 5)</f>
        <v>840</v>
      </c>
      <c r="V179" s="27">
        <f>INDEX(Schedule!$A$1:$N$2000, MATCH($C179, VAV_Schedule_5_21[[#All],[UNIT TAG]], FALSE), 6)</f>
        <v>170</v>
      </c>
      <c r="W179" s="27">
        <f>INDEX(Schedule!$A$1:$N$2000, MATCH($C179, VAV_Schedule_5_21[[#All],[UNIT TAG]], FALSE), 6)</f>
        <v>170</v>
      </c>
      <c r="X179" s="27">
        <f>INDEX(Schedule!$A$1:$N$2000, MATCH($C179, VAV_Schedule_5_21[[#All],[UNIT TAG]], FALSE), 6)</f>
        <v>170</v>
      </c>
      <c r="Y179" s="27">
        <f>INDEX(Schedule!$A$1:$N$2000, MATCH($C179, VAV_Schedule_5_21[[#All],[UNIT TAG]], FALSE), 6)</f>
        <v>170</v>
      </c>
      <c r="Z179" s="27">
        <f>INDEX(Schedule!$A$1:$N$2000, MATCH($C179, VAV_Schedule_5_21[[#All],[UNIT TAG]], FALSE), 6)</f>
        <v>170</v>
      </c>
      <c r="AA179" s="27">
        <v>1000</v>
      </c>
      <c r="AB179" s="27">
        <v>1100</v>
      </c>
      <c r="AC179">
        <v>1400</v>
      </c>
      <c r="AD179" s="29" t="str">
        <f>IF(INDEX(Schedule!$A$1:$N$2000, MATCH($C179, VAV_Schedule_5_21[[#All],[UNIT TAG]], FALSE), 7)="-", 0, INDEX(Schedule!$A$1:$N$2000, MATCH($C179, VAV_Schedule_5_21[[#All],[UNIT TAG]], FALSE), 7))</f>
        <v>6</v>
      </c>
      <c r="AE179" t="str">
        <f>"B_01'" &amp; "Flr_0" &amp; INDEX(Joined!$A$3:$M$2000, MATCH($A179, Joined!$I$3:$I$2000, FALSE), 8)</f>
        <v>B_01'Flr_05</v>
      </c>
      <c r="AF179" t="str">
        <f>"R_" &amp; INDEX(Joined!$A$3:$M$2000, MATCH($A179, Joined!$I$3:$I$2000, FALSE), 7)</f>
        <v>R_VAV-5E-16</v>
      </c>
      <c r="AG179" t="str">
        <f>"B_01'" &amp; "Flr_0" &amp; INDEX(Joined!$A$3:$M$2000, MATCH($A179, Joined!$I$3:$I$2000, FALSE), 8)</f>
        <v>B_01'Flr_05</v>
      </c>
      <c r="AH179" t="str">
        <f>INDEX(Joined!$A$3:$M$2000, MATCH($A179, Joined!$I$3:$I$2000, FALSE), 7)</f>
        <v>VAV-5E-16</v>
      </c>
      <c r="AI179" t="s">
        <v>1478</v>
      </c>
    </row>
    <row r="180" spans="1:35" x14ac:dyDescent="0.2">
      <c r="A180" t="s">
        <v>564</v>
      </c>
      <c r="B180" t="str">
        <f>"B_01'" &amp; "Flr_0" &amp; INDEX(Joined!$A$3:$M$2000, MATCH($A180, Joined!$I$3:$I$2000, FALSE), 8)</f>
        <v>B_01'Flr_05</v>
      </c>
      <c r="C180" t="str">
        <f>INDEX(Joined!$A$3:$M$2000, MATCH($A180, Joined!$I$3:$I$2000, FALSE), 7)</f>
        <v>VAV-5E-17</v>
      </c>
      <c r="D180">
        <f>INDEX(Joined!$A$3:$M$2000, MATCH($A180, Joined!$I$3:$I$2000, FALSE), 5)</f>
        <v>151109</v>
      </c>
      <c r="E180" t="str">
        <f>INDEX(Joined!$A$3:$M$2000, MATCH($A180, Joined!$I$3:$I$2000, FALSE), 7)</f>
        <v>VAV-5E-17</v>
      </c>
      <c r="F180" t="s">
        <v>38</v>
      </c>
      <c r="G180" t="str">
        <f>INDEX(Schedule!$Q$2:$R$7, MATCH(ABT!$H180,Schedule!$Q$2:$Q$7, 0), 2)</f>
        <v>15007_ADXR_VAV_DXR2M10</v>
      </c>
      <c r="H180">
        <f>INDEX(Joined!$A$3:$M$2000, MATCH($A180, Joined!$I$3:$I$2000, FALSE), 6)</f>
        <v>15007</v>
      </c>
      <c r="I180" t="str">
        <f>INDEX(Joined!$A$3:$M$2000, MATCH($A180, Joined!$I$3:$I$2000, FALSE), 4)</f>
        <v>511</v>
      </c>
      <c r="J180" t="b">
        <v>0</v>
      </c>
      <c r="K180">
        <f>INDEX(Joined!$A$3:$M$2000, MATCH($A180, Joined!$I$3:$I$2000, FALSE), 3)</f>
        <v>9</v>
      </c>
      <c r="L180">
        <v>85</v>
      </c>
      <c r="M180">
        <v>38400</v>
      </c>
      <c r="N180" s="27">
        <f>PI()*(INDEX(Schedule!$A$1:$N$2000, MATCH($C180, VAV_Schedule_5_21[[#All],[UNIT TAG]], FALSE), 4)/2/12)^2</f>
        <v>0.54541539124822802</v>
      </c>
      <c r="O180" s="27">
        <f>INDEX(Schedule!$A$1:$N$2000, MATCH($C180, VAV_Schedule_5_21[[#All],[UNIT TAG]], FALSE), 4)</f>
        <v>10</v>
      </c>
      <c r="P180">
        <v>178.63</v>
      </c>
      <c r="Q180" s="27">
        <f>INDEX(Schedule!$A$1:$N$2000, MATCH($C180, VAV_Schedule_5_21[[#All],[UNIT TAG]], FALSE), 5)</f>
        <v>1050</v>
      </c>
      <c r="R180" s="27">
        <f>INDEX(Schedule!$A$1:$N$2000, MATCH($C180, VAV_Schedule_5_21[[#All],[UNIT TAG]], FALSE), 6)</f>
        <v>210</v>
      </c>
      <c r="S180" s="27">
        <f>INDEX(Schedule!$A$1:$N$2000, MATCH($C180, VAV_Schedule_5_21[[#All],[UNIT TAG]], FALSE), 5)</f>
        <v>1050</v>
      </c>
      <c r="T180" s="27">
        <f>INDEX(Schedule!$A$1:$N$2000, MATCH($C180, VAV_Schedule_5_21[[#All],[UNIT TAG]], FALSE), 6)</f>
        <v>210</v>
      </c>
      <c r="U180" s="27">
        <f>INDEX(Schedule!$A$1:$N$2000, MATCH($C180, VAV_Schedule_5_21[[#All],[UNIT TAG]], FALSE), 5)</f>
        <v>1050</v>
      </c>
      <c r="V180" s="27">
        <f>INDEX(Schedule!$A$1:$N$2000, MATCH($C180, VAV_Schedule_5_21[[#All],[UNIT TAG]], FALSE), 6)</f>
        <v>210</v>
      </c>
      <c r="W180" s="27">
        <f>INDEX(Schedule!$A$1:$N$2000, MATCH($C180, VAV_Schedule_5_21[[#All],[UNIT TAG]], FALSE), 6)</f>
        <v>210</v>
      </c>
      <c r="X180" s="27">
        <f>INDEX(Schedule!$A$1:$N$2000, MATCH($C180, VAV_Schedule_5_21[[#All],[UNIT TAG]], FALSE), 6)</f>
        <v>210</v>
      </c>
      <c r="Y180" s="27">
        <f>INDEX(Schedule!$A$1:$N$2000, MATCH($C180, VAV_Schedule_5_21[[#All],[UNIT TAG]], FALSE), 6)</f>
        <v>210</v>
      </c>
      <c r="Z180" s="27">
        <f>INDEX(Schedule!$A$1:$N$2000, MATCH($C180, VAV_Schedule_5_21[[#All],[UNIT TAG]], FALSE), 6)</f>
        <v>210</v>
      </c>
      <c r="AA180" s="27">
        <v>1000</v>
      </c>
      <c r="AB180" s="27">
        <v>1100</v>
      </c>
      <c r="AC180">
        <v>1400</v>
      </c>
      <c r="AD180" s="29" t="str">
        <f>IF(INDEX(Schedule!$A$1:$N$2000, MATCH($C180, VAV_Schedule_5_21[[#All],[UNIT TAG]], FALSE), 7)="-", 0, INDEX(Schedule!$A$1:$N$2000, MATCH($C180, VAV_Schedule_5_21[[#All],[UNIT TAG]], FALSE), 7))</f>
        <v>7</v>
      </c>
      <c r="AE180" t="str">
        <f>"B_01'" &amp; "Flr_0" &amp; INDEX(Joined!$A$3:$M$2000, MATCH($A180, Joined!$I$3:$I$2000, FALSE), 8)</f>
        <v>B_01'Flr_05</v>
      </c>
      <c r="AF180" t="str">
        <f>"R_" &amp; INDEX(Joined!$A$3:$M$2000, MATCH($A180, Joined!$I$3:$I$2000, FALSE), 7)</f>
        <v>R_VAV-5E-17</v>
      </c>
      <c r="AG180" t="str">
        <f>"B_01'" &amp; "Flr_0" &amp; INDEX(Joined!$A$3:$M$2000, MATCH($A180, Joined!$I$3:$I$2000, FALSE), 8)</f>
        <v>B_01'Flr_05</v>
      </c>
      <c r="AH180" t="str">
        <f>INDEX(Joined!$A$3:$M$2000, MATCH($A180, Joined!$I$3:$I$2000, FALSE), 7)</f>
        <v>VAV-5E-17</v>
      </c>
      <c r="AI180" t="s">
        <v>1479</v>
      </c>
    </row>
    <row r="181" spans="1:35" x14ac:dyDescent="0.2">
      <c r="A181" t="s">
        <v>565</v>
      </c>
      <c r="B181" t="str">
        <f>"B_01'" &amp; "Flr_0" &amp; INDEX(Joined!$A$3:$M$2000, MATCH($A181, Joined!$I$3:$I$2000, FALSE), 8)</f>
        <v>B_01'Flr_05</v>
      </c>
      <c r="C181" t="str">
        <f>INDEX(Joined!$A$3:$M$2000, MATCH($A181, Joined!$I$3:$I$2000, FALSE), 7)</f>
        <v>VAV-5E-18</v>
      </c>
      <c r="D181">
        <f>INDEX(Joined!$A$3:$M$2000, MATCH($A181, Joined!$I$3:$I$2000, FALSE), 5)</f>
        <v>151110</v>
      </c>
      <c r="E181" t="str">
        <f>INDEX(Joined!$A$3:$M$2000, MATCH($A181, Joined!$I$3:$I$2000, FALSE), 7)</f>
        <v>VAV-5E-18</v>
      </c>
      <c r="F181" t="s">
        <v>38</v>
      </c>
      <c r="G181" t="str">
        <f>INDEX(Schedule!$Q$2:$R$7, MATCH(ABT!$H181,Schedule!$Q$2:$Q$7, 0), 2)</f>
        <v>15007_ADXR_VAV_DXR2M10</v>
      </c>
      <c r="H181">
        <f>INDEX(Joined!$A$3:$M$2000, MATCH($A181, Joined!$I$3:$I$2000, FALSE), 6)</f>
        <v>15007</v>
      </c>
      <c r="I181" t="str">
        <f>INDEX(Joined!$A$3:$M$2000, MATCH($A181, Joined!$I$3:$I$2000, FALSE), 4)</f>
        <v>511</v>
      </c>
      <c r="J181" t="b">
        <v>0</v>
      </c>
      <c r="K181">
        <f>INDEX(Joined!$A$3:$M$2000, MATCH($A181, Joined!$I$3:$I$2000, FALSE), 3)</f>
        <v>10</v>
      </c>
      <c r="L181">
        <v>85</v>
      </c>
      <c r="M181">
        <v>38400</v>
      </c>
      <c r="N181" s="27">
        <f>PI()*(INDEX(Schedule!$A$1:$N$2000, MATCH($C181, VAV_Schedule_5_21[[#All],[UNIT TAG]], FALSE), 4)/2/12)^2</f>
        <v>0.3490658503988659</v>
      </c>
      <c r="O181" s="27">
        <f>INDEX(Schedule!$A$1:$N$2000, MATCH($C181, VAV_Schedule_5_21[[#All],[UNIT TAG]], FALSE), 4)</f>
        <v>8</v>
      </c>
      <c r="P181">
        <v>179.63</v>
      </c>
      <c r="Q181" s="27">
        <f>INDEX(Schedule!$A$1:$N$2000, MATCH($C181, VAV_Schedule_5_21[[#All],[UNIT TAG]], FALSE), 5)</f>
        <v>640</v>
      </c>
      <c r="R181" s="27">
        <f>INDEX(Schedule!$A$1:$N$2000, MATCH($C181, VAV_Schedule_5_21[[#All],[UNIT TAG]], FALSE), 6)</f>
        <v>130</v>
      </c>
      <c r="S181" s="27">
        <f>INDEX(Schedule!$A$1:$N$2000, MATCH($C181, VAV_Schedule_5_21[[#All],[UNIT TAG]], FALSE), 5)</f>
        <v>640</v>
      </c>
      <c r="T181" s="27">
        <f>INDEX(Schedule!$A$1:$N$2000, MATCH($C181, VAV_Schedule_5_21[[#All],[UNIT TAG]], FALSE), 6)</f>
        <v>130</v>
      </c>
      <c r="U181" s="27">
        <f>INDEX(Schedule!$A$1:$N$2000, MATCH($C181, VAV_Schedule_5_21[[#All],[UNIT TAG]], FALSE), 5)</f>
        <v>640</v>
      </c>
      <c r="V181" s="27">
        <f>INDEX(Schedule!$A$1:$N$2000, MATCH($C181, VAV_Schedule_5_21[[#All],[UNIT TAG]], FALSE), 6)</f>
        <v>130</v>
      </c>
      <c r="W181" s="27">
        <f>INDEX(Schedule!$A$1:$N$2000, MATCH($C181, VAV_Schedule_5_21[[#All],[UNIT TAG]], FALSE), 6)</f>
        <v>130</v>
      </c>
      <c r="X181" s="27">
        <f>INDEX(Schedule!$A$1:$N$2000, MATCH($C181, VAV_Schedule_5_21[[#All],[UNIT TAG]], FALSE), 6)</f>
        <v>130</v>
      </c>
      <c r="Y181" s="27">
        <f>INDEX(Schedule!$A$1:$N$2000, MATCH($C181, VAV_Schedule_5_21[[#All],[UNIT TAG]], FALSE), 6)</f>
        <v>130</v>
      </c>
      <c r="Z181" s="27">
        <f>INDEX(Schedule!$A$1:$N$2000, MATCH($C181, VAV_Schedule_5_21[[#All],[UNIT TAG]], FALSE), 6)</f>
        <v>130</v>
      </c>
      <c r="AA181" s="27">
        <v>1000</v>
      </c>
      <c r="AB181" s="27">
        <v>1100</v>
      </c>
      <c r="AC181">
        <v>1400</v>
      </c>
      <c r="AD181" s="29" t="str">
        <f>IF(INDEX(Schedule!$A$1:$N$2000, MATCH($C181, VAV_Schedule_5_21[[#All],[UNIT TAG]], FALSE), 7)="-", 0, INDEX(Schedule!$A$1:$N$2000, MATCH($C181, VAV_Schedule_5_21[[#All],[UNIT TAG]], FALSE), 7))</f>
        <v>6</v>
      </c>
      <c r="AE181" t="str">
        <f>"B_01'" &amp; "Flr_0" &amp; INDEX(Joined!$A$3:$M$2000, MATCH($A181, Joined!$I$3:$I$2000, FALSE), 8)</f>
        <v>B_01'Flr_05</v>
      </c>
      <c r="AF181" t="str">
        <f>"R_" &amp; INDEX(Joined!$A$3:$M$2000, MATCH($A181, Joined!$I$3:$I$2000, FALSE), 7)</f>
        <v>R_VAV-5E-18</v>
      </c>
      <c r="AG181" t="str">
        <f>"B_01'" &amp; "Flr_0" &amp; INDEX(Joined!$A$3:$M$2000, MATCH($A181, Joined!$I$3:$I$2000, FALSE), 8)</f>
        <v>B_01'Flr_05</v>
      </c>
      <c r="AH181" t="str">
        <f>INDEX(Joined!$A$3:$M$2000, MATCH($A181, Joined!$I$3:$I$2000, FALSE), 7)</f>
        <v>VAV-5E-18</v>
      </c>
      <c r="AI181" t="s">
        <v>1480</v>
      </c>
    </row>
    <row r="182" spans="1:35" x14ac:dyDescent="0.2">
      <c r="A182" t="s">
        <v>566</v>
      </c>
      <c r="B182" t="str">
        <f>"B_01'" &amp; "Flr_0" &amp; INDEX(Joined!$A$3:$M$2000, MATCH($A182, Joined!$I$3:$I$2000, FALSE), 8)</f>
        <v>B_01'Flr_05</v>
      </c>
      <c r="C182" t="str">
        <f>INDEX(Joined!$A$3:$M$2000, MATCH($A182, Joined!$I$3:$I$2000, FALSE), 7)</f>
        <v>VAV-5E-19</v>
      </c>
      <c r="D182">
        <f>INDEX(Joined!$A$3:$M$2000, MATCH($A182, Joined!$I$3:$I$2000, FALSE), 5)</f>
        <v>151111</v>
      </c>
      <c r="E182" t="str">
        <f>INDEX(Joined!$A$3:$M$2000, MATCH($A182, Joined!$I$3:$I$2000, FALSE), 7)</f>
        <v>VAV-5E-19</v>
      </c>
      <c r="F182" t="s">
        <v>38</v>
      </c>
      <c r="G182" t="str">
        <f>INDEX(Schedule!$Q$2:$R$7, MATCH(ABT!$H182,Schedule!$Q$2:$Q$7, 0), 2)</f>
        <v>15007_ADXR_VAV_DXR2M10</v>
      </c>
      <c r="H182">
        <f>INDEX(Joined!$A$3:$M$2000, MATCH($A182, Joined!$I$3:$I$2000, FALSE), 6)</f>
        <v>15007</v>
      </c>
      <c r="I182" t="str">
        <f>INDEX(Joined!$A$3:$M$2000, MATCH($A182, Joined!$I$3:$I$2000, FALSE), 4)</f>
        <v>511</v>
      </c>
      <c r="J182" t="b">
        <v>0</v>
      </c>
      <c r="K182">
        <f>INDEX(Joined!$A$3:$M$2000, MATCH($A182, Joined!$I$3:$I$2000, FALSE), 3)</f>
        <v>11</v>
      </c>
      <c r="L182">
        <v>85</v>
      </c>
      <c r="M182">
        <v>38400</v>
      </c>
      <c r="N182" s="27">
        <f>PI()*(INDEX(Schedule!$A$1:$N$2000, MATCH($C182, VAV_Schedule_5_21[[#All],[UNIT TAG]], FALSE), 4)/2/12)^2</f>
        <v>0.54541539124822802</v>
      </c>
      <c r="O182" s="27">
        <f>INDEX(Schedule!$A$1:$N$2000, MATCH($C182, VAV_Schedule_5_21[[#All],[UNIT TAG]], FALSE), 4)</f>
        <v>10</v>
      </c>
      <c r="P182">
        <v>180.63</v>
      </c>
      <c r="Q182" s="27">
        <f>INDEX(Schedule!$A$1:$N$2000, MATCH($C182, VAV_Schedule_5_21[[#All],[UNIT TAG]], FALSE), 5)</f>
        <v>850</v>
      </c>
      <c r="R182" s="27">
        <f>INDEX(Schedule!$A$1:$N$2000, MATCH($C182, VAV_Schedule_5_21[[#All],[UNIT TAG]], FALSE), 6)</f>
        <v>170</v>
      </c>
      <c r="S182" s="27">
        <f>INDEX(Schedule!$A$1:$N$2000, MATCH($C182, VAV_Schedule_5_21[[#All],[UNIT TAG]], FALSE), 5)</f>
        <v>850</v>
      </c>
      <c r="T182" s="27">
        <f>INDEX(Schedule!$A$1:$N$2000, MATCH($C182, VAV_Schedule_5_21[[#All],[UNIT TAG]], FALSE), 6)</f>
        <v>170</v>
      </c>
      <c r="U182" s="27">
        <f>INDEX(Schedule!$A$1:$N$2000, MATCH($C182, VAV_Schedule_5_21[[#All],[UNIT TAG]], FALSE), 5)</f>
        <v>850</v>
      </c>
      <c r="V182" s="27">
        <f>INDEX(Schedule!$A$1:$N$2000, MATCH($C182, VAV_Schedule_5_21[[#All],[UNIT TAG]], FALSE), 6)</f>
        <v>170</v>
      </c>
      <c r="W182" s="27">
        <f>INDEX(Schedule!$A$1:$N$2000, MATCH($C182, VAV_Schedule_5_21[[#All],[UNIT TAG]], FALSE), 6)</f>
        <v>170</v>
      </c>
      <c r="X182" s="27">
        <f>INDEX(Schedule!$A$1:$N$2000, MATCH($C182, VAV_Schedule_5_21[[#All],[UNIT TAG]], FALSE), 6)</f>
        <v>170</v>
      </c>
      <c r="Y182" s="27">
        <f>INDEX(Schedule!$A$1:$N$2000, MATCH($C182, VAV_Schedule_5_21[[#All],[UNIT TAG]], FALSE), 6)</f>
        <v>170</v>
      </c>
      <c r="Z182" s="27">
        <f>INDEX(Schedule!$A$1:$N$2000, MATCH($C182, VAV_Schedule_5_21[[#All],[UNIT TAG]], FALSE), 6)</f>
        <v>170</v>
      </c>
      <c r="AA182" s="27">
        <v>1000</v>
      </c>
      <c r="AB182" s="27">
        <v>1100</v>
      </c>
      <c r="AC182">
        <v>1400</v>
      </c>
      <c r="AD182" s="29" t="str">
        <f>IF(INDEX(Schedule!$A$1:$N$2000, MATCH($C182, VAV_Schedule_5_21[[#All],[UNIT TAG]], FALSE), 7)="-", 0, INDEX(Schedule!$A$1:$N$2000, MATCH($C182, VAV_Schedule_5_21[[#All],[UNIT TAG]], FALSE), 7))</f>
        <v>6</v>
      </c>
      <c r="AE182" t="str">
        <f>"B_01'" &amp; "Flr_0" &amp; INDEX(Joined!$A$3:$M$2000, MATCH($A182, Joined!$I$3:$I$2000, FALSE), 8)</f>
        <v>B_01'Flr_05</v>
      </c>
      <c r="AF182" t="str">
        <f>"R_" &amp; INDEX(Joined!$A$3:$M$2000, MATCH($A182, Joined!$I$3:$I$2000, FALSE), 7)</f>
        <v>R_VAV-5E-19</v>
      </c>
      <c r="AG182" t="str">
        <f>"B_01'" &amp; "Flr_0" &amp; INDEX(Joined!$A$3:$M$2000, MATCH($A182, Joined!$I$3:$I$2000, FALSE), 8)</f>
        <v>B_01'Flr_05</v>
      </c>
      <c r="AH182" t="str">
        <f>INDEX(Joined!$A$3:$M$2000, MATCH($A182, Joined!$I$3:$I$2000, FALSE), 7)</f>
        <v>VAV-5E-19</v>
      </c>
      <c r="AI182" t="s">
        <v>1481</v>
      </c>
    </row>
    <row r="183" spans="1:35" x14ac:dyDescent="0.2">
      <c r="A183" t="s">
        <v>567</v>
      </c>
      <c r="B183" t="str">
        <f>"B_01'" &amp; "Flr_0" &amp; INDEX(Joined!$A$3:$M$2000, MATCH($A183, Joined!$I$3:$I$2000, FALSE), 8)</f>
        <v>B_01'Flr_05</v>
      </c>
      <c r="C183" t="str">
        <f>INDEX(Joined!$A$3:$M$2000, MATCH($A183, Joined!$I$3:$I$2000, FALSE), 7)</f>
        <v>VAV-5E-20</v>
      </c>
      <c r="D183">
        <f>INDEX(Joined!$A$3:$M$2000, MATCH($A183, Joined!$I$3:$I$2000, FALSE), 5)</f>
        <v>151112</v>
      </c>
      <c r="E183" t="str">
        <f>INDEX(Joined!$A$3:$M$2000, MATCH($A183, Joined!$I$3:$I$2000, FALSE), 7)</f>
        <v>VAV-5E-20</v>
      </c>
      <c r="F183" t="s">
        <v>38</v>
      </c>
      <c r="G183" t="str">
        <f>INDEX(Schedule!$Q$2:$R$7, MATCH(ABT!$H183,Schedule!$Q$2:$Q$7, 0), 2)</f>
        <v>15007_ADXR_VAV_DXR2M10</v>
      </c>
      <c r="H183">
        <f>INDEX(Joined!$A$3:$M$2000, MATCH($A183, Joined!$I$3:$I$2000, FALSE), 6)</f>
        <v>15007</v>
      </c>
      <c r="I183" t="str">
        <f>INDEX(Joined!$A$3:$M$2000, MATCH($A183, Joined!$I$3:$I$2000, FALSE), 4)</f>
        <v>511</v>
      </c>
      <c r="J183" t="b">
        <v>0</v>
      </c>
      <c r="K183">
        <f>INDEX(Joined!$A$3:$M$2000, MATCH($A183, Joined!$I$3:$I$2000, FALSE), 3)</f>
        <v>12</v>
      </c>
      <c r="L183">
        <v>85</v>
      </c>
      <c r="M183">
        <v>38400</v>
      </c>
      <c r="N183" s="27">
        <f>PI()*(INDEX(Schedule!$A$1:$N$2000, MATCH($C183, VAV_Schedule_5_21[[#All],[UNIT TAG]], FALSE), 4)/2/12)^2</f>
        <v>0.3490658503988659</v>
      </c>
      <c r="O183" s="27">
        <f>INDEX(Schedule!$A$1:$N$2000, MATCH($C183, VAV_Schedule_5_21[[#All],[UNIT TAG]], FALSE), 4)</f>
        <v>8</v>
      </c>
      <c r="P183">
        <v>181.63</v>
      </c>
      <c r="Q183" s="27">
        <f>INDEX(Schedule!$A$1:$N$2000, MATCH($C183, VAV_Schedule_5_21[[#All],[UNIT TAG]], FALSE), 5)</f>
        <v>690</v>
      </c>
      <c r="R183" s="27">
        <f>INDEX(Schedule!$A$1:$N$2000, MATCH($C183, VAV_Schedule_5_21[[#All],[UNIT TAG]], FALSE), 6)</f>
        <v>140</v>
      </c>
      <c r="S183" s="27">
        <f>INDEX(Schedule!$A$1:$N$2000, MATCH($C183, VAV_Schedule_5_21[[#All],[UNIT TAG]], FALSE), 5)</f>
        <v>690</v>
      </c>
      <c r="T183" s="27">
        <f>INDEX(Schedule!$A$1:$N$2000, MATCH($C183, VAV_Schedule_5_21[[#All],[UNIT TAG]], FALSE), 6)</f>
        <v>140</v>
      </c>
      <c r="U183" s="27">
        <f>INDEX(Schedule!$A$1:$N$2000, MATCH($C183, VAV_Schedule_5_21[[#All],[UNIT TAG]], FALSE), 5)</f>
        <v>690</v>
      </c>
      <c r="V183" s="27">
        <f>INDEX(Schedule!$A$1:$N$2000, MATCH($C183, VAV_Schedule_5_21[[#All],[UNIT TAG]], FALSE), 6)</f>
        <v>140</v>
      </c>
      <c r="W183" s="27">
        <f>INDEX(Schedule!$A$1:$N$2000, MATCH($C183, VAV_Schedule_5_21[[#All],[UNIT TAG]], FALSE), 6)</f>
        <v>140</v>
      </c>
      <c r="X183" s="27">
        <f>INDEX(Schedule!$A$1:$N$2000, MATCH($C183, VAV_Schedule_5_21[[#All],[UNIT TAG]], FALSE), 6)</f>
        <v>140</v>
      </c>
      <c r="Y183" s="27">
        <f>INDEX(Schedule!$A$1:$N$2000, MATCH($C183, VAV_Schedule_5_21[[#All],[UNIT TAG]], FALSE), 6)</f>
        <v>140</v>
      </c>
      <c r="Z183" s="27">
        <f>INDEX(Schedule!$A$1:$N$2000, MATCH($C183, VAV_Schedule_5_21[[#All],[UNIT TAG]], FALSE), 6)</f>
        <v>140</v>
      </c>
      <c r="AA183" s="27">
        <v>1000</v>
      </c>
      <c r="AB183" s="27">
        <v>1100</v>
      </c>
      <c r="AC183">
        <v>1400</v>
      </c>
      <c r="AD183" s="29" t="str">
        <f>IF(INDEX(Schedule!$A$1:$N$2000, MATCH($C183, VAV_Schedule_5_21[[#All],[UNIT TAG]], FALSE), 7)="-", 0, INDEX(Schedule!$A$1:$N$2000, MATCH($C183, VAV_Schedule_5_21[[#All],[UNIT TAG]], FALSE), 7))</f>
        <v>6</v>
      </c>
      <c r="AE183" t="str">
        <f>"B_01'" &amp; "Flr_0" &amp; INDEX(Joined!$A$3:$M$2000, MATCH($A183, Joined!$I$3:$I$2000, FALSE), 8)</f>
        <v>B_01'Flr_05</v>
      </c>
      <c r="AF183" t="str">
        <f>"R_" &amp; INDEX(Joined!$A$3:$M$2000, MATCH($A183, Joined!$I$3:$I$2000, FALSE), 7)</f>
        <v>R_VAV-5E-20</v>
      </c>
      <c r="AG183" t="str">
        <f>"B_01'" &amp; "Flr_0" &amp; INDEX(Joined!$A$3:$M$2000, MATCH($A183, Joined!$I$3:$I$2000, FALSE), 8)</f>
        <v>B_01'Flr_05</v>
      </c>
      <c r="AH183" t="str">
        <f>INDEX(Joined!$A$3:$M$2000, MATCH($A183, Joined!$I$3:$I$2000, FALSE), 7)</f>
        <v>VAV-5E-20</v>
      </c>
      <c r="AI183" t="s">
        <v>1482</v>
      </c>
    </row>
    <row r="184" spans="1:35" x14ac:dyDescent="0.2">
      <c r="A184" s="20" t="s">
        <v>701</v>
      </c>
      <c r="B184" t="str">
        <f>"B_01'" &amp; "Flr_0" &amp; INDEX(Joined!$A$3:$M$2000, MATCH($A184, Joined!$I$3:$I$2000, FALSE), 8)</f>
        <v>B_01'Flr_05</v>
      </c>
      <c r="C184" t="str">
        <f>INDEX(Joined!$A$3:$M$2000, MATCH($A184, Joined!$I$3:$I$2000, FALSE), 7)</f>
        <v>VAV-5E-20A</v>
      </c>
      <c r="D184">
        <f>INDEX(Joined!$A$3:$M$2000, MATCH($A184, Joined!$I$3:$I$2000, FALSE), 5)</f>
        <v>151113</v>
      </c>
      <c r="E184" t="str">
        <f>INDEX(Joined!$A$3:$M$2000, MATCH($A184, Joined!$I$3:$I$2000, FALSE), 7)</f>
        <v>VAV-5E-20A</v>
      </c>
      <c r="F184" t="s">
        <v>38</v>
      </c>
      <c r="G184" t="str">
        <f>INDEX(Schedule!$Q$2:$R$7, MATCH(ABT!$H184,Schedule!$Q$2:$Q$7, 0), 2)</f>
        <v>15006_ADXR_VAV_DXR2M10</v>
      </c>
      <c r="H184">
        <f>INDEX(Joined!$A$3:$M$2000, MATCH($A184, Joined!$I$3:$I$2000, FALSE), 6)</f>
        <v>15006</v>
      </c>
      <c r="I184" t="str">
        <f>INDEX(Joined!$A$3:$M$2000, MATCH($A184, Joined!$I$3:$I$2000, FALSE), 4)</f>
        <v>511</v>
      </c>
      <c r="J184" t="b">
        <v>0</v>
      </c>
      <c r="K184">
        <f>INDEX(Joined!$A$3:$M$2000, MATCH($A184, Joined!$I$3:$I$2000, FALSE), 3)</f>
        <v>13</v>
      </c>
      <c r="L184">
        <v>85</v>
      </c>
      <c r="M184">
        <v>38400</v>
      </c>
      <c r="N184" s="27">
        <f>PI()*(INDEX(Schedule!$A$1:$N$2000, MATCH($C184, VAV_Schedule_5_21[[#All],[UNIT TAG]], FALSE), 4)/2/12)^2</f>
        <v>0.3490658503988659</v>
      </c>
      <c r="O184" s="27">
        <f>INDEX(Schedule!$A$1:$N$2000, MATCH($C184, VAV_Schedule_5_21[[#All],[UNIT TAG]], FALSE), 4)</f>
        <v>8</v>
      </c>
      <c r="P184">
        <v>182.63</v>
      </c>
      <c r="Q184" s="27">
        <f>INDEX(Schedule!$A$1:$N$2000, MATCH($C184, VAV_Schedule_5_21[[#All],[UNIT TAG]], FALSE), 5)</f>
        <v>600</v>
      </c>
      <c r="R184" s="27">
        <f>INDEX(Schedule!$A$1:$N$2000, MATCH($C184, VAV_Schedule_5_21[[#All],[UNIT TAG]], FALSE), 6)</f>
        <v>120</v>
      </c>
      <c r="S184" s="27">
        <f>INDEX(Schedule!$A$1:$N$2000, MATCH($C184, VAV_Schedule_5_21[[#All],[UNIT TAG]], FALSE), 5)</f>
        <v>600</v>
      </c>
      <c r="T184" s="27">
        <f>INDEX(Schedule!$A$1:$N$2000, MATCH($C184, VAV_Schedule_5_21[[#All],[UNIT TAG]], FALSE), 6)</f>
        <v>120</v>
      </c>
      <c r="U184" s="27">
        <f>INDEX(Schedule!$A$1:$N$2000, MATCH($C184, VAV_Schedule_5_21[[#All],[UNIT TAG]], FALSE), 5)</f>
        <v>600</v>
      </c>
      <c r="V184" s="27">
        <f>INDEX(Schedule!$A$1:$N$2000, MATCH($C184, VAV_Schedule_5_21[[#All],[UNIT TAG]], FALSE), 6)</f>
        <v>120</v>
      </c>
      <c r="W184" s="27">
        <f>INDEX(Schedule!$A$1:$N$2000, MATCH($C184, VAV_Schedule_5_21[[#All],[UNIT TAG]], FALSE), 6)</f>
        <v>120</v>
      </c>
      <c r="X184" s="27">
        <f>INDEX(Schedule!$A$1:$N$2000, MATCH($C184, VAV_Schedule_5_21[[#All],[UNIT TAG]], FALSE), 6)</f>
        <v>120</v>
      </c>
      <c r="Y184" s="27">
        <f>INDEX(Schedule!$A$1:$N$2000, MATCH($C184, VAV_Schedule_5_21[[#All],[UNIT TAG]], FALSE), 6)</f>
        <v>120</v>
      </c>
      <c r="Z184" s="27">
        <f>INDEX(Schedule!$A$1:$N$2000, MATCH($C184, VAV_Schedule_5_21[[#All],[UNIT TAG]], FALSE), 6)</f>
        <v>120</v>
      </c>
      <c r="AA184" s="27">
        <v>1000</v>
      </c>
      <c r="AB184" s="27">
        <v>1100</v>
      </c>
      <c r="AC184">
        <v>1400</v>
      </c>
      <c r="AD184" s="29">
        <f>IF(INDEX(Schedule!$A$1:$N$2000, MATCH($C184, VAV_Schedule_5_21[[#All],[UNIT TAG]], FALSE), 7)="-", 0, INDEX(Schedule!$A$1:$N$2000, MATCH($C184, VAV_Schedule_5_21[[#All],[UNIT TAG]], FALSE), 7))</f>
        <v>0</v>
      </c>
      <c r="AE184" t="str">
        <f>"B_01'" &amp; "Flr_0" &amp; INDEX(Joined!$A$3:$M$2000, MATCH($A184, Joined!$I$3:$I$2000, FALSE), 8)</f>
        <v>B_01'Flr_05</v>
      </c>
      <c r="AF184" t="str">
        <f>"R_" &amp; INDEX(Joined!$A$3:$M$2000, MATCH($A184, Joined!$I$3:$I$2000, FALSE), 7)</f>
        <v>R_VAV-5E-20A</v>
      </c>
      <c r="AG184" t="str">
        <f>"B_01'" &amp; "Flr_0" &amp; INDEX(Joined!$A$3:$M$2000, MATCH($A184, Joined!$I$3:$I$2000, FALSE), 8)</f>
        <v>B_01'Flr_05</v>
      </c>
      <c r="AH184" t="str">
        <f>INDEX(Joined!$A$3:$M$2000, MATCH($A184, Joined!$I$3:$I$2000, FALSE), 7)</f>
        <v>VAV-5E-20A</v>
      </c>
      <c r="AI184" t="s">
        <v>1903</v>
      </c>
    </row>
    <row r="185" spans="1:35" x14ac:dyDescent="0.2">
      <c r="A185" t="s">
        <v>568</v>
      </c>
      <c r="B185" t="str">
        <f>"B_01'" &amp; "Flr_0" &amp; INDEX(Joined!$A$3:$M$2000, MATCH($A185, Joined!$I$3:$I$2000, FALSE), 8)</f>
        <v>B_01'Flr_05</v>
      </c>
      <c r="C185" t="str">
        <f>INDEX(Joined!$A$3:$M$2000, MATCH($A185, Joined!$I$3:$I$2000, FALSE), 7)</f>
        <v>VAV-5E-21</v>
      </c>
      <c r="D185">
        <f>INDEX(Joined!$A$3:$M$2000, MATCH($A185, Joined!$I$3:$I$2000, FALSE), 5)</f>
        <v>151114</v>
      </c>
      <c r="E185" t="str">
        <f>INDEX(Joined!$A$3:$M$2000, MATCH($A185, Joined!$I$3:$I$2000, FALSE), 7)</f>
        <v>VAV-5E-21</v>
      </c>
      <c r="F185" t="s">
        <v>38</v>
      </c>
      <c r="G185" t="str">
        <f>INDEX(Schedule!$Q$2:$R$7, MATCH(ABT!$H185,Schedule!$Q$2:$Q$7, 0), 2)</f>
        <v>15006_ADXR_VAV_DXR2M10</v>
      </c>
      <c r="H185">
        <f>INDEX(Joined!$A$3:$M$2000, MATCH($A185, Joined!$I$3:$I$2000, FALSE), 6)</f>
        <v>15006</v>
      </c>
      <c r="I185" t="str">
        <f>INDEX(Joined!$A$3:$M$2000, MATCH($A185, Joined!$I$3:$I$2000, FALSE), 4)</f>
        <v>511</v>
      </c>
      <c r="J185" t="b">
        <v>0</v>
      </c>
      <c r="K185">
        <f>INDEX(Joined!$A$3:$M$2000, MATCH($A185, Joined!$I$3:$I$2000, FALSE), 3)</f>
        <v>14</v>
      </c>
      <c r="L185">
        <v>85</v>
      </c>
      <c r="M185">
        <v>38400</v>
      </c>
      <c r="N185" s="27">
        <f>PI()*(INDEX(Schedule!$A$1:$N$2000, MATCH($C185, VAV_Schedule_5_21[[#All],[UNIT TAG]], FALSE), 4)/2/12)^2</f>
        <v>0.78539816339744828</v>
      </c>
      <c r="O185" s="27">
        <f>INDEX(Schedule!$A$1:$N$2000, MATCH($C185, VAV_Schedule_5_21[[#All],[UNIT TAG]], FALSE), 4)</f>
        <v>12</v>
      </c>
      <c r="P185">
        <v>183.63</v>
      </c>
      <c r="Q185" s="27">
        <f>INDEX(Schedule!$A$1:$N$2000, MATCH($C185, VAV_Schedule_5_21[[#All],[UNIT TAG]], FALSE), 5)</f>
        <v>1200</v>
      </c>
      <c r="R185" s="27">
        <f>INDEX(Schedule!$A$1:$N$2000, MATCH($C185, VAV_Schedule_5_21[[#All],[UNIT TAG]], FALSE), 6)</f>
        <v>240</v>
      </c>
      <c r="S185" s="27">
        <f>INDEX(Schedule!$A$1:$N$2000, MATCH($C185, VAV_Schedule_5_21[[#All],[UNIT TAG]], FALSE), 5)</f>
        <v>1200</v>
      </c>
      <c r="T185" s="27">
        <f>INDEX(Schedule!$A$1:$N$2000, MATCH($C185, VAV_Schedule_5_21[[#All],[UNIT TAG]], FALSE), 6)</f>
        <v>240</v>
      </c>
      <c r="U185" s="27">
        <f>INDEX(Schedule!$A$1:$N$2000, MATCH($C185, VAV_Schedule_5_21[[#All],[UNIT TAG]], FALSE), 5)</f>
        <v>1200</v>
      </c>
      <c r="V185" s="27">
        <f>INDEX(Schedule!$A$1:$N$2000, MATCH($C185, VAV_Schedule_5_21[[#All],[UNIT TAG]], FALSE), 6)</f>
        <v>240</v>
      </c>
      <c r="W185" s="27">
        <f>INDEX(Schedule!$A$1:$N$2000, MATCH($C185, VAV_Schedule_5_21[[#All],[UNIT TAG]], FALSE), 6)</f>
        <v>240</v>
      </c>
      <c r="X185" s="27">
        <f>INDEX(Schedule!$A$1:$N$2000, MATCH($C185, VAV_Schedule_5_21[[#All],[UNIT TAG]], FALSE), 6)</f>
        <v>240</v>
      </c>
      <c r="Y185" s="27">
        <f>INDEX(Schedule!$A$1:$N$2000, MATCH($C185, VAV_Schedule_5_21[[#All],[UNIT TAG]], FALSE), 6)</f>
        <v>240</v>
      </c>
      <c r="Z185" s="27">
        <f>INDEX(Schedule!$A$1:$N$2000, MATCH($C185, VAV_Schedule_5_21[[#All],[UNIT TAG]], FALSE), 6)</f>
        <v>240</v>
      </c>
      <c r="AA185" s="27">
        <v>1000</v>
      </c>
      <c r="AB185" s="27">
        <v>1100</v>
      </c>
      <c r="AC185">
        <v>1400</v>
      </c>
      <c r="AD185" s="29">
        <f>IF(INDEX(Schedule!$A$1:$N$2000, MATCH($C185, VAV_Schedule_5_21[[#All],[UNIT TAG]], FALSE), 7)="-", 0, INDEX(Schedule!$A$1:$N$2000, MATCH($C185, VAV_Schedule_5_21[[#All],[UNIT TAG]], FALSE), 7))</f>
        <v>0</v>
      </c>
      <c r="AE185" t="str">
        <f>"B_01'" &amp; "Flr_0" &amp; INDEX(Joined!$A$3:$M$2000, MATCH($A185, Joined!$I$3:$I$2000, FALSE), 8)</f>
        <v>B_01'Flr_05</v>
      </c>
      <c r="AF185" t="str">
        <f>"R_" &amp; INDEX(Joined!$A$3:$M$2000, MATCH($A185, Joined!$I$3:$I$2000, FALSE), 7)</f>
        <v>R_VAV-5E-21</v>
      </c>
      <c r="AG185" t="str">
        <f>"B_01'" &amp; "Flr_0" &amp; INDEX(Joined!$A$3:$M$2000, MATCH($A185, Joined!$I$3:$I$2000, FALSE), 8)</f>
        <v>B_01'Flr_05</v>
      </c>
      <c r="AH185" t="str">
        <f>INDEX(Joined!$A$3:$M$2000, MATCH($A185, Joined!$I$3:$I$2000, FALSE), 7)</f>
        <v>VAV-5E-21</v>
      </c>
      <c r="AI185" t="s">
        <v>1467</v>
      </c>
    </row>
    <row r="186" spans="1:35" x14ac:dyDescent="0.2">
      <c r="A186" t="s">
        <v>569</v>
      </c>
      <c r="B186" t="str">
        <f>"B_01'" &amp; "Flr_0" &amp; INDEX(Joined!$A$3:$M$2000, MATCH($A186, Joined!$I$3:$I$2000, FALSE), 8)</f>
        <v>B_01'Flr_05</v>
      </c>
      <c r="C186" t="str">
        <f>INDEX(Joined!$A$3:$M$2000, MATCH($A186, Joined!$I$3:$I$2000, FALSE), 7)</f>
        <v>VAV-5E-22</v>
      </c>
      <c r="D186">
        <f>INDEX(Joined!$A$3:$M$2000, MATCH($A186, Joined!$I$3:$I$2000, FALSE), 5)</f>
        <v>151115</v>
      </c>
      <c r="E186" t="str">
        <f>INDEX(Joined!$A$3:$M$2000, MATCH($A186, Joined!$I$3:$I$2000, FALSE), 7)</f>
        <v>VAV-5E-22</v>
      </c>
      <c r="F186" t="s">
        <v>38</v>
      </c>
      <c r="G186" t="str">
        <f>INDEX(Schedule!$Q$2:$R$7, MATCH(ABT!$H186,Schedule!$Q$2:$Q$7, 0), 2)</f>
        <v>15006_ADXR_VAV_DXR2M10</v>
      </c>
      <c r="H186">
        <f>INDEX(Joined!$A$3:$M$2000, MATCH($A186, Joined!$I$3:$I$2000, FALSE), 6)</f>
        <v>15006</v>
      </c>
      <c r="I186" t="str">
        <f>INDEX(Joined!$A$3:$M$2000, MATCH($A186, Joined!$I$3:$I$2000, FALSE), 4)</f>
        <v>511</v>
      </c>
      <c r="J186" t="b">
        <v>0</v>
      </c>
      <c r="K186">
        <f>INDEX(Joined!$A$3:$M$2000, MATCH($A186, Joined!$I$3:$I$2000, FALSE), 3)</f>
        <v>15</v>
      </c>
      <c r="L186">
        <v>85</v>
      </c>
      <c r="M186">
        <v>38400</v>
      </c>
      <c r="N186" s="27">
        <f>PI()*(INDEX(Schedule!$A$1:$N$2000, MATCH($C186, VAV_Schedule_5_21[[#All],[UNIT TAG]], FALSE), 4)/2/12)^2</f>
        <v>0.54541539124822802</v>
      </c>
      <c r="O186" s="27">
        <f>INDEX(Schedule!$A$1:$N$2000, MATCH($C186, VAV_Schedule_5_21[[#All],[UNIT TAG]], FALSE), 4)</f>
        <v>10</v>
      </c>
      <c r="P186">
        <v>184.63</v>
      </c>
      <c r="Q186" s="27">
        <f>INDEX(Schedule!$A$1:$N$2000, MATCH($C186, VAV_Schedule_5_21[[#All],[UNIT TAG]], FALSE), 5)</f>
        <v>925</v>
      </c>
      <c r="R186" s="27">
        <f>INDEX(Schedule!$A$1:$N$2000, MATCH($C186, VAV_Schedule_5_21[[#All],[UNIT TAG]], FALSE), 6)</f>
        <v>0</v>
      </c>
      <c r="S186" s="27">
        <f>INDEX(Schedule!$A$1:$N$2000, MATCH($C186, VAV_Schedule_5_21[[#All],[UNIT TAG]], FALSE), 5)</f>
        <v>925</v>
      </c>
      <c r="T186" s="27">
        <f>INDEX(Schedule!$A$1:$N$2000, MATCH($C186, VAV_Schedule_5_21[[#All],[UNIT TAG]], FALSE), 6)</f>
        <v>0</v>
      </c>
      <c r="U186" s="27">
        <f>INDEX(Schedule!$A$1:$N$2000, MATCH($C186, VAV_Schedule_5_21[[#All],[UNIT TAG]], FALSE), 5)</f>
        <v>925</v>
      </c>
      <c r="V186" s="27">
        <f>INDEX(Schedule!$A$1:$N$2000, MATCH($C186, VAV_Schedule_5_21[[#All],[UNIT TAG]], FALSE), 6)</f>
        <v>0</v>
      </c>
      <c r="W186" s="27">
        <f>INDEX(Schedule!$A$1:$N$2000, MATCH($C186, VAV_Schedule_5_21[[#All],[UNIT TAG]], FALSE), 6)</f>
        <v>0</v>
      </c>
      <c r="X186" s="27">
        <f>INDEX(Schedule!$A$1:$N$2000, MATCH($C186, VAV_Schedule_5_21[[#All],[UNIT TAG]], FALSE), 6)</f>
        <v>0</v>
      </c>
      <c r="Y186" s="27">
        <f>INDEX(Schedule!$A$1:$N$2000, MATCH($C186, VAV_Schedule_5_21[[#All],[UNIT TAG]], FALSE), 6)</f>
        <v>0</v>
      </c>
      <c r="Z186" s="27">
        <f>INDEX(Schedule!$A$1:$N$2000, MATCH($C186, VAV_Schedule_5_21[[#All],[UNIT TAG]], FALSE), 6)</f>
        <v>0</v>
      </c>
      <c r="AA186" s="27">
        <v>1000</v>
      </c>
      <c r="AB186" s="27">
        <v>1100</v>
      </c>
      <c r="AC186">
        <v>1400</v>
      </c>
      <c r="AD186" s="29">
        <f>IF(INDEX(Schedule!$A$1:$N$2000, MATCH($C186, VAV_Schedule_5_21[[#All],[UNIT TAG]], FALSE), 7)="-", 0, INDEX(Schedule!$A$1:$N$2000, MATCH($C186, VAV_Schedule_5_21[[#All],[UNIT TAG]], FALSE), 7))</f>
        <v>0</v>
      </c>
      <c r="AE186" t="str">
        <f>"B_01'" &amp; "Flr_0" &amp; INDEX(Joined!$A$3:$M$2000, MATCH($A186, Joined!$I$3:$I$2000, FALSE), 8)</f>
        <v>B_01'Flr_05</v>
      </c>
      <c r="AF186" t="str">
        <f>"R_" &amp; INDEX(Joined!$A$3:$M$2000, MATCH($A186, Joined!$I$3:$I$2000, FALSE), 7)</f>
        <v>R_VAV-5E-22</v>
      </c>
      <c r="AG186" t="str">
        <f>"B_01'" &amp; "Flr_0" &amp; INDEX(Joined!$A$3:$M$2000, MATCH($A186, Joined!$I$3:$I$2000, FALSE), 8)</f>
        <v>B_01'Flr_05</v>
      </c>
      <c r="AH186" t="str">
        <f>INDEX(Joined!$A$3:$M$2000, MATCH($A186, Joined!$I$3:$I$2000, FALSE), 7)</f>
        <v>VAV-5E-22</v>
      </c>
      <c r="AI186" t="s">
        <v>1468</v>
      </c>
    </row>
    <row r="187" spans="1:35" x14ac:dyDescent="0.2">
      <c r="A187" t="s">
        <v>570</v>
      </c>
      <c r="B187" t="str">
        <f>"B_01'" &amp; "Flr_0" &amp; INDEX(Joined!$A$3:$M$2000, MATCH($A187, Joined!$I$3:$I$2000, FALSE), 8)</f>
        <v>B_01'Flr_05</v>
      </c>
      <c r="C187" t="str">
        <f>INDEX(Joined!$A$3:$M$2000, MATCH($A187, Joined!$I$3:$I$2000, FALSE), 7)</f>
        <v>VAV-5E-23</v>
      </c>
      <c r="D187">
        <f>INDEX(Joined!$A$3:$M$2000, MATCH($A187, Joined!$I$3:$I$2000, FALSE), 5)</f>
        <v>151116</v>
      </c>
      <c r="E187" t="str">
        <f>INDEX(Joined!$A$3:$M$2000, MATCH($A187, Joined!$I$3:$I$2000, FALSE), 7)</f>
        <v>VAV-5E-23</v>
      </c>
      <c r="F187" t="s">
        <v>38</v>
      </c>
      <c r="G187" t="str">
        <f>INDEX(Schedule!$Q$2:$R$7, MATCH(ABT!$H187,Schedule!$Q$2:$Q$7, 0), 2)</f>
        <v>15006_ADXR_VAV_DXR2M10</v>
      </c>
      <c r="H187">
        <f>INDEX(Joined!$A$3:$M$2000, MATCH($A187, Joined!$I$3:$I$2000, FALSE), 6)</f>
        <v>15006</v>
      </c>
      <c r="I187" t="str">
        <f>INDEX(Joined!$A$3:$M$2000, MATCH($A187, Joined!$I$3:$I$2000, FALSE), 4)</f>
        <v>511</v>
      </c>
      <c r="J187" t="b">
        <v>0</v>
      </c>
      <c r="K187">
        <f>INDEX(Joined!$A$3:$M$2000, MATCH($A187, Joined!$I$3:$I$2000, FALSE), 3)</f>
        <v>16</v>
      </c>
      <c r="L187">
        <v>85</v>
      </c>
      <c r="M187">
        <v>38400</v>
      </c>
      <c r="N187" s="27">
        <f>PI()*(INDEX(Schedule!$A$1:$N$2000, MATCH($C187, VAV_Schedule_5_21[[#All],[UNIT TAG]], FALSE), 4)/2/12)^2</f>
        <v>0.78539816339744828</v>
      </c>
      <c r="O187" s="27">
        <f>INDEX(Schedule!$A$1:$N$2000, MATCH($C187, VAV_Schedule_5_21[[#All],[UNIT TAG]], FALSE), 4)</f>
        <v>12</v>
      </c>
      <c r="P187">
        <v>185.63</v>
      </c>
      <c r="Q187" s="27">
        <f>INDEX(Schedule!$A$1:$N$2000, MATCH($C187, VAV_Schedule_5_21[[#All],[UNIT TAG]], FALSE), 5)</f>
        <v>1350</v>
      </c>
      <c r="R187" s="27">
        <f>INDEX(Schedule!$A$1:$N$2000, MATCH($C187, VAV_Schedule_5_21[[#All],[UNIT TAG]], FALSE), 6)</f>
        <v>270</v>
      </c>
      <c r="S187" s="27">
        <f>INDEX(Schedule!$A$1:$N$2000, MATCH($C187, VAV_Schedule_5_21[[#All],[UNIT TAG]], FALSE), 5)</f>
        <v>1350</v>
      </c>
      <c r="T187" s="27">
        <f>INDEX(Schedule!$A$1:$N$2000, MATCH($C187, VAV_Schedule_5_21[[#All],[UNIT TAG]], FALSE), 6)</f>
        <v>270</v>
      </c>
      <c r="U187" s="27">
        <f>INDEX(Schedule!$A$1:$N$2000, MATCH($C187, VAV_Schedule_5_21[[#All],[UNIT TAG]], FALSE), 5)</f>
        <v>1350</v>
      </c>
      <c r="V187" s="27">
        <f>INDEX(Schedule!$A$1:$N$2000, MATCH($C187, VAV_Schedule_5_21[[#All],[UNIT TAG]], FALSE), 6)</f>
        <v>270</v>
      </c>
      <c r="W187" s="27">
        <f>INDEX(Schedule!$A$1:$N$2000, MATCH($C187, VAV_Schedule_5_21[[#All],[UNIT TAG]], FALSE), 6)</f>
        <v>270</v>
      </c>
      <c r="X187" s="27">
        <f>INDEX(Schedule!$A$1:$N$2000, MATCH($C187, VAV_Schedule_5_21[[#All],[UNIT TAG]], FALSE), 6)</f>
        <v>270</v>
      </c>
      <c r="Y187" s="27">
        <f>INDEX(Schedule!$A$1:$N$2000, MATCH($C187, VAV_Schedule_5_21[[#All],[UNIT TAG]], FALSE), 6)</f>
        <v>270</v>
      </c>
      <c r="Z187" s="27">
        <f>INDEX(Schedule!$A$1:$N$2000, MATCH($C187, VAV_Schedule_5_21[[#All],[UNIT TAG]], FALSE), 6)</f>
        <v>270</v>
      </c>
      <c r="AA187" s="27">
        <v>1000</v>
      </c>
      <c r="AB187" s="27">
        <v>1100</v>
      </c>
      <c r="AC187">
        <v>1400</v>
      </c>
      <c r="AD187" s="29">
        <f>IF(INDEX(Schedule!$A$1:$N$2000, MATCH($C187, VAV_Schedule_5_21[[#All],[UNIT TAG]], FALSE), 7)="-", 0, INDEX(Schedule!$A$1:$N$2000, MATCH($C187, VAV_Schedule_5_21[[#All],[UNIT TAG]], FALSE), 7))</f>
        <v>0</v>
      </c>
      <c r="AE187" t="str">
        <f>"B_01'" &amp; "Flr_0" &amp; INDEX(Joined!$A$3:$M$2000, MATCH($A187, Joined!$I$3:$I$2000, FALSE), 8)</f>
        <v>B_01'Flr_05</v>
      </c>
      <c r="AF187" t="str">
        <f>"R_" &amp; INDEX(Joined!$A$3:$M$2000, MATCH($A187, Joined!$I$3:$I$2000, FALSE), 7)</f>
        <v>R_VAV-5E-23</v>
      </c>
      <c r="AG187" t="str">
        <f>"B_01'" &amp; "Flr_0" &amp; INDEX(Joined!$A$3:$M$2000, MATCH($A187, Joined!$I$3:$I$2000, FALSE), 8)</f>
        <v>B_01'Flr_05</v>
      </c>
      <c r="AH187" t="str">
        <f>INDEX(Joined!$A$3:$M$2000, MATCH($A187, Joined!$I$3:$I$2000, FALSE), 7)</f>
        <v>VAV-5E-23</v>
      </c>
      <c r="AI187" t="s">
        <v>1469</v>
      </c>
    </row>
    <row r="188" spans="1:35" x14ac:dyDescent="0.2">
      <c r="A188" t="s">
        <v>571</v>
      </c>
      <c r="B188" t="str">
        <f>"B_01'" &amp; "Flr_0" &amp; INDEX(Joined!$A$3:$M$2000, MATCH($A188, Joined!$I$3:$I$2000, FALSE), 8)</f>
        <v>B_01'Flr_05</v>
      </c>
      <c r="C188" t="str">
        <f>INDEX(Joined!$A$3:$M$2000, MATCH($A188, Joined!$I$3:$I$2000, FALSE), 7)</f>
        <v>VAV-5E-24</v>
      </c>
      <c r="D188">
        <f>INDEX(Joined!$A$3:$M$2000, MATCH($A188, Joined!$I$3:$I$2000, FALSE), 5)</f>
        <v>151117</v>
      </c>
      <c r="E188" t="str">
        <f>INDEX(Joined!$A$3:$M$2000, MATCH($A188, Joined!$I$3:$I$2000, FALSE), 7)</f>
        <v>VAV-5E-24</v>
      </c>
      <c r="F188" t="s">
        <v>38</v>
      </c>
      <c r="G188" t="str">
        <f>INDEX(Schedule!$Q$2:$R$7, MATCH(ABT!$H188,Schedule!$Q$2:$Q$7, 0), 2)</f>
        <v>15007_ADXR_VAV_DXR2M10</v>
      </c>
      <c r="H188">
        <f>INDEX(Joined!$A$3:$M$2000, MATCH($A188, Joined!$I$3:$I$2000, FALSE), 6)</f>
        <v>15007</v>
      </c>
      <c r="I188" t="str">
        <f>INDEX(Joined!$A$3:$M$2000, MATCH($A188, Joined!$I$3:$I$2000, FALSE), 4)</f>
        <v>511</v>
      </c>
      <c r="J188" t="b">
        <v>0</v>
      </c>
      <c r="K188">
        <f>INDEX(Joined!$A$3:$M$2000, MATCH($A188, Joined!$I$3:$I$2000, FALSE), 3)</f>
        <v>17</v>
      </c>
      <c r="L188">
        <v>85</v>
      </c>
      <c r="M188">
        <v>38400</v>
      </c>
      <c r="N188" s="27">
        <f>PI()*(INDEX(Schedule!$A$1:$N$2000, MATCH($C188, VAV_Schedule_5_21[[#All],[UNIT TAG]], FALSE), 4)/2/12)^2</f>
        <v>0.54541539124822802</v>
      </c>
      <c r="O188" s="27">
        <f>INDEX(Schedule!$A$1:$N$2000, MATCH($C188, VAV_Schedule_5_21[[#All],[UNIT TAG]], FALSE), 4)</f>
        <v>10</v>
      </c>
      <c r="P188">
        <v>186.63</v>
      </c>
      <c r="Q188" s="27">
        <f>INDEX(Schedule!$A$1:$N$2000, MATCH($C188, VAV_Schedule_5_21[[#All],[UNIT TAG]], FALSE), 5)</f>
        <v>800</v>
      </c>
      <c r="R188" s="27">
        <f>INDEX(Schedule!$A$1:$N$2000, MATCH($C188, VAV_Schedule_5_21[[#All],[UNIT TAG]], FALSE), 6)</f>
        <v>160</v>
      </c>
      <c r="S188" s="27">
        <f>INDEX(Schedule!$A$1:$N$2000, MATCH($C188, VAV_Schedule_5_21[[#All],[UNIT TAG]], FALSE), 5)</f>
        <v>800</v>
      </c>
      <c r="T188" s="27">
        <f>INDEX(Schedule!$A$1:$N$2000, MATCH($C188, VAV_Schedule_5_21[[#All],[UNIT TAG]], FALSE), 6)</f>
        <v>160</v>
      </c>
      <c r="U188" s="27">
        <f>INDEX(Schedule!$A$1:$N$2000, MATCH($C188, VAV_Schedule_5_21[[#All],[UNIT TAG]], FALSE), 5)</f>
        <v>800</v>
      </c>
      <c r="V188" s="27">
        <f>INDEX(Schedule!$A$1:$N$2000, MATCH($C188, VAV_Schedule_5_21[[#All],[UNIT TAG]], FALSE), 6)</f>
        <v>160</v>
      </c>
      <c r="W188" s="27">
        <f>INDEX(Schedule!$A$1:$N$2000, MATCH($C188, VAV_Schedule_5_21[[#All],[UNIT TAG]], FALSE), 6)</f>
        <v>160</v>
      </c>
      <c r="X188" s="27">
        <f>INDEX(Schedule!$A$1:$N$2000, MATCH($C188, VAV_Schedule_5_21[[#All],[UNIT TAG]], FALSE), 6)</f>
        <v>160</v>
      </c>
      <c r="Y188" s="27">
        <f>INDEX(Schedule!$A$1:$N$2000, MATCH($C188, VAV_Schedule_5_21[[#All],[UNIT TAG]], FALSE), 6)</f>
        <v>160</v>
      </c>
      <c r="Z188" s="27">
        <f>INDEX(Schedule!$A$1:$N$2000, MATCH($C188, VAV_Schedule_5_21[[#All],[UNIT TAG]], FALSE), 6)</f>
        <v>160</v>
      </c>
      <c r="AA188" s="27">
        <v>1000</v>
      </c>
      <c r="AB188" s="27">
        <v>1100</v>
      </c>
      <c r="AC188">
        <v>1400</v>
      </c>
      <c r="AD188" s="29" t="str">
        <f>IF(INDEX(Schedule!$A$1:$N$2000, MATCH($C188, VAV_Schedule_5_21[[#All],[UNIT TAG]], FALSE), 7)="-", 0, INDEX(Schedule!$A$1:$N$2000, MATCH($C188, VAV_Schedule_5_21[[#All],[UNIT TAG]], FALSE), 7))</f>
        <v>8</v>
      </c>
      <c r="AE188" t="str">
        <f>"B_01'" &amp; "Flr_0" &amp; INDEX(Joined!$A$3:$M$2000, MATCH($A188, Joined!$I$3:$I$2000, FALSE), 8)</f>
        <v>B_01'Flr_05</v>
      </c>
      <c r="AF188" t="str">
        <f>"R_" &amp; INDEX(Joined!$A$3:$M$2000, MATCH($A188, Joined!$I$3:$I$2000, FALSE), 7)</f>
        <v>R_VAV-5E-24</v>
      </c>
      <c r="AG188" t="str">
        <f>"B_01'" &amp; "Flr_0" &amp; INDEX(Joined!$A$3:$M$2000, MATCH($A188, Joined!$I$3:$I$2000, FALSE), 8)</f>
        <v>B_01'Flr_05</v>
      </c>
      <c r="AH188" t="str">
        <f>INDEX(Joined!$A$3:$M$2000, MATCH($A188, Joined!$I$3:$I$2000, FALSE), 7)</f>
        <v>VAV-5E-24</v>
      </c>
      <c r="AI188" t="s">
        <v>1470</v>
      </c>
    </row>
    <row r="189" spans="1:35" x14ac:dyDescent="0.2">
      <c r="A189" t="s">
        <v>572</v>
      </c>
      <c r="B189" t="str">
        <f>"B_01'" &amp; "Flr_0" &amp; INDEX(Joined!$A$3:$M$2000, MATCH($A189, Joined!$I$3:$I$2000, FALSE), 8)</f>
        <v>B_01'Flr_05</v>
      </c>
      <c r="C189" t="str">
        <f>INDEX(Joined!$A$3:$M$2000, MATCH($A189, Joined!$I$3:$I$2000, FALSE), 7)</f>
        <v>VAV-5E-25</v>
      </c>
      <c r="D189">
        <f>INDEX(Joined!$A$3:$M$2000, MATCH($A189, Joined!$I$3:$I$2000, FALSE), 5)</f>
        <v>151118</v>
      </c>
      <c r="E189" t="str">
        <f>INDEX(Joined!$A$3:$M$2000, MATCH($A189, Joined!$I$3:$I$2000, FALSE), 7)</f>
        <v>VAV-5E-25</v>
      </c>
      <c r="F189" t="s">
        <v>38</v>
      </c>
      <c r="G189" t="str">
        <f>INDEX(Schedule!$Q$2:$R$7, MATCH(ABT!$H189,Schedule!$Q$2:$Q$7, 0), 2)</f>
        <v>15007_ADXR_VAV_DXR2M10</v>
      </c>
      <c r="H189">
        <f>INDEX(Joined!$A$3:$M$2000, MATCH($A189, Joined!$I$3:$I$2000, FALSE), 6)</f>
        <v>15007</v>
      </c>
      <c r="I189" t="str">
        <f>INDEX(Joined!$A$3:$M$2000, MATCH($A189, Joined!$I$3:$I$2000, FALSE), 4)</f>
        <v>511</v>
      </c>
      <c r="J189" t="b">
        <v>0</v>
      </c>
      <c r="K189">
        <f>INDEX(Joined!$A$3:$M$2000, MATCH($A189, Joined!$I$3:$I$2000, FALSE), 3)</f>
        <v>18</v>
      </c>
      <c r="L189">
        <v>85</v>
      </c>
      <c r="M189">
        <v>38400</v>
      </c>
      <c r="N189" s="27">
        <f>PI()*(INDEX(Schedule!$A$1:$N$2000, MATCH($C189, VAV_Schedule_5_21[[#All],[UNIT TAG]], FALSE), 4)/2/12)^2</f>
        <v>0.19634954084936207</v>
      </c>
      <c r="O189" s="27">
        <f>INDEX(Schedule!$A$1:$N$2000, MATCH($C189, VAV_Schedule_5_21[[#All],[UNIT TAG]], FALSE), 4)</f>
        <v>6</v>
      </c>
      <c r="P189">
        <v>187.63</v>
      </c>
      <c r="Q189" s="27">
        <f>INDEX(Schedule!$A$1:$N$2000, MATCH($C189, VAV_Schedule_5_21[[#All],[UNIT TAG]], FALSE), 5)</f>
        <v>350</v>
      </c>
      <c r="R189" s="27">
        <f>INDEX(Schedule!$A$1:$N$2000, MATCH($C189, VAV_Schedule_5_21[[#All],[UNIT TAG]], FALSE), 6)</f>
        <v>70</v>
      </c>
      <c r="S189" s="27">
        <f>INDEX(Schedule!$A$1:$N$2000, MATCH($C189, VAV_Schedule_5_21[[#All],[UNIT TAG]], FALSE), 5)</f>
        <v>350</v>
      </c>
      <c r="T189" s="27">
        <f>INDEX(Schedule!$A$1:$N$2000, MATCH($C189, VAV_Schedule_5_21[[#All],[UNIT TAG]], FALSE), 6)</f>
        <v>70</v>
      </c>
      <c r="U189" s="27">
        <f>INDEX(Schedule!$A$1:$N$2000, MATCH($C189, VAV_Schedule_5_21[[#All],[UNIT TAG]], FALSE), 5)</f>
        <v>350</v>
      </c>
      <c r="V189" s="27">
        <f>INDEX(Schedule!$A$1:$N$2000, MATCH($C189, VAV_Schedule_5_21[[#All],[UNIT TAG]], FALSE), 6)</f>
        <v>70</v>
      </c>
      <c r="W189" s="27">
        <f>INDEX(Schedule!$A$1:$N$2000, MATCH($C189, VAV_Schedule_5_21[[#All],[UNIT TAG]], FALSE), 6)</f>
        <v>70</v>
      </c>
      <c r="X189" s="27">
        <f>INDEX(Schedule!$A$1:$N$2000, MATCH($C189, VAV_Schedule_5_21[[#All],[UNIT TAG]], FALSE), 6)</f>
        <v>70</v>
      </c>
      <c r="Y189" s="27">
        <f>INDEX(Schedule!$A$1:$N$2000, MATCH($C189, VAV_Schedule_5_21[[#All],[UNIT TAG]], FALSE), 6)</f>
        <v>70</v>
      </c>
      <c r="Z189" s="27">
        <f>INDEX(Schedule!$A$1:$N$2000, MATCH($C189, VAV_Schedule_5_21[[#All],[UNIT TAG]], FALSE), 6)</f>
        <v>70</v>
      </c>
      <c r="AA189" s="27">
        <v>1000</v>
      </c>
      <c r="AB189" s="27">
        <v>1100</v>
      </c>
      <c r="AC189">
        <v>1400</v>
      </c>
      <c r="AD189" s="29" t="str">
        <f>IF(INDEX(Schedule!$A$1:$N$2000, MATCH($C189, VAV_Schedule_5_21[[#All],[UNIT TAG]], FALSE), 7)="-", 0, INDEX(Schedule!$A$1:$N$2000, MATCH($C189, VAV_Schedule_5_21[[#All],[UNIT TAG]], FALSE), 7))</f>
        <v>2</v>
      </c>
      <c r="AE189" t="str">
        <f>"B_01'" &amp; "Flr_0" &amp; INDEX(Joined!$A$3:$M$2000, MATCH($A189, Joined!$I$3:$I$2000, FALSE), 8)</f>
        <v>B_01'Flr_05</v>
      </c>
      <c r="AF189" t="str">
        <f>"R_" &amp; INDEX(Joined!$A$3:$M$2000, MATCH($A189, Joined!$I$3:$I$2000, FALSE), 7)</f>
        <v>R_VAV-5E-25</v>
      </c>
      <c r="AG189" t="str">
        <f>"B_01'" &amp; "Flr_0" &amp; INDEX(Joined!$A$3:$M$2000, MATCH($A189, Joined!$I$3:$I$2000, FALSE), 8)</f>
        <v>B_01'Flr_05</v>
      </c>
      <c r="AH189" t="str">
        <f>INDEX(Joined!$A$3:$M$2000, MATCH($A189, Joined!$I$3:$I$2000, FALSE), 7)</f>
        <v>VAV-5E-25</v>
      </c>
      <c r="AI189" t="s">
        <v>1471</v>
      </c>
    </row>
    <row r="190" spans="1:35" x14ac:dyDescent="0.2">
      <c r="A190" t="s">
        <v>573</v>
      </c>
      <c r="B190" t="str">
        <f>"B_01'" &amp; "Flr_0" &amp; INDEX(Joined!$A$3:$M$2000, MATCH($A190, Joined!$I$3:$I$2000, FALSE), 8)</f>
        <v>B_01'Flr_05</v>
      </c>
      <c r="C190" t="str">
        <f>INDEX(Joined!$A$3:$M$2000, MATCH($A190, Joined!$I$3:$I$2000, FALSE), 7)</f>
        <v>VAV-5E-26</v>
      </c>
      <c r="D190">
        <f>INDEX(Joined!$A$3:$M$2000, MATCH($A190, Joined!$I$3:$I$2000, FALSE), 5)</f>
        <v>151119</v>
      </c>
      <c r="E190" t="str">
        <f>INDEX(Joined!$A$3:$M$2000, MATCH($A190, Joined!$I$3:$I$2000, FALSE), 7)</f>
        <v>VAV-5E-26</v>
      </c>
      <c r="F190" t="s">
        <v>38</v>
      </c>
      <c r="G190" t="str">
        <f>INDEX(Schedule!$Q$2:$R$7, MATCH(ABT!$H190,Schedule!$Q$2:$Q$7, 0), 2)</f>
        <v>15007_ADXR_VAV_DXR2M10</v>
      </c>
      <c r="H190">
        <f>INDEX(Joined!$A$3:$M$2000, MATCH($A190, Joined!$I$3:$I$2000, FALSE), 6)</f>
        <v>15007</v>
      </c>
      <c r="I190" t="str">
        <f>INDEX(Joined!$A$3:$M$2000, MATCH($A190, Joined!$I$3:$I$2000, FALSE), 4)</f>
        <v>511</v>
      </c>
      <c r="J190" t="b">
        <v>0</v>
      </c>
      <c r="K190">
        <f>INDEX(Joined!$A$3:$M$2000, MATCH($A190, Joined!$I$3:$I$2000, FALSE), 3)</f>
        <v>19</v>
      </c>
      <c r="L190">
        <v>85</v>
      </c>
      <c r="M190">
        <v>38400</v>
      </c>
      <c r="N190" s="27">
        <f>PI()*(INDEX(Schedule!$A$1:$N$2000, MATCH($C190, VAV_Schedule_5_21[[#All],[UNIT TAG]], FALSE), 4)/2/12)^2</f>
        <v>0.3490658503988659</v>
      </c>
      <c r="O190" s="27">
        <f>INDEX(Schedule!$A$1:$N$2000, MATCH($C190, VAV_Schedule_5_21[[#All],[UNIT TAG]], FALSE), 4)</f>
        <v>8</v>
      </c>
      <c r="P190">
        <v>188.63</v>
      </c>
      <c r="Q190" s="27">
        <f>INDEX(Schedule!$A$1:$N$2000, MATCH($C190, VAV_Schedule_5_21[[#All],[UNIT TAG]], FALSE), 5)</f>
        <v>480</v>
      </c>
      <c r="R190" s="27">
        <f>INDEX(Schedule!$A$1:$N$2000, MATCH($C190, VAV_Schedule_5_21[[#All],[UNIT TAG]], FALSE), 6)</f>
        <v>100</v>
      </c>
      <c r="S190" s="27">
        <f>INDEX(Schedule!$A$1:$N$2000, MATCH($C190, VAV_Schedule_5_21[[#All],[UNIT TAG]], FALSE), 5)</f>
        <v>480</v>
      </c>
      <c r="T190" s="27">
        <f>INDEX(Schedule!$A$1:$N$2000, MATCH($C190, VAV_Schedule_5_21[[#All],[UNIT TAG]], FALSE), 6)</f>
        <v>100</v>
      </c>
      <c r="U190" s="27">
        <f>INDEX(Schedule!$A$1:$N$2000, MATCH($C190, VAV_Schedule_5_21[[#All],[UNIT TAG]], FALSE), 5)</f>
        <v>480</v>
      </c>
      <c r="V190" s="27">
        <f>INDEX(Schedule!$A$1:$N$2000, MATCH($C190, VAV_Schedule_5_21[[#All],[UNIT TAG]], FALSE), 6)</f>
        <v>100</v>
      </c>
      <c r="W190" s="27">
        <f>INDEX(Schedule!$A$1:$N$2000, MATCH($C190, VAV_Schedule_5_21[[#All],[UNIT TAG]], FALSE), 6)</f>
        <v>100</v>
      </c>
      <c r="X190" s="27">
        <f>INDEX(Schedule!$A$1:$N$2000, MATCH($C190, VAV_Schedule_5_21[[#All],[UNIT TAG]], FALSE), 6)</f>
        <v>100</v>
      </c>
      <c r="Y190" s="27">
        <f>INDEX(Schedule!$A$1:$N$2000, MATCH($C190, VAV_Schedule_5_21[[#All],[UNIT TAG]], FALSE), 6)</f>
        <v>100</v>
      </c>
      <c r="Z190" s="27">
        <f>INDEX(Schedule!$A$1:$N$2000, MATCH($C190, VAV_Schedule_5_21[[#All],[UNIT TAG]], FALSE), 6)</f>
        <v>100</v>
      </c>
      <c r="AA190" s="27">
        <v>1000</v>
      </c>
      <c r="AB190" s="27">
        <v>1100</v>
      </c>
      <c r="AC190">
        <v>1400</v>
      </c>
      <c r="AD190" s="29" t="str">
        <f>IF(INDEX(Schedule!$A$1:$N$2000, MATCH($C190, VAV_Schedule_5_21[[#All],[UNIT TAG]], FALSE), 7)="-", 0, INDEX(Schedule!$A$1:$N$2000, MATCH($C190, VAV_Schedule_5_21[[#All],[UNIT TAG]], FALSE), 7))</f>
        <v>2</v>
      </c>
      <c r="AE190" t="str">
        <f>"B_01'" &amp; "Flr_0" &amp; INDEX(Joined!$A$3:$M$2000, MATCH($A190, Joined!$I$3:$I$2000, FALSE), 8)</f>
        <v>B_01'Flr_05</v>
      </c>
      <c r="AF190" t="str">
        <f>"R_" &amp; INDEX(Joined!$A$3:$M$2000, MATCH($A190, Joined!$I$3:$I$2000, FALSE), 7)</f>
        <v>R_VAV-5E-26</v>
      </c>
      <c r="AG190" t="str">
        <f>"B_01'" &amp; "Flr_0" &amp; INDEX(Joined!$A$3:$M$2000, MATCH($A190, Joined!$I$3:$I$2000, FALSE), 8)</f>
        <v>B_01'Flr_05</v>
      </c>
      <c r="AH190" t="str">
        <f>INDEX(Joined!$A$3:$M$2000, MATCH($A190, Joined!$I$3:$I$2000, FALSE), 7)</f>
        <v>VAV-5E-26</v>
      </c>
      <c r="AI190" t="s">
        <v>1472</v>
      </c>
    </row>
    <row r="191" spans="1:35" x14ac:dyDescent="0.2">
      <c r="A191" t="s">
        <v>574</v>
      </c>
      <c r="B191" t="str">
        <f>"B_01'" &amp; "Flr_0" &amp; INDEX(Joined!$A$3:$M$2000, MATCH($A191, Joined!$I$3:$I$2000, FALSE), 8)</f>
        <v>B_01'Flr_05</v>
      </c>
      <c r="C191" t="str">
        <f>INDEX(Joined!$A$3:$M$2000, MATCH($A191, Joined!$I$3:$I$2000, FALSE), 7)</f>
        <v>VAV-5E-27</v>
      </c>
      <c r="D191">
        <f>INDEX(Joined!$A$3:$M$2000, MATCH($A191, Joined!$I$3:$I$2000, FALSE), 5)</f>
        <v>151120</v>
      </c>
      <c r="E191" t="str">
        <f>INDEX(Joined!$A$3:$M$2000, MATCH($A191, Joined!$I$3:$I$2000, FALSE), 7)</f>
        <v>VAV-5E-27</v>
      </c>
      <c r="F191" t="s">
        <v>38</v>
      </c>
      <c r="G191" t="str">
        <f>INDEX(Schedule!$Q$2:$R$7, MATCH(ABT!$H191,Schedule!$Q$2:$Q$7, 0), 2)</f>
        <v>15007_ADXR_VAV_DXR2M10</v>
      </c>
      <c r="H191">
        <f>INDEX(Joined!$A$3:$M$2000, MATCH($A191, Joined!$I$3:$I$2000, FALSE), 6)</f>
        <v>15007</v>
      </c>
      <c r="I191" t="str">
        <f>INDEX(Joined!$A$3:$M$2000, MATCH($A191, Joined!$I$3:$I$2000, FALSE), 4)</f>
        <v>511</v>
      </c>
      <c r="J191" t="b">
        <v>0</v>
      </c>
      <c r="K191">
        <f>INDEX(Joined!$A$3:$M$2000, MATCH($A191, Joined!$I$3:$I$2000, FALSE), 3)</f>
        <v>20</v>
      </c>
      <c r="L191">
        <v>85</v>
      </c>
      <c r="M191">
        <v>38400</v>
      </c>
      <c r="N191" s="27">
        <f>PI()*(INDEX(Schedule!$A$1:$N$2000, MATCH($C191, VAV_Schedule_5_21[[#All],[UNIT TAG]], FALSE), 4)/2/12)^2</f>
        <v>0.78539816339744828</v>
      </c>
      <c r="O191" s="27">
        <f>INDEX(Schedule!$A$1:$N$2000, MATCH($C191, VAV_Schedule_5_21[[#All],[UNIT TAG]], FALSE), 4)</f>
        <v>12</v>
      </c>
      <c r="P191">
        <v>189.63</v>
      </c>
      <c r="Q191" s="27">
        <f>INDEX(Schedule!$A$1:$N$2000, MATCH($C191, VAV_Schedule_5_21[[#All],[UNIT TAG]], FALSE), 5)</f>
        <v>1400</v>
      </c>
      <c r="R191" s="27">
        <f>INDEX(Schedule!$A$1:$N$2000, MATCH($C191, VAV_Schedule_5_21[[#All],[UNIT TAG]], FALSE), 6)</f>
        <v>280</v>
      </c>
      <c r="S191" s="27">
        <f>INDEX(Schedule!$A$1:$N$2000, MATCH($C191, VAV_Schedule_5_21[[#All],[UNIT TAG]], FALSE), 5)</f>
        <v>1400</v>
      </c>
      <c r="T191" s="27">
        <f>INDEX(Schedule!$A$1:$N$2000, MATCH($C191, VAV_Schedule_5_21[[#All],[UNIT TAG]], FALSE), 6)</f>
        <v>280</v>
      </c>
      <c r="U191" s="27">
        <f>INDEX(Schedule!$A$1:$N$2000, MATCH($C191, VAV_Schedule_5_21[[#All],[UNIT TAG]], FALSE), 5)</f>
        <v>1400</v>
      </c>
      <c r="V191" s="27">
        <f>INDEX(Schedule!$A$1:$N$2000, MATCH($C191, VAV_Schedule_5_21[[#All],[UNIT TAG]], FALSE), 6)</f>
        <v>280</v>
      </c>
      <c r="W191" s="27">
        <f>INDEX(Schedule!$A$1:$N$2000, MATCH($C191, VAV_Schedule_5_21[[#All],[UNIT TAG]], FALSE), 6)</f>
        <v>280</v>
      </c>
      <c r="X191" s="27">
        <f>INDEX(Schedule!$A$1:$N$2000, MATCH($C191, VAV_Schedule_5_21[[#All],[UNIT TAG]], FALSE), 6)</f>
        <v>280</v>
      </c>
      <c r="Y191" s="27">
        <f>INDEX(Schedule!$A$1:$N$2000, MATCH($C191, VAV_Schedule_5_21[[#All],[UNIT TAG]], FALSE), 6)</f>
        <v>280</v>
      </c>
      <c r="Z191" s="27">
        <f>INDEX(Schedule!$A$1:$N$2000, MATCH($C191, VAV_Schedule_5_21[[#All],[UNIT TAG]], FALSE), 6)</f>
        <v>280</v>
      </c>
      <c r="AA191" s="27">
        <v>1000</v>
      </c>
      <c r="AB191" s="27">
        <v>1100</v>
      </c>
      <c r="AC191">
        <v>1400</v>
      </c>
      <c r="AD191" s="29" t="str">
        <f>IF(INDEX(Schedule!$A$1:$N$2000, MATCH($C191, VAV_Schedule_5_21[[#All],[UNIT TAG]], FALSE), 7)="-", 0, INDEX(Schedule!$A$1:$N$2000, MATCH($C191, VAV_Schedule_5_21[[#All],[UNIT TAG]], FALSE), 7))</f>
        <v>8</v>
      </c>
      <c r="AE191" t="str">
        <f>"B_01'" &amp; "Flr_0" &amp; INDEX(Joined!$A$3:$M$2000, MATCH($A191, Joined!$I$3:$I$2000, FALSE), 8)</f>
        <v>B_01'Flr_05</v>
      </c>
      <c r="AF191" t="str">
        <f>"R_" &amp; INDEX(Joined!$A$3:$M$2000, MATCH($A191, Joined!$I$3:$I$2000, FALSE), 7)</f>
        <v>R_VAV-5E-27</v>
      </c>
      <c r="AG191" t="str">
        <f>"B_01'" &amp; "Flr_0" &amp; INDEX(Joined!$A$3:$M$2000, MATCH($A191, Joined!$I$3:$I$2000, FALSE), 8)</f>
        <v>B_01'Flr_05</v>
      </c>
      <c r="AH191" t="str">
        <f>INDEX(Joined!$A$3:$M$2000, MATCH($A191, Joined!$I$3:$I$2000, FALSE), 7)</f>
        <v>VAV-5E-27</v>
      </c>
      <c r="AI191" t="s">
        <v>1473</v>
      </c>
    </row>
    <row r="192" spans="1:35" x14ac:dyDescent="0.2">
      <c r="A192" t="s">
        <v>580</v>
      </c>
      <c r="B192" t="str">
        <f>"B_01'" &amp; "Flr_0" &amp; INDEX(Joined!$A$3:$M$2000, MATCH($A192, Joined!$I$3:$I$2000, FALSE), 8)</f>
        <v>B_01'Flr_05</v>
      </c>
      <c r="C192" t="str">
        <f>INDEX(Joined!$A$3:$M$2000, MATCH($A192, Joined!$I$3:$I$2000, FALSE), 7)</f>
        <v>VAV-5N-10</v>
      </c>
      <c r="D192">
        <f>INDEX(Joined!$A$3:$M$2000, MATCH($A192, Joined!$I$3:$I$2000, FALSE), 5)</f>
        <v>151007</v>
      </c>
      <c r="E192" t="str">
        <f>INDEX(Joined!$A$3:$M$2000, MATCH($A192, Joined!$I$3:$I$2000, FALSE), 7)</f>
        <v>VAV-5N-10</v>
      </c>
      <c r="F192" t="s">
        <v>38</v>
      </c>
      <c r="G192" t="str">
        <f>INDEX(Schedule!$Q$2:$R$7, MATCH(ABT!$H192,Schedule!$Q$2:$Q$7, 0), 2)</f>
        <v>15006_ADXR_VAV_DXR2M10</v>
      </c>
      <c r="H192">
        <f>INDEX(Joined!$A$3:$M$2000, MATCH($A192, Joined!$I$3:$I$2000, FALSE), 6)</f>
        <v>15006</v>
      </c>
      <c r="I192" t="str">
        <f>INDEX(Joined!$A$3:$M$2000, MATCH($A192, Joined!$I$3:$I$2000, FALSE), 4)</f>
        <v>510</v>
      </c>
      <c r="J192" t="b">
        <v>0</v>
      </c>
      <c r="K192">
        <f>INDEX(Joined!$A$3:$M$2000, MATCH($A192, Joined!$I$3:$I$2000, FALSE), 3)</f>
        <v>7</v>
      </c>
      <c r="L192">
        <v>85</v>
      </c>
      <c r="M192">
        <v>38400</v>
      </c>
      <c r="N192" s="27">
        <f>PI()*(INDEX(Schedule!$A$1:$N$2000, MATCH($C192, VAV_Schedule_5_21[[#All],[UNIT TAG]], FALSE), 4)/2/12)^2</f>
        <v>0.54541539124822802</v>
      </c>
      <c r="O192" s="27">
        <f>INDEX(Schedule!$A$1:$N$2000, MATCH($C192, VAV_Schedule_5_21[[#All],[UNIT TAG]], FALSE), 4)</f>
        <v>10</v>
      </c>
      <c r="P192">
        <v>190.63</v>
      </c>
      <c r="Q192" s="27">
        <f>INDEX(Schedule!$A$1:$N$2000, MATCH($C192, VAV_Schedule_5_21[[#All],[UNIT TAG]], FALSE), 5)</f>
        <v>750</v>
      </c>
      <c r="R192" s="27">
        <f>INDEX(Schedule!$A$1:$N$2000, MATCH($C192, VAV_Schedule_5_21[[#All],[UNIT TAG]], FALSE), 6)</f>
        <v>150</v>
      </c>
      <c r="S192" s="27">
        <f>INDEX(Schedule!$A$1:$N$2000, MATCH($C192, VAV_Schedule_5_21[[#All],[UNIT TAG]], FALSE), 5)</f>
        <v>750</v>
      </c>
      <c r="T192" s="27">
        <f>INDEX(Schedule!$A$1:$N$2000, MATCH($C192, VAV_Schedule_5_21[[#All],[UNIT TAG]], FALSE), 6)</f>
        <v>150</v>
      </c>
      <c r="U192" s="27">
        <f>INDEX(Schedule!$A$1:$N$2000, MATCH($C192, VAV_Schedule_5_21[[#All],[UNIT TAG]], FALSE), 5)</f>
        <v>750</v>
      </c>
      <c r="V192" s="27">
        <f>INDEX(Schedule!$A$1:$N$2000, MATCH($C192, VAV_Schedule_5_21[[#All],[UNIT TAG]], FALSE), 6)</f>
        <v>150</v>
      </c>
      <c r="W192" s="27">
        <f>INDEX(Schedule!$A$1:$N$2000, MATCH($C192, VAV_Schedule_5_21[[#All],[UNIT TAG]], FALSE), 6)</f>
        <v>150</v>
      </c>
      <c r="X192" s="27">
        <f>INDEX(Schedule!$A$1:$N$2000, MATCH($C192, VAV_Schedule_5_21[[#All],[UNIT TAG]], FALSE), 6)</f>
        <v>150</v>
      </c>
      <c r="Y192" s="27">
        <f>INDEX(Schedule!$A$1:$N$2000, MATCH($C192, VAV_Schedule_5_21[[#All],[UNIT TAG]], FALSE), 6)</f>
        <v>150</v>
      </c>
      <c r="Z192" s="27">
        <f>INDEX(Schedule!$A$1:$N$2000, MATCH($C192, VAV_Schedule_5_21[[#All],[UNIT TAG]], FALSE), 6)</f>
        <v>150</v>
      </c>
      <c r="AA192" s="27">
        <v>1000</v>
      </c>
      <c r="AB192" s="27">
        <v>1100</v>
      </c>
      <c r="AC192">
        <v>1400</v>
      </c>
      <c r="AD192" s="29">
        <f>IF(INDEX(Schedule!$A$1:$N$2000, MATCH($C192, VAV_Schedule_5_21[[#All],[UNIT TAG]], FALSE), 7)="-", 0, INDEX(Schedule!$A$1:$N$2000, MATCH($C192, VAV_Schedule_5_21[[#All],[UNIT TAG]], FALSE), 7))</f>
        <v>0</v>
      </c>
      <c r="AE192" t="str">
        <f>"B_01'" &amp; "Flr_0" &amp; INDEX(Joined!$A$3:$M$2000, MATCH($A192, Joined!$I$3:$I$2000, FALSE), 8)</f>
        <v>B_01'Flr_05</v>
      </c>
      <c r="AF192" t="str">
        <f>"R_" &amp; INDEX(Joined!$A$3:$M$2000, MATCH($A192, Joined!$I$3:$I$2000, FALSE), 7)</f>
        <v>R_VAV-5N-10</v>
      </c>
      <c r="AG192" t="str">
        <f>"B_01'" &amp; "Flr_0" &amp; INDEX(Joined!$A$3:$M$2000, MATCH($A192, Joined!$I$3:$I$2000, FALSE), 8)</f>
        <v>B_01'Flr_05</v>
      </c>
      <c r="AH192" t="str">
        <f>INDEX(Joined!$A$3:$M$2000, MATCH($A192, Joined!$I$3:$I$2000, FALSE), 7)</f>
        <v>VAV-5N-10</v>
      </c>
      <c r="AI192" t="s">
        <v>1474</v>
      </c>
    </row>
    <row r="193" spans="1:35" x14ac:dyDescent="0.2">
      <c r="A193" t="s">
        <v>575</v>
      </c>
      <c r="B193" t="str">
        <f>"B_01'" &amp; "Flr_0" &amp; INDEX(Joined!$A$3:$M$2000, MATCH($A193, Joined!$I$3:$I$2000, FALSE), 8)</f>
        <v>B_01'Flr_05</v>
      </c>
      <c r="C193" t="str">
        <f>INDEX(Joined!$A$3:$M$2000, MATCH($A193, Joined!$I$3:$I$2000, FALSE), 7)</f>
        <v>VAV-5N-5</v>
      </c>
      <c r="D193">
        <f>INDEX(Joined!$A$3:$M$2000, MATCH($A193, Joined!$I$3:$I$2000, FALSE), 5)</f>
        <v>151001</v>
      </c>
      <c r="E193" t="str">
        <f>INDEX(Joined!$A$3:$M$2000, MATCH($A193, Joined!$I$3:$I$2000, FALSE), 7)</f>
        <v>VAV-5N-5</v>
      </c>
      <c r="F193" t="s">
        <v>38</v>
      </c>
      <c r="G193" t="str">
        <f>INDEX(Schedule!$Q$2:$R$7, MATCH(ABT!$H193,Schedule!$Q$2:$Q$7, 0), 2)</f>
        <v>15006_ADXR_VAV_DXR2M10</v>
      </c>
      <c r="H193">
        <f>INDEX(Joined!$A$3:$M$2000, MATCH($A193, Joined!$I$3:$I$2000, FALSE), 6)</f>
        <v>15006</v>
      </c>
      <c r="I193" t="str">
        <f>INDEX(Joined!$A$3:$M$2000, MATCH($A193, Joined!$I$3:$I$2000, FALSE), 4)</f>
        <v>510</v>
      </c>
      <c r="J193" t="b">
        <v>0</v>
      </c>
      <c r="K193">
        <f>INDEX(Joined!$A$3:$M$2000, MATCH($A193, Joined!$I$3:$I$2000, FALSE), 3)</f>
        <v>1</v>
      </c>
      <c r="L193">
        <v>85</v>
      </c>
      <c r="M193">
        <v>38400</v>
      </c>
      <c r="N193" s="27">
        <f>PI()*(INDEX(Schedule!$A$1:$N$2000, MATCH($C193, VAV_Schedule_5_21[[#All],[UNIT TAG]], FALSE), 4)/2/12)^2</f>
        <v>0.54541539124822802</v>
      </c>
      <c r="O193" s="27">
        <f>INDEX(Schedule!$A$1:$N$2000, MATCH($C193, VAV_Schedule_5_21[[#All],[UNIT TAG]], FALSE), 4)</f>
        <v>10</v>
      </c>
      <c r="P193">
        <v>191.63</v>
      </c>
      <c r="Q193" s="27">
        <f>INDEX(Schedule!$A$1:$N$2000, MATCH($C193, VAV_Schedule_5_21[[#All],[UNIT TAG]], FALSE), 5)</f>
        <v>1100</v>
      </c>
      <c r="R193" s="27">
        <f>INDEX(Schedule!$A$1:$N$2000, MATCH($C193, VAV_Schedule_5_21[[#All],[UNIT TAG]], FALSE), 6)</f>
        <v>220</v>
      </c>
      <c r="S193" s="27">
        <f>INDEX(Schedule!$A$1:$N$2000, MATCH($C193, VAV_Schedule_5_21[[#All],[UNIT TAG]], FALSE), 5)</f>
        <v>1100</v>
      </c>
      <c r="T193" s="27">
        <f>INDEX(Schedule!$A$1:$N$2000, MATCH($C193, VAV_Schedule_5_21[[#All],[UNIT TAG]], FALSE), 6)</f>
        <v>220</v>
      </c>
      <c r="U193" s="27">
        <f>INDEX(Schedule!$A$1:$N$2000, MATCH($C193, VAV_Schedule_5_21[[#All],[UNIT TAG]], FALSE), 5)</f>
        <v>1100</v>
      </c>
      <c r="V193" s="27">
        <f>INDEX(Schedule!$A$1:$N$2000, MATCH($C193, VAV_Schedule_5_21[[#All],[UNIT TAG]], FALSE), 6)</f>
        <v>220</v>
      </c>
      <c r="W193" s="27">
        <f>INDEX(Schedule!$A$1:$N$2000, MATCH($C193, VAV_Schedule_5_21[[#All],[UNIT TAG]], FALSE), 6)</f>
        <v>220</v>
      </c>
      <c r="X193" s="27">
        <f>INDEX(Schedule!$A$1:$N$2000, MATCH($C193, VAV_Schedule_5_21[[#All],[UNIT TAG]], FALSE), 6)</f>
        <v>220</v>
      </c>
      <c r="Y193" s="27">
        <f>INDEX(Schedule!$A$1:$N$2000, MATCH($C193, VAV_Schedule_5_21[[#All],[UNIT TAG]], FALSE), 6)</f>
        <v>220</v>
      </c>
      <c r="Z193" s="27">
        <f>INDEX(Schedule!$A$1:$N$2000, MATCH($C193, VAV_Schedule_5_21[[#All],[UNIT TAG]], FALSE), 6)</f>
        <v>220</v>
      </c>
      <c r="AA193" s="27">
        <v>1000</v>
      </c>
      <c r="AB193" s="27">
        <v>1100</v>
      </c>
      <c r="AC193">
        <v>1400</v>
      </c>
      <c r="AD193" s="29">
        <f>IF(INDEX(Schedule!$A$1:$N$2000, MATCH($C193, VAV_Schedule_5_21[[#All],[UNIT TAG]], FALSE), 7)="-", 0, INDEX(Schedule!$A$1:$N$2000, MATCH($C193, VAV_Schedule_5_21[[#All],[UNIT TAG]], FALSE), 7))</f>
        <v>0</v>
      </c>
      <c r="AE193" t="str">
        <f>"B_01'" &amp; "Flr_0" &amp; INDEX(Joined!$A$3:$M$2000, MATCH($A193, Joined!$I$3:$I$2000, FALSE), 8)</f>
        <v>B_01'Flr_05</v>
      </c>
      <c r="AF193" t="str">
        <f>"R_" &amp; INDEX(Joined!$A$3:$M$2000, MATCH($A193, Joined!$I$3:$I$2000, FALSE), 7)</f>
        <v>R_VAV-5N-5</v>
      </c>
      <c r="AG193" t="str">
        <f>"B_01'" &amp; "Flr_0" &amp; INDEX(Joined!$A$3:$M$2000, MATCH($A193, Joined!$I$3:$I$2000, FALSE), 8)</f>
        <v>B_01'Flr_05</v>
      </c>
      <c r="AH193" t="str">
        <f>INDEX(Joined!$A$3:$M$2000, MATCH($A193, Joined!$I$3:$I$2000, FALSE), 7)</f>
        <v>VAV-5N-5</v>
      </c>
      <c r="AI193" t="s">
        <v>1475</v>
      </c>
    </row>
    <row r="194" spans="1:35" x14ac:dyDescent="0.2">
      <c r="A194" t="s">
        <v>576</v>
      </c>
      <c r="B194" t="str">
        <f>"B_01'" &amp; "Flr_0" &amp; INDEX(Joined!$A$3:$M$2000, MATCH($A194, Joined!$I$3:$I$2000, FALSE), 8)</f>
        <v>B_01'Flr_05</v>
      </c>
      <c r="C194" t="str">
        <f>INDEX(Joined!$A$3:$M$2000, MATCH($A194, Joined!$I$3:$I$2000, FALSE), 7)</f>
        <v>VAV-5N-6</v>
      </c>
      <c r="D194">
        <f>INDEX(Joined!$A$3:$M$2000, MATCH($A194, Joined!$I$3:$I$2000, FALSE), 5)</f>
        <v>151002</v>
      </c>
      <c r="E194" t="str">
        <f>INDEX(Joined!$A$3:$M$2000, MATCH($A194, Joined!$I$3:$I$2000, FALSE), 7)</f>
        <v>VAV-5N-6</v>
      </c>
      <c r="F194" t="s">
        <v>38</v>
      </c>
      <c r="G194" t="str">
        <f>INDEX(Schedule!$Q$2:$R$7, MATCH(ABT!$H194,Schedule!$Q$2:$Q$7, 0), 2)</f>
        <v>15006_ADXR_VAV_DXR2M10</v>
      </c>
      <c r="H194">
        <f>INDEX(Joined!$A$3:$M$2000, MATCH($A194, Joined!$I$3:$I$2000, FALSE), 6)</f>
        <v>15006</v>
      </c>
      <c r="I194" t="str">
        <f>INDEX(Joined!$A$3:$M$2000, MATCH($A194, Joined!$I$3:$I$2000, FALSE), 4)</f>
        <v>510</v>
      </c>
      <c r="J194" t="b">
        <v>0</v>
      </c>
      <c r="K194">
        <f>INDEX(Joined!$A$3:$M$2000, MATCH($A194, Joined!$I$3:$I$2000, FALSE), 3)</f>
        <v>2</v>
      </c>
      <c r="L194">
        <v>85</v>
      </c>
      <c r="M194">
        <v>38400</v>
      </c>
      <c r="N194" s="27">
        <f>PI()*(INDEX(Schedule!$A$1:$N$2000, MATCH($C194, VAV_Schedule_5_21[[#All],[UNIT TAG]], FALSE), 4)/2/12)^2</f>
        <v>0.54541539124822802</v>
      </c>
      <c r="O194" s="27">
        <f>INDEX(Schedule!$A$1:$N$2000, MATCH($C194, VAV_Schedule_5_21[[#All],[UNIT TAG]], FALSE), 4)</f>
        <v>10</v>
      </c>
      <c r="P194">
        <v>192.63</v>
      </c>
      <c r="Q194" s="27">
        <f>INDEX(Schedule!$A$1:$N$2000, MATCH($C194, VAV_Schedule_5_21[[#All],[UNIT TAG]], FALSE), 5)</f>
        <v>1095</v>
      </c>
      <c r="R194" s="27">
        <f>INDEX(Schedule!$A$1:$N$2000, MATCH($C194, VAV_Schedule_5_21[[#All],[UNIT TAG]], FALSE), 6)</f>
        <v>220</v>
      </c>
      <c r="S194" s="27">
        <f>INDEX(Schedule!$A$1:$N$2000, MATCH($C194, VAV_Schedule_5_21[[#All],[UNIT TAG]], FALSE), 5)</f>
        <v>1095</v>
      </c>
      <c r="T194" s="27">
        <f>INDEX(Schedule!$A$1:$N$2000, MATCH($C194, VAV_Schedule_5_21[[#All],[UNIT TAG]], FALSE), 6)</f>
        <v>220</v>
      </c>
      <c r="U194" s="27">
        <f>INDEX(Schedule!$A$1:$N$2000, MATCH($C194, VAV_Schedule_5_21[[#All],[UNIT TAG]], FALSE), 5)</f>
        <v>1095</v>
      </c>
      <c r="V194" s="27">
        <f>INDEX(Schedule!$A$1:$N$2000, MATCH($C194, VAV_Schedule_5_21[[#All],[UNIT TAG]], FALSE), 6)</f>
        <v>220</v>
      </c>
      <c r="W194" s="27">
        <f>INDEX(Schedule!$A$1:$N$2000, MATCH($C194, VAV_Schedule_5_21[[#All],[UNIT TAG]], FALSE), 6)</f>
        <v>220</v>
      </c>
      <c r="X194" s="27">
        <f>INDEX(Schedule!$A$1:$N$2000, MATCH($C194, VAV_Schedule_5_21[[#All],[UNIT TAG]], FALSE), 6)</f>
        <v>220</v>
      </c>
      <c r="Y194" s="27">
        <f>INDEX(Schedule!$A$1:$N$2000, MATCH($C194, VAV_Schedule_5_21[[#All],[UNIT TAG]], FALSE), 6)</f>
        <v>220</v>
      </c>
      <c r="Z194" s="27">
        <f>INDEX(Schedule!$A$1:$N$2000, MATCH($C194, VAV_Schedule_5_21[[#All],[UNIT TAG]], FALSE), 6)</f>
        <v>220</v>
      </c>
      <c r="AA194" s="27">
        <v>1000</v>
      </c>
      <c r="AB194" s="27">
        <v>1100</v>
      </c>
      <c r="AC194">
        <v>1400</v>
      </c>
      <c r="AD194" s="29">
        <f>IF(INDEX(Schedule!$A$1:$N$2000, MATCH($C194, VAV_Schedule_5_21[[#All],[UNIT TAG]], FALSE), 7)="-", 0, INDEX(Schedule!$A$1:$N$2000, MATCH($C194, VAV_Schedule_5_21[[#All],[UNIT TAG]], FALSE), 7))</f>
        <v>0</v>
      </c>
      <c r="AE194" t="str">
        <f>"B_01'" &amp; "Flr_0" &amp; INDEX(Joined!$A$3:$M$2000, MATCH($A194, Joined!$I$3:$I$2000, FALSE), 8)</f>
        <v>B_01'Flr_05</v>
      </c>
      <c r="AF194" t="str">
        <f>"R_" &amp; INDEX(Joined!$A$3:$M$2000, MATCH($A194, Joined!$I$3:$I$2000, FALSE), 7)</f>
        <v>R_VAV-5N-6</v>
      </c>
      <c r="AG194" t="str">
        <f>"B_01'" &amp; "Flr_0" &amp; INDEX(Joined!$A$3:$M$2000, MATCH($A194, Joined!$I$3:$I$2000, FALSE), 8)</f>
        <v>B_01'Flr_05</v>
      </c>
      <c r="AH194" t="str">
        <f>INDEX(Joined!$A$3:$M$2000, MATCH($A194, Joined!$I$3:$I$2000, FALSE), 7)</f>
        <v>VAV-5N-6</v>
      </c>
      <c r="AI194" t="s">
        <v>1476</v>
      </c>
    </row>
    <row r="195" spans="1:35" x14ac:dyDescent="0.2">
      <c r="A195" t="s">
        <v>577</v>
      </c>
      <c r="B195" t="str">
        <f>"B_01'" &amp; "Flr_0" &amp; INDEX(Joined!$A$3:$M$2000, MATCH($A195, Joined!$I$3:$I$2000, FALSE), 8)</f>
        <v>B_01'Flr_05</v>
      </c>
      <c r="C195" t="str">
        <f>INDEX(Joined!$A$3:$M$2000, MATCH($A195, Joined!$I$3:$I$2000, FALSE), 7)</f>
        <v>VAV-5N-7</v>
      </c>
      <c r="D195">
        <f>INDEX(Joined!$A$3:$M$2000, MATCH($A195, Joined!$I$3:$I$2000, FALSE), 5)</f>
        <v>151003</v>
      </c>
      <c r="E195" t="str">
        <f>INDEX(Joined!$A$3:$M$2000, MATCH($A195, Joined!$I$3:$I$2000, FALSE), 7)</f>
        <v>VAV-5N-7</v>
      </c>
      <c r="F195" t="s">
        <v>38</v>
      </c>
      <c r="G195" t="str">
        <f>INDEX(Schedule!$Q$2:$R$7, MATCH(ABT!$H195,Schedule!$Q$2:$Q$7, 0), 2)</f>
        <v>15006_ADXR_VAV_DXR2M10</v>
      </c>
      <c r="H195">
        <f>INDEX(Joined!$A$3:$M$2000, MATCH($A195, Joined!$I$3:$I$2000, FALSE), 6)</f>
        <v>15006</v>
      </c>
      <c r="I195" t="str">
        <f>INDEX(Joined!$A$3:$M$2000, MATCH($A195, Joined!$I$3:$I$2000, FALSE), 4)</f>
        <v>510</v>
      </c>
      <c r="J195" t="b">
        <v>0</v>
      </c>
      <c r="K195">
        <f>INDEX(Joined!$A$3:$M$2000, MATCH($A195, Joined!$I$3:$I$2000, FALSE), 3)</f>
        <v>3</v>
      </c>
      <c r="L195">
        <v>85</v>
      </c>
      <c r="M195">
        <v>38400</v>
      </c>
      <c r="N195" s="27">
        <f>PI()*(INDEX(Schedule!$A$1:$N$2000, MATCH($C195, VAV_Schedule_5_21[[#All],[UNIT TAG]], FALSE), 4)/2/12)^2</f>
        <v>0.54541539124822802</v>
      </c>
      <c r="O195" s="27">
        <f>INDEX(Schedule!$A$1:$N$2000, MATCH($C195, VAV_Schedule_5_21[[#All],[UNIT TAG]], FALSE), 4)</f>
        <v>10</v>
      </c>
      <c r="P195">
        <v>193.63</v>
      </c>
      <c r="Q195" s="27">
        <f>INDEX(Schedule!$A$1:$N$2000, MATCH($C195, VAV_Schedule_5_21[[#All],[UNIT TAG]], FALSE), 5)</f>
        <v>810</v>
      </c>
      <c r="R195" s="27">
        <f>INDEX(Schedule!$A$1:$N$2000, MATCH($C195, VAV_Schedule_5_21[[#All],[UNIT TAG]], FALSE), 6)</f>
        <v>165</v>
      </c>
      <c r="S195" s="27">
        <f>INDEX(Schedule!$A$1:$N$2000, MATCH($C195, VAV_Schedule_5_21[[#All],[UNIT TAG]], FALSE), 5)</f>
        <v>810</v>
      </c>
      <c r="T195" s="27">
        <f>INDEX(Schedule!$A$1:$N$2000, MATCH($C195, VAV_Schedule_5_21[[#All],[UNIT TAG]], FALSE), 6)</f>
        <v>165</v>
      </c>
      <c r="U195" s="27">
        <f>INDEX(Schedule!$A$1:$N$2000, MATCH($C195, VAV_Schedule_5_21[[#All],[UNIT TAG]], FALSE), 5)</f>
        <v>810</v>
      </c>
      <c r="V195" s="27">
        <f>INDEX(Schedule!$A$1:$N$2000, MATCH($C195, VAV_Schedule_5_21[[#All],[UNIT TAG]], FALSE), 6)</f>
        <v>165</v>
      </c>
      <c r="W195" s="27">
        <f>INDEX(Schedule!$A$1:$N$2000, MATCH($C195, VAV_Schedule_5_21[[#All],[UNIT TAG]], FALSE), 6)</f>
        <v>165</v>
      </c>
      <c r="X195" s="27">
        <f>INDEX(Schedule!$A$1:$N$2000, MATCH($C195, VAV_Schedule_5_21[[#All],[UNIT TAG]], FALSE), 6)</f>
        <v>165</v>
      </c>
      <c r="Y195" s="27">
        <f>INDEX(Schedule!$A$1:$N$2000, MATCH($C195, VAV_Schedule_5_21[[#All],[UNIT TAG]], FALSE), 6)</f>
        <v>165</v>
      </c>
      <c r="Z195" s="27">
        <f>INDEX(Schedule!$A$1:$N$2000, MATCH($C195, VAV_Schedule_5_21[[#All],[UNIT TAG]], FALSE), 6)</f>
        <v>165</v>
      </c>
      <c r="AA195" s="27">
        <v>1000</v>
      </c>
      <c r="AB195" s="27">
        <v>1100</v>
      </c>
      <c r="AC195">
        <v>1400</v>
      </c>
      <c r="AD195" s="29">
        <f>IF(INDEX(Schedule!$A$1:$N$2000, MATCH($C195, VAV_Schedule_5_21[[#All],[UNIT TAG]], FALSE), 7)="-", 0, INDEX(Schedule!$A$1:$N$2000, MATCH($C195, VAV_Schedule_5_21[[#All],[UNIT TAG]], FALSE), 7))</f>
        <v>0</v>
      </c>
      <c r="AE195" t="str">
        <f>"B_01'" &amp; "Flr_0" &amp; INDEX(Joined!$A$3:$M$2000, MATCH($A195, Joined!$I$3:$I$2000, FALSE), 8)</f>
        <v>B_01'Flr_05</v>
      </c>
      <c r="AF195" t="str">
        <f>"R_" &amp; INDEX(Joined!$A$3:$M$2000, MATCH($A195, Joined!$I$3:$I$2000, FALSE), 7)</f>
        <v>R_VAV-5N-7</v>
      </c>
      <c r="AG195" t="str">
        <f>"B_01'" &amp; "Flr_0" &amp; INDEX(Joined!$A$3:$M$2000, MATCH($A195, Joined!$I$3:$I$2000, FALSE), 8)</f>
        <v>B_01'Flr_05</v>
      </c>
      <c r="AH195" t="str">
        <f>INDEX(Joined!$A$3:$M$2000, MATCH($A195, Joined!$I$3:$I$2000, FALSE), 7)</f>
        <v>VAV-5N-7</v>
      </c>
      <c r="AI195" t="s">
        <v>1477</v>
      </c>
    </row>
    <row r="196" spans="1:35" x14ac:dyDescent="0.2">
      <c r="A196" s="20" t="s">
        <v>698</v>
      </c>
      <c r="B196" t="str">
        <f>"B_01'" &amp; "Flr_0" &amp; INDEX(Joined!$A$3:$M$2000, MATCH($A196, Joined!$I$3:$I$2000, FALSE), 8)</f>
        <v>B_01'Flr_05</v>
      </c>
      <c r="C196" t="str">
        <f>INDEX(Joined!$A$3:$M$2000, MATCH($A196, Joined!$I$3:$I$2000, FALSE), 7)</f>
        <v>VAV-5N-7A</v>
      </c>
      <c r="D196">
        <f>INDEX(Joined!$A$3:$M$2000, MATCH($A196, Joined!$I$3:$I$2000, FALSE), 5)</f>
        <v>151004</v>
      </c>
      <c r="E196" t="str">
        <f>INDEX(Joined!$A$3:$M$2000, MATCH($A196, Joined!$I$3:$I$2000, FALSE), 7)</f>
        <v>VAV-5N-7A</v>
      </c>
      <c r="F196" t="s">
        <v>38</v>
      </c>
      <c r="G196" t="str">
        <f>INDEX(Schedule!$Q$2:$R$7, MATCH(ABT!$H196,Schedule!$Q$2:$Q$7, 0), 2)</f>
        <v>15006_ADXR_VAV_DXR2M10</v>
      </c>
      <c r="H196">
        <f>INDEX(Joined!$A$3:$M$2000, MATCH($A196, Joined!$I$3:$I$2000, FALSE), 6)</f>
        <v>15006</v>
      </c>
      <c r="I196" t="str">
        <f>INDEX(Joined!$A$3:$M$2000, MATCH($A196, Joined!$I$3:$I$2000, FALSE), 4)</f>
        <v>510</v>
      </c>
      <c r="J196" t="b">
        <v>0</v>
      </c>
      <c r="K196">
        <f>INDEX(Joined!$A$3:$M$2000, MATCH($A196, Joined!$I$3:$I$2000, FALSE), 3)</f>
        <v>4</v>
      </c>
      <c r="L196">
        <v>85</v>
      </c>
      <c r="M196">
        <v>38400</v>
      </c>
      <c r="N196" s="27">
        <f>PI()*(INDEX(Schedule!$A$1:$N$2000, MATCH($C196, VAV_Schedule_5_21[[#All],[UNIT TAG]], FALSE), 4)/2/12)^2</f>
        <v>0.3490658503988659</v>
      </c>
      <c r="O196" s="27">
        <f>INDEX(Schedule!$A$1:$N$2000, MATCH($C196, VAV_Schedule_5_21[[#All],[UNIT TAG]], FALSE), 4)</f>
        <v>8</v>
      </c>
      <c r="P196">
        <v>194.63</v>
      </c>
      <c r="Q196" s="27">
        <f>INDEX(Schedule!$A$1:$N$2000, MATCH($C196, VAV_Schedule_5_21[[#All],[UNIT TAG]], FALSE), 5)</f>
        <v>550</v>
      </c>
      <c r="R196" s="27">
        <f>INDEX(Schedule!$A$1:$N$2000, MATCH($C196, VAV_Schedule_5_21[[#All],[UNIT TAG]], FALSE), 6)</f>
        <v>110</v>
      </c>
      <c r="S196" s="27">
        <f>INDEX(Schedule!$A$1:$N$2000, MATCH($C196, VAV_Schedule_5_21[[#All],[UNIT TAG]], FALSE), 5)</f>
        <v>550</v>
      </c>
      <c r="T196" s="27">
        <f>INDEX(Schedule!$A$1:$N$2000, MATCH($C196, VAV_Schedule_5_21[[#All],[UNIT TAG]], FALSE), 6)</f>
        <v>110</v>
      </c>
      <c r="U196" s="27">
        <f>INDEX(Schedule!$A$1:$N$2000, MATCH($C196, VAV_Schedule_5_21[[#All],[UNIT TAG]], FALSE), 5)</f>
        <v>550</v>
      </c>
      <c r="V196" s="27">
        <f>INDEX(Schedule!$A$1:$N$2000, MATCH($C196, VAV_Schedule_5_21[[#All],[UNIT TAG]], FALSE), 6)</f>
        <v>110</v>
      </c>
      <c r="W196" s="27">
        <f>INDEX(Schedule!$A$1:$N$2000, MATCH($C196, VAV_Schedule_5_21[[#All],[UNIT TAG]], FALSE), 6)</f>
        <v>110</v>
      </c>
      <c r="X196" s="27">
        <f>INDEX(Schedule!$A$1:$N$2000, MATCH($C196, VAV_Schedule_5_21[[#All],[UNIT TAG]], FALSE), 6)</f>
        <v>110</v>
      </c>
      <c r="Y196" s="27">
        <f>INDEX(Schedule!$A$1:$N$2000, MATCH($C196, VAV_Schedule_5_21[[#All],[UNIT TAG]], FALSE), 6)</f>
        <v>110</v>
      </c>
      <c r="Z196" s="27">
        <f>INDEX(Schedule!$A$1:$N$2000, MATCH($C196, VAV_Schedule_5_21[[#All],[UNIT TAG]], FALSE), 6)</f>
        <v>110</v>
      </c>
      <c r="AA196" s="27">
        <v>1000</v>
      </c>
      <c r="AB196" s="27">
        <v>1100</v>
      </c>
      <c r="AC196">
        <v>1400</v>
      </c>
      <c r="AD196" s="29">
        <f>IF(INDEX(Schedule!$A$1:$N$2000, MATCH($C196, VAV_Schedule_5_21[[#All],[UNIT TAG]], FALSE), 7)="-", 0, INDEX(Schedule!$A$1:$N$2000, MATCH($C196, VAV_Schedule_5_21[[#All],[UNIT TAG]], FALSE), 7))</f>
        <v>0</v>
      </c>
      <c r="AE196" t="str">
        <f>"B_01'" &amp; "Flr_0" &amp; INDEX(Joined!$A$3:$M$2000, MATCH($A196, Joined!$I$3:$I$2000, FALSE), 8)</f>
        <v>B_01'Flr_05</v>
      </c>
      <c r="AF196" t="str">
        <f>"R_" &amp; INDEX(Joined!$A$3:$M$2000, MATCH($A196, Joined!$I$3:$I$2000, FALSE), 7)</f>
        <v>R_VAV-5N-7A</v>
      </c>
      <c r="AG196" t="str">
        <f>"B_01'" &amp; "Flr_0" &amp; INDEX(Joined!$A$3:$M$2000, MATCH($A196, Joined!$I$3:$I$2000, FALSE), 8)</f>
        <v>B_01'Flr_05</v>
      </c>
      <c r="AH196" t="str">
        <f>INDEX(Joined!$A$3:$M$2000, MATCH($A196, Joined!$I$3:$I$2000, FALSE), 7)</f>
        <v>VAV-5N-7A</v>
      </c>
      <c r="AI196" t="s">
        <v>1902</v>
      </c>
    </row>
    <row r="197" spans="1:35" x14ac:dyDescent="0.2">
      <c r="A197" t="s">
        <v>578</v>
      </c>
      <c r="B197" t="str">
        <f>"B_01'" &amp; "Flr_0" &amp; INDEX(Joined!$A$3:$M$2000, MATCH($A197, Joined!$I$3:$I$2000, FALSE), 8)</f>
        <v>B_01'Flr_05</v>
      </c>
      <c r="C197" t="str">
        <f>INDEX(Joined!$A$3:$M$2000, MATCH($A197, Joined!$I$3:$I$2000, FALSE), 7)</f>
        <v>VAV-5N-8</v>
      </c>
      <c r="D197">
        <f>INDEX(Joined!$A$3:$M$2000, MATCH($A197, Joined!$I$3:$I$2000, FALSE), 5)</f>
        <v>151005</v>
      </c>
      <c r="E197" t="str">
        <f>INDEX(Joined!$A$3:$M$2000, MATCH($A197, Joined!$I$3:$I$2000, FALSE), 7)</f>
        <v>VAV-5N-8</v>
      </c>
      <c r="F197" t="s">
        <v>38</v>
      </c>
      <c r="G197" t="str">
        <f>INDEX(Schedule!$Q$2:$R$7, MATCH(ABT!$H197,Schedule!$Q$2:$Q$7, 0), 2)</f>
        <v>15006_ADXR_VAV_DXR2M10</v>
      </c>
      <c r="H197">
        <f>INDEX(Joined!$A$3:$M$2000, MATCH($A197, Joined!$I$3:$I$2000, FALSE), 6)</f>
        <v>15006</v>
      </c>
      <c r="I197" t="str">
        <f>INDEX(Joined!$A$3:$M$2000, MATCH($A197, Joined!$I$3:$I$2000, FALSE), 4)</f>
        <v>510</v>
      </c>
      <c r="J197" t="b">
        <v>0</v>
      </c>
      <c r="K197">
        <f>INDEX(Joined!$A$3:$M$2000, MATCH($A197, Joined!$I$3:$I$2000, FALSE), 3)</f>
        <v>5</v>
      </c>
      <c r="L197">
        <v>85</v>
      </c>
      <c r="M197">
        <v>38400</v>
      </c>
      <c r="N197" s="27">
        <f>PI()*(INDEX(Schedule!$A$1:$N$2000, MATCH($C197, VAV_Schedule_5_21[[#All],[UNIT TAG]], FALSE), 4)/2/12)^2</f>
        <v>0.54541539124822802</v>
      </c>
      <c r="O197" s="27">
        <f>INDEX(Schedule!$A$1:$N$2000, MATCH($C197, VAV_Schedule_5_21[[#All],[UNIT TAG]], FALSE), 4)</f>
        <v>10</v>
      </c>
      <c r="P197">
        <v>195.63</v>
      </c>
      <c r="Q197" s="27">
        <f>INDEX(Schedule!$A$1:$N$2000, MATCH($C197, VAV_Schedule_5_21[[#All],[UNIT TAG]], FALSE), 5)</f>
        <v>750</v>
      </c>
      <c r="R197" s="27">
        <f>INDEX(Schedule!$A$1:$N$2000, MATCH($C197, VAV_Schedule_5_21[[#All],[UNIT TAG]], FALSE), 6)</f>
        <v>150</v>
      </c>
      <c r="S197" s="27">
        <f>INDEX(Schedule!$A$1:$N$2000, MATCH($C197, VAV_Schedule_5_21[[#All],[UNIT TAG]], FALSE), 5)</f>
        <v>750</v>
      </c>
      <c r="T197" s="27">
        <f>INDEX(Schedule!$A$1:$N$2000, MATCH($C197, VAV_Schedule_5_21[[#All],[UNIT TAG]], FALSE), 6)</f>
        <v>150</v>
      </c>
      <c r="U197" s="27">
        <f>INDEX(Schedule!$A$1:$N$2000, MATCH($C197, VAV_Schedule_5_21[[#All],[UNIT TAG]], FALSE), 5)</f>
        <v>750</v>
      </c>
      <c r="V197" s="27">
        <f>INDEX(Schedule!$A$1:$N$2000, MATCH($C197, VAV_Schedule_5_21[[#All],[UNIT TAG]], FALSE), 6)</f>
        <v>150</v>
      </c>
      <c r="W197" s="27">
        <f>INDEX(Schedule!$A$1:$N$2000, MATCH($C197, VAV_Schedule_5_21[[#All],[UNIT TAG]], FALSE), 6)</f>
        <v>150</v>
      </c>
      <c r="X197" s="27">
        <f>INDEX(Schedule!$A$1:$N$2000, MATCH($C197, VAV_Schedule_5_21[[#All],[UNIT TAG]], FALSE), 6)</f>
        <v>150</v>
      </c>
      <c r="Y197" s="27">
        <f>INDEX(Schedule!$A$1:$N$2000, MATCH($C197, VAV_Schedule_5_21[[#All],[UNIT TAG]], FALSE), 6)</f>
        <v>150</v>
      </c>
      <c r="Z197" s="27">
        <f>INDEX(Schedule!$A$1:$N$2000, MATCH($C197, VAV_Schedule_5_21[[#All],[UNIT TAG]], FALSE), 6)</f>
        <v>150</v>
      </c>
      <c r="AA197" s="27">
        <v>1000</v>
      </c>
      <c r="AB197" s="27">
        <v>1100</v>
      </c>
      <c r="AC197">
        <v>1400</v>
      </c>
      <c r="AD197" s="29">
        <f>IF(INDEX(Schedule!$A$1:$N$2000, MATCH($C197, VAV_Schedule_5_21[[#All],[UNIT TAG]], FALSE), 7)="-", 0, INDEX(Schedule!$A$1:$N$2000, MATCH($C197, VAV_Schedule_5_21[[#All],[UNIT TAG]], FALSE), 7))</f>
        <v>0</v>
      </c>
      <c r="AE197" t="str">
        <f>"B_01'" &amp; "Flr_0" &amp; INDEX(Joined!$A$3:$M$2000, MATCH($A197, Joined!$I$3:$I$2000, FALSE), 8)</f>
        <v>B_01'Flr_05</v>
      </c>
      <c r="AF197" t="str">
        <f>"R_" &amp; INDEX(Joined!$A$3:$M$2000, MATCH($A197, Joined!$I$3:$I$2000, FALSE), 7)</f>
        <v>R_VAV-5N-8</v>
      </c>
      <c r="AG197" t="str">
        <f>"B_01'" &amp; "Flr_0" &amp; INDEX(Joined!$A$3:$M$2000, MATCH($A197, Joined!$I$3:$I$2000, FALSE), 8)</f>
        <v>B_01'Flr_05</v>
      </c>
      <c r="AH197" t="str">
        <f>INDEX(Joined!$A$3:$M$2000, MATCH($A197, Joined!$I$3:$I$2000, FALSE), 7)</f>
        <v>VAV-5N-8</v>
      </c>
      <c r="AI197" t="s">
        <v>1484</v>
      </c>
    </row>
    <row r="198" spans="1:35" x14ac:dyDescent="0.2">
      <c r="A198" t="s">
        <v>579</v>
      </c>
      <c r="B198" t="str">
        <f>"B_01'" &amp; "Flr_0" &amp; INDEX(Joined!$A$3:$M$2000, MATCH($A198, Joined!$I$3:$I$2000, FALSE), 8)</f>
        <v>B_01'Flr_05</v>
      </c>
      <c r="C198" t="str">
        <f>INDEX(Joined!$A$3:$M$2000, MATCH($A198, Joined!$I$3:$I$2000, FALSE), 7)</f>
        <v>VAV-5N-9</v>
      </c>
      <c r="D198">
        <f>INDEX(Joined!$A$3:$M$2000, MATCH($A198, Joined!$I$3:$I$2000, FALSE), 5)</f>
        <v>151006</v>
      </c>
      <c r="E198" t="str">
        <f>INDEX(Joined!$A$3:$M$2000, MATCH($A198, Joined!$I$3:$I$2000, FALSE), 7)</f>
        <v>VAV-5N-9</v>
      </c>
      <c r="F198" t="s">
        <v>38</v>
      </c>
      <c r="G198" t="str">
        <f>INDEX(Schedule!$Q$2:$R$7, MATCH(ABT!$H198,Schedule!$Q$2:$Q$7, 0), 2)</f>
        <v>15006_ADXR_VAV_DXR2M10</v>
      </c>
      <c r="H198">
        <f>INDEX(Joined!$A$3:$M$2000, MATCH($A198, Joined!$I$3:$I$2000, FALSE), 6)</f>
        <v>15006</v>
      </c>
      <c r="I198" t="str">
        <f>INDEX(Joined!$A$3:$M$2000, MATCH($A198, Joined!$I$3:$I$2000, FALSE), 4)</f>
        <v>510</v>
      </c>
      <c r="J198" t="b">
        <v>0</v>
      </c>
      <c r="K198">
        <f>INDEX(Joined!$A$3:$M$2000, MATCH($A198, Joined!$I$3:$I$2000, FALSE), 3)</f>
        <v>6</v>
      </c>
      <c r="L198">
        <v>85</v>
      </c>
      <c r="M198">
        <v>38400</v>
      </c>
      <c r="N198" s="27">
        <f>PI()*(INDEX(Schedule!$A$1:$N$2000, MATCH($C198, VAV_Schedule_5_21[[#All],[UNIT TAG]], FALSE), 4)/2/12)^2</f>
        <v>0.54541539124822802</v>
      </c>
      <c r="O198" s="27">
        <f>INDEX(Schedule!$A$1:$N$2000, MATCH($C198, VAV_Schedule_5_21[[#All],[UNIT TAG]], FALSE), 4)</f>
        <v>10</v>
      </c>
      <c r="P198">
        <v>196.63</v>
      </c>
      <c r="Q198" s="27">
        <f>INDEX(Schedule!$A$1:$N$2000, MATCH($C198, VAV_Schedule_5_21[[#All],[UNIT TAG]], FALSE), 5)</f>
        <v>750</v>
      </c>
      <c r="R198" s="27">
        <f>INDEX(Schedule!$A$1:$N$2000, MATCH($C198, VAV_Schedule_5_21[[#All],[UNIT TAG]], FALSE), 6)</f>
        <v>150</v>
      </c>
      <c r="S198" s="27">
        <f>INDEX(Schedule!$A$1:$N$2000, MATCH($C198, VAV_Schedule_5_21[[#All],[UNIT TAG]], FALSE), 5)</f>
        <v>750</v>
      </c>
      <c r="T198" s="27">
        <f>INDEX(Schedule!$A$1:$N$2000, MATCH($C198, VAV_Schedule_5_21[[#All],[UNIT TAG]], FALSE), 6)</f>
        <v>150</v>
      </c>
      <c r="U198" s="27">
        <f>INDEX(Schedule!$A$1:$N$2000, MATCH($C198, VAV_Schedule_5_21[[#All],[UNIT TAG]], FALSE), 5)</f>
        <v>750</v>
      </c>
      <c r="V198" s="27">
        <f>INDEX(Schedule!$A$1:$N$2000, MATCH($C198, VAV_Schedule_5_21[[#All],[UNIT TAG]], FALSE), 6)</f>
        <v>150</v>
      </c>
      <c r="W198" s="27">
        <f>INDEX(Schedule!$A$1:$N$2000, MATCH($C198, VAV_Schedule_5_21[[#All],[UNIT TAG]], FALSE), 6)</f>
        <v>150</v>
      </c>
      <c r="X198" s="27">
        <f>INDEX(Schedule!$A$1:$N$2000, MATCH($C198, VAV_Schedule_5_21[[#All],[UNIT TAG]], FALSE), 6)</f>
        <v>150</v>
      </c>
      <c r="Y198" s="27">
        <f>INDEX(Schedule!$A$1:$N$2000, MATCH($C198, VAV_Schedule_5_21[[#All],[UNIT TAG]], FALSE), 6)</f>
        <v>150</v>
      </c>
      <c r="Z198" s="27">
        <f>INDEX(Schedule!$A$1:$N$2000, MATCH($C198, VAV_Schedule_5_21[[#All],[UNIT TAG]], FALSE), 6)</f>
        <v>150</v>
      </c>
      <c r="AA198" s="27">
        <v>1000</v>
      </c>
      <c r="AB198" s="27">
        <v>1100</v>
      </c>
      <c r="AC198">
        <v>1400</v>
      </c>
      <c r="AD198" s="29">
        <f>IF(INDEX(Schedule!$A$1:$N$2000, MATCH($C198, VAV_Schedule_5_21[[#All],[UNIT TAG]], FALSE), 7)="-", 0, INDEX(Schedule!$A$1:$N$2000, MATCH($C198, VAV_Schedule_5_21[[#All],[UNIT TAG]], FALSE), 7))</f>
        <v>0</v>
      </c>
      <c r="AE198" t="str">
        <f>"B_01'" &amp; "Flr_0" &amp; INDEX(Joined!$A$3:$M$2000, MATCH($A198, Joined!$I$3:$I$2000, FALSE), 8)</f>
        <v>B_01'Flr_05</v>
      </c>
      <c r="AF198" t="str">
        <f>"R_" &amp; INDEX(Joined!$A$3:$M$2000, MATCH($A198, Joined!$I$3:$I$2000, FALSE), 7)</f>
        <v>R_VAV-5N-9</v>
      </c>
      <c r="AG198" t="str">
        <f>"B_01'" &amp; "Flr_0" &amp; INDEX(Joined!$A$3:$M$2000, MATCH($A198, Joined!$I$3:$I$2000, FALSE), 8)</f>
        <v>B_01'Flr_05</v>
      </c>
      <c r="AH198" t="str">
        <f>INDEX(Joined!$A$3:$M$2000, MATCH($A198, Joined!$I$3:$I$2000, FALSE), 7)</f>
        <v>VAV-5N-9</v>
      </c>
      <c r="AI198" t="s">
        <v>1485</v>
      </c>
    </row>
    <row r="199" spans="1:35" x14ac:dyDescent="0.2">
      <c r="A199" t="s">
        <v>581</v>
      </c>
      <c r="B199" t="str">
        <f>"B_01'" &amp; "Flr_0" &amp; INDEX(Joined!$A$3:$M$2000, MATCH($A199, Joined!$I$3:$I$2000, FALSE), 8)</f>
        <v>B_01'Flr_05</v>
      </c>
      <c r="C199" t="str">
        <f>INDEX(Joined!$A$3:$M$2000, MATCH($A199, Joined!$I$3:$I$2000, FALSE), 7)</f>
        <v>VAV-5W-1</v>
      </c>
      <c r="D199">
        <f>INDEX(Joined!$A$3:$M$2000, MATCH($A199, Joined!$I$3:$I$2000, FALSE), 5)</f>
        <v>151201</v>
      </c>
      <c r="E199" t="str">
        <f>INDEX(Joined!$A$3:$M$2000, MATCH($A199, Joined!$I$3:$I$2000, FALSE), 7)</f>
        <v>VAV-5W-1</v>
      </c>
      <c r="F199" t="s">
        <v>38</v>
      </c>
      <c r="G199" t="str">
        <f>INDEX(Schedule!$Q$2:$R$7, MATCH(ABT!$H199,Schedule!$Q$2:$Q$7, 0), 2)</f>
        <v>15007_ADXR_VAV_DXR2M10</v>
      </c>
      <c r="H199">
        <f>INDEX(Joined!$A$3:$M$2000, MATCH($A199, Joined!$I$3:$I$2000, FALSE), 6)</f>
        <v>15007</v>
      </c>
      <c r="I199" t="str">
        <f>INDEX(Joined!$A$3:$M$2000, MATCH($A199, Joined!$I$3:$I$2000, FALSE), 4)</f>
        <v>512</v>
      </c>
      <c r="J199" t="b">
        <v>0</v>
      </c>
      <c r="K199">
        <f>INDEX(Joined!$A$3:$M$2000, MATCH($A199, Joined!$I$3:$I$2000, FALSE), 3)</f>
        <v>1</v>
      </c>
      <c r="L199">
        <v>85</v>
      </c>
      <c r="M199">
        <v>38400</v>
      </c>
      <c r="N199" s="27">
        <f>PI()*(INDEX(Schedule!$A$1:$N$2000, MATCH($C199, VAV_Schedule_5_21[[#All],[UNIT TAG]], FALSE), 4)/2/12)^2</f>
        <v>0.3490658503988659</v>
      </c>
      <c r="O199" s="27">
        <f>INDEX(Schedule!$A$1:$N$2000, MATCH($C199, VAV_Schedule_5_21[[#All],[UNIT TAG]], FALSE), 4)</f>
        <v>8</v>
      </c>
      <c r="P199">
        <v>197.63</v>
      </c>
      <c r="Q199" s="27">
        <f>INDEX(Schedule!$A$1:$N$2000, MATCH($C199, VAV_Schedule_5_21[[#All],[UNIT TAG]], FALSE), 5)</f>
        <v>570</v>
      </c>
      <c r="R199" s="27">
        <f>INDEX(Schedule!$A$1:$N$2000, MATCH($C199, VAV_Schedule_5_21[[#All],[UNIT TAG]], FALSE), 6)</f>
        <v>115</v>
      </c>
      <c r="S199" s="27">
        <f>INDEX(Schedule!$A$1:$N$2000, MATCH($C199, VAV_Schedule_5_21[[#All],[UNIT TAG]], FALSE), 5)</f>
        <v>570</v>
      </c>
      <c r="T199" s="27">
        <f>INDEX(Schedule!$A$1:$N$2000, MATCH($C199, VAV_Schedule_5_21[[#All],[UNIT TAG]], FALSE), 6)</f>
        <v>115</v>
      </c>
      <c r="U199" s="27">
        <f>INDEX(Schedule!$A$1:$N$2000, MATCH($C199, VAV_Schedule_5_21[[#All],[UNIT TAG]], FALSE), 5)</f>
        <v>570</v>
      </c>
      <c r="V199" s="27">
        <f>INDEX(Schedule!$A$1:$N$2000, MATCH($C199, VAV_Schedule_5_21[[#All],[UNIT TAG]], FALSE), 6)</f>
        <v>115</v>
      </c>
      <c r="W199" s="27">
        <f>INDEX(Schedule!$A$1:$N$2000, MATCH($C199, VAV_Schedule_5_21[[#All],[UNIT TAG]], FALSE), 6)</f>
        <v>115</v>
      </c>
      <c r="X199" s="27">
        <f>INDEX(Schedule!$A$1:$N$2000, MATCH($C199, VAV_Schedule_5_21[[#All],[UNIT TAG]], FALSE), 6)</f>
        <v>115</v>
      </c>
      <c r="Y199" s="27">
        <f>INDEX(Schedule!$A$1:$N$2000, MATCH($C199, VAV_Schedule_5_21[[#All],[UNIT TAG]], FALSE), 6)</f>
        <v>115</v>
      </c>
      <c r="Z199" s="27">
        <f>INDEX(Schedule!$A$1:$N$2000, MATCH($C199, VAV_Schedule_5_21[[#All],[UNIT TAG]], FALSE), 6)</f>
        <v>115</v>
      </c>
      <c r="AA199" s="27">
        <v>1000</v>
      </c>
      <c r="AB199" s="27">
        <v>1100</v>
      </c>
      <c r="AC199">
        <v>1400</v>
      </c>
      <c r="AD199" s="29" t="str">
        <f>IF(INDEX(Schedule!$A$1:$N$2000, MATCH($C199, VAV_Schedule_5_21[[#All],[UNIT TAG]], FALSE), 7)="-", 0, INDEX(Schedule!$A$1:$N$2000, MATCH($C199, VAV_Schedule_5_21[[#All],[UNIT TAG]], FALSE), 7))</f>
        <v>5</v>
      </c>
      <c r="AE199" t="str">
        <f>"B_01'" &amp; "Flr_0" &amp; INDEX(Joined!$A$3:$M$2000, MATCH($A199, Joined!$I$3:$I$2000, FALSE), 8)</f>
        <v>B_01'Flr_05</v>
      </c>
      <c r="AF199" t="str">
        <f>"R_" &amp; INDEX(Joined!$A$3:$M$2000, MATCH($A199, Joined!$I$3:$I$2000, FALSE), 7)</f>
        <v>R_VAV-5W-1</v>
      </c>
      <c r="AG199" t="str">
        <f>"B_01'" &amp; "Flr_0" &amp; INDEX(Joined!$A$3:$M$2000, MATCH($A199, Joined!$I$3:$I$2000, FALSE), 8)</f>
        <v>B_01'Flr_05</v>
      </c>
      <c r="AH199" t="str">
        <f>INDEX(Joined!$A$3:$M$2000, MATCH($A199, Joined!$I$3:$I$2000, FALSE), 7)</f>
        <v>VAV-5W-1</v>
      </c>
      <c r="AI199" t="s">
        <v>1486</v>
      </c>
    </row>
    <row r="200" spans="1:35" x14ac:dyDescent="0.2">
      <c r="A200" t="s">
        <v>582</v>
      </c>
      <c r="B200" t="str">
        <f>"B_01'" &amp; "Flr_0" &amp; INDEX(Joined!$A$3:$M$2000, MATCH($A200, Joined!$I$3:$I$2000, FALSE), 8)</f>
        <v>B_01'Flr_05</v>
      </c>
      <c r="C200" t="str">
        <f>INDEX(Joined!$A$3:$M$2000, MATCH($A200, Joined!$I$3:$I$2000, FALSE), 7)</f>
        <v>VAV-5W-2</v>
      </c>
      <c r="D200">
        <f>INDEX(Joined!$A$3:$M$2000, MATCH($A200, Joined!$I$3:$I$2000, FALSE), 5)</f>
        <v>151202</v>
      </c>
      <c r="E200" t="str">
        <f>INDEX(Joined!$A$3:$M$2000, MATCH($A200, Joined!$I$3:$I$2000, FALSE), 7)</f>
        <v>VAV-5W-2</v>
      </c>
      <c r="F200" t="s">
        <v>38</v>
      </c>
      <c r="G200" t="str">
        <f>INDEX(Schedule!$Q$2:$R$7, MATCH(ABT!$H200,Schedule!$Q$2:$Q$7, 0), 2)</f>
        <v>15007_ADXR_VAV_DXR2M10</v>
      </c>
      <c r="H200">
        <f>INDEX(Joined!$A$3:$M$2000, MATCH($A200, Joined!$I$3:$I$2000, FALSE), 6)</f>
        <v>15007</v>
      </c>
      <c r="I200" t="str">
        <f>INDEX(Joined!$A$3:$M$2000, MATCH($A200, Joined!$I$3:$I$2000, FALSE), 4)</f>
        <v>512</v>
      </c>
      <c r="J200" t="b">
        <v>0</v>
      </c>
      <c r="K200">
        <f>INDEX(Joined!$A$3:$M$2000, MATCH($A200, Joined!$I$3:$I$2000, FALSE), 3)</f>
        <v>2</v>
      </c>
      <c r="L200">
        <v>85</v>
      </c>
      <c r="M200">
        <v>38400</v>
      </c>
      <c r="N200" s="27">
        <f>PI()*(INDEX(Schedule!$A$1:$N$2000, MATCH($C200, VAV_Schedule_5_21[[#All],[UNIT TAG]], FALSE), 4)/2/12)^2</f>
        <v>0.3490658503988659</v>
      </c>
      <c r="O200" s="27">
        <f>INDEX(Schedule!$A$1:$N$2000, MATCH($C200, VAV_Schedule_5_21[[#All],[UNIT TAG]], FALSE), 4)</f>
        <v>8</v>
      </c>
      <c r="P200">
        <v>198.63</v>
      </c>
      <c r="Q200" s="27">
        <f>INDEX(Schedule!$A$1:$N$2000, MATCH($C200, VAV_Schedule_5_21[[#All],[UNIT TAG]], FALSE), 5)</f>
        <v>570</v>
      </c>
      <c r="R200" s="27">
        <f>INDEX(Schedule!$A$1:$N$2000, MATCH($C200, VAV_Schedule_5_21[[#All],[UNIT TAG]], FALSE), 6)</f>
        <v>115</v>
      </c>
      <c r="S200" s="27">
        <f>INDEX(Schedule!$A$1:$N$2000, MATCH($C200, VAV_Schedule_5_21[[#All],[UNIT TAG]], FALSE), 5)</f>
        <v>570</v>
      </c>
      <c r="T200" s="27">
        <f>INDEX(Schedule!$A$1:$N$2000, MATCH($C200, VAV_Schedule_5_21[[#All],[UNIT TAG]], FALSE), 6)</f>
        <v>115</v>
      </c>
      <c r="U200" s="27">
        <f>INDEX(Schedule!$A$1:$N$2000, MATCH($C200, VAV_Schedule_5_21[[#All],[UNIT TAG]], FALSE), 5)</f>
        <v>570</v>
      </c>
      <c r="V200" s="27">
        <f>INDEX(Schedule!$A$1:$N$2000, MATCH($C200, VAV_Schedule_5_21[[#All],[UNIT TAG]], FALSE), 6)</f>
        <v>115</v>
      </c>
      <c r="W200" s="27">
        <f>INDEX(Schedule!$A$1:$N$2000, MATCH($C200, VAV_Schedule_5_21[[#All],[UNIT TAG]], FALSE), 6)</f>
        <v>115</v>
      </c>
      <c r="X200" s="27">
        <f>INDEX(Schedule!$A$1:$N$2000, MATCH($C200, VAV_Schedule_5_21[[#All],[UNIT TAG]], FALSE), 6)</f>
        <v>115</v>
      </c>
      <c r="Y200" s="27">
        <f>INDEX(Schedule!$A$1:$N$2000, MATCH($C200, VAV_Schedule_5_21[[#All],[UNIT TAG]], FALSE), 6)</f>
        <v>115</v>
      </c>
      <c r="Z200" s="27">
        <f>INDEX(Schedule!$A$1:$N$2000, MATCH($C200, VAV_Schedule_5_21[[#All],[UNIT TAG]], FALSE), 6)</f>
        <v>115</v>
      </c>
      <c r="AA200" s="27">
        <v>1000</v>
      </c>
      <c r="AB200" s="27">
        <v>1100</v>
      </c>
      <c r="AC200">
        <v>1400</v>
      </c>
      <c r="AD200" s="29" t="str">
        <f>IF(INDEX(Schedule!$A$1:$N$2000, MATCH($C200, VAV_Schedule_5_21[[#All],[UNIT TAG]], FALSE), 7)="-", 0, INDEX(Schedule!$A$1:$N$2000, MATCH($C200, VAV_Schedule_5_21[[#All],[UNIT TAG]], FALSE), 7))</f>
        <v>5</v>
      </c>
      <c r="AE200" t="str">
        <f>"B_01'" &amp; "Flr_0" &amp; INDEX(Joined!$A$3:$M$2000, MATCH($A200, Joined!$I$3:$I$2000, FALSE), 8)</f>
        <v>B_01'Flr_05</v>
      </c>
      <c r="AF200" t="str">
        <f>"R_" &amp; INDEX(Joined!$A$3:$M$2000, MATCH($A200, Joined!$I$3:$I$2000, FALSE), 7)</f>
        <v>R_VAV-5W-2</v>
      </c>
      <c r="AG200" t="str">
        <f>"B_01'" &amp; "Flr_0" &amp; INDEX(Joined!$A$3:$M$2000, MATCH($A200, Joined!$I$3:$I$2000, FALSE), 8)</f>
        <v>B_01'Flr_05</v>
      </c>
      <c r="AH200" t="str">
        <f>INDEX(Joined!$A$3:$M$2000, MATCH($A200, Joined!$I$3:$I$2000, FALSE), 7)</f>
        <v>VAV-5W-2</v>
      </c>
      <c r="AI200" t="s">
        <v>1487</v>
      </c>
    </row>
    <row r="201" spans="1:35" x14ac:dyDescent="0.2">
      <c r="A201" t="s">
        <v>585</v>
      </c>
      <c r="B201" t="str">
        <f>"B_01'" &amp; "Flr_0" &amp; INDEX(Joined!$A$3:$M$2000, MATCH($A201, Joined!$I$3:$I$2000, FALSE), 8)</f>
        <v>B_01'Flr_05</v>
      </c>
      <c r="C201" t="str">
        <f>INDEX(Joined!$A$3:$M$2000, MATCH($A201, Joined!$I$3:$I$2000, FALSE), 7)</f>
        <v>VAV-5W-28</v>
      </c>
      <c r="D201">
        <f>INDEX(Joined!$A$3:$M$2000, MATCH($A201, Joined!$I$3:$I$2000, FALSE), 5)</f>
        <v>151205</v>
      </c>
      <c r="E201" t="str">
        <f>INDEX(Joined!$A$3:$M$2000, MATCH($A201, Joined!$I$3:$I$2000, FALSE), 7)</f>
        <v>VAV-5W-28</v>
      </c>
      <c r="F201" t="s">
        <v>38</v>
      </c>
      <c r="G201" t="str">
        <f>INDEX(Schedule!$Q$2:$R$7, MATCH(ABT!$H201,Schedule!$Q$2:$Q$7, 0), 2)</f>
        <v>15006_ADXR_VAV_DXR2M10</v>
      </c>
      <c r="H201">
        <f>INDEX(Joined!$A$3:$M$2000, MATCH($A201, Joined!$I$3:$I$2000, FALSE), 6)</f>
        <v>15006</v>
      </c>
      <c r="I201" t="str">
        <f>INDEX(Joined!$A$3:$M$2000, MATCH($A201, Joined!$I$3:$I$2000, FALSE), 4)</f>
        <v>512</v>
      </c>
      <c r="J201" t="b">
        <v>0</v>
      </c>
      <c r="K201">
        <f>INDEX(Joined!$A$3:$M$2000, MATCH($A201, Joined!$I$3:$I$2000, FALSE), 3)</f>
        <v>5</v>
      </c>
      <c r="L201">
        <v>85</v>
      </c>
      <c r="M201">
        <v>38400</v>
      </c>
      <c r="N201" s="27">
        <f>PI()*(INDEX(Schedule!$A$1:$N$2000, MATCH($C201, VAV_Schedule_5_21[[#All],[UNIT TAG]], FALSE), 4)/2/12)^2</f>
        <v>0.3490658503988659</v>
      </c>
      <c r="O201" s="27">
        <f>INDEX(Schedule!$A$1:$N$2000, MATCH($C201, VAV_Schedule_5_21[[#All],[UNIT TAG]], FALSE), 4)</f>
        <v>8</v>
      </c>
      <c r="P201">
        <v>199.63</v>
      </c>
      <c r="Q201" s="27">
        <f>INDEX(Schedule!$A$1:$N$2000, MATCH($C201, VAV_Schedule_5_21[[#All],[UNIT TAG]], FALSE), 5)</f>
        <v>560</v>
      </c>
      <c r="R201" s="27">
        <f>INDEX(Schedule!$A$1:$N$2000, MATCH($C201, VAV_Schedule_5_21[[#All],[UNIT TAG]], FALSE), 6)</f>
        <v>115</v>
      </c>
      <c r="S201" s="27">
        <f>INDEX(Schedule!$A$1:$N$2000, MATCH($C201, VAV_Schedule_5_21[[#All],[UNIT TAG]], FALSE), 5)</f>
        <v>560</v>
      </c>
      <c r="T201" s="27">
        <f>INDEX(Schedule!$A$1:$N$2000, MATCH($C201, VAV_Schedule_5_21[[#All],[UNIT TAG]], FALSE), 6)</f>
        <v>115</v>
      </c>
      <c r="U201" s="27">
        <f>INDEX(Schedule!$A$1:$N$2000, MATCH($C201, VAV_Schedule_5_21[[#All],[UNIT TAG]], FALSE), 5)</f>
        <v>560</v>
      </c>
      <c r="V201" s="27">
        <f>INDEX(Schedule!$A$1:$N$2000, MATCH($C201, VAV_Schedule_5_21[[#All],[UNIT TAG]], FALSE), 6)</f>
        <v>115</v>
      </c>
      <c r="W201" s="27">
        <f>INDEX(Schedule!$A$1:$N$2000, MATCH($C201, VAV_Schedule_5_21[[#All],[UNIT TAG]], FALSE), 6)</f>
        <v>115</v>
      </c>
      <c r="X201" s="27">
        <f>INDEX(Schedule!$A$1:$N$2000, MATCH($C201, VAV_Schedule_5_21[[#All],[UNIT TAG]], FALSE), 6)</f>
        <v>115</v>
      </c>
      <c r="Y201" s="27">
        <f>INDEX(Schedule!$A$1:$N$2000, MATCH($C201, VAV_Schedule_5_21[[#All],[UNIT TAG]], FALSE), 6)</f>
        <v>115</v>
      </c>
      <c r="Z201" s="27">
        <f>INDEX(Schedule!$A$1:$N$2000, MATCH($C201, VAV_Schedule_5_21[[#All],[UNIT TAG]], FALSE), 6)</f>
        <v>115</v>
      </c>
      <c r="AA201" s="27">
        <v>1000</v>
      </c>
      <c r="AB201" s="27">
        <v>1100</v>
      </c>
      <c r="AC201">
        <v>1400</v>
      </c>
      <c r="AD201" s="29">
        <f>IF(INDEX(Schedule!$A$1:$N$2000, MATCH($C201, VAV_Schedule_5_21[[#All],[UNIT TAG]], FALSE), 7)="-", 0, INDEX(Schedule!$A$1:$N$2000, MATCH($C201, VAV_Schedule_5_21[[#All],[UNIT TAG]], FALSE), 7))</f>
        <v>0</v>
      </c>
      <c r="AE201" t="str">
        <f>"B_01'" &amp; "Flr_0" &amp; INDEX(Joined!$A$3:$M$2000, MATCH($A201, Joined!$I$3:$I$2000, FALSE), 8)</f>
        <v>B_01'Flr_05</v>
      </c>
      <c r="AF201" t="str">
        <f>"R_" &amp; INDEX(Joined!$A$3:$M$2000, MATCH($A201, Joined!$I$3:$I$2000, FALSE), 7)</f>
        <v>R_VAV-5W-28</v>
      </c>
      <c r="AG201" t="str">
        <f>"B_01'" &amp; "Flr_0" &amp; INDEX(Joined!$A$3:$M$2000, MATCH($A201, Joined!$I$3:$I$2000, FALSE), 8)</f>
        <v>B_01'Flr_05</v>
      </c>
      <c r="AH201" t="str">
        <f>INDEX(Joined!$A$3:$M$2000, MATCH($A201, Joined!$I$3:$I$2000, FALSE), 7)</f>
        <v>VAV-5W-28</v>
      </c>
      <c r="AI201" t="s">
        <v>1488</v>
      </c>
    </row>
    <row r="202" spans="1:35" x14ac:dyDescent="0.2">
      <c r="A202" t="s">
        <v>586</v>
      </c>
      <c r="B202" t="str">
        <f>"B_01'" &amp; "Flr_0" &amp; INDEX(Joined!$A$3:$M$2000, MATCH($A202, Joined!$I$3:$I$2000, FALSE), 8)</f>
        <v>B_01'Flr_05</v>
      </c>
      <c r="C202" t="str">
        <f>INDEX(Joined!$A$3:$M$2000, MATCH($A202, Joined!$I$3:$I$2000, FALSE), 7)</f>
        <v>VAV-5W-29</v>
      </c>
      <c r="D202">
        <f>INDEX(Joined!$A$3:$M$2000, MATCH($A202, Joined!$I$3:$I$2000, FALSE), 5)</f>
        <v>151206</v>
      </c>
      <c r="E202" t="str">
        <f>INDEX(Joined!$A$3:$M$2000, MATCH($A202, Joined!$I$3:$I$2000, FALSE), 7)</f>
        <v>VAV-5W-29</v>
      </c>
      <c r="F202" t="s">
        <v>38</v>
      </c>
      <c r="G202" t="str">
        <f>INDEX(Schedule!$Q$2:$R$7, MATCH(ABT!$H202,Schedule!$Q$2:$Q$7, 0), 2)</f>
        <v>15006_ADXR_VAV_DXR2M10</v>
      </c>
      <c r="H202">
        <f>INDEX(Joined!$A$3:$M$2000, MATCH($A202, Joined!$I$3:$I$2000, FALSE), 6)</f>
        <v>15006</v>
      </c>
      <c r="I202" t="str">
        <f>INDEX(Joined!$A$3:$M$2000, MATCH($A202, Joined!$I$3:$I$2000, FALSE), 4)</f>
        <v>512</v>
      </c>
      <c r="J202" t="b">
        <v>0</v>
      </c>
      <c r="K202">
        <f>INDEX(Joined!$A$3:$M$2000, MATCH($A202, Joined!$I$3:$I$2000, FALSE), 3)</f>
        <v>6</v>
      </c>
      <c r="L202">
        <v>85</v>
      </c>
      <c r="M202">
        <v>38400</v>
      </c>
      <c r="N202" s="27">
        <f>PI()*(INDEX(Schedule!$A$1:$N$2000, MATCH($C202, VAV_Schedule_5_21[[#All],[UNIT TAG]], FALSE), 4)/2/12)^2</f>
        <v>0.54541539124822802</v>
      </c>
      <c r="O202" s="27">
        <f>INDEX(Schedule!$A$1:$N$2000, MATCH($C202, VAV_Schedule_5_21[[#All],[UNIT TAG]], FALSE), 4)</f>
        <v>10</v>
      </c>
      <c r="P202">
        <v>200.63</v>
      </c>
      <c r="Q202" s="27">
        <f>INDEX(Schedule!$A$1:$N$2000, MATCH($C202, VAV_Schedule_5_21[[#All],[UNIT TAG]], FALSE), 5)</f>
        <v>850</v>
      </c>
      <c r="R202" s="27">
        <f>INDEX(Schedule!$A$1:$N$2000, MATCH($C202, VAV_Schedule_5_21[[#All],[UNIT TAG]], FALSE), 6)</f>
        <v>170</v>
      </c>
      <c r="S202" s="27">
        <f>INDEX(Schedule!$A$1:$N$2000, MATCH($C202, VAV_Schedule_5_21[[#All],[UNIT TAG]], FALSE), 5)</f>
        <v>850</v>
      </c>
      <c r="T202" s="27">
        <f>INDEX(Schedule!$A$1:$N$2000, MATCH($C202, VAV_Schedule_5_21[[#All],[UNIT TAG]], FALSE), 6)</f>
        <v>170</v>
      </c>
      <c r="U202" s="27">
        <f>INDEX(Schedule!$A$1:$N$2000, MATCH($C202, VAV_Schedule_5_21[[#All],[UNIT TAG]], FALSE), 5)</f>
        <v>850</v>
      </c>
      <c r="V202" s="27">
        <f>INDEX(Schedule!$A$1:$N$2000, MATCH($C202, VAV_Schedule_5_21[[#All],[UNIT TAG]], FALSE), 6)</f>
        <v>170</v>
      </c>
      <c r="W202" s="27">
        <f>INDEX(Schedule!$A$1:$N$2000, MATCH($C202, VAV_Schedule_5_21[[#All],[UNIT TAG]], FALSE), 6)</f>
        <v>170</v>
      </c>
      <c r="X202" s="27">
        <f>INDEX(Schedule!$A$1:$N$2000, MATCH($C202, VAV_Schedule_5_21[[#All],[UNIT TAG]], FALSE), 6)</f>
        <v>170</v>
      </c>
      <c r="Y202" s="27">
        <f>INDEX(Schedule!$A$1:$N$2000, MATCH($C202, VAV_Schedule_5_21[[#All],[UNIT TAG]], FALSE), 6)</f>
        <v>170</v>
      </c>
      <c r="Z202" s="27">
        <f>INDEX(Schedule!$A$1:$N$2000, MATCH($C202, VAV_Schedule_5_21[[#All],[UNIT TAG]], FALSE), 6)</f>
        <v>170</v>
      </c>
      <c r="AA202" s="27">
        <v>1000</v>
      </c>
      <c r="AB202" s="27">
        <v>1100</v>
      </c>
      <c r="AC202">
        <v>1400</v>
      </c>
      <c r="AD202" s="29">
        <f>IF(INDEX(Schedule!$A$1:$N$2000, MATCH($C202, VAV_Schedule_5_21[[#All],[UNIT TAG]], FALSE), 7)="-", 0, INDEX(Schedule!$A$1:$N$2000, MATCH($C202, VAV_Schedule_5_21[[#All],[UNIT TAG]], FALSE), 7))</f>
        <v>0</v>
      </c>
      <c r="AE202" t="str">
        <f>"B_01'" &amp; "Flr_0" &amp; INDEX(Joined!$A$3:$M$2000, MATCH($A202, Joined!$I$3:$I$2000, FALSE), 8)</f>
        <v>B_01'Flr_05</v>
      </c>
      <c r="AF202" t="str">
        <f>"R_" &amp; INDEX(Joined!$A$3:$M$2000, MATCH($A202, Joined!$I$3:$I$2000, FALSE), 7)</f>
        <v>R_VAV-5W-29</v>
      </c>
      <c r="AG202" t="str">
        <f>"B_01'" &amp; "Flr_0" &amp; INDEX(Joined!$A$3:$M$2000, MATCH($A202, Joined!$I$3:$I$2000, FALSE), 8)</f>
        <v>B_01'Flr_05</v>
      </c>
      <c r="AH202" t="str">
        <f>INDEX(Joined!$A$3:$M$2000, MATCH($A202, Joined!$I$3:$I$2000, FALSE), 7)</f>
        <v>VAV-5W-29</v>
      </c>
      <c r="AI202" t="s">
        <v>1489</v>
      </c>
    </row>
    <row r="203" spans="1:35" x14ac:dyDescent="0.2">
      <c r="A203" t="s">
        <v>583</v>
      </c>
      <c r="B203" t="str">
        <f>"B_01'" &amp; "Flr_0" &amp; INDEX(Joined!$A$3:$M$2000, MATCH($A203, Joined!$I$3:$I$2000, FALSE), 8)</f>
        <v>B_01'Flr_05</v>
      </c>
      <c r="C203" t="str">
        <f>INDEX(Joined!$A$3:$M$2000, MATCH($A203, Joined!$I$3:$I$2000, FALSE), 7)</f>
        <v>VAV-5W-3</v>
      </c>
      <c r="D203">
        <f>INDEX(Joined!$A$3:$M$2000, MATCH($A203, Joined!$I$3:$I$2000, FALSE), 5)</f>
        <v>151203</v>
      </c>
      <c r="E203" t="str">
        <f>INDEX(Joined!$A$3:$M$2000, MATCH($A203, Joined!$I$3:$I$2000, FALSE), 7)</f>
        <v>VAV-5W-3</v>
      </c>
      <c r="F203" t="s">
        <v>38</v>
      </c>
      <c r="G203" t="str">
        <f>INDEX(Schedule!$Q$2:$R$7, MATCH(ABT!$H203,Schedule!$Q$2:$Q$7, 0), 2)</f>
        <v>15007_ADXR_VAV_DXR2M10</v>
      </c>
      <c r="H203">
        <f>INDEX(Joined!$A$3:$M$2000, MATCH($A203, Joined!$I$3:$I$2000, FALSE), 6)</f>
        <v>15007</v>
      </c>
      <c r="I203" t="str">
        <f>INDEX(Joined!$A$3:$M$2000, MATCH($A203, Joined!$I$3:$I$2000, FALSE), 4)</f>
        <v>512</v>
      </c>
      <c r="J203" t="b">
        <v>0</v>
      </c>
      <c r="K203">
        <f>INDEX(Joined!$A$3:$M$2000, MATCH($A203, Joined!$I$3:$I$2000, FALSE), 3)</f>
        <v>3</v>
      </c>
      <c r="L203">
        <v>85</v>
      </c>
      <c r="M203">
        <v>38400</v>
      </c>
      <c r="N203" s="27">
        <f>PI()*(INDEX(Schedule!$A$1:$N$2000, MATCH($C203, VAV_Schedule_5_21[[#All],[UNIT TAG]], FALSE), 4)/2/12)^2</f>
        <v>0.3490658503988659</v>
      </c>
      <c r="O203" s="27">
        <f>INDEX(Schedule!$A$1:$N$2000, MATCH($C203, VAV_Schedule_5_21[[#All],[UNIT TAG]], FALSE), 4)</f>
        <v>8</v>
      </c>
      <c r="P203">
        <v>201.63</v>
      </c>
      <c r="Q203" s="27">
        <f>INDEX(Schedule!$A$1:$N$2000, MATCH($C203, VAV_Schedule_5_21[[#All],[UNIT TAG]], FALSE), 5)</f>
        <v>510</v>
      </c>
      <c r="R203" s="27">
        <f>INDEX(Schedule!$A$1:$N$2000, MATCH($C203, VAV_Schedule_5_21[[#All],[UNIT TAG]], FALSE), 6)</f>
        <v>105</v>
      </c>
      <c r="S203" s="27">
        <f>INDEX(Schedule!$A$1:$N$2000, MATCH($C203, VAV_Schedule_5_21[[#All],[UNIT TAG]], FALSE), 5)</f>
        <v>510</v>
      </c>
      <c r="T203" s="27">
        <f>INDEX(Schedule!$A$1:$N$2000, MATCH($C203, VAV_Schedule_5_21[[#All],[UNIT TAG]], FALSE), 6)</f>
        <v>105</v>
      </c>
      <c r="U203" s="27">
        <f>INDEX(Schedule!$A$1:$N$2000, MATCH($C203, VAV_Schedule_5_21[[#All],[UNIT TAG]], FALSE), 5)</f>
        <v>510</v>
      </c>
      <c r="V203" s="27">
        <f>INDEX(Schedule!$A$1:$N$2000, MATCH($C203, VAV_Schedule_5_21[[#All],[UNIT TAG]], FALSE), 6)</f>
        <v>105</v>
      </c>
      <c r="W203" s="27">
        <f>INDEX(Schedule!$A$1:$N$2000, MATCH($C203, VAV_Schedule_5_21[[#All],[UNIT TAG]], FALSE), 6)</f>
        <v>105</v>
      </c>
      <c r="X203" s="27">
        <f>INDEX(Schedule!$A$1:$N$2000, MATCH($C203, VAV_Schedule_5_21[[#All],[UNIT TAG]], FALSE), 6)</f>
        <v>105</v>
      </c>
      <c r="Y203" s="27">
        <f>INDEX(Schedule!$A$1:$N$2000, MATCH($C203, VAV_Schedule_5_21[[#All],[UNIT TAG]], FALSE), 6)</f>
        <v>105</v>
      </c>
      <c r="Z203" s="27">
        <f>INDEX(Schedule!$A$1:$N$2000, MATCH($C203, VAV_Schedule_5_21[[#All],[UNIT TAG]], FALSE), 6)</f>
        <v>105</v>
      </c>
      <c r="AA203" s="27">
        <v>1000</v>
      </c>
      <c r="AB203" s="27">
        <v>1100</v>
      </c>
      <c r="AC203">
        <v>1400</v>
      </c>
      <c r="AD203" s="29" t="str">
        <f>IF(INDEX(Schedule!$A$1:$N$2000, MATCH($C203, VAV_Schedule_5_21[[#All],[UNIT TAG]], FALSE), 7)="-", 0, INDEX(Schedule!$A$1:$N$2000, MATCH($C203, VAV_Schedule_5_21[[#All],[UNIT TAG]], FALSE), 7))</f>
        <v>5</v>
      </c>
      <c r="AE203" t="str">
        <f>"B_01'" &amp; "Flr_0" &amp; INDEX(Joined!$A$3:$M$2000, MATCH($A203, Joined!$I$3:$I$2000, FALSE), 8)</f>
        <v>B_01'Flr_05</v>
      </c>
      <c r="AF203" t="str">
        <f>"R_" &amp; INDEX(Joined!$A$3:$M$2000, MATCH($A203, Joined!$I$3:$I$2000, FALSE), 7)</f>
        <v>R_VAV-5W-3</v>
      </c>
      <c r="AG203" t="str">
        <f>"B_01'" &amp; "Flr_0" &amp; INDEX(Joined!$A$3:$M$2000, MATCH($A203, Joined!$I$3:$I$2000, FALSE), 8)</f>
        <v>B_01'Flr_05</v>
      </c>
      <c r="AH203" t="str">
        <f>INDEX(Joined!$A$3:$M$2000, MATCH($A203, Joined!$I$3:$I$2000, FALSE), 7)</f>
        <v>VAV-5W-3</v>
      </c>
      <c r="AI203" t="s">
        <v>1490</v>
      </c>
    </row>
    <row r="204" spans="1:35" x14ac:dyDescent="0.2">
      <c r="A204" t="s">
        <v>587</v>
      </c>
      <c r="B204" t="str">
        <f>"B_01'" &amp; "Flr_0" &amp; INDEX(Joined!$A$3:$M$2000, MATCH($A204, Joined!$I$3:$I$2000, FALSE), 8)</f>
        <v>B_01'Flr_05</v>
      </c>
      <c r="C204" t="str">
        <f>INDEX(Joined!$A$3:$M$2000, MATCH($A204, Joined!$I$3:$I$2000, FALSE), 7)</f>
        <v>VAV-5W-30</v>
      </c>
      <c r="D204">
        <f>INDEX(Joined!$A$3:$M$2000, MATCH($A204, Joined!$I$3:$I$2000, FALSE), 5)</f>
        <v>151207</v>
      </c>
      <c r="E204" t="str">
        <f>INDEX(Joined!$A$3:$M$2000, MATCH($A204, Joined!$I$3:$I$2000, FALSE), 7)</f>
        <v>VAV-5W-30</v>
      </c>
      <c r="F204" t="s">
        <v>38</v>
      </c>
      <c r="G204" t="str">
        <f>INDEX(Schedule!$Q$2:$R$7, MATCH(ABT!$H204,Schedule!$Q$2:$Q$7, 0), 2)</f>
        <v>15006_ADXR_VAV_DXR2M10</v>
      </c>
      <c r="H204">
        <f>INDEX(Joined!$A$3:$M$2000, MATCH($A204, Joined!$I$3:$I$2000, FALSE), 6)</f>
        <v>15006</v>
      </c>
      <c r="I204" t="str">
        <f>INDEX(Joined!$A$3:$M$2000, MATCH($A204, Joined!$I$3:$I$2000, FALSE), 4)</f>
        <v>512</v>
      </c>
      <c r="J204" t="b">
        <v>0</v>
      </c>
      <c r="K204">
        <f>INDEX(Joined!$A$3:$M$2000, MATCH($A204, Joined!$I$3:$I$2000, FALSE), 3)</f>
        <v>7</v>
      </c>
      <c r="L204">
        <v>85</v>
      </c>
      <c r="M204">
        <v>38400</v>
      </c>
      <c r="N204" s="27">
        <f>PI()*(INDEX(Schedule!$A$1:$N$2000, MATCH($C204, VAV_Schedule_5_21[[#All],[UNIT TAG]], FALSE), 4)/2/12)^2</f>
        <v>0.78539816339744828</v>
      </c>
      <c r="O204" s="27">
        <f>INDEX(Schedule!$A$1:$N$2000, MATCH($C204, VAV_Schedule_5_21[[#All],[UNIT TAG]], FALSE), 4)</f>
        <v>12</v>
      </c>
      <c r="P204">
        <v>202.63</v>
      </c>
      <c r="Q204" s="27">
        <f>INDEX(Schedule!$A$1:$N$2000, MATCH($C204, VAV_Schedule_5_21[[#All],[UNIT TAG]], FALSE), 5)</f>
        <v>1580</v>
      </c>
      <c r="R204" s="27">
        <f>INDEX(Schedule!$A$1:$N$2000, MATCH($C204, VAV_Schedule_5_21[[#All],[UNIT TAG]], FALSE), 6)</f>
        <v>320</v>
      </c>
      <c r="S204" s="27">
        <f>INDEX(Schedule!$A$1:$N$2000, MATCH($C204, VAV_Schedule_5_21[[#All],[UNIT TAG]], FALSE), 5)</f>
        <v>1580</v>
      </c>
      <c r="T204" s="27">
        <f>INDEX(Schedule!$A$1:$N$2000, MATCH($C204, VAV_Schedule_5_21[[#All],[UNIT TAG]], FALSE), 6)</f>
        <v>320</v>
      </c>
      <c r="U204" s="27">
        <f>INDEX(Schedule!$A$1:$N$2000, MATCH($C204, VAV_Schedule_5_21[[#All],[UNIT TAG]], FALSE), 5)</f>
        <v>1580</v>
      </c>
      <c r="V204" s="27">
        <f>INDEX(Schedule!$A$1:$N$2000, MATCH($C204, VAV_Schedule_5_21[[#All],[UNIT TAG]], FALSE), 6)</f>
        <v>320</v>
      </c>
      <c r="W204" s="27">
        <f>INDEX(Schedule!$A$1:$N$2000, MATCH($C204, VAV_Schedule_5_21[[#All],[UNIT TAG]], FALSE), 6)</f>
        <v>320</v>
      </c>
      <c r="X204" s="27">
        <f>INDEX(Schedule!$A$1:$N$2000, MATCH($C204, VAV_Schedule_5_21[[#All],[UNIT TAG]], FALSE), 6)</f>
        <v>320</v>
      </c>
      <c r="Y204" s="27">
        <f>INDEX(Schedule!$A$1:$N$2000, MATCH($C204, VAV_Schedule_5_21[[#All],[UNIT TAG]], FALSE), 6)</f>
        <v>320</v>
      </c>
      <c r="Z204" s="27">
        <f>INDEX(Schedule!$A$1:$N$2000, MATCH($C204, VAV_Schedule_5_21[[#All],[UNIT TAG]], FALSE), 6)</f>
        <v>320</v>
      </c>
      <c r="AA204" s="27">
        <v>1000</v>
      </c>
      <c r="AB204" s="27">
        <v>1100</v>
      </c>
      <c r="AC204">
        <v>1400</v>
      </c>
      <c r="AD204" s="29">
        <f>IF(INDEX(Schedule!$A$1:$N$2000, MATCH($C204, VAV_Schedule_5_21[[#All],[UNIT TAG]], FALSE), 7)="-", 0, INDEX(Schedule!$A$1:$N$2000, MATCH($C204, VAV_Schedule_5_21[[#All],[UNIT TAG]], FALSE), 7))</f>
        <v>0</v>
      </c>
      <c r="AE204" t="str">
        <f>"B_01'" &amp; "Flr_0" &amp; INDEX(Joined!$A$3:$M$2000, MATCH($A204, Joined!$I$3:$I$2000, FALSE), 8)</f>
        <v>B_01'Flr_05</v>
      </c>
      <c r="AF204" t="str">
        <f>"R_" &amp; INDEX(Joined!$A$3:$M$2000, MATCH($A204, Joined!$I$3:$I$2000, FALSE), 7)</f>
        <v>R_VAV-5W-30</v>
      </c>
      <c r="AG204" t="str">
        <f>"B_01'" &amp; "Flr_0" &amp; INDEX(Joined!$A$3:$M$2000, MATCH($A204, Joined!$I$3:$I$2000, FALSE), 8)</f>
        <v>B_01'Flr_05</v>
      </c>
      <c r="AH204" t="str">
        <f>INDEX(Joined!$A$3:$M$2000, MATCH($A204, Joined!$I$3:$I$2000, FALSE), 7)</f>
        <v>VAV-5W-30</v>
      </c>
      <c r="AI204" t="s">
        <v>1491</v>
      </c>
    </row>
    <row r="205" spans="1:35" x14ac:dyDescent="0.2">
      <c r="A205" t="s">
        <v>588</v>
      </c>
      <c r="B205" t="str">
        <f>"B_01'" &amp; "Flr_0" &amp; INDEX(Joined!$A$3:$M$2000, MATCH($A205, Joined!$I$3:$I$2000, FALSE), 8)</f>
        <v>B_01'Flr_05</v>
      </c>
      <c r="C205" t="str">
        <f>INDEX(Joined!$A$3:$M$2000, MATCH($A205, Joined!$I$3:$I$2000, FALSE), 7)</f>
        <v>VAV-5W-31</v>
      </c>
      <c r="D205">
        <f>INDEX(Joined!$A$3:$M$2000, MATCH($A205, Joined!$I$3:$I$2000, FALSE), 5)</f>
        <v>151208</v>
      </c>
      <c r="E205" t="str">
        <f>INDEX(Joined!$A$3:$M$2000, MATCH($A205, Joined!$I$3:$I$2000, FALSE), 7)</f>
        <v>VAV-5W-31</v>
      </c>
      <c r="F205" t="s">
        <v>38</v>
      </c>
      <c r="G205" t="str">
        <f>INDEX(Schedule!$Q$2:$R$7, MATCH(ABT!$H205,Schedule!$Q$2:$Q$7, 0), 2)</f>
        <v>15007_ADXR_VAV_DXR2M10</v>
      </c>
      <c r="H205">
        <f>INDEX(Joined!$A$3:$M$2000, MATCH($A205, Joined!$I$3:$I$2000, FALSE), 6)</f>
        <v>15007</v>
      </c>
      <c r="I205" t="str">
        <f>INDEX(Joined!$A$3:$M$2000, MATCH($A205, Joined!$I$3:$I$2000, FALSE), 4)</f>
        <v>512</v>
      </c>
      <c r="J205" t="b">
        <v>0</v>
      </c>
      <c r="K205">
        <f>INDEX(Joined!$A$3:$M$2000, MATCH($A205, Joined!$I$3:$I$2000, FALSE), 3)</f>
        <v>8</v>
      </c>
      <c r="L205">
        <v>85</v>
      </c>
      <c r="M205">
        <v>38400</v>
      </c>
      <c r="N205" s="27">
        <f>PI()*(INDEX(Schedule!$A$1:$N$2000, MATCH($C205, VAV_Schedule_5_21[[#All],[UNIT TAG]], FALSE), 4)/2/12)^2</f>
        <v>0.54541539124822802</v>
      </c>
      <c r="O205" s="27">
        <f>INDEX(Schedule!$A$1:$N$2000, MATCH($C205, VAV_Schedule_5_21[[#All],[UNIT TAG]], FALSE), 4)</f>
        <v>10</v>
      </c>
      <c r="P205">
        <v>203.63</v>
      </c>
      <c r="Q205" s="27">
        <f>INDEX(Schedule!$A$1:$N$2000, MATCH($C205, VAV_Schedule_5_21[[#All],[UNIT TAG]], FALSE), 5)</f>
        <v>800</v>
      </c>
      <c r="R205" s="27">
        <f>INDEX(Schedule!$A$1:$N$2000, MATCH($C205, VAV_Schedule_5_21[[#All],[UNIT TAG]], FALSE), 6)</f>
        <v>160</v>
      </c>
      <c r="S205" s="27">
        <f>INDEX(Schedule!$A$1:$N$2000, MATCH($C205, VAV_Schedule_5_21[[#All],[UNIT TAG]], FALSE), 5)</f>
        <v>800</v>
      </c>
      <c r="T205" s="27">
        <f>INDEX(Schedule!$A$1:$N$2000, MATCH($C205, VAV_Schedule_5_21[[#All],[UNIT TAG]], FALSE), 6)</f>
        <v>160</v>
      </c>
      <c r="U205" s="27">
        <f>INDEX(Schedule!$A$1:$N$2000, MATCH($C205, VAV_Schedule_5_21[[#All],[UNIT TAG]], FALSE), 5)</f>
        <v>800</v>
      </c>
      <c r="V205" s="27">
        <f>INDEX(Schedule!$A$1:$N$2000, MATCH($C205, VAV_Schedule_5_21[[#All],[UNIT TAG]], FALSE), 6)</f>
        <v>160</v>
      </c>
      <c r="W205" s="27">
        <f>INDEX(Schedule!$A$1:$N$2000, MATCH($C205, VAV_Schedule_5_21[[#All],[UNIT TAG]], FALSE), 6)</f>
        <v>160</v>
      </c>
      <c r="X205" s="27">
        <f>INDEX(Schedule!$A$1:$N$2000, MATCH($C205, VAV_Schedule_5_21[[#All],[UNIT TAG]], FALSE), 6)</f>
        <v>160</v>
      </c>
      <c r="Y205" s="27">
        <f>INDEX(Schedule!$A$1:$N$2000, MATCH($C205, VAV_Schedule_5_21[[#All],[UNIT TAG]], FALSE), 6)</f>
        <v>160</v>
      </c>
      <c r="Z205" s="27">
        <f>INDEX(Schedule!$A$1:$N$2000, MATCH($C205, VAV_Schedule_5_21[[#All],[UNIT TAG]], FALSE), 6)</f>
        <v>160</v>
      </c>
      <c r="AA205" s="27">
        <v>1000</v>
      </c>
      <c r="AB205" s="27">
        <v>1100</v>
      </c>
      <c r="AC205">
        <v>1400</v>
      </c>
      <c r="AD205" s="29" t="str">
        <f>IF(INDEX(Schedule!$A$1:$N$2000, MATCH($C205, VAV_Schedule_5_21[[#All],[UNIT TAG]], FALSE), 7)="-", 0, INDEX(Schedule!$A$1:$N$2000, MATCH($C205, VAV_Schedule_5_21[[#All],[UNIT TAG]], FALSE), 7))</f>
        <v>8</v>
      </c>
      <c r="AE205" t="str">
        <f>"B_01'" &amp; "Flr_0" &amp; INDEX(Joined!$A$3:$M$2000, MATCH($A205, Joined!$I$3:$I$2000, FALSE), 8)</f>
        <v>B_01'Flr_05</v>
      </c>
      <c r="AF205" t="str">
        <f>"R_" &amp; INDEX(Joined!$A$3:$M$2000, MATCH($A205, Joined!$I$3:$I$2000, FALSE), 7)</f>
        <v>R_VAV-5W-31</v>
      </c>
      <c r="AG205" t="str">
        <f>"B_01'" &amp; "Flr_0" &amp; INDEX(Joined!$A$3:$M$2000, MATCH($A205, Joined!$I$3:$I$2000, FALSE), 8)</f>
        <v>B_01'Flr_05</v>
      </c>
      <c r="AH205" t="str">
        <f>INDEX(Joined!$A$3:$M$2000, MATCH($A205, Joined!$I$3:$I$2000, FALSE), 7)</f>
        <v>VAV-5W-31</v>
      </c>
      <c r="AI205" t="s">
        <v>1492</v>
      </c>
    </row>
    <row r="206" spans="1:35" x14ac:dyDescent="0.2">
      <c r="A206" t="s">
        <v>589</v>
      </c>
      <c r="B206" t="str">
        <f>"B_01'" &amp; "Flr_0" &amp; INDEX(Joined!$A$3:$M$2000, MATCH($A206, Joined!$I$3:$I$2000, FALSE), 8)</f>
        <v>B_01'Flr_05</v>
      </c>
      <c r="C206" t="str">
        <f>INDEX(Joined!$A$3:$M$2000, MATCH($A206, Joined!$I$3:$I$2000, FALSE), 7)</f>
        <v>VAV-5W-32</v>
      </c>
      <c r="D206">
        <f>INDEX(Joined!$A$3:$M$2000, MATCH($A206, Joined!$I$3:$I$2000, FALSE), 5)</f>
        <v>151209</v>
      </c>
      <c r="E206" t="str">
        <f>INDEX(Joined!$A$3:$M$2000, MATCH($A206, Joined!$I$3:$I$2000, FALSE), 7)</f>
        <v>VAV-5W-32</v>
      </c>
      <c r="F206" t="s">
        <v>38</v>
      </c>
      <c r="G206" t="str">
        <f>INDEX(Schedule!$Q$2:$R$7, MATCH(ABT!$H206,Schedule!$Q$2:$Q$7, 0), 2)</f>
        <v>15007_ADXR_VAV_DXR2M10</v>
      </c>
      <c r="H206">
        <f>INDEX(Joined!$A$3:$M$2000, MATCH($A206, Joined!$I$3:$I$2000, FALSE), 6)</f>
        <v>15007</v>
      </c>
      <c r="I206" t="str">
        <f>INDEX(Joined!$A$3:$M$2000, MATCH($A206, Joined!$I$3:$I$2000, FALSE), 4)</f>
        <v>512</v>
      </c>
      <c r="J206" t="b">
        <v>0</v>
      </c>
      <c r="K206">
        <f>INDEX(Joined!$A$3:$M$2000, MATCH($A206, Joined!$I$3:$I$2000, FALSE), 3)</f>
        <v>9</v>
      </c>
      <c r="L206">
        <v>85</v>
      </c>
      <c r="M206">
        <v>38400</v>
      </c>
      <c r="N206" s="27">
        <f>PI()*(INDEX(Schedule!$A$1:$N$2000, MATCH($C206, VAV_Schedule_5_21[[#All],[UNIT TAG]], FALSE), 4)/2/12)^2</f>
        <v>0.3490658503988659</v>
      </c>
      <c r="O206" s="27">
        <f>INDEX(Schedule!$A$1:$N$2000, MATCH($C206, VAV_Schedule_5_21[[#All],[UNIT TAG]], FALSE), 4)</f>
        <v>8</v>
      </c>
      <c r="P206">
        <v>204.63</v>
      </c>
      <c r="Q206" s="27">
        <f>INDEX(Schedule!$A$1:$N$2000, MATCH($C206, VAV_Schedule_5_21[[#All],[UNIT TAG]], FALSE), 5)</f>
        <v>640</v>
      </c>
      <c r="R206" s="27">
        <f>INDEX(Schedule!$A$1:$N$2000, MATCH($C206, VAV_Schedule_5_21[[#All],[UNIT TAG]], FALSE), 6)</f>
        <v>130</v>
      </c>
      <c r="S206" s="27">
        <f>INDEX(Schedule!$A$1:$N$2000, MATCH($C206, VAV_Schedule_5_21[[#All],[UNIT TAG]], FALSE), 5)</f>
        <v>640</v>
      </c>
      <c r="T206" s="27">
        <f>INDEX(Schedule!$A$1:$N$2000, MATCH($C206, VAV_Schedule_5_21[[#All],[UNIT TAG]], FALSE), 6)</f>
        <v>130</v>
      </c>
      <c r="U206" s="27">
        <f>INDEX(Schedule!$A$1:$N$2000, MATCH($C206, VAV_Schedule_5_21[[#All],[UNIT TAG]], FALSE), 5)</f>
        <v>640</v>
      </c>
      <c r="V206" s="27">
        <f>INDEX(Schedule!$A$1:$N$2000, MATCH($C206, VAV_Schedule_5_21[[#All],[UNIT TAG]], FALSE), 6)</f>
        <v>130</v>
      </c>
      <c r="W206" s="27">
        <f>INDEX(Schedule!$A$1:$N$2000, MATCH($C206, VAV_Schedule_5_21[[#All],[UNIT TAG]], FALSE), 6)</f>
        <v>130</v>
      </c>
      <c r="X206" s="27">
        <f>INDEX(Schedule!$A$1:$N$2000, MATCH($C206, VAV_Schedule_5_21[[#All],[UNIT TAG]], FALSE), 6)</f>
        <v>130</v>
      </c>
      <c r="Y206" s="27">
        <f>INDEX(Schedule!$A$1:$N$2000, MATCH($C206, VAV_Schedule_5_21[[#All],[UNIT TAG]], FALSE), 6)</f>
        <v>130</v>
      </c>
      <c r="Z206" s="27">
        <f>INDEX(Schedule!$A$1:$N$2000, MATCH($C206, VAV_Schedule_5_21[[#All],[UNIT TAG]], FALSE), 6)</f>
        <v>130</v>
      </c>
      <c r="AA206" s="27">
        <v>1000</v>
      </c>
      <c r="AB206" s="27">
        <v>1100</v>
      </c>
      <c r="AC206">
        <v>1400</v>
      </c>
      <c r="AD206" s="29" t="str">
        <f>IF(INDEX(Schedule!$A$1:$N$2000, MATCH($C206, VAV_Schedule_5_21[[#All],[UNIT TAG]], FALSE), 7)="-", 0, INDEX(Schedule!$A$1:$N$2000, MATCH($C206, VAV_Schedule_5_21[[#All],[UNIT TAG]], FALSE), 7))</f>
        <v>6</v>
      </c>
      <c r="AE206" t="str">
        <f>"B_01'" &amp; "Flr_0" &amp; INDEX(Joined!$A$3:$M$2000, MATCH($A206, Joined!$I$3:$I$2000, FALSE), 8)</f>
        <v>B_01'Flr_05</v>
      </c>
      <c r="AF206" t="str">
        <f>"R_" &amp; INDEX(Joined!$A$3:$M$2000, MATCH($A206, Joined!$I$3:$I$2000, FALSE), 7)</f>
        <v>R_VAV-5W-32</v>
      </c>
      <c r="AG206" t="str">
        <f>"B_01'" &amp; "Flr_0" &amp; INDEX(Joined!$A$3:$M$2000, MATCH($A206, Joined!$I$3:$I$2000, FALSE), 8)</f>
        <v>B_01'Flr_05</v>
      </c>
      <c r="AH206" t="str">
        <f>INDEX(Joined!$A$3:$M$2000, MATCH($A206, Joined!$I$3:$I$2000, FALSE), 7)</f>
        <v>VAV-5W-32</v>
      </c>
      <c r="AI206" t="s">
        <v>1493</v>
      </c>
    </row>
    <row r="207" spans="1:35" x14ac:dyDescent="0.2">
      <c r="A207" t="s">
        <v>590</v>
      </c>
      <c r="B207" t="str">
        <f>"B_01'" &amp; "Flr_0" &amp; INDEX(Joined!$A$3:$M$2000, MATCH($A207, Joined!$I$3:$I$2000, FALSE), 8)</f>
        <v>B_01'Flr_05</v>
      </c>
      <c r="C207" t="str">
        <f>INDEX(Joined!$A$3:$M$2000, MATCH($A207, Joined!$I$3:$I$2000, FALSE), 7)</f>
        <v>VAV-5W-33</v>
      </c>
      <c r="D207">
        <f>INDEX(Joined!$A$3:$M$2000, MATCH($A207, Joined!$I$3:$I$2000, FALSE), 5)</f>
        <v>151210</v>
      </c>
      <c r="E207" t="str">
        <f>INDEX(Joined!$A$3:$M$2000, MATCH($A207, Joined!$I$3:$I$2000, FALSE), 7)</f>
        <v>VAV-5W-33</v>
      </c>
      <c r="F207" t="s">
        <v>38</v>
      </c>
      <c r="G207" t="str">
        <f>INDEX(Schedule!$Q$2:$R$7, MATCH(ABT!$H207,Schedule!$Q$2:$Q$7, 0), 2)</f>
        <v>15007_ADXR_VAV_DXR2M10</v>
      </c>
      <c r="H207">
        <f>INDEX(Joined!$A$3:$M$2000, MATCH($A207, Joined!$I$3:$I$2000, FALSE), 6)</f>
        <v>15007</v>
      </c>
      <c r="I207" t="str">
        <f>INDEX(Joined!$A$3:$M$2000, MATCH($A207, Joined!$I$3:$I$2000, FALSE), 4)</f>
        <v>512</v>
      </c>
      <c r="J207" t="b">
        <v>0</v>
      </c>
      <c r="K207">
        <f>INDEX(Joined!$A$3:$M$2000, MATCH($A207, Joined!$I$3:$I$2000, FALSE), 3)</f>
        <v>10</v>
      </c>
      <c r="L207">
        <v>85</v>
      </c>
      <c r="M207">
        <v>38400</v>
      </c>
      <c r="N207" s="27">
        <f>PI()*(INDEX(Schedule!$A$1:$N$2000, MATCH($C207, VAV_Schedule_5_21[[#All],[UNIT TAG]], FALSE), 4)/2/12)^2</f>
        <v>0.54541539124822802</v>
      </c>
      <c r="O207" s="27">
        <f>INDEX(Schedule!$A$1:$N$2000, MATCH($C207, VAV_Schedule_5_21[[#All],[UNIT TAG]], FALSE), 4)</f>
        <v>10</v>
      </c>
      <c r="P207">
        <v>205.63</v>
      </c>
      <c r="Q207" s="27">
        <f>INDEX(Schedule!$A$1:$N$2000, MATCH($C207, VAV_Schedule_5_21[[#All],[UNIT TAG]], FALSE), 5)</f>
        <v>925</v>
      </c>
      <c r="R207" s="27">
        <f>INDEX(Schedule!$A$1:$N$2000, MATCH($C207, VAV_Schedule_5_21[[#All],[UNIT TAG]], FALSE), 6)</f>
        <v>185</v>
      </c>
      <c r="S207" s="27">
        <f>INDEX(Schedule!$A$1:$N$2000, MATCH($C207, VAV_Schedule_5_21[[#All],[UNIT TAG]], FALSE), 5)</f>
        <v>925</v>
      </c>
      <c r="T207" s="27">
        <f>INDEX(Schedule!$A$1:$N$2000, MATCH($C207, VAV_Schedule_5_21[[#All],[UNIT TAG]], FALSE), 6)</f>
        <v>185</v>
      </c>
      <c r="U207" s="27">
        <f>INDEX(Schedule!$A$1:$N$2000, MATCH($C207, VAV_Schedule_5_21[[#All],[UNIT TAG]], FALSE), 5)</f>
        <v>925</v>
      </c>
      <c r="V207" s="27">
        <f>INDEX(Schedule!$A$1:$N$2000, MATCH($C207, VAV_Schedule_5_21[[#All],[UNIT TAG]], FALSE), 6)</f>
        <v>185</v>
      </c>
      <c r="W207" s="27">
        <f>INDEX(Schedule!$A$1:$N$2000, MATCH($C207, VAV_Schedule_5_21[[#All],[UNIT TAG]], FALSE), 6)</f>
        <v>185</v>
      </c>
      <c r="X207" s="27">
        <f>INDEX(Schedule!$A$1:$N$2000, MATCH($C207, VAV_Schedule_5_21[[#All],[UNIT TAG]], FALSE), 6)</f>
        <v>185</v>
      </c>
      <c r="Y207" s="27">
        <f>INDEX(Schedule!$A$1:$N$2000, MATCH($C207, VAV_Schedule_5_21[[#All],[UNIT TAG]], FALSE), 6)</f>
        <v>185</v>
      </c>
      <c r="Z207" s="27">
        <f>INDEX(Schedule!$A$1:$N$2000, MATCH($C207, VAV_Schedule_5_21[[#All],[UNIT TAG]], FALSE), 6)</f>
        <v>185</v>
      </c>
      <c r="AA207" s="27">
        <v>1000</v>
      </c>
      <c r="AB207" s="27">
        <v>1100</v>
      </c>
      <c r="AC207">
        <v>1400</v>
      </c>
      <c r="AD207" s="29" t="str">
        <f>IF(INDEX(Schedule!$A$1:$N$2000, MATCH($C207, VAV_Schedule_5_21[[#All],[UNIT TAG]], FALSE), 7)="-", 0, INDEX(Schedule!$A$1:$N$2000, MATCH($C207, VAV_Schedule_5_21[[#All],[UNIT TAG]], FALSE), 7))</f>
        <v>6</v>
      </c>
      <c r="AE207" t="str">
        <f>"B_01'" &amp; "Flr_0" &amp; INDEX(Joined!$A$3:$M$2000, MATCH($A207, Joined!$I$3:$I$2000, FALSE), 8)</f>
        <v>B_01'Flr_05</v>
      </c>
      <c r="AF207" t="str">
        <f>"R_" &amp; INDEX(Joined!$A$3:$M$2000, MATCH($A207, Joined!$I$3:$I$2000, FALSE), 7)</f>
        <v>R_VAV-5W-33</v>
      </c>
      <c r="AG207" t="str">
        <f>"B_01'" &amp; "Flr_0" &amp; INDEX(Joined!$A$3:$M$2000, MATCH($A207, Joined!$I$3:$I$2000, FALSE), 8)</f>
        <v>B_01'Flr_05</v>
      </c>
      <c r="AH207" t="str">
        <f>INDEX(Joined!$A$3:$M$2000, MATCH($A207, Joined!$I$3:$I$2000, FALSE), 7)</f>
        <v>VAV-5W-33</v>
      </c>
      <c r="AI207" t="s">
        <v>1494</v>
      </c>
    </row>
    <row r="208" spans="1:35" x14ac:dyDescent="0.2">
      <c r="A208" t="s">
        <v>591</v>
      </c>
      <c r="B208" t="str">
        <f>"B_01'" &amp; "Flr_0" &amp; INDEX(Joined!$A$3:$M$2000, MATCH($A208, Joined!$I$3:$I$2000, FALSE), 8)</f>
        <v>B_01'Flr_05</v>
      </c>
      <c r="C208" t="str">
        <f>INDEX(Joined!$A$3:$M$2000, MATCH($A208, Joined!$I$3:$I$2000, FALSE), 7)</f>
        <v>VAV-5W-34</v>
      </c>
      <c r="D208">
        <f>INDEX(Joined!$A$3:$M$2000, MATCH($A208, Joined!$I$3:$I$2000, FALSE), 5)</f>
        <v>151211</v>
      </c>
      <c r="E208" t="str">
        <f>INDEX(Joined!$A$3:$M$2000, MATCH($A208, Joined!$I$3:$I$2000, FALSE), 7)</f>
        <v>VAV-5W-34</v>
      </c>
      <c r="F208" t="s">
        <v>38</v>
      </c>
      <c r="G208" t="str">
        <f>INDEX(Schedule!$Q$2:$R$7, MATCH(ABT!$H208,Schedule!$Q$2:$Q$7, 0), 2)</f>
        <v>15007_ADXR_VAV_DXR2M10</v>
      </c>
      <c r="H208">
        <f>INDEX(Joined!$A$3:$M$2000, MATCH($A208, Joined!$I$3:$I$2000, FALSE), 6)</f>
        <v>15007</v>
      </c>
      <c r="I208" t="str">
        <f>INDEX(Joined!$A$3:$M$2000, MATCH($A208, Joined!$I$3:$I$2000, FALSE), 4)</f>
        <v>512</v>
      </c>
      <c r="J208" t="b">
        <v>0</v>
      </c>
      <c r="K208">
        <f>INDEX(Joined!$A$3:$M$2000, MATCH($A208, Joined!$I$3:$I$2000, FALSE), 3)</f>
        <v>11</v>
      </c>
      <c r="L208">
        <v>85</v>
      </c>
      <c r="M208">
        <v>38400</v>
      </c>
      <c r="N208" s="27">
        <f>PI()*(INDEX(Schedule!$A$1:$N$2000, MATCH($C208, VAV_Schedule_5_21[[#All],[UNIT TAG]], FALSE), 4)/2/12)^2</f>
        <v>0.3490658503988659</v>
      </c>
      <c r="O208" s="27">
        <f>INDEX(Schedule!$A$1:$N$2000, MATCH($C208, VAV_Schedule_5_21[[#All],[UNIT TAG]], FALSE), 4)</f>
        <v>8</v>
      </c>
      <c r="P208">
        <v>206.63</v>
      </c>
      <c r="Q208" s="27">
        <f>INDEX(Schedule!$A$1:$N$2000, MATCH($C208, VAV_Schedule_5_21[[#All],[UNIT TAG]], FALSE), 5)</f>
        <v>705</v>
      </c>
      <c r="R208" s="27">
        <f>INDEX(Schedule!$A$1:$N$2000, MATCH($C208, VAV_Schedule_5_21[[#All],[UNIT TAG]], FALSE), 6)</f>
        <v>145</v>
      </c>
      <c r="S208" s="27">
        <f>INDEX(Schedule!$A$1:$N$2000, MATCH($C208, VAV_Schedule_5_21[[#All],[UNIT TAG]], FALSE), 5)</f>
        <v>705</v>
      </c>
      <c r="T208" s="27">
        <f>INDEX(Schedule!$A$1:$N$2000, MATCH($C208, VAV_Schedule_5_21[[#All],[UNIT TAG]], FALSE), 6)</f>
        <v>145</v>
      </c>
      <c r="U208" s="27">
        <f>INDEX(Schedule!$A$1:$N$2000, MATCH($C208, VAV_Schedule_5_21[[#All],[UNIT TAG]], FALSE), 5)</f>
        <v>705</v>
      </c>
      <c r="V208" s="27">
        <f>INDEX(Schedule!$A$1:$N$2000, MATCH($C208, VAV_Schedule_5_21[[#All],[UNIT TAG]], FALSE), 6)</f>
        <v>145</v>
      </c>
      <c r="W208" s="27">
        <f>INDEX(Schedule!$A$1:$N$2000, MATCH($C208, VAV_Schedule_5_21[[#All],[UNIT TAG]], FALSE), 6)</f>
        <v>145</v>
      </c>
      <c r="X208" s="27">
        <f>INDEX(Schedule!$A$1:$N$2000, MATCH($C208, VAV_Schedule_5_21[[#All],[UNIT TAG]], FALSE), 6)</f>
        <v>145</v>
      </c>
      <c r="Y208" s="27">
        <f>INDEX(Schedule!$A$1:$N$2000, MATCH($C208, VAV_Schedule_5_21[[#All],[UNIT TAG]], FALSE), 6)</f>
        <v>145</v>
      </c>
      <c r="Z208" s="27">
        <f>INDEX(Schedule!$A$1:$N$2000, MATCH($C208, VAV_Schedule_5_21[[#All],[UNIT TAG]], FALSE), 6)</f>
        <v>145</v>
      </c>
      <c r="AA208" s="27">
        <v>1000</v>
      </c>
      <c r="AB208" s="27">
        <v>1100</v>
      </c>
      <c r="AC208">
        <v>1400</v>
      </c>
      <c r="AD208" s="29" t="str">
        <f>IF(INDEX(Schedule!$A$1:$N$2000, MATCH($C208, VAV_Schedule_5_21[[#All],[UNIT TAG]], FALSE), 7)="-", 0, INDEX(Schedule!$A$1:$N$2000, MATCH($C208, VAV_Schedule_5_21[[#All],[UNIT TAG]], FALSE), 7))</f>
        <v>6</v>
      </c>
      <c r="AE208" t="str">
        <f>"B_01'" &amp; "Flr_0" &amp; INDEX(Joined!$A$3:$M$2000, MATCH($A208, Joined!$I$3:$I$2000, FALSE), 8)</f>
        <v>B_01'Flr_05</v>
      </c>
      <c r="AF208" t="str">
        <f>"R_" &amp; INDEX(Joined!$A$3:$M$2000, MATCH($A208, Joined!$I$3:$I$2000, FALSE), 7)</f>
        <v>R_VAV-5W-34</v>
      </c>
      <c r="AG208" t="str">
        <f>"B_01'" &amp; "Flr_0" &amp; INDEX(Joined!$A$3:$M$2000, MATCH($A208, Joined!$I$3:$I$2000, FALSE), 8)</f>
        <v>B_01'Flr_05</v>
      </c>
      <c r="AH208" t="str">
        <f>INDEX(Joined!$A$3:$M$2000, MATCH($A208, Joined!$I$3:$I$2000, FALSE), 7)</f>
        <v>VAV-5W-34</v>
      </c>
      <c r="AI208" t="s">
        <v>1495</v>
      </c>
    </row>
    <row r="209" spans="1:35" x14ac:dyDescent="0.2">
      <c r="A209" t="s">
        <v>592</v>
      </c>
      <c r="B209" t="str">
        <f>"B_01'" &amp; "Flr_0" &amp; INDEX(Joined!$A$3:$M$2000, MATCH($A209, Joined!$I$3:$I$2000, FALSE), 8)</f>
        <v>B_01'Flr_05</v>
      </c>
      <c r="C209" t="str">
        <f>INDEX(Joined!$A$3:$M$2000, MATCH($A209, Joined!$I$3:$I$2000, FALSE), 7)</f>
        <v>VAV-5W-35</v>
      </c>
      <c r="D209">
        <f>INDEX(Joined!$A$3:$M$2000, MATCH($A209, Joined!$I$3:$I$2000, FALSE), 5)</f>
        <v>151212</v>
      </c>
      <c r="E209" t="str">
        <f>INDEX(Joined!$A$3:$M$2000, MATCH($A209, Joined!$I$3:$I$2000, FALSE), 7)</f>
        <v>VAV-5W-35</v>
      </c>
      <c r="F209" t="s">
        <v>38</v>
      </c>
      <c r="G209" t="str">
        <f>INDEX(Schedule!$Q$2:$R$7, MATCH(ABT!$H209,Schedule!$Q$2:$Q$7, 0), 2)</f>
        <v>15006_ADXR_VAV_DXR2M10</v>
      </c>
      <c r="H209">
        <f>INDEX(Joined!$A$3:$M$2000, MATCH($A209, Joined!$I$3:$I$2000, FALSE), 6)</f>
        <v>15006</v>
      </c>
      <c r="I209" t="str">
        <f>INDEX(Joined!$A$3:$M$2000, MATCH($A209, Joined!$I$3:$I$2000, FALSE), 4)</f>
        <v>512</v>
      </c>
      <c r="J209" t="b">
        <v>0</v>
      </c>
      <c r="K209">
        <f>INDEX(Joined!$A$3:$M$2000, MATCH($A209, Joined!$I$3:$I$2000, FALSE), 3)</f>
        <v>12</v>
      </c>
      <c r="L209">
        <v>85</v>
      </c>
      <c r="M209">
        <v>38400</v>
      </c>
      <c r="N209" s="27">
        <f>PI()*(INDEX(Schedule!$A$1:$N$2000, MATCH($C209, VAV_Schedule_5_21[[#All],[UNIT TAG]], FALSE), 4)/2/12)^2</f>
        <v>0.78539816339744828</v>
      </c>
      <c r="O209" s="27">
        <f>INDEX(Schedule!$A$1:$N$2000, MATCH($C209, VAV_Schedule_5_21[[#All],[UNIT TAG]], FALSE), 4)</f>
        <v>12</v>
      </c>
      <c r="P209">
        <v>207.63</v>
      </c>
      <c r="Q209" s="27">
        <f>INDEX(Schedule!$A$1:$N$2000, MATCH($C209, VAV_Schedule_5_21[[#All],[UNIT TAG]], FALSE), 5)</f>
        <v>1170</v>
      </c>
      <c r="R209" s="27">
        <f>INDEX(Schedule!$A$1:$N$2000, MATCH($C209, VAV_Schedule_5_21[[#All],[UNIT TAG]], FALSE), 6)</f>
        <v>235</v>
      </c>
      <c r="S209" s="27">
        <f>INDEX(Schedule!$A$1:$N$2000, MATCH($C209, VAV_Schedule_5_21[[#All],[UNIT TAG]], FALSE), 5)</f>
        <v>1170</v>
      </c>
      <c r="T209" s="27">
        <f>INDEX(Schedule!$A$1:$N$2000, MATCH($C209, VAV_Schedule_5_21[[#All],[UNIT TAG]], FALSE), 6)</f>
        <v>235</v>
      </c>
      <c r="U209" s="27">
        <f>INDEX(Schedule!$A$1:$N$2000, MATCH($C209, VAV_Schedule_5_21[[#All],[UNIT TAG]], FALSE), 5)</f>
        <v>1170</v>
      </c>
      <c r="V209" s="27">
        <f>INDEX(Schedule!$A$1:$N$2000, MATCH($C209, VAV_Schedule_5_21[[#All],[UNIT TAG]], FALSE), 6)</f>
        <v>235</v>
      </c>
      <c r="W209" s="27">
        <f>INDEX(Schedule!$A$1:$N$2000, MATCH($C209, VAV_Schedule_5_21[[#All],[UNIT TAG]], FALSE), 6)</f>
        <v>235</v>
      </c>
      <c r="X209" s="27">
        <f>INDEX(Schedule!$A$1:$N$2000, MATCH($C209, VAV_Schedule_5_21[[#All],[UNIT TAG]], FALSE), 6)</f>
        <v>235</v>
      </c>
      <c r="Y209" s="27">
        <f>INDEX(Schedule!$A$1:$N$2000, MATCH($C209, VAV_Schedule_5_21[[#All],[UNIT TAG]], FALSE), 6)</f>
        <v>235</v>
      </c>
      <c r="Z209" s="27">
        <f>INDEX(Schedule!$A$1:$N$2000, MATCH($C209, VAV_Schedule_5_21[[#All],[UNIT TAG]], FALSE), 6)</f>
        <v>235</v>
      </c>
      <c r="AA209" s="27">
        <v>1000</v>
      </c>
      <c r="AB209" s="27">
        <v>1100</v>
      </c>
      <c r="AC209">
        <v>1400</v>
      </c>
      <c r="AD209" s="29">
        <f>IF(INDEX(Schedule!$A$1:$N$2000, MATCH($C209, VAV_Schedule_5_21[[#All],[UNIT TAG]], FALSE), 7)="-", 0, INDEX(Schedule!$A$1:$N$2000, MATCH($C209, VAV_Schedule_5_21[[#All],[UNIT TAG]], FALSE), 7))</f>
        <v>0</v>
      </c>
      <c r="AE209" t="str">
        <f>"B_01'" &amp; "Flr_0" &amp; INDEX(Joined!$A$3:$M$2000, MATCH($A209, Joined!$I$3:$I$2000, FALSE), 8)</f>
        <v>B_01'Flr_05</v>
      </c>
      <c r="AF209" t="str">
        <f>"R_" &amp; INDEX(Joined!$A$3:$M$2000, MATCH($A209, Joined!$I$3:$I$2000, FALSE), 7)</f>
        <v>R_VAV-5W-35</v>
      </c>
      <c r="AG209" t="str">
        <f>"B_01'" &amp; "Flr_0" &amp; INDEX(Joined!$A$3:$M$2000, MATCH($A209, Joined!$I$3:$I$2000, FALSE), 8)</f>
        <v>B_01'Flr_05</v>
      </c>
      <c r="AH209" t="str">
        <f>INDEX(Joined!$A$3:$M$2000, MATCH($A209, Joined!$I$3:$I$2000, FALSE), 7)</f>
        <v>VAV-5W-35</v>
      </c>
      <c r="AI209" t="s">
        <v>1496</v>
      </c>
    </row>
    <row r="210" spans="1:35" x14ac:dyDescent="0.2">
      <c r="A210" t="s">
        <v>593</v>
      </c>
      <c r="B210" t="str">
        <f>"B_01'" &amp; "Flr_0" &amp; INDEX(Joined!$A$3:$M$2000, MATCH($A210, Joined!$I$3:$I$2000, FALSE), 8)</f>
        <v>B_01'Flr_05</v>
      </c>
      <c r="C210" t="str">
        <f>INDEX(Joined!$A$3:$M$2000, MATCH($A210, Joined!$I$3:$I$2000, FALSE), 7)</f>
        <v>VAV-5W-36</v>
      </c>
      <c r="D210">
        <f>INDEX(Joined!$A$3:$M$2000, MATCH($A210, Joined!$I$3:$I$2000, FALSE), 5)</f>
        <v>151213</v>
      </c>
      <c r="E210" t="str">
        <f>INDEX(Joined!$A$3:$M$2000, MATCH($A210, Joined!$I$3:$I$2000, FALSE), 7)</f>
        <v>VAV-5W-36</v>
      </c>
      <c r="F210" t="s">
        <v>38</v>
      </c>
      <c r="G210" t="str">
        <f>INDEX(Schedule!$Q$2:$R$7, MATCH(ABT!$H210,Schedule!$Q$2:$Q$7, 0), 2)</f>
        <v>15007_ADXR_VAV_DXR2M10</v>
      </c>
      <c r="H210">
        <f>INDEX(Joined!$A$3:$M$2000, MATCH($A210, Joined!$I$3:$I$2000, FALSE), 6)</f>
        <v>15007</v>
      </c>
      <c r="I210" t="str">
        <f>INDEX(Joined!$A$3:$M$2000, MATCH($A210, Joined!$I$3:$I$2000, FALSE), 4)</f>
        <v>512</v>
      </c>
      <c r="J210" t="b">
        <v>0</v>
      </c>
      <c r="K210">
        <f>INDEX(Joined!$A$3:$M$2000, MATCH($A210, Joined!$I$3:$I$2000, FALSE), 3)</f>
        <v>13</v>
      </c>
      <c r="L210">
        <v>85</v>
      </c>
      <c r="M210">
        <v>38400</v>
      </c>
      <c r="N210" s="27">
        <f>PI()*(INDEX(Schedule!$A$1:$N$2000, MATCH($C210, VAV_Schedule_5_21[[#All],[UNIT TAG]], FALSE), 4)/2/12)^2</f>
        <v>0.78539816339744828</v>
      </c>
      <c r="O210" s="27">
        <f>INDEX(Schedule!$A$1:$N$2000, MATCH($C210, VAV_Schedule_5_21[[#All],[UNIT TAG]], FALSE), 4)</f>
        <v>12</v>
      </c>
      <c r="P210">
        <v>208.63</v>
      </c>
      <c r="Q210" s="27">
        <f>INDEX(Schedule!$A$1:$N$2000, MATCH($C210, VAV_Schedule_5_21[[#All],[UNIT TAG]], FALSE), 5)</f>
        <v>1200</v>
      </c>
      <c r="R210" s="27">
        <f>INDEX(Schedule!$A$1:$N$2000, MATCH($C210, VAV_Schedule_5_21[[#All],[UNIT TAG]], FALSE), 6)</f>
        <v>240</v>
      </c>
      <c r="S210" s="27">
        <f>INDEX(Schedule!$A$1:$N$2000, MATCH($C210, VAV_Schedule_5_21[[#All],[UNIT TAG]], FALSE), 5)</f>
        <v>1200</v>
      </c>
      <c r="T210" s="27">
        <f>INDEX(Schedule!$A$1:$N$2000, MATCH($C210, VAV_Schedule_5_21[[#All],[UNIT TAG]], FALSE), 6)</f>
        <v>240</v>
      </c>
      <c r="U210" s="27">
        <f>INDEX(Schedule!$A$1:$N$2000, MATCH($C210, VAV_Schedule_5_21[[#All],[UNIT TAG]], FALSE), 5)</f>
        <v>1200</v>
      </c>
      <c r="V210" s="27">
        <f>INDEX(Schedule!$A$1:$N$2000, MATCH($C210, VAV_Schedule_5_21[[#All],[UNIT TAG]], FALSE), 6)</f>
        <v>240</v>
      </c>
      <c r="W210" s="27">
        <f>INDEX(Schedule!$A$1:$N$2000, MATCH($C210, VAV_Schedule_5_21[[#All],[UNIT TAG]], FALSE), 6)</f>
        <v>240</v>
      </c>
      <c r="X210" s="27">
        <f>INDEX(Schedule!$A$1:$N$2000, MATCH($C210, VAV_Schedule_5_21[[#All],[UNIT TAG]], FALSE), 6)</f>
        <v>240</v>
      </c>
      <c r="Y210" s="27">
        <f>INDEX(Schedule!$A$1:$N$2000, MATCH($C210, VAV_Schedule_5_21[[#All],[UNIT TAG]], FALSE), 6)</f>
        <v>240</v>
      </c>
      <c r="Z210" s="27">
        <f>INDEX(Schedule!$A$1:$N$2000, MATCH($C210, VAV_Schedule_5_21[[#All],[UNIT TAG]], FALSE), 6)</f>
        <v>240</v>
      </c>
      <c r="AA210" s="27">
        <v>1000</v>
      </c>
      <c r="AB210" s="27">
        <v>1100</v>
      </c>
      <c r="AC210">
        <v>1400</v>
      </c>
      <c r="AD210" s="29" t="str">
        <f>IF(INDEX(Schedule!$A$1:$N$2000, MATCH($C210, VAV_Schedule_5_21[[#All],[UNIT TAG]], FALSE), 7)="-", 0, INDEX(Schedule!$A$1:$N$2000, MATCH($C210, VAV_Schedule_5_21[[#All],[UNIT TAG]], FALSE), 7))</f>
        <v>7</v>
      </c>
      <c r="AE210" t="str">
        <f>"B_01'" &amp; "Flr_0" &amp; INDEX(Joined!$A$3:$M$2000, MATCH($A210, Joined!$I$3:$I$2000, FALSE), 8)</f>
        <v>B_01'Flr_05</v>
      </c>
      <c r="AF210" t="str">
        <f>"R_" &amp; INDEX(Joined!$A$3:$M$2000, MATCH($A210, Joined!$I$3:$I$2000, FALSE), 7)</f>
        <v>R_VAV-5W-36</v>
      </c>
      <c r="AG210" t="str">
        <f>"B_01'" &amp; "Flr_0" &amp; INDEX(Joined!$A$3:$M$2000, MATCH($A210, Joined!$I$3:$I$2000, FALSE), 8)</f>
        <v>B_01'Flr_05</v>
      </c>
      <c r="AH210" t="str">
        <f>INDEX(Joined!$A$3:$M$2000, MATCH($A210, Joined!$I$3:$I$2000, FALSE), 7)</f>
        <v>VAV-5W-36</v>
      </c>
      <c r="AI210" t="s">
        <v>1497</v>
      </c>
    </row>
    <row r="211" spans="1:35" x14ac:dyDescent="0.2">
      <c r="A211" t="s">
        <v>594</v>
      </c>
      <c r="B211" t="str">
        <f>"B_01'" &amp; "Flr_0" &amp; INDEX(Joined!$A$3:$M$2000, MATCH($A211, Joined!$I$3:$I$2000, FALSE), 8)</f>
        <v>B_01'Flr_05</v>
      </c>
      <c r="C211" t="str">
        <f>INDEX(Joined!$A$3:$M$2000, MATCH($A211, Joined!$I$3:$I$2000, FALSE), 7)</f>
        <v>VAV-5W-37</v>
      </c>
      <c r="D211">
        <f>INDEX(Joined!$A$3:$M$2000, MATCH($A211, Joined!$I$3:$I$2000, FALSE), 5)</f>
        <v>151214</v>
      </c>
      <c r="E211" t="str">
        <f>INDEX(Joined!$A$3:$M$2000, MATCH($A211, Joined!$I$3:$I$2000, FALSE), 7)</f>
        <v>VAV-5W-37</v>
      </c>
      <c r="F211" t="s">
        <v>38</v>
      </c>
      <c r="G211" t="str">
        <f>INDEX(Schedule!$Q$2:$R$7, MATCH(ABT!$H211,Schedule!$Q$2:$Q$7, 0), 2)</f>
        <v>15007_ADXR_VAV_DXR2M10</v>
      </c>
      <c r="H211">
        <f>INDEX(Joined!$A$3:$M$2000, MATCH($A211, Joined!$I$3:$I$2000, FALSE), 6)</f>
        <v>15007</v>
      </c>
      <c r="I211" t="str">
        <f>INDEX(Joined!$A$3:$M$2000, MATCH($A211, Joined!$I$3:$I$2000, FALSE), 4)</f>
        <v>512</v>
      </c>
      <c r="J211" t="b">
        <v>0</v>
      </c>
      <c r="K211">
        <f>INDEX(Joined!$A$3:$M$2000, MATCH($A211, Joined!$I$3:$I$2000, FALSE), 3)</f>
        <v>14</v>
      </c>
      <c r="L211">
        <v>85</v>
      </c>
      <c r="M211">
        <v>38400</v>
      </c>
      <c r="N211" s="27">
        <f>PI()*(INDEX(Schedule!$A$1:$N$2000, MATCH($C211, VAV_Schedule_5_21[[#All],[UNIT TAG]], FALSE), 4)/2/12)^2</f>
        <v>0.78539816339744828</v>
      </c>
      <c r="O211" s="27">
        <f>INDEX(Schedule!$A$1:$N$2000, MATCH($C211, VAV_Schedule_5_21[[#All],[UNIT TAG]], FALSE), 4)</f>
        <v>12</v>
      </c>
      <c r="P211">
        <v>209.63</v>
      </c>
      <c r="Q211" s="27">
        <f>INDEX(Schedule!$A$1:$N$2000, MATCH($C211, VAV_Schedule_5_21[[#All],[UNIT TAG]], FALSE), 5)</f>
        <v>1160</v>
      </c>
      <c r="R211" s="27">
        <f>INDEX(Schedule!$A$1:$N$2000, MATCH($C211, VAV_Schedule_5_21[[#All],[UNIT TAG]], FALSE), 6)</f>
        <v>235</v>
      </c>
      <c r="S211" s="27">
        <f>INDEX(Schedule!$A$1:$N$2000, MATCH($C211, VAV_Schedule_5_21[[#All],[UNIT TAG]], FALSE), 5)</f>
        <v>1160</v>
      </c>
      <c r="T211" s="27">
        <f>INDEX(Schedule!$A$1:$N$2000, MATCH($C211, VAV_Schedule_5_21[[#All],[UNIT TAG]], FALSE), 6)</f>
        <v>235</v>
      </c>
      <c r="U211" s="27">
        <f>INDEX(Schedule!$A$1:$N$2000, MATCH($C211, VAV_Schedule_5_21[[#All],[UNIT TAG]], FALSE), 5)</f>
        <v>1160</v>
      </c>
      <c r="V211" s="27">
        <f>INDEX(Schedule!$A$1:$N$2000, MATCH($C211, VAV_Schedule_5_21[[#All],[UNIT TAG]], FALSE), 6)</f>
        <v>235</v>
      </c>
      <c r="W211" s="27">
        <f>INDEX(Schedule!$A$1:$N$2000, MATCH($C211, VAV_Schedule_5_21[[#All],[UNIT TAG]], FALSE), 6)</f>
        <v>235</v>
      </c>
      <c r="X211" s="27">
        <f>INDEX(Schedule!$A$1:$N$2000, MATCH($C211, VAV_Schedule_5_21[[#All],[UNIT TAG]], FALSE), 6)</f>
        <v>235</v>
      </c>
      <c r="Y211" s="27">
        <f>INDEX(Schedule!$A$1:$N$2000, MATCH($C211, VAV_Schedule_5_21[[#All],[UNIT TAG]], FALSE), 6)</f>
        <v>235</v>
      </c>
      <c r="Z211" s="27">
        <f>INDEX(Schedule!$A$1:$N$2000, MATCH($C211, VAV_Schedule_5_21[[#All],[UNIT TAG]], FALSE), 6)</f>
        <v>235</v>
      </c>
      <c r="AA211" s="27">
        <v>1000</v>
      </c>
      <c r="AB211" s="27">
        <v>1100</v>
      </c>
      <c r="AC211">
        <v>1400</v>
      </c>
      <c r="AD211" s="29" t="str">
        <f>IF(INDEX(Schedule!$A$1:$N$2000, MATCH($C211, VAV_Schedule_5_21[[#All],[UNIT TAG]], FALSE), 7)="-", 0, INDEX(Schedule!$A$1:$N$2000, MATCH($C211, VAV_Schedule_5_21[[#All],[UNIT TAG]], FALSE), 7))</f>
        <v>6</v>
      </c>
      <c r="AE211" t="str">
        <f>"B_01'" &amp; "Flr_0" &amp; INDEX(Joined!$A$3:$M$2000, MATCH($A211, Joined!$I$3:$I$2000, FALSE), 8)</f>
        <v>B_01'Flr_05</v>
      </c>
      <c r="AF211" t="str">
        <f>"R_" &amp; INDEX(Joined!$A$3:$M$2000, MATCH($A211, Joined!$I$3:$I$2000, FALSE), 7)</f>
        <v>R_VAV-5W-37</v>
      </c>
      <c r="AG211" t="str">
        <f>"B_01'" &amp; "Flr_0" &amp; INDEX(Joined!$A$3:$M$2000, MATCH($A211, Joined!$I$3:$I$2000, FALSE), 8)</f>
        <v>B_01'Flr_05</v>
      </c>
      <c r="AH211" t="str">
        <f>INDEX(Joined!$A$3:$M$2000, MATCH($A211, Joined!$I$3:$I$2000, FALSE), 7)</f>
        <v>VAV-5W-37</v>
      </c>
      <c r="AI211" t="s">
        <v>1498</v>
      </c>
    </row>
    <row r="212" spans="1:35" x14ac:dyDescent="0.2">
      <c r="A212" t="s">
        <v>595</v>
      </c>
      <c r="B212" t="str">
        <f>"B_01'" &amp; "Flr_0" &amp; INDEX(Joined!$A$3:$M$2000, MATCH($A212, Joined!$I$3:$I$2000, FALSE), 8)</f>
        <v>B_01'Flr_05</v>
      </c>
      <c r="C212" t="str">
        <f>INDEX(Joined!$A$3:$M$2000, MATCH($A212, Joined!$I$3:$I$2000, FALSE), 7)</f>
        <v>VAV-5W-38</v>
      </c>
      <c r="D212">
        <f>INDEX(Joined!$A$3:$M$2000, MATCH($A212, Joined!$I$3:$I$2000, FALSE), 5)</f>
        <v>151215</v>
      </c>
      <c r="E212" t="str">
        <f>INDEX(Joined!$A$3:$M$2000, MATCH($A212, Joined!$I$3:$I$2000, FALSE), 7)</f>
        <v>VAV-5W-38</v>
      </c>
      <c r="F212" t="s">
        <v>38</v>
      </c>
      <c r="G212" t="str">
        <f>INDEX(Schedule!$Q$2:$R$7, MATCH(ABT!$H212,Schedule!$Q$2:$Q$7, 0), 2)</f>
        <v>15007_ADXR_VAV_DXR2M10</v>
      </c>
      <c r="H212">
        <f>INDEX(Joined!$A$3:$M$2000, MATCH($A212, Joined!$I$3:$I$2000, FALSE), 6)</f>
        <v>15007</v>
      </c>
      <c r="I212" t="str">
        <f>INDEX(Joined!$A$3:$M$2000, MATCH($A212, Joined!$I$3:$I$2000, FALSE), 4)</f>
        <v>512</v>
      </c>
      <c r="J212" t="b">
        <v>0</v>
      </c>
      <c r="K212">
        <f>INDEX(Joined!$A$3:$M$2000, MATCH($A212, Joined!$I$3:$I$2000, FALSE), 3)</f>
        <v>15</v>
      </c>
      <c r="L212">
        <v>85</v>
      </c>
      <c r="M212">
        <v>38400</v>
      </c>
      <c r="N212" s="27">
        <f>PI()*(INDEX(Schedule!$A$1:$N$2000, MATCH($C212, VAV_Schedule_5_21[[#All],[UNIT TAG]], FALSE), 4)/2/12)^2</f>
        <v>0.78539816339744828</v>
      </c>
      <c r="O212" s="27">
        <f>INDEX(Schedule!$A$1:$N$2000, MATCH($C212, VAV_Schedule_5_21[[#All],[UNIT TAG]], FALSE), 4)</f>
        <v>12</v>
      </c>
      <c r="P212">
        <v>210.63</v>
      </c>
      <c r="Q212" s="27">
        <f>INDEX(Schedule!$A$1:$N$2000, MATCH($C212, VAV_Schedule_5_21[[#All],[UNIT TAG]], FALSE), 5)</f>
        <v>1200</v>
      </c>
      <c r="R212" s="27">
        <f>INDEX(Schedule!$A$1:$N$2000, MATCH($C212, VAV_Schedule_5_21[[#All],[UNIT TAG]], FALSE), 6)</f>
        <v>240</v>
      </c>
      <c r="S212" s="27">
        <f>INDEX(Schedule!$A$1:$N$2000, MATCH($C212, VAV_Schedule_5_21[[#All],[UNIT TAG]], FALSE), 5)</f>
        <v>1200</v>
      </c>
      <c r="T212" s="27">
        <f>INDEX(Schedule!$A$1:$N$2000, MATCH($C212, VAV_Schedule_5_21[[#All],[UNIT TAG]], FALSE), 6)</f>
        <v>240</v>
      </c>
      <c r="U212" s="27">
        <f>INDEX(Schedule!$A$1:$N$2000, MATCH($C212, VAV_Schedule_5_21[[#All],[UNIT TAG]], FALSE), 5)</f>
        <v>1200</v>
      </c>
      <c r="V212" s="27">
        <f>INDEX(Schedule!$A$1:$N$2000, MATCH($C212, VAV_Schedule_5_21[[#All],[UNIT TAG]], FALSE), 6)</f>
        <v>240</v>
      </c>
      <c r="W212" s="27">
        <f>INDEX(Schedule!$A$1:$N$2000, MATCH($C212, VAV_Schedule_5_21[[#All],[UNIT TAG]], FALSE), 6)</f>
        <v>240</v>
      </c>
      <c r="X212" s="27">
        <f>INDEX(Schedule!$A$1:$N$2000, MATCH($C212, VAV_Schedule_5_21[[#All],[UNIT TAG]], FALSE), 6)</f>
        <v>240</v>
      </c>
      <c r="Y212" s="27">
        <f>INDEX(Schedule!$A$1:$N$2000, MATCH($C212, VAV_Schedule_5_21[[#All],[UNIT TAG]], FALSE), 6)</f>
        <v>240</v>
      </c>
      <c r="Z212" s="27">
        <f>INDEX(Schedule!$A$1:$N$2000, MATCH($C212, VAV_Schedule_5_21[[#All],[UNIT TAG]], FALSE), 6)</f>
        <v>240</v>
      </c>
      <c r="AA212" s="27">
        <v>1000</v>
      </c>
      <c r="AB212" s="27">
        <v>1100</v>
      </c>
      <c r="AC212">
        <v>1400</v>
      </c>
      <c r="AD212" s="29" t="str">
        <f>IF(INDEX(Schedule!$A$1:$N$2000, MATCH($C212, VAV_Schedule_5_21[[#All],[UNIT TAG]], FALSE), 7)="-", 0, INDEX(Schedule!$A$1:$N$2000, MATCH($C212, VAV_Schedule_5_21[[#All],[UNIT TAG]], FALSE), 7))</f>
        <v>7</v>
      </c>
      <c r="AE212" t="str">
        <f>"B_01'" &amp; "Flr_0" &amp; INDEX(Joined!$A$3:$M$2000, MATCH($A212, Joined!$I$3:$I$2000, FALSE), 8)</f>
        <v>B_01'Flr_05</v>
      </c>
      <c r="AF212" t="str">
        <f>"R_" &amp; INDEX(Joined!$A$3:$M$2000, MATCH($A212, Joined!$I$3:$I$2000, FALSE), 7)</f>
        <v>R_VAV-5W-38</v>
      </c>
      <c r="AG212" t="str">
        <f>"B_01'" &amp; "Flr_0" &amp; INDEX(Joined!$A$3:$M$2000, MATCH($A212, Joined!$I$3:$I$2000, FALSE), 8)</f>
        <v>B_01'Flr_05</v>
      </c>
      <c r="AH212" t="str">
        <f>INDEX(Joined!$A$3:$M$2000, MATCH($A212, Joined!$I$3:$I$2000, FALSE), 7)</f>
        <v>VAV-5W-38</v>
      </c>
      <c r="AI212" t="s">
        <v>1499</v>
      </c>
    </row>
    <row r="213" spans="1:35" x14ac:dyDescent="0.2">
      <c r="A213" t="s">
        <v>584</v>
      </c>
      <c r="B213" t="str">
        <f>"B_01'" &amp; "Flr_0" &amp; INDEX(Joined!$A$3:$M$2000, MATCH($A213, Joined!$I$3:$I$2000, FALSE), 8)</f>
        <v>B_01'Flr_05</v>
      </c>
      <c r="C213" t="str">
        <f>INDEX(Joined!$A$3:$M$2000, MATCH($A213, Joined!$I$3:$I$2000, FALSE), 7)</f>
        <v>VAV-5W-4</v>
      </c>
      <c r="D213">
        <f>INDEX(Joined!$A$3:$M$2000, MATCH($A213, Joined!$I$3:$I$2000, FALSE), 5)</f>
        <v>151204</v>
      </c>
      <c r="E213" t="str">
        <f>INDEX(Joined!$A$3:$M$2000, MATCH($A213, Joined!$I$3:$I$2000, FALSE), 7)</f>
        <v>VAV-5W-4</v>
      </c>
      <c r="F213" t="s">
        <v>38</v>
      </c>
      <c r="G213" t="str">
        <f>INDEX(Schedule!$Q$2:$R$7, MATCH(ABT!$H213,Schedule!$Q$2:$Q$7, 0), 2)</f>
        <v>15007_ADXR_VAV_DXR2M10</v>
      </c>
      <c r="H213">
        <f>INDEX(Joined!$A$3:$M$2000, MATCH($A213, Joined!$I$3:$I$2000, FALSE), 6)</f>
        <v>15007</v>
      </c>
      <c r="I213" t="str">
        <f>INDEX(Joined!$A$3:$M$2000, MATCH($A213, Joined!$I$3:$I$2000, FALSE), 4)</f>
        <v>512</v>
      </c>
      <c r="J213" t="b">
        <v>0</v>
      </c>
      <c r="K213">
        <f>INDEX(Joined!$A$3:$M$2000, MATCH($A213, Joined!$I$3:$I$2000, FALSE), 3)</f>
        <v>4</v>
      </c>
      <c r="L213">
        <v>85</v>
      </c>
      <c r="M213">
        <v>38400</v>
      </c>
      <c r="N213" s="27">
        <f>PI()*(INDEX(Schedule!$A$1:$N$2000, MATCH($C213, VAV_Schedule_5_21[[#All],[UNIT TAG]], FALSE), 4)/2/12)^2</f>
        <v>0.54541539124822802</v>
      </c>
      <c r="O213" s="27">
        <f>INDEX(Schedule!$A$1:$N$2000, MATCH($C213, VAV_Schedule_5_21[[#All],[UNIT TAG]], FALSE), 4)</f>
        <v>10</v>
      </c>
      <c r="P213">
        <v>211.63</v>
      </c>
      <c r="Q213" s="27">
        <f>INDEX(Schedule!$A$1:$N$2000, MATCH($C213, VAV_Schedule_5_21[[#All],[UNIT TAG]], FALSE), 5)</f>
        <v>980</v>
      </c>
      <c r="R213" s="27">
        <f>INDEX(Schedule!$A$1:$N$2000, MATCH($C213, VAV_Schedule_5_21[[#All],[UNIT TAG]], FALSE), 6)</f>
        <v>200</v>
      </c>
      <c r="S213" s="27">
        <f>INDEX(Schedule!$A$1:$N$2000, MATCH($C213, VAV_Schedule_5_21[[#All],[UNIT TAG]], FALSE), 5)</f>
        <v>980</v>
      </c>
      <c r="T213" s="27">
        <f>INDEX(Schedule!$A$1:$N$2000, MATCH($C213, VAV_Schedule_5_21[[#All],[UNIT TAG]], FALSE), 6)</f>
        <v>200</v>
      </c>
      <c r="U213" s="27">
        <f>INDEX(Schedule!$A$1:$N$2000, MATCH($C213, VAV_Schedule_5_21[[#All],[UNIT TAG]], FALSE), 5)</f>
        <v>980</v>
      </c>
      <c r="V213" s="27">
        <f>INDEX(Schedule!$A$1:$N$2000, MATCH($C213, VAV_Schedule_5_21[[#All],[UNIT TAG]], FALSE), 6)</f>
        <v>200</v>
      </c>
      <c r="W213" s="27">
        <f>INDEX(Schedule!$A$1:$N$2000, MATCH($C213, VAV_Schedule_5_21[[#All],[UNIT TAG]], FALSE), 6)</f>
        <v>200</v>
      </c>
      <c r="X213" s="27">
        <f>INDEX(Schedule!$A$1:$N$2000, MATCH($C213, VAV_Schedule_5_21[[#All],[UNIT TAG]], FALSE), 6)</f>
        <v>200</v>
      </c>
      <c r="Y213" s="27">
        <f>INDEX(Schedule!$A$1:$N$2000, MATCH($C213, VAV_Schedule_5_21[[#All],[UNIT TAG]], FALSE), 6)</f>
        <v>200</v>
      </c>
      <c r="Z213" s="27">
        <f>INDEX(Schedule!$A$1:$N$2000, MATCH($C213, VAV_Schedule_5_21[[#All],[UNIT TAG]], FALSE), 6)</f>
        <v>200</v>
      </c>
      <c r="AA213" s="27">
        <v>1000</v>
      </c>
      <c r="AB213" s="27">
        <v>1100</v>
      </c>
      <c r="AC213">
        <v>1400</v>
      </c>
      <c r="AD213" s="29" t="str">
        <f>IF(INDEX(Schedule!$A$1:$N$2000, MATCH($C213, VAV_Schedule_5_21[[#All],[UNIT TAG]], FALSE), 7)="-", 0, INDEX(Schedule!$A$1:$N$2000, MATCH($C213, VAV_Schedule_5_21[[#All],[UNIT TAG]], FALSE), 7))</f>
        <v>12</v>
      </c>
      <c r="AE213" t="str">
        <f>"B_01'" &amp; "Flr_0" &amp; INDEX(Joined!$A$3:$M$2000, MATCH($A213, Joined!$I$3:$I$2000, FALSE), 8)</f>
        <v>B_01'Flr_05</v>
      </c>
      <c r="AF213" t="str">
        <f>"R_" &amp; INDEX(Joined!$A$3:$M$2000, MATCH($A213, Joined!$I$3:$I$2000, FALSE), 7)</f>
        <v>R_VAV-5W-4</v>
      </c>
      <c r="AG213" t="str">
        <f>"B_01'" &amp; "Flr_0" &amp; INDEX(Joined!$A$3:$M$2000, MATCH($A213, Joined!$I$3:$I$2000, FALSE), 8)</f>
        <v>B_01'Flr_05</v>
      </c>
      <c r="AH213" t="str">
        <f>INDEX(Joined!$A$3:$M$2000, MATCH($A213, Joined!$I$3:$I$2000, FALSE), 7)</f>
        <v>VAV-5W-4</v>
      </c>
      <c r="AI213" t="s">
        <v>1500</v>
      </c>
    </row>
    <row r="214" spans="1:35" x14ac:dyDescent="0.2">
      <c r="A214" t="s">
        <v>714</v>
      </c>
      <c r="B214" t="str">
        <f>"B_01'" &amp; "Flr_0" &amp; INDEX(Joined!$A$3:$M$2000, MATCH($A214, Joined!$I$3:$I$2000, FALSE), 8)</f>
        <v>B_01'Flr_06</v>
      </c>
      <c r="C214" t="str">
        <f>INDEX(Joined!$A$3:$M$2000, MATCH($A214, Joined!$I$3:$I$2000, FALSE), 7)</f>
        <v>VAV-6E-12</v>
      </c>
      <c r="D214">
        <f>INDEX(Joined!$A$3:$M$2000, MATCH($A214, Joined!$I$3:$I$2000, FALSE), 5)</f>
        <v>151401</v>
      </c>
      <c r="E214" t="str">
        <f>INDEX(Joined!$A$3:$M$2000, MATCH($A214, Joined!$I$3:$I$2000, FALSE), 7)</f>
        <v>VAV-6E-12</v>
      </c>
      <c r="F214" t="s">
        <v>38</v>
      </c>
      <c r="G214" t="str">
        <f>INDEX(Schedule!$Q$2:$R$7, MATCH(ABT!$H214,Schedule!$Q$2:$Q$7, 0), 2)</f>
        <v>15011_DXR_VAV_DXR2M12</v>
      </c>
      <c r="H214">
        <f>INDEX(Joined!$A$3:$M$2000, MATCH($A214, Joined!$I$3:$I$2000, FALSE), 6)</f>
        <v>15011</v>
      </c>
      <c r="I214" t="str">
        <f>INDEX(Joined!$A$3:$M$2000, MATCH($A214, Joined!$I$3:$I$2000, FALSE), 4)</f>
        <v>514</v>
      </c>
      <c r="J214" t="b">
        <v>0</v>
      </c>
      <c r="K214">
        <f>INDEX(Joined!$A$3:$M$2000, MATCH($A214, Joined!$I$3:$I$2000, FALSE), 3)</f>
        <v>1</v>
      </c>
      <c r="L214">
        <v>85</v>
      </c>
      <c r="M214">
        <v>38400</v>
      </c>
      <c r="N214" s="27">
        <f>PI()*(INDEX(Schedule!$A$1:$N$2000, MATCH($C214, VAV_Schedule_5_21[[#All],[UNIT TAG]], FALSE), 4)/2/12)^2</f>
        <v>0.54541539124822802</v>
      </c>
      <c r="O214" s="27">
        <f>INDEX(Schedule!$A$1:$N$2000, MATCH($C214, VAV_Schedule_5_21[[#All],[UNIT TAG]], FALSE), 4)</f>
        <v>10</v>
      </c>
      <c r="P214">
        <v>212.63</v>
      </c>
      <c r="Q214" s="27">
        <f>INDEX(Schedule!$A$1:$N$2000, MATCH($C214, VAV_Schedule_5_21[[#All],[UNIT TAG]], FALSE), 5)</f>
        <v>840</v>
      </c>
      <c r="R214" s="27">
        <f>INDEX(Schedule!$A$1:$N$2000, MATCH($C214, VAV_Schedule_5_21[[#All],[UNIT TAG]], FALSE), 6)</f>
        <v>170</v>
      </c>
      <c r="S214" s="27">
        <f>INDEX(Schedule!$A$1:$N$2000, MATCH($C214, VAV_Schedule_5_21[[#All],[UNIT TAG]], FALSE), 5)</f>
        <v>840</v>
      </c>
      <c r="T214" s="27">
        <f>INDEX(Schedule!$A$1:$N$2000, MATCH($C214, VAV_Schedule_5_21[[#All],[UNIT TAG]], FALSE), 6)</f>
        <v>170</v>
      </c>
      <c r="U214" s="27">
        <f>INDEX(Schedule!$A$1:$N$2000, MATCH($C214, VAV_Schedule_5_21[[#All],[UNIT TAG]], FALSE), 5)</f>
        <v>840</v>
      </c>
      <c r="V214" s="27">
        <f>INDEX(Schedule!$A$1:$N$2000, MATCH($C214, VAV_Schedule_5_21[[#All],[UNIT TAG]], FALSE), 6)</f>
        <v>170</v>
      </c>
      <c r="W214" s="27">
        <f>INDEX(Schedule!$A$1:$N$2000, MATCH($C214, VAV_Schedule_5_21[[#All],[UNIT TAG]], FALSE), 6)</f>
        <v>170</v>
      </c>
      <c r="X214" s="27">
        <f>INDEX(Schedule!$A$1:$N$2000, MATCH($C214, VAV_Schedule_5_21[[#All],[UNIT TAG]], FALSE), 6)</f>
        <v>170</v>
      </c>
      <c r="Y214" s="27">
        <f>INDEX(Schedule!$A$1:$N$2000, MATCH($C214, VAV_Schedule_5_21[[#All],[UNIT TAG]], FALSE), 6)</f>
        <v>170</v>
      </c>
      <c r="Z214" s="27">
        <f>INDEX(Schedule!$A$1:$N$2000, MATCH($C214, VAV_Schedule_5_21[[#All],[UNIT TAG]], FALSE), 6)</f>
        <v>170</v>
      </c>
      <c r="AA214" s="27">
        <v>1000</v>
      </c>
      <c r="AB214" s="27">
        <v>1100</v>
      </c>
      <c r="AC214">
        <v>1400</v>
      </c>
      <c r="AD214" s="29" t="str">
        <f>IF(INDEX(Schedule!$A$1:$N$2000, MATCH($C214, VAV_Schedule_5_21[[#All],[UNIT TAG]], FALSE), 7)="-", 0, INDEX(Schedule!$A$1:$N$2000, MATCH($C214, VAV_Schedule_5_21[[#All],[UNIT TAG]], FALSE), 7))</f>
        <v>6</v>
      </c>
      <c r="AE214" t="str">
        <f>"B_01'" &amp; "Flr_0" &amp; INDEX(Joined!$A$3:$M$2000, MATCH($A214, Joined!$I$3:$I$2000, FALSE), 8)</f>
        <v>B_01'Flr_06</v>
      </c>
      <c r="AF214" t="str">
        <f>"R_" &amp; INDEX(Joined!$A$3:$M$2000, MATCH($A214, Joined!$I$3:$I$2000, FALSE), 7)</f>
        <v>R_VAV-6E-12</v>
      </c>
      <c r="AG214" t="str">
        <f>"B_01'" &amp; "Flr_0" &amp; INDEX(Joined!$A$3:$M$2000, MATCH($A214, Joined!$I$3:$I$2000, FALSE), 8)</f>
        <v>B_01'Flr_06</v>
      </c>
      <c r="AH214" t="str">
        <f>INDEX(Joined!$A$3:$M$2000, MATCH($A214, Joined!$I$3:$I$2000, FALSE), 7)</f>
        <v>VAV-6E-12</v>
      </c>
      <c r="AI214" t="s">
        <v>1542</v>
      </c>
    </row>
    <row r="215" spans="1:35" x14ac:dyDescent="0.2">
      <c r="A215" t="s">
        <v>715</v>
      </c>
      <c r="B215" t="str">
        <f>"B_01'" &amp; "Flr_0" &amp; INDEX(Joined!$A$3:$M$2000, MATCH($A215, Joined!$I$3:$I$2000, FALSE), 8)</f>
        <v>B_01'Flr_06</v>
      </c>
      <c r="C215" t="str">
        <f>INDEX(Joined!$A$3:$M$2000, MATCH($A215, Joined!$I$3:$I$2000, FALSE), 7)</f>
        <v>VAV-6E-13</v>
      </c>
      <c r="D215">
        <f>INDEX(Joined!$A$3:$M$2000, MATCH($A215, Joined!$I$3:$I$2000, FALSE), 5)</f>
        <v>151402</v>
      </c>
      <c r="E215" t="str">
        <f>INDEX(Joined!$A$3:$M$2000, MATCH($A215, Joined!$I$3:$I$2000, FALSE), 7)</f>
        <v>VAV-6E-13</v>
      </c>
      <c r="F215" t="s">
        <v>38</v>
      </c>
      <c r="G215" t="str">
        <f>INDEX(Schedule!$Q$2:$R$7, MATCH(ABT!$H215,Schedule!$Q$2:$Q$7, 0), 2)</f>
        <v>15011_DXR_VAV_DXR2M12</v>
      </c>
      <c r="H215">
        <f>INDEX(Joined!$A$3:$M$2000, MATCH($A215, Joined!$I$3:$I$2000, FALSE), 6)</f>
        <v>15011</v>
      </c>
      <c r="I215" t="str">
        <f>INDEX(Joined!$A$3:$M$2000, MATCH($A215, Joined!$I$3:$I$2000, FALSE), 4)</f>
        <v>514</v>
      </c>
      <c r="J215" t="b">
        <v>0</v>
      </c>
      <c r="K215">
        <f>INDEX(Joined!$A$3:$M$2000, MATCH($A215, Joined!$I$3:$I$2000, FALSE), 3)</f>
        <v>2</v>
      </c>
      <c r="L215">
        <v>85</v>
      </c>
      <c r="M215">
        <v>38400</v>
      </c>
      <c r="N215" s="27">
        <f>PI()*(INDEX(Schedule!$A$1:$N$2000, MATCH($C215, VAV_Schedule_5_21[[#All],[UNIT TAG]], FALSE), 4)/2/12)^2</f>
        <v>0.3490658503988659</v>
      </c>
      <c r="O215" s="27">
        <f>INDEX(Schedule!$A$1:$N$2000, MATCH($C215, VAV_Schedule_5_21[[#All],[UNIT TAG]], FALSE), 4)</f>
        <v>8</v>
      </c>
      <c r="P215">
        <v>213.63</v>
      </c>
      <c r="Q215" s="27">
        <f>INDEX(Schedule!$A$1:$N$2000, MATCH($C215, VAV_Schedule_5_21[[#All],[UNIT TAG]], FALSE), 5)</f>
        <v>640</v>
      </c>
      <c r="R215" s="27">
        <f>INDEX(Schedule!$A$1:$N$2000, MATCH($C215, VAV_Schedule_5_21[[#All],[UNIT TAG]], FALSE), 6)</f>
        <v>130</v>
      </c>
      <c r="S215" s="27">
        <f>INDEX(Schedule!$A$1:$N$2000, MATCH($C215, VAV_Schedule_5_21[[#All],[UNIT TAG]], FALSE), 5)</f>
        <v>640</v>
      </c>
      <c r="T215" s="27">
        <f>INDEX(Schedule!$A$1:$N$2000, MATCH($C215, VAV_Schedule_5_21[[#All],[UNIT TAG]], FALSE), 6)</f>
        <v>130</v>
      </c>
      <c r="U215" s="27">
        <f>INDEX(Schedule!$A$1:$N$2000, MATCH($C215, VAV_Schedule_5_21[[#All],[UNIT TAG]], FALSE), 5)</f>
        <v>640</v>
      </c>
      <c r="V215" s="27">
        <f>INDEX(Schedule!$A$1:$N$2000, MATCH($C215, VAV_Schedule_5_21[[#All],[UNIT TAG]], FALSE), 6)</f>
        <v>130</v>
      </c>
      <c r="W215" s="27">
        <f>INDEX(Schedule!$A$1:$N$2000, MATCH($C215, VAV_Schedule_5_21[[#All],[UNIT TAG]], FALSE), 6)</f>
        <v>130</v>
      </c>
      <c r="X215" s="27">
        <f>INDEX(Schedule!$A$1:$N$2000, MATCH($C215, VAV_Schedule_5_21[[#All],[UNIT TAG]], FALSE), 6)</f>
        <v>130</v>
      </c>
      <c r="Y215" s="27">
        <f>INDEX(Schedule!$A$1:$N$2000, MATCH($C215, VAV_Schedule_5_21[[#All],[UNIT TAG]], FALSE), 6)</f>
        <v>130</v>
      </c>
      <c r="Z215" s="27">
        <f>INDEX(Schedule!$A$1:$N$2000, MATCH($C215, VAV_Schedule_5_21[[#All],[UNIT TAG]], FALSE), 6)</f>
        <v>130</v>
      </c>
      <c r="AA215" s="27">
        <v>1000</v>
      </c>
      <c r="AB215" s="27">
        <v>1100</v>
      </c>
      <c r="AC215">
        <v>1400</v>
      </c>
      <c r="AD215" s="29" t="str">
        <f>IF(INDEX(Schedule!$A$1:$N$2000, MATCH($C215, VAV_Schedule_5_21[[#All],[UNIT TAG]], FALSE), 7)="-", 0, INDEX(Schedule!$A$1:$N$2000, MATCH($C215, VAV_Schedule_5_21[[#All],[UNIT TAG]], FALSE), 7))</f>
        <v>6</v>
      </c>
      <c r="AE215" t="str">
        <f>"B_01'" &amp; "Flr_0" &amp; INDEX(Joined!$A$3:$M$2000, MATCH($A215, Joined!$I$3:$I$2000, FALSE), 8)</f>
        <v>B_01'Flr_06</v>
      </c>
      <c r="AF215" t="str">
        <f>"R_" &amp; INDEX(Joined!$A$3:$M$2000, MATCH($A215, Joined!$I$3:$I$2000, FALSE), 7)</f>
        <v>R_VAV-6E-13</v>
      </c>
      <c r="AG215" t="str">
        <f>"B_01'" &amp; "Flr_0" &amp; INDEX(Joined!$A$3:$M$2000, MATCH($A215, Joined!$I$3:$I$2000, FALSE), 8)</f>
        <v>B_01'Flr_06</v>
      </c>
      <c r="AH215" t="str">
        <f>INDEX(Joined!$A$3:$M$2000, MATCH($A215, Joined!$I$3:$I$2000, FALSE), 7)</f>
        <v>VAV-6E-13</v>
      </c>
      <c r="AI215" t="s">
        <v>1543</v>
      </c>
    </row>
    <row r="216" spans="1:35" x14ac:dyDescent="0.2">
      <c r="A216" t="s">
        <v>716</v>
      </c>
      <c r="B216" t="str">
        <f>"B_01'" &amp; "Flr_0" &amp; INDEX(Joined!$A$3:$M$2000, MATCH($A216, Joined!$I$3:$I$2000, FALSE), 8)</f>
        <v>B_01'Flr_06</v>
      </c>
      <c r="C216" t="str">
        <f>INDEX(Joined!$A$3:$M$2000, MATCH($A216, Joined!$I$3:$I$2000, FALSE), 7)</f>
        <v>VAV-6E-14</v>
      </c>
      <c r="D216">
        <f>INDEX(Joined!$A$3:$M$2000, MATCH($A216, Joined!$I$3:$I$2000, FALSE), 5)</f>
        <v>151403</v>
      </c>
      <c r="E216" t="str">
        <f>INDEX(Joined!$A$3:$M$2000, MATCH($A216, Joined!$I$3:$I$2000, FALSE), 7)</f>
        <v>VAV-6E-14</v>
      </c>
      <c r="F216" t="s">
        <v>38</v>
      </c>
      <c r="G216" t="str">
        <f>INDEX(Schedule!$Q$2:$R$7, MATCH(ABT!$H216,Schedule!$Q$2:$Q$7, 0), 2)</f>
        <v>15011_DXR_VAV_DXR2M12</v>
      </c>
      <c r="H216">
        <f>INDEX(Joined!$A$3:$M$2000, MATCH($A216, Joined!$I$3:$I$2000, FALSE), 6)</f>
        <v>15011</v>
      </c>
      <c r="I216" t="str">
        <f>INDEX(Joined!$A$3:$M$2000, MATCH($A216, Joined!$I$3:$I$2000, FALSE), 4)</f>
        <v>514</v>
      </c>
      <c r="J216" t="b">
        <v>0</v>
      </c>
      <c r="K216">
        <f>INDEX(Joined!$A$3:$M$2000, MATCH($A216, Joined!$I$3:$I$2000, FALSE), 3)</f>
        <v>3</v>
      </c>
      <c r="L216">
        <v>85</v>
      </c>
      <c r="M216">
        <v>38400</v>
      </c>
      <c r="N216" s="27">
        <f>PI()*(INDEX(Schedule!$A$1:$N$2000, MATCH($C216, VAV_Schedule_5_21[[#All],[UNIT TAG]], FALSE), 4)/2/12)^2</f>
        <v>0.3490658503988659</v>
      </c>
      <c r="O216" s="27">
        <f>INDEX(Schedule!$A$1:$N$2000, MATCH($C216, VAV_Schedule_5_21[[#All],[UNIT TAG]], FALSE), 4)</f>
        <v>8</v>
      </c>
      <c r="P216">
        <v>214.63</v>
      </c>
      <c r="Q216" s="27">
        <f>INDEX(Schedule!$A$1:$N$2000, MATCH($C216, VAV_Schedule_5_21[[#All],[UNIT TAG]], FALSE), 5)</f>
        <v>685</v>
      </c>
      <c r="R216" s="27">
        <f>INDEX(Schedule!$A$1:$N$2000, MATCH($C216, VAV_Schedule_5_21[[#All],[UNIT TAG]], FALSE), 6)</f>
        <v>140</v>
      </c>
      <c r="S216" s="27">
        <f>INDEX(Schedule!$A$1:$N$2000, MATCH($C216, VAV_Schedule_5_21[[#All],[UNIT TAG]], FALSE), 5)</f>
        <v>685</v>
      </c>
      <c r="T216" s="27">
        <f>INDEX(Schedule!$A$1:$N$2000, MATCH($C216, VAV_Schedule_5_21[[#All],[UNIT TAG]], FALSE), 6)</f>
        <v>140</v>
      </c>
      <c r="U216" s="27">
        <f>INDEX(Schedule!$A$1:$N$2000, MATCH($C216, VAV_Schedule_5_21[[#All],[UNIT TAG]], FALSE), 5)</f>
        <v>685</v>
      </c>
      <c r="V216" s="27">
        <f>INDEX(Schedule!$A$1:$N$2000, MATCH($C216, VAV_Schedule_5_21[[#All],[UNIT TAG]], FALSE), 6)</f>
        <v>140</v>
      </c>
      <c r="W216" s="27">
        <f>INDEX(Schedule!$A$1:$N$2000, MATCH($C216, VAV_Schedule_5_21[[#All],[UNIT TAG]], FALSE), 6)</f>
        <v>140</v>
      </c>
      <c r="X216" s="27">
        <f>INDEX(Schedule!$A$1:$N$2000, MATCH($C216, VAV_Schedule_5_21[[#All],[UNIT TAG]], FALSE), 6)</f>
        <v>140</v>
      </c>
      <c r="Y216" s="27">
        <f>INDEX(Schedule!$A$1:$N$2000, MATCH($C216, VAV_Schedule_5_21[[#All],[UNIT TAG]], FALSE), 6)</f>
        <v>140</v>
      </c>
      <c r="Z216" s="27">
        <f>INDEX(Schedule!$A$1:$N$2000, MATCH($C216, VAV_Schedule_5_21[[#All],[UNIT TAG]], FALSE), 6)</f>
        <v>140</v>
      </c>
      <c r="AA216" s="27">
        <v>1000</v>
      </c>
      <c r="AB216" s="27">
        <v>1100</v>
      </c>
      <c r="AC216">
        <v>1400</v>
      </c>
      <c r="AD216" s="29" t="str">
        <f>IF(INDEX(Schedule!$A$1:$N$2000, MATCH($C216, VAV_Schedule_5_21[[#All],[UNIT TAG]], FALSE), 7)="-", 0, INDEX(Schedule!$A$1:$N$2000, MATCH($C216, VAV_Schedule_5_21[[#All],[UNIT TAG]], FALSE), 7))</f>
        <v>6</v>
      </c>
      <c r="AE216" t="str">
        <f>"B_01'" &amp; "Flr_0" &amp; INDEX(Joined!$A$3:$M$2000, MATCH($A216, Joined!$I$3:$I$2000, FALSE), 8)</f>
        <v>B_01'Flr_06</v>
      </c>
      <c r="AF216" t="str">
        <f>"R_" &amp; INDEX(Joined!$A$3:$M$2000, MATCH($A216, Joined!$I$3:$I$2000, FALSE), 7)</f>
        <v>R_VAV-6E-14</v>
      </c>
      <c r="AG216" t="str">
        <f>"B_01'" &amp; "Flr_0" &amp; INDEX(Joined!$A$3:$M$2000, MATCH($A216, Joined!$I$3:$I$2000, FALSE), 8)</f>
        <v>B_01'Flr_06</v>
      </c>
      <c r="AH216" t="str">
        <f>INDEX(Joined!$A$3:$M$2000, MATCH($A216, Joined!$I$3:$I$2000, FALSE), 7)</f>
        <v>VAV-6E-14</v>
      </c>
      <c r="AI216" t="s">
        <v>1544</v>
      </c>
    </row>
    <row r="217" spans="1:35" x14ac:dyDescent="0.2">
      <c r="A217" t="s">
        <v>717</v>
      </c>
      <c r="B217" t="str">
        <f>"B_01'" &amp; "Flr_0" &amp; INDEX(Joined!$A$3:$M$2000, MATCH($A217, Joined!$I$3:$I$2000, FALSE), 8)</f>
        <v>B_01'Flr_06</v>
      </c>
      <c r="C217" t="str">
        <f>INDEX(Joined!$A$3:$M$2000, MATCH($A217, Joined!$I$3:$I$2000, FALSE), 7)</f>
        <v>VAV-6E-15</v>
      </c>
      <c r="D217">
        <f>INDEX(Joined!$A$3:$M$2000, MATCH($A217, Joined!$I$3:$I$2000, FALSE), 5)</f>
        <v>151404</v>
      </c>
      <c r="E217" t="str">
        <f>INDEX(Joined!$A$3:$M$2000, MATCH($A217, Joined!$I$3:$I$2000, FALSE), 7)</f>
        <v>VAV-6E-15</v>
      </c>
      <c r="F217" t="s">
        <v>38</v>
      </c>
      <c r="G217" t="str">
        <f>INDEX(Schedule!$Q$2:$R$7, MATCH(ABT!$H217,Schedule!$Q$2:$Q$7, 0), 2)</f>
        <v>15011_DXR_VAV_DXR2M12</v>
      </c>
      <c r="H217">
        <f>INDEX(Joined!$A$3:$M$2000, MATCH($A217, Joined!$I$3:$I$2000, FALSE), 6)</f>
        <v>15011</v>
      </c>
      <c r="I217" t="str">
        <f>INDEX(Joined!$A$3:$M$2000, MATCH($A217, Joined!$I$3:$I$2000, FALSE), 4)</f>
        <v>514</v>
      </c>
      <c r="J217" t="b">
        <v>0</v>
      </c>
      <c r="K217">
        <f>INDEX(Joined!$A$3:$M$2000, MATCH($A217, Joined!$I$3:$I$2000, FALSE), 3)</f>
        <v>4</v>
      </c>
      <c r="L217">
        <v>85</v>
      </c>
      <c r="M217">
        <v>38400</v>
      </c>
      <c r="N217" s="27">
        <f>PI()*(INDEX(Schedule!$A$1:$N$2000, MATCH($C217, VAV_Schedule_5_21[[#All],[UNIT TAG]], FALSE), 4)/2/12)^2</f>
        <v>0.3490658503988659</v>
      </c>
      <c r="O217" s="27">
        <f>INDEX(Schedule!$A$1:$N$2000, MATCH($C217, VAV_Schedule_5_21[[#All],[UNIT TAG]], FALSE), 4)</f>
        <v>8</v>
      </c>
      <c r="P217">
        <v>215.63</v>
      </c>
      <c r="Q217" s="27">
        <f>INDEX(Schedule!$A$1:$N$2000, MATCH($C217, VAV_Schedule_5_21[[#All],[UNIT TAG]], FALSE), 5)</f>
        <v>600</v>
      </c>
      <c r="R217" s="27">
        <f>INDEX(Schedule!$A$1:$N$2000, MATCH($C217, VAV_Schedule_5_21[[#All],[UNIT TAG]], FALSE), 6)</f>
        <v>120</v>
      </c>
      <c r="S217" s="27">
        <f>INDEX(Schedule!$A$1:$N$2000, MATCH($C217, VAV_Schedule_5_21[[#All],[UNIT TAG]], FALSE), 5)</f>
        <v>600</v>
      </c>
      <c r="T217" s="27">
        <f>INDEX(Schedule!$A$1:$N$2000, MATCH($C217, VAV_Schedule_5_21[[#All],[UNIT TAG]], FALSE), 6)</f>
        <v>120</v>
      </c>
      <c r="U217" s="27">
        <f>INDEX(Schedule!$A$1:$N$2000, MATCH($C217, VAV_Schedule_5_21[[#All],[UNIT TAG]], FALSE), 5)</f>
        <v>600</v>
      </c>
      <c r="V217" s="27">
        <f>INDEX(Schedule!$A$1:$N$2000, MATCH($C217, VAV_Schedule_5_21[[#All],[UNIT TAG]], FALSE), 6)</f>
        <v>120</v>
      </c>
      <c r="W217" s="27">
        <f>INDEX(Schedule!$A$1:$N$2000, MATCH($C217, VAV_Schedule_5_21[[#All],[UNIT TAG]], FALSE), 6)</f>
        <v>120</v>
      </c>
      <c r="X217" s="27">
        <f>INDEX(Schedule!$A$1:$N$2000, MATCH($C217, VAV_Schedule_5_21[[#All],[UNIT TAG]], FALSE), 6)</f>
        <v>120</v>
      </c>
      <c r="Y217" s="27">
        <f>INDEX(Schedule!$A$1:$N$2000, MATCH($C217, VAV_Schedule_5_21[[#All],[UNIT TAG]], FALSE), 6)</f>
        <v>120</v>
      </c>
      <c r="Z217" s="27">
        <f>INDEX(Schedule!$A$1:$N$2000, MATCH($C217, VAV_Schedule_5_21[[#All],[UNIT TAG]], FALSE), 6)</f>
        <v>120</v>
      </c>
      <c r="AA217" s="27">
        <v>1000</v>
      </c>
      <c r="AB217" s="27">
        <v>1100</v>
      </c>
      <c r="AC217">
        <v>1400</v>
      </c>
      <c r="AD217" s="29" t="str">
        <f>IF(INDEX(Schedule!$A$1:$N$2000, MATCH($C217, VAV_Schedule_5_21[[#All],[UNIT TAG]], FALSE), 7)="-", 0, INDEX(Schedule!$A$1:$N$2000, MATCH($C217, VAV_Schedule_5_21[[#All],[UNIT TAG]], FALSE), 7))</f>
        <v>6</v>
      </c>
      <c r="AE217" t="str">
        <f>"B_01'" &amp; "Flr_0" &amp; INDEX(Joined!$A$3:$M$2000, MATCH($A217, Joined!$I$3:$I$2000, FALSE), 8)</f>
        <v>B_01'Flr_06</v>
      </c>
      <c r="AF217" t="str">
        <f>"R_" &amp; INDEX(Joined!$A$3:$M$2000, MATCH($A217, Joined!$I$3:$I$2000, FALSE), 7)</f>
        <v>R_VAV-6E-15</v>
      </c>
      <c r="AG217" t="str">
        <f>"B_01'" &amp; "Flr_0" &amp; INDEX(Joined!$A$3:$M$2000, MATCH($A217, Joined!$I$3:$I$2000, FALSE), 8)</f>
        <v>B_01'Flr_06</v>
      </c>
      <c r="AH217" t="str">
        <f>INDEX(Joined!$A$3:$M$2000, MATCH($A217, Joined!$I$3:$I$2000, FALSE), 7)</f>
        <v>VAV-6E-15</v>
      </c>
      <c r="AI217" t="s">
        <v>1545</v>
      </c>
    </row>
    <row r="218" spans="1:35" x14ac:dyDescent="0.2">
      <c r="A218" t="s">
        <v>718</v>
      </c>
      <c r="B218" t="str">
        <f>"B_01'" &amp; "Flr_0" &amp; INDEX(Joined!$A$3:$M$2000, MATCH($A218, Joined!$I$3:$I$2000, FALSE), 8)</f>
        <v>B_01'Flr_06</v>
      </c>
      <c r="C218" t="str">
        <f>INDEX(Joined!$A$3:$M$2000, MATCH($A218, Joined!$I$3:$I$2000, FALSE), 7)</f>
        <v>VAV-6E-16</v>
      </c>
      <c r="D218">
        <f>INDEX(Joined!$A$3:$M$2000, MATCH($A218, Joined!$I$3:$I$2000, FALSE), 5)</f>
        <v>151405</v>
      </c>
      <c r="E218" t="str">
        <f>INDEX(Joined!$A$3:$M$2000, MATCH($A218, Joined!$I$3:$I$2000, FALSE), 7)</f>
        <v>VAV-6E-16</v>
      </c>
      <c r="F218" t="s">
        <v>38</v>
      </c>
      <c r="G218" t="str">
        <f>INDEX(Schedule!$Q$2:$R$7, MATCH(ABT!$H218,Schedule!$Q$2:$Q$7, 0), 2)</f>
        <v>15010_DXR_VAV_DXR2M12</v>
      </c>
      <c r="H218">
        <f>INDEX(Joined!$A$3:$M$2000, MATCH($A218, Joined!$I$3:$I$2000, FALSE), 6)</f>
        <v>15010</v>
      </c>
      <c r="I218" t="str">
        <f>INDEX(Joined!$A$3:$M$2000, MATCH($A218, Joined!$I$3:$I$2000, FALSE), 4)</f>
        <v>514</v>
      </c>
      <c r="J218" t="b">
        <v>0</v>
      </c>
      <c r="K218">
        <f>INDEX(Joined!$A$3:$M$2000, MATCH($A218, Joined!$I$3:$I$2000, FALSE), 3)</f>
        <v>5</v>
      </c>
      <c r="L218">
        <v>85</v>
      </c>
      <c r="M218">
        <v>38400</v>
      </c>
      <c r="N218" s="27">
        <f>PI()*(INDEX(Schedule!$A$1:$N$2000, MATCH($C218, VAV_Schedule_5_21[[#All],[UNIT TAG]], FALSE), 4)/2/12)^2</f>
        <v>0.19634954084936207</v>
      </c>
      <c r="O218" s="27">
        <f>INDEX(Schedule!$A$1:$N$2000, MATCH($C218, VAV_Schedule_5_21[[#All],[UNIT TAG]], FALSE), 4)</f>
        <v>6</v>
      </c>
      <c r="P218">
        <v>216.63</v>
      </c>
      <c r="Q218" s="27">
        <f>INDEX(Schedule!$A$1:$N$2000, MATCH($C218, VAV_Schedule_5_21[[#All],[UNIT TAG]], FALSE), 5)</f>
        <v>200</v>
      </c>
      <c r="R218" s="27">
        <f>INDEX(Schedule!$A$1:$N$2000, MATCH($C218, VAV_Schedule_5_21[[#All],[UNIT TAG]], FALSE), 6)</f>
        <v>40</v>
      </c>
      <c r="S218" s="27">
        <f>INDEX(Schedule!$A$1:$N$2000, MATCH($C218, VAV_Schedule_5_21[[#All],[UNIT TAG]], FALSE), 5)</f>
        <v>200</v>
      </c>
      <c r="T218" s="27">
        <f>INDEX(Schedule!$A$1:$N$2000, MATCH($C218, VAV_Schedule_5_21[[#All],[UNIT TAG]], FALSE), 6)</f>
        <v>40</v>
      </c>
      <c r="U218" s="27">
        <f>INDEX(Schedule!$A$1:$N$2000, MATCH($C218, VAV_Schedule_5_21[[#All],[UNIT TAG]], FALSE), 5)</f>
        <v>200</v>
      </c>
      <c r="V218" s="27">
        <f>INDEX(Schedule!$A$1:$N$2000, MATCH($C218, VAV_Schedule_5_21[[#All],[UNIT TAG]], FALSE), 6)</f>
        <v>40</v>
      </c>
      <c r="W218" s="27">
        <f>INDEX(Schedule!$A$1:$N$2000, MATCH($C218, VAV_Schedule_5_21[[#All],[UNIT TAG]], FALSE), 6)</f>
        <v>40</v>
      </c>
      <c r="X218" s="27">
        <f>INDEX(Schedule!$A$1:$N$2000, MATCH($C218, VAV_Schedule_5_21[[#All],[UNIT TAG]], FALSE), 6)</f>
        <v>40</v>
      </c>
      <c r="Y218" s="27">
        <f>INDEX(Schedule!$A$1:$N$2000, MATCH($C218, VAV_Schedule_5_21[[#All],[UNIT TAG]], FALSE), 6)</f>
        <v>40</v>
      </c>
      <c r="Z218" s="27">
        <f>INDEX(Schedule!$A$1:$N$2000, MATCH($C218, VAV_Schedule_5_21[[#All],[UNIT TAG]], FALSE), 6)</f>
        <v>40</v>
      </c>
      <c r="AA218" s="27">
        <v>1000</v>
      </c>
      <c r="AB218" s="27">
        <v>1100</v>
      </c>
      <c r="AC218">
        <v>1400</v>
      </c>
      <c r="AD218" s="29">
        <f>IF(INDEX(Schedule!$A$1:$N$2000, MATCH($C218, VAV_Schedule_5_21[[#All],[UNIT TAG]], FALSE), 7)="-", 0, INDEX(Schedule!$A$1:$N$2000, MATCH($C218, VAV_Schedule_5_21[[#All],[UNIT TAG]], FALSE), 7))</f>
        <v>0</v>
      </c>
      <c r="AE218" t="str">
        <f>"B_01'" &amp; "Flr_0" &amp; INDEX(Joined!$A$3:$M$2000, MATCH($A218, Joined!$I$3:$I$2000, FALSE), 8)</f>
        <v>B_01'Flr_06</v>
      </c>
      <c r="AF218" t="str">
        <f>"R_" &amp; INDEX(Joined!$A$3:$M$2000, MATCH($A218, Joined!$I$3:$I$2000, FALSE), 7)</f>
        <v>R_VAV-6E-16</v>
      </c>
      <c r="AG218" t="str">
        <f>"B_01'" &amp; "Flr_0" &amp; INDEX(Joined!$A$3:$M$2000, MATCH($A218, Joined!$I$3:$I$2000, FALSE), 8)</f>
        <v>B_01'Flr_06</v>
      </c>
      <c r="AH218" t="str">
        <f>INDEX(Joined!$A$3:$M$2000, MATCH($A218, Joined!$I$3:$I$2000, FALSE), 7)</f>
        <v>VAV-6E-16</v>
      </c>
      <c r="AI218" t="s">
        <v>1546</v>
      </c>
    </row>
    <row r="219" spans="1:35" x14ac:dyDescent="0.2">
      <c r="A219" t="s">
        <v>719</v>
      </c>
      <c r="B219" t="str">
        <f>"B_01'" &amp; "Flr_0" &amp; INDEX(Joined!$A$3:$M$2000, MATCH($A219, Joined!$I$3:$I$2000, FALSE), 8)</f>
        <v>B_01'Flr_06</v>
      </c>
      <c r="C219" t="str">
        <f>INDEX(Joined!$A$3:$M$2000, MATCH($A219, Joined!$I$3:$I$2000, FALSE), 7)</f>
        <v>VAV-6E-17</v>
      </c>
      <c r="D219">
        <f>INDEX(Joined!$A$3:$M$2000, MATCH($A219, Joined!$I$3:$I$2000, FALSE), 5)</f>
        <v>151406</v>
      </c>
      <c r="E219" t="str">
        <f>INDEX(Joined!$A$3:$M$2000, MATCH($A219, Joined!$I$3:$I$2000, FALSE), 7)</f>
        <v>VAV-6E-17</v>
      </c>
      <c r="F219" t="s">
        <v>38</v>
      </c>
      <c r="G219" t="str">
        <f>INDEX(Schedule!$Q$2:$R$7, MATCH(ABT!$H219,Schedule!$Q$2:$Q$7, 0), 2)</f>
        <v>15010_DXR_VAV_DXR2M12</v>
      </c>
      <c r="H219">
        <f>INDEX(Joined!$A$3:$M$2000, MATCH($A219, Joined!$I$3:$I$2000, FALSE), 6)</f>
        <v>15010</v>
      </c>
      <c r="I219" t="str">
        <f>INDEX(Joined!$A$3:$M$2000, MATCH($A219, Joined!$I$3:$I$2000, FALSE), 4)</f>
        <v>514</v>
      </c>
      <c r="J219" t="b">
        <v>0</v>
      </c>
      <c r="K219">
        <f>INDEX(Joined!$A$3:$M$2000, MATCH($A219, Joined!$I$3:$I$2000, FALSE), 3)</f>
        <v>6</v>
      </c>
      <c r="L219">
        <v>85</v>
      </c>
      <c r="M219">
        <v>38400</v>
      </c>
      <c r="N219" s="27">
        <f>PI()*(INDEX(Schedule!$A$1:$N$2000, MATCH($C219, VAV_Schedule_5_21[[#All],[UNIT TAG]], FALSE), 4)/2/12)^2</f>
        <v>0.3490658503988659</v>
      </c>
      <c r="O219" s="27">
        <f>INDEX(Schedule!$A$1:$N$2000, MATCH($C219, VAV_Schedule_5_21[[#All],[UNIT TAG]], FALSE), 4)</f>
        <v>8</v>
      </c>
      <c r="P219">
        <v>217.63</v>
      </c>
      <c r="Q219" s="27">
        <f>INDEX(Schedule!$A$1:$N$2000, MATCH($C219, VAV_Schedule_5_21[[#All],[UNIT TAG]], FALSE), 5)</f>
        <v>700</v>
      </c>
      <c r="R219" s="27">
        <f>INDEX(Schedule!$A$1:$N$2000, MATCH($C219, VAV_Schedule_5_21[[#All],[UNIT TAG]], FALSE), 6)</f>
        <v>140</v>
      </c>
      <c r="S219" s="27">
        <f>INDEX(Schedule!$A$1:$N$2000, MATCH($C219, VAV_Schedule_5_21[[#All],[UNIT TAG]], FALSE), 5)</f>
        <v>700</v>
      </c>
      <c r="T219" s="27">
        <f>INDEX(Schedule!$A$1:$N$2000, MATCH($C219, VAV_Schedule_5_21[[#All],[UNIT TAG]], FALSE), 6)</f>
        <v>140</v>
      </c>
      <c r="U219" s="27">
        <f>INDEX(Schedule!$A$1:$N$2000, MATCH($C219, VAV_Schedule_5_21[[#All],[UNIT TAG]], FALSE), 5)</f>
        <v>700</v>
      </c>
      <c r="V219" s="27">
        <f>INDEX(Schedule!$A$1:$N$2000, MATCH($C219, VAV_Schedule_5_21[[#All],[UNIT TAG]], FALSE), 6)</f>
        <v>140</v>
      </c>
      <c r="W219" s="27">
        <f>INDEX(Schedule!$A$1:$N$2000, MATCH($C219, VAV_Schedule_5_21[[#All],[UNIT TAG]], FALSE), 6)</f>
        <v>140</v>
      </c>
      <c r="X219" s="27">
        <f>INDEX(Schedule!$A$1:$N$2000, MATCH($C219, VAV_Schedule_5_21[[#All],[UNIT TAG]], FALSE), 6)</f>
        <v>140</v>
      </c>
      <c r="Y219" s="27">
        <f>INDEX(Schedule!$A$1:$N$2000, MATCH($C219, VAV_Schedule_5_21[[#All],[UNIT TAG]], FALSE), 6)</f>
        <v>140</v>
      </c>
      <c r="Z219" s="27">
        <f>INDEX(Schedule!$A$1:$N$2000, MATCH($C219, VAV_Schedule_5_21[[#All],[UNIT TAG]], FALSE), 6)</f>
        <v>140</v>
      </c>
      <c r="AA219" s="27">
        <v>1000</v>
      </c>
      <c r="AB219" s="27">
        <v>1100</v>
      </c>
      <c r="AC219">
        <v>1400</v>
      </c>
      <c r="AD219" s="29">
        <f>IF(INDEX(Schedule!$A$1:$N$2000, MATCH($C219, VAV_Schedule_5_21[[#All],[UNIT TAG]], FALSE), 7)="-", 0, INDEX(Schedule!$A$1:$N$2000, MATCH($C219, VAV_Schedule_5_21[[#All],[UNIT TAG]], FALSE), 7))</f>
        <v>0</v>
      </c>
      <c r="AE219" t="str">
        <f>"B_01'" &amp; "Flr_0" &amp; INDEX(Joined!$A$3:$M$2000, MATCH($A219, Joined!$I$3:$I$2000, FALSE), 8)</f>
        <v>B_01'Flr_06</v>
      </c>
      <c r="AF219" t="str">
        <f>"R_" &amp; INDEX(Joined!$A$3:$M$2000, MATCH($A219, Joined!$I$3:$I$2000, FALSE), 7)</f>
        <v>R_VAV-6E-17</v>
      </c>
      <c r="AG219" t="str">
        <f>"B_01'" &amp; "Flr_0" &amp; INDEX(Joined!$A$3:$M$2000, MATCH($A219, Joined!$I$3:$I$2000, FALSE), 8)</f>
        <v>B_01'Flr_06</v>
      </c>
      <c r="AH219" t="str">
        <f>INDEX(Joined!$A$3:$M$2000, MATCH($A219, Joined!$I$3:$I$2000, FALSE), 7)</f>
        <v>VAV-6E-17</v>
      </c>
      <c r="AI219" t="s">
        <v>1547</v>
      </c>
    </row>
    <row r="220" spans="1:35" x14ac:dyDescent="0.2">
      <c r="A220" t="s">
        <v>720</v>
      </c>
      <c r="B220" t="str">
        <f>"B_01'" &amp; "Flr_0" &amp; INDEX(Joined!$A$3:$M$2000, MATCH($A220, Joined!$I$3:$I$2000, FALSE), 8)</f>
        <v>B_01'Flr_06</v>
      </c>
      <c r="C220" t="str">
        <f>INDEX(Joined!$A$3:$M$2000, MATCH($A220, Joined!$I$3:$I$2000, FALSE), 7)</f>
        <v>VAV-6E-18</v>
      </c>
      <c r="D220">
        <f>INDEX(Joined!$A$3:$M$2000, MATCH($A220, Joined!$I$3:$I$2000, FALSE), 5)</f>
        <v>151407</v>
      </c>
      <c r="E220" t="str">
        <f>INDEX(Joined!$A$3:$M$2000, MATCH($A220, Joined!$I$3:$I$2000, FALSE), 7)</f>
        <v>VAV-6E-18</v>
      </c>
      <c r="F220" t="s">
        <v>38</v>
      </c>
      <c r="G220" t="str">
        <f>INDEX(Schedule!$Q$2:$R$7, MATCH(ABT!$H220,Schedule!$Q$2:$Q$7, 0), 2)</f>
        <v>15011_DXR_VAV_DXR2M12</v>
      </c>
      <c r="H220">
        <f>INDEX(Joined!$A$3:$M$2000, MATCH($A220, Joined!$I$3:$I$2000, FALSE), 6)</f>
        <v>15011</v>
      </c>
      <c r="I220" t="str">
        <f>INDEX(Joined!$A$3:$M$2000, MATCH($A220, Joined!$I$3:$I$2000, FALSE), 4)</f>
        <v>514</v>
      </c>
      <c r="J220" t="b">
        <v>0</v>
      </c>
      <c r="K220">
        <f>INDEX(Joined!$A$3:$M$2000, MATCH($A220, Joined!$I$3:$I$2000, FALSE), 3)</f>
        <v>7</v>
      </c>
      <c r="L220">
        <v>85</v>
      </c>
      <c r="M220">
        <v>38400</v>
      </c>
      <c r="N220" s="27">
        <f>PI()*(INDEX(Schedule!$A$1:$N$2000, MATCH($C220, VAV_Schedule_5_21[[#All],[UNIT TAG]], FALSE), 4)/2/12)^2</f>
        <v>0.54541539124822802</v>
      </c>
      <c r="O220" s="27">
        <f>INDEX(Schedule!$A$1:$N$2000, MATCH($C220, VAV_Schedule_5_21[[#All],[UNIT TAG]], FALSE), 4)</f>
        <v>10</v>
      </c>
      <c r="P220">
        <v>218.63</v>
      </c>
      <c r="Q220" s="27">
        <f>INDEX(Schedule!$A$1:$N$2000, MATCH($C220, VAV_Schedule_5_21[[#All],[UNIT TAG]], FALSE), 5)</f>
        <v>1085</v>
      </c>
      <c r="R220" s="27">
        <f>INDEX(Schedule!$A$1:$N$2000, MATCH($C220, VAV_Schedule_5_21[[#All],[UNIT TAG]], FALSE), 6)</f>
        <v>220</v>
      </c>
      <c r="S220" s="27">
        <f>INDEX(Schedule!$A$1:$N$2000, MATCH($C220, VAV_Schedule_5_21[[#All],[UNIT TAG]], FALSE), 5)</f>
        <v>1085</v>
      </c>
      <c r="T220" s="27">
        <f>INDEX(Schedule!$A$1:$N$2000, MATCH($C220, VAV_Schedule_5_21[[#All],[UNIT TAG]], FALSE), 6)</f>
        <v>220</v>
      </c>
      <c r="U220" s="27">
        <f>INDEX(Schedule!$A$1:$N$2000, MATCH($C220, VAV_Schedule_5_21[[#All],[UNIT TAG]], FALSE), 5)</f>
        <v>1085</v>
      </c>
      <c r="V220" s="27">
        <f>INDEX(Schedule!$A$1:$N$2000, MATCH($C220, VAV_Schedule_5_21[[#All],[UNIT TAG]], FALSE), 6)</f>
        <v>220</v>
      </c>
      <c r="W220" s="27">
        <f>INDEX(Schedule!$A$1:$N$2000, MATCH($C220, VAV_Schedule_5_21[[#All],[UNIT TAG]], FALSE), 6)</f>
        <v>220</v>
      </c>
      <c r="X220" s="27">
        <f>INDEX(Schedule!$A$1:$N$2000, MATCH($C220, VAV_Schedule_5_21[[#All],[UNIT TAG]], FALSE), 6)</f>
        <v>220</v>
      </c>
      <c r="Y220" s="27">
        <f>INDEX(Schedule!$A$1:$N$2000, MATCH($C220, VAV_Schedule_5_21[[#All],[UNIT TAG]], FALSE), 6)</f>
        <v>220</v>
      </c>
      <c r="Z220" s="27">
        <f>INDEX(Schedule!$A$1:$N$2000, MATCH($C220, VAV_Schedule_5_21[[#All],[UNIT TAG]], FALSE), 6)</f>
        <v>220</v>
      </c>
      <c r="AA220" s="27">
        <v>1000</v>
      </c>
      <c r="AB220" s="27">
        <v>1100</v>
      </c>
      <c r="AC220">
        <v>1400</v>
      </c>
      <c r="AD220" s="29" t="str">
        <f>IF(INDEX(Schedule!$A$1:$N$2000, MATCH($C220, VAV_Schedule_5_21[[#All],[UNIT TAG]], FALSE), 7)="-", 0, INDEX(Schedule!$A$1:$N$2000, MATCH($C220, VAV_Schedule_5_21[[#All],[UNIT TAG]], FALSE), 7))</f>
        <v>7</v>
      </c>
      <c r="AE220" t="str">
        <f>"B_01'" &amp; "Flr_0" &amp; INDEX(Joined!$A$3:$M$2000, MATCH($A220, Joined!$I$3:$I$2000, FALSE), 8)</f>
        <v>B_01'Flr_06</v>
      </c>
      <c r="AF220" t="str">
        <f>"R_" &amp; INDEX(Joined!$A$3:$M$2000, MATCH($A220, Joined!$I$3:$I$2000, FALSE), 7)</f>
        <v>R_VAV-6E-18</v>
      </c>
      <c r="AG220" t="str">
        <f>"B_01'" &amp; "Flr_0" &amp; INDEX(Joined!$A$3:$M$2000, MATCH($A220, Joined!$I$3:$I$2000, FALSE), 8)</f>
        <v>B_01'Flr_06</v>
      </c>
      <c r="AH220" t="str">
        <f>INDEX(Joined!$A$3:$M$2000, MATCH($A220, Joined!$I$3:$I$2000, FALSE), 7)</f>
        <v>VAV-6E-18</v>
      </c>
      <c r="AI220" t="s">
        <v>1548</v>
      </c>
    </row>
    <row r="221" spans="1:35" x14ac:dyDescent="0.2">
      <c r="A221" t="s">
        <v>721</v>
      </c>
      <c r="B221" t="str">
        <f>"B_01'" &amp; "Flr_0" &amp; INDEX(Joined!$A$3:$M$2000, MATCH($A221, Joined!$I$3:$I$2000, FALSE), 8)</f>
        <v>B_01'Flr_06</v>
      </c>
      <c r="C221" t="str">
        <f>INDEX(Joined!$A$3:$M$2000, MATCH($A221, Joined!$I$3:$I$2000, FALSE), 7)</f>
        <v>VAV-6E-19</v>
      </c>
      <c r="D221">
        <f>INDEX(Joined!$A$3:$M$2000, MATCH($A221, Joined!$I$3:$I$2000, FALSE), 5)</f>
        <v>151408</v>
      </c>
      <c r="E221" t="str">
        <f>INDEX(Joined!$A$3:$M$2000, MATCH($A221, Joined!$I$3:$I$2000, FALSE), 7)</f>
        <v>VAV-6E-19</v>
      </c>
      <c r="F221" t="s">
        <v>38</v>
      </c>
      <c r="G221" t="str">
        <f>INDEX(Schedule!$Q$2:$R$7, MATCH(ABT!$H221,Schedule!$Q$2:$Q$7, 0), 2)</f>
        <v>15011_DXR_VAV_DXR2M12</v>
      </c>
      <c r="H221">
        <f>INDEX(Joined!$A$3:$M$2000, MATCH($A221, Joined!$I$3:$I$2000, FALSE), 6)</f>
        <v>15011</v>
      </c>
      <c r="I221" t="str">
        <f>INDEX(Joined!$A$3:$M$2000, MATCH($A221, Joined!$I$3:$I$2000, FALSE), 4)</f>
        <v>514</v>
      </c>
      <c r="J221" t="b">
        <v>0</v>
      </c>
      <c r="K221">
        <f>INDEX(Joined!$A$3:$M$2000, MATCH($A221, Joined!$I$3:$I$2000, FALSE), 3)</f>
        <v>8</v>
      </c>
      <c r="L221">
        <v>85</v>
      </c>
      <c r="M221">
        <v>38400</v>
      </c>
      <c r="N221" s="27">
        <f>PI()*(INDEX(Schedule!$A$1:$N$2000, MATCH($C221, VAV_Schedule_5_21[[#All],[UNIT TAG]], FALSE), 4)/2/12)^2</f>
        <v>0.54541539124822802</v>
      </c>
      <c r="O221" s="27">
        <f>INDEX(Schedule!$A$1:$N$2000, MATCH($C221, VAV_Schedule_5_21[[#All],[UNIT TAG]], FALSE), 4)</f>
        <v>10</v>
      </c>
      <c r="P221">
        <v>219.63</v>
      </c>
      <c r="Q221" s="27">
        <f>INDEX(Schedule!$A$1:$N$2000, MATCH($C221, VAV_Schedule_5_21[[#All],[UNIT TAG]], FALSE), 5)</f>
        <v>840</v>
      </c>
      <c r="R221" s="27">
        <f>INDEX(Schedule!$A$1:$N$2000, MATCH($C221, VAV_Schedule_5_21[[#All],[UNIT TAG]], FALSE), 6)</f>
        <v>170</v>
      </c>
      <c r="S221" s="27">
        <f>INDEX(Schedule!$A$1:$N$2000, MATCH($C221, VAV_Schedule_5_21[[#All],[UNIT TAG]], FALSE), 5)</f>
        <v>840</v>
      </c>
      <c r="T221" s="27">
        <f>INDEX(Schedule!$A$1:$N$2000, MATCH($C221, VAV_Schedule_5_21[[#All],[UNIT TAG]], FALSE), 6)</f>
        <v>170</v>
      </c>
      <c r="U221" s="27">
        <f>INDEX(Schedule!$A$1:$N$2000, MATCH($C221, VAV_Schedule_5_21[[#All],[UNIT TAG]], FALSE), 5)</f>
        <v>840</v>
      </c>
      <c r="V221" s="27">
        <f>INDEX(Schedule!$A$1:$N$2000, MATCH($C221, VAV_Schedule_5_21[[#All],[UNIT TAG]], FALSE), 6)</f>
        <v>170</v>
      </c>
      <c r="W221" s="27">
        <f>INDEX(Schedule!$A$1:$N$2000, MATCH($C221, VAV_Schedule_5_21[[#All],[UNIT TAG]], FALSE), 6)</f>
        <v>170</v>
      </c>
      <c r="X221" s="27">
        <f>INDEX(Schedule!$A$1:$N$2000, MATCH($C221, VAV_Schedule_5_21[[#All],[UNIT TAG]], FALSE), 6)</f>
        <v>170</v>
      </c>
      <c r="Y221" s="27">
        <f>INDEX(Schedule!$A$1:$N$2000, MATCH($C221, VAV_Schedule_5_21[[#All],[UNIT TAG]], FALSE), 6)</f>
        <v>170</v>
      </c>
      <c r="Z221" s="27">
        <f>INDEX(Schedule!$A$1:$N$2000, MATCH($C221, VAV_Schedule_5_21[[#All],[UNIT TAG]], FALSE), 6)</f>
        <v>170</v>
      </c>
      <c r="AA221" s="27">
        <v>1000</v>
      </c>
      <c r="AB221" s="27">
        <v>1100</v>
      </c>
      <c r="AC221">
        <v>1400</v>
      </c>
      <c r="AD221" s="29" t="str">
        <f>IF(INDEX(Schedule!$A$1:$N$2000, MATCH($C221, VAV_Schedule_5_21[[#All],[UNIT TAG]], FALSE), 7)="-", 0, INDEX(Schedule!$A$1:$N$2000, MATCH($C221, VAV_Schedule_5_21[[#All],[UNIT TAG]], FALSE), 7))</f>
        <v>6</v>
      </c>
      <c r="AE221" t="str">
        <f>"B_01'" &amp; "Flr_0" &amp; INDEX(Joined!$A$3:$M$2000, MATCH($A221, Joined!$I$3:$I$2000, FALSE), 8)</f>
        <v>B_01'Flr_06</v>
      </c>
      <c r="AF221" t="str">
        <f>"R_" &amp; INDEX(Joined!$A$3:$M$2000, MATCH($A221, Joined!$I$3:$I$2000, FALSE), 7)</f>
        <v>R_VAV-6E-19</v>
      </c>
      <c r="AG221" t="str">
        <f>"B_01'" &amp; "Flr_0" &amp; INDEX(Joined!$A$3:$M$2000, MATCH($A221, Joined!$I$3:$I$2000, FALSE), 8)</f>
        <v>B_01'Flr_06</v>
      </c>
      <c r="AH221" t="str">
        <f>INDEX(Joined!$A$3:$M$2000, MATCH($A221, Joined!$I$3:$I$2000, FALSE), 7)</f>
        <v>VAV-6E-19</v>
      </c>
      <c r="AI221" t="s">
        <v>1549</v>
      </c>
    </row>
    <row r="222" spans="1:35" x14ac:dyDescent="0.2">
      <c r="A222" t="s">
        <v>722</v>
      </c>
      <c r="B222" t="str">
        <f>"B_01'" &amp; "Flr_0" &amp; INDEX(Joined!$A$3:$M$2000, MATCH($A222, Joined!$I$3:$I$2000, FALSE), 8)</f>
        <v>B_01'Flr_06</v>
      </c>
      <c r="C222" t="str">
        <f>INDEX(Joined!$A$3:$M$2000, MATCH($A222, Joined!$I$3:$I$2000, FALSE), 7)</f>
        <v>VAV-6E-20</v>
      </c>
      <c r="D222">
        <f>INDEX(Joined!$A$3:$M$2000, MATCH($A222, Joined!$I$3:$I$2000, FALSE), 5)</f>
        <v>151409</v>
      </c>
      <c r="E222" t="str">
        <f>INDEX(Joined!$A$3:$M$2000, MATCH($A222, Joined!$I$3:$I$2000, FALSE), 7)</f>
        <v>VAV-6E-20</v>
      </c>
      <c r="F222" t="s">
        <v>38</v>
      </c>
      <c r="G222" t="str">
        <f>INDEX(Schedule!$Q$2:$R$7, MATCH(ABT!$H222,Schedule!$Q$2:$Q$7, 0), 2)</f>
        <v>15010_DXR_VAV_DXR2M12</v>
      </c>
      <c r="H222">
        <f>INDEX(Joined!$A$3:$M$2000, MATCH($A222, Joined!$I$3:$I$2000, FALSE), 6)</f>
        <v>15010</v>
      </c>
      <c r="I222" t="str">
        <f>INDEX(Joined!$A$3:$M$2000, MATCH($A222, Joined!$I$3:$I$2000, FALSE), 4)</f>
        <v>514</v>
      </c>
      <c r="J222" t="b">
        <v>0</v>
      </c>
      <c r="K222">
        <f>INDEX(Joined!$A$3:$M$2000, MATCH($A222, Joined!$I$3:$I$2000, FALSE), 3)</f>
        <v>9</v>
      </c>
      <c r="L222">
        <v>85</v>
      </c>
      <c r="M222">
        <v>38400</v>
      </c>
      <c r="N222" s="27">
        <f>PI()*(INDEX(Schedule!$A$1:$N$2000, MATCH($C222, VAV_Schedule_5_21[[#All],[UNIT TAG]], FALSE), 4)/2/12)^2</f>
        <v>0.19634954084936207</v>
      </c>
      <c r="O222" s="27">
        <f>INDEX(Schedule!$A$1:$N$2000, MATCH($C222, VAV_Schedule_5_21[[#All],[UNIT TAG]], FALSE), 4)</f>
        <v>6</v>
      </c>
      <c r="P222">
        <v>220.63</v>
      </c>
      <c r="Q222" s="27">
        <f>INDEX(Schedule!$A$1:$N$2000, MATCH($C222, VAV_Schedule_5_21[[#All],[UNIT TAG]], FALSE), 5)</f>
        <v>350</v>
      </c>
      <c r="R222" s="27">
        <f>INDEX(Schedule!$A$1:$N$2000, MATCH($C222, VAV_Schedule_5_21[[#All],[UNIT TAG]], FALSE), 6)</f>
        <v>70</v>
      </c>
      <c r="S222" s="27">
        <f>INDEX(Schedule!$A$1:$N$2000, MATCH($C222, VAV_Schedule_5_21[[#All],[UNIT TAG]], FALSE), 5)</f>
        <v>350</v>
      </c>
      <c r="T222" s="27">
        <f>INDEX(Schedule!$A$1:$N$2000, MATCH($C222, VAV_Schedule_5_21[[#All],[UNIT TAG]], FALSE), 6)</f>
        <v>70</v>
      </c>
      <c r="U222" s="27">
        <f>INDEX(Schedule!$A$1:$N$2000, MATCH($C222, VAV_Schedule_5_21[[#All],[UNIT TAG]], FALSE), 5)</f>
        <v>350</v>
      </c>
      <c r="V222" s="27">
        <f>INDEX(Schedule!$A$1:$N$2000, MATCH($C222, VAV_Schedule_5_21[[#All],[UNIT TAG]], FALSE), 6)</f>
        <v>70</v>
      </c>
      <c r="W222" s="27">
        <f>INDEX(Schedule!$A$1:$N$2000, MATCH($C222, VAV_Schedule_5_21[[#All],[UNIT TAG]], FALSE), 6)</f>
        <v>70</v>
      </c>
      <c r="X222" s="27">
        <f>INDEX(Schedule!$A$1:$N$2000, MATCH($C222, VAV_Schedule_5_21[[#All],[UNIT TAG]], FALSE), 6)</f>
        <v>70</v>
      </c>
      <c r="Y222" s="27">
        <f>INDEX(Schedule!$A$1:$N$2000, MATCH($C222, VAV_Schedule_5_21[[#All],[UNIT TAG]], FALSE), 6)</f>
        <v>70</v>
      </c>
      <c r="Z222" s="27">
        <f>INDEX(Schedule!$A$1:$N$2000, MATCH($C222, VAV_Schedule_5_21[[#All],[UNIT TAG]], FALSE), 6)</f>
        <v>70</v>
      </c>
      <c r="AA222" s="27">
        <v>1000</v>
      </c>
      <c r="AB222" s="27">
        <v>1100</v>
      </c>
      <c r="AC222">
        <v>1400</v>
      </c>
      <c r="AD222" s="29">
        <f>IF(INDEX(Schedule!$A$1:$N$2000, MATCH($C222, VAV_Schedule_5_21[[#All],[UNIT TAG]], FALSE), 7)="-", 0, INDEX(Schedule!$A$1:$N$2000, MATCH($C222, VAV_Schedule_5_21[[#All],[UNIT TAG]], FALSE), 7))</f>
        <v>0</v>
      </c>
      <c r="AE222" t="str">
        <f>"B_01'" &amp; "Flr_0" &amp; INDEX(Joined!$A$3:$M$2000, MATCH($A222, Joined!$I$3:$I$2000, FALSE), 8)</f>
        <v>B_01'Flr_06</v>
      </c>
      <c r="AF222" t="str">
        <f>"R_" &amp; INDEX(Joined!$A$3:$M$2000, MATCH($A222, Joined!$I$3:$I$2000, FALSE), 7)</f>
        <v>R_VAV-6E-20</v>
      </c>
      <c r="AG222" t="str">
        <f>"B_01'" &amp; "Flr_0" &amp; INDEX(Joined!$A$3:$M$2000, MATCH($A222, Joined!$I$3:$I$2000, FALSE), 8)</f>
        <v>B_01'Flr_06</v>
      </c>
      <c r="AH222" t="str">
        <f>INDEX(Joined!$A$3:$M$2000, MATCH($A222, Joined!$I$3:$I$2000, FALSE), 7)</f>
        <v>VAV-6E-20</v>
      </c>
      <c r="AI222" t="s">
        <v>1550</v>
      </c>
    </row>
    <row r="223" spans="1:35" x14ac:dyDescent="0.2">
      <c r="A223" t="s">
        <v>723</v>
      </c>
      <c r="B223" t="str">
        <f>"B_01'" &amp; "Flr_0" &amp; INDEX(Joined!$A$3:$M$2000, MATCH($A223, Joined!$I$3:$I$2000, FALSE), 8)</f>
        <v>B_01'Flr_06</v>
      </c>
      <c r="C223" t="str">
        <f>INDEX(Joined!$A$3:$M$2000, MATCH($A223, Joined!$I$3:$I$2000, FALSE), 7)</f>
        <v>VAV-6E-21</v>
      </c>
      <c r="D223">
        <f>INDEX(Joined!$A$3:$M$2000, MATCH($A223, Joined!$I$3:$I$2000, FALSE), 5)</f>
        <v>151410</v>
      </c>
      <c r="E223" t="str">
        <f>INDEX(Joined!$A$3:$M$2000, MATCH($A223, Joined!$I$3:$I$2000, FALSE), 7)</f>
        <v>VAV-6E-21</v>
      </c>
      <c r="F223" t="s">
        <v>38</v>
      </c>
      <c r="G223" t="str">
        <f>INDEX(Schedule!$Q$2:$R$7, MATCH(ABT!$H223,Schedule!$Q$2:$Q$7, 0), 2)</f>
        <v>15010_DXR_VAV_DXR2M12</v>
      </c>
      <c r="H223">
        <f>INDEX(Joined!$A$3:$M$2000, MATCH($A223, Joined!$I$3:$I$2000, FALSE), 6)</f>
        <v>15010</v>
      </c>
      <c r="I223" t="str">
        <f>INDEX(Joined!$A$3:$M$2000, MATCH($A223, Joined!$I$3:$I$2000, FALSE), 4)</f>
        <v>514</v>
      </c>
      <c r="J223" t="b">
        <v>0</v>
      </c>
      <c r="K223">
        <f>INDEX(Joined!$A$3:$M$2000, MATCH($A223, Joined!$I$3:$I$2000, FALSE), 3)</f>
        <v>10</v>
      </c>
      <c r="L223">
        <v>85</v>
      </c>
      <c r="M223">
        <v>38400</v>
      </c>
      <c r="N223" s="27">
        <f>PI()*(INDEX(Schedule!$A$1:$N$2000, MATCH($C223, VAV_Schedule_5_21[[#All],[UNIT TAG]], FALSE), 4)/2/12)^2</f>
        <v>0.19634954084936207</v>
      </c>
      <c r="O223" s="27">
        <f>INDEX(Schedule!$A$1:$N$2000, MATCH($C223, VAV_Schedule_5_21[[#All],[UNIT TAG]], FALSE), 4)</f>
        <v>6</v>
      </c>
      <c r="P223">
        <v>221.63</v>
      </c>
      <c r="Q223" s="27">
        <f>INDEX(Schedule!$A$1:$N$2000, MATCH($C223, VAV_Schedule_5_21[[#All],[UNIT TAG]], FALSE), 5)</f>
        <v>200</v>
      </c>
      <c r="R223" s="27">
        <f>INDEX(Schedule!$A$1:$N$2000, MATCH($C223, VAV_Schedule_5_21[[#All],[UNIT TAG]], FALSE), 6)</f>
        <v>40</v>
      </c>
      <c r="S223" s="27">
        <f>INDEX(Schedule!$A$1:$N$2000, MATCH($C223, VAV_Schedule_5_21[[#All],[UNIT TAG]], FALSE), 5)</f>
        <v>200</v>
      </c>
      <c r="T223" s="27">
        <f>INDEX(Schedule!$A$1:$N$2000, MATCH($C223, VAV_Schedule_5_21[[#All],[UNIT TAG]], FALSE), 6)</f>
        <v>40</v>
      </c>
      <c r="U223" s="27">
        <f>INDEX(Schedule!$A$1:$N$2000, MATCH($C223, VAV_Schedule_5_21[[#All],[UNIT TAG]], FALSE), 5)</f>
        <v>200</v>
      </c>
      <c r="V223" s="27">
        <f>INDEX(Schedule!$A$1:$N$2000, MATCH($C223, VAV_Schedule_5_21[[#All],[UNIT TAG]], FALSE), 6)</f>
        <v>40</v>
      </c>
      <c r="W223" s="27">
        <f>INDEX(Schedule!$A$1:$N$2000, MATCH($C223, VAV_Schedule_5_21[[#All],[UNIT TAG]], FALSE), 6)</f>
        <v>40</v>
      </c>
      <c r="X223" s="27">
        <f>INDEX(Schedule!$A$1:$N$2000, MATCH($C223, VAV_Schedule_5_21[[#All],[UNIT TAG]], FALSE), 6)</f>
        <v>40</v>
      </c>
      <c r="Y223" s="27">
        <f>INDEX(Schedule!$A$1:$N$2000, MATCH($C223, VAV_Schedule_5_21[[#All],[UNIT TAG]], FALSE), 6)</f>
        <v>40</v>
      </c>
      <c r="Z223" s="27">
        <f>INDEX(Schedule!$A$1:$N$2000, MATCH($C223, VAV_Schedule_5_21[[#All],[UNIT TAG]], FALSE), 6)</f>
        <v>40</v>
      </c>
      <c r="AA223" s="27">
        <v>1000</v>
      </c>
      <c r="AB223" s="27">
        <v>1100</v>
      </c>
      <c r="AC223">
        <v>1400</v>
      </c>
      <c r="AD223" s="29">
        <f>IF(INDEX(Schedule!$A$1:$N$2000, MATCH($C223, VAV_Schedule_5_21[[#All],[UNIT TAG]], FALSE), 7)="-", 0, INDEX(Schedule!$A$1:$N$2000, MATCH($C223, VAV_Schedule_5_21[[#All],[UNIT TAG]], FALSE), 7))</f>
        <v>0</v>
      </c>
      <c r="AE223" t="str">
        <f>"B_01'" &amp; "Flr_0" &amp; INDEX(Joined!$A$3:$M$2000, MATCH($A223, Joined!$I$3:$I$2000, FALSE), 8)</f>
        <v>B_01'Flr_06</v>
      </c>
      <c r="AF223" t="str">
        <f>"R_" &amp; INDEX(Joined!$A$3:$M$2000, MATCH($A223, Joined!$I$3:$I$2000, FALSE), 7)</f>
        <v>R_VAV-6E-21</v>
      </c>
      <c r="AG223" t="str">
        <f>"B_01'" &amp; "Flr_0" &amp; INDEX(Joined!$A$3:$M$2000, MATCH($A223, Joined!$I$3:$I$2000, FALSE), 8)</f>
        <v>B_01'Flr_06</v>
      </c>
      <c r="AH223" t="str">
        <f>INDEX(Joined!$A$3:$M$2000, MATCH($A223, Joined!$I$3:$I$2000, FALSE), 7)</f>
        <v>VAV-6E-21</v>
      </c>
      <c r="AI223" t="s">
        <v>1551</v>
      </c>
    </row>
    <row r="224" spans="1:35" x14ac:dyDescent="0.2">
      <c r="A224" t="s">
        <v>724</v>
      </c>
      <c r="B224" t="str">
        <f>"B_01'" &amp; "Flr_0" &amp; INDEX(Joined!$A$3:$M$2000, MATCH($A224, Joined!$I$3:$I$2000, FALSE), 8)</f>
        <v>B_01'Flr_06</v>
      </c>
      <c r="C224" t="str">
        <f>INDEX(Joined!$A$3:$M$2000, MATCH($A224, Joined!$I$3:$I$2000, FALSE), 7)</f>
        <v>VAV-6E-22</v>
      </c>
      <c r="D224">
        <f>INDEX(Joined!$A$3:$M$2000, MATCH($A224, Joined!$I$3:$I$2000, FALSE), 5)</f>
        <v>151411</v>
      </c>
      <c r="E224" t="str">
        <f>INDEX(Joined!$A$3:$M$2000, MATCH($A224, Joined!$I$3:$I$2000, FALSE), 7)</f>
        <v>VAV-6E-22</v>
      </c>
      <c r="F224" t="s">
        <v>38</v>
      </c>
      <c r="G224" t="str">
        <f>INDEX(Schedule!$Q$2:$R$7, MATCH(ABT!$H224,Schedule!$Q$2:$Q$7, 0), 2)</f>
        <v>15011_DXR_VAV_DXR2M12</v>
      </c>
      <c r="H224">
        <f>INDEX(Joined!$A$3:$M$2000, MATCH($A224, Joined!$I$3:$I$2000, FALSE), 6)</f>
        <v>15011</v>
      </c>
      <c r="I224" t="str">
        <f>INDEX(Joined!$A$3:$M$2000, MATCH($A224, Joined!$I$3:$I$2000, FALSE), 4)</f>
        <v>514</v>
      </c>
      <c r="J224" t="b">
        <v>0</v>
      </c>
      <c r="K224">
        <f>INDEX(Joined!$A$3:$M$2000, MATCH($A224, Joined!$I$3:$I$2000, FALSE), 3)</f>
        <v>11</v>
      </c>
      <c r="L224">
        <v>85</v>
      </c>
      <c r="M224">
        <v>38400</v>
      </c>
      <c r="N224" s="27">
        <f>PI()*(INDEX(Schedule!$A$1:$N$2000, MATCH($C224, VAV_Schedule_5_21[[#All],[UNIT TAG]], FALSE), 4)/2/12)^2</f>
        <v>0.54541539124822802</v>
      </c>
      <c r="O224" s="27">
        <f>INDEX(Schedule!$A$1:$N$2000, MATCH($C224, VAV_Schedule_5_21[[#All],[UNIT TAG]], FALSE), 4)</f>
        <v>10</v>
      </c>
      <c r="P224">
        <v>222.63</v>
      </c>
      <c r="Q224" s="27">
        <f>INDEX(Schedule!$A$1:$N$2000, MATCH($C224, VAV_Schedule_5_21[[#All],[UNIT TAG]], FALSE), 5)</f>
        <v>1050</v>
      </c>
      <c r="R224" s="27">
        <f>INDEX(Schedule!$A$1:$N$2000, MATCH($C224, VAV_Schedule_5_21[[#All],[UNIT TAG]], FALSE), 6)</f>
        <v>210</v>
      </c>
      <c r="S224" s="27">
        <f>INDEX(Schedule!$A$1:$N$2000, MATCH($C224, VAV_Schedule_5_21[[#All],[UNIT TAG]], FALSE), 5)</f>
        <v>1050</v>
      </c>
      <c r="T224" s="27">
        <f>INDEX(Schedule!$A$1:$N$2000, MATCH($C224, VAV_Schedule_5_21[[#All],[UNIT TAG]], FALSE), 6)</f>
        <v>210</v>
      </c>
      <c r="U224" s="27">
        <f>INDEX(Schedule!$A$1:$N$2000, MATCH($C224, VAV_Schedule_5_21[[#All],[UNIT TAG]], FALSE), 5)</f>
        <v>1050</v>
      </c>
      <c r="V224" s="27">
        <f>INDEX(Schedule!$A$1:$N$2000, MATCH($C224, VAV_Schedule_5_21[[#All],[UNIT TAG]], FALSE), 6)</f>
        <v>210</v>
      </c>
      <c r="W224" s="27">
        <f>INDEX(Schedule!$A$1:$N$2000, MATCH($C224, VAV_Schedule_5_21[[#All],[UNIT TAG]], FALSE), 6)</f>
        <v>210</v>
      </c>
      <c r="X224" s="27">
        <f>INDEX(Schedule!$A$1:$N$2000, MATCH($C224, VAV_Schedule_5_21[[#All],[UNIT TAG]], FALSE), 6)</f>
        <v>210</v>
      </c>
      <c r="Y224" s="27">
        <f>INDEX(Schedule!$A$1:$N$2000, MATCH($C224, VAV_Schedule_5_21[[#All],[UNIT TAG]], FALSE), 6)</f>
        <v>210</v>
      </c>
      <c r="Z224" s="27">
        <f>INDEX(Schedule!$A$1:$N$2000, MATCH($C224, VAV_Schedule_5_21[[#All],[UNIT TAG]], FALSE), 6)</f>
        <v>210</v>
      </c>
      <c r="AA224" s="27">
        <v>1000</v>
      </c>
      <c r="AB224" s="27">
        <v>1100</v>
      </c>
      <c r="AC224">
        <v>1400</v>
      </c>
      <c r="AD224" s="29" t="str">
        <f>IF(INDEX(Schedule!$A$1:$N$2000, MATCH($C224, VAV_Schedule_5_21[[#All],[UNIT TAG]], FALSE), 7)="-", 0, INDEX(Schedule!$A$1:$N$2000, MATCH($C224, VAV_Schedule_5_21[[#All],[UNIT TAG]], FALSE), 7))</f>
        <v>7</v>
      </c>
      <c r="AE224" t="str">
        <f>"B_01'" &amp; "Flr_0" &amp; INDEX(Joined!$A$3:$M$2000, MATCH($A224, Joined!$I$3:$I$2000, FALSE), 8)</f>
        <v>B_01'Flr_06</v>
      </c>
      <c r="AF224" t="str">
        <f>"R_" &amp; INDEX(Joined!$A$3:$M$2000, MATCH($A224, Joined!$I$3:$I$2000, FALSE), 7)</f>
        <v>R_VAV-6E-22</v>
      </c>
      <c r="AG224" t="str">
        <f>"B_01'" &amp; "Flr_0" &amp; INDEX(Joined!$A$3:$M$2000, MATCH($A224, Joined!$I$3:$I$2000, FALSE), 8)</f>
        <v>B_01'Flr_06</v>
      </c>
      <c r="AH224" t="str">
        <f>INDEX(Joined!$A$3:$M$2000, MATCH($A224, Joined!$I$3:$I$2000, FALSE), 7)</f>
        <v>VAV-6E-22</v>
      </c>
      <c r="AI224" t="s">
        <v>1552</v>
      </c>
    </row>
    <row r="225" spans="1:35" x14ac:dyDescent="0.2">
      <c r="A225" t="s">
        <v>725</v>
      </c>
      <c r="B225" t="str">
        <f>"B_01'" &amp; "Flr_0" &amp; INDEX(Joined!$A$3:$M$2000, MATCH($A225, Joined!$I$3:$I$2000, FALSE), 8)</f>
        <v>B_01'Flr_06</v>
      </c>
      <c r="C225" t="str">
        <f>INDEX(Joined!$A$3:$M$2000, MATCH($A225, Joined!$I$3:$I$2000, FALSE), 7)</f>
        <v>VAV-6E-23</v>
      </c>
      <c r="D225">
        <f>INDEX(Joined!$A$3:$M$2000, MATCH($A225, Joined!$I$3:$I$2000, FALSE), 5)</f>
        <v>151412</v>
      </c>
      <c r="E225" t="str">
        <f>INDEX(Joined!$A$3:$M$2000, MATCH($A225, Joined!$I$3:$I$2000, FALSE), 7)</f>
        <v>VAV-6E-23</v>
      </c>
      <c r="F225" t="s">
        <v>38</v>
      </c>
      <c r="G225" t="str">
        <f>INDEX(Schedule!$Q$2:$R$7, MATCH(ABT!$H225,Schedule!$Q$2:$Q$7, 0), 2)</f>
        <v>15011_DXR_VAV_DXR2M12</v>
      </c>
      <c r="H225">
        <f>INDEX(Joined!$A$3:$M$2000, MATCH($A225, Joined!$I$3:$I$2000, FALSE), 6)</f>
        <v>15011</v>
      </c>
      <c r="I225" t="str">
        <f>INDEX(Joined!$A$3:$M$2000, MATCH($A225, Joined!$I$3:$I$2000, FALSE), 4)</f>
        <v>514</v>
      </c>
      <c r="J225" t="b">
        <v>0</v>
      </c>
      <c r="K225">
        <f>INDEX(Joined!$A$3:$M$2000, MATCH($A225, Joined!$I$3:$I$2000, FALSE), 3)</f>
        <v>12</v>
      </c>
      <c r="L225">
        <v>85</v>
      </c>
      <c r="M225">
        <v>38400</v>
      </c>
      <c r="N225" s="27">
        <f>PI()*(INDEX(Schedule!$A$1:$N$2000, MATCH($C225, VAV_Schedule_5_21[[#All],[UNIT TAG]], FALSE), 4)/2/12)^2</f>
        <v>0.3490658503988659</v>
      </c>
      <c r="O225" s="27">
        <f>INDEX(Schedule!$A$1:$N$2000, MATCH($C225, VAV_Schedule_5_21[[#All],[UNIT TAG]], FALSE), 4)</f>
        <v>8</v>
      </c>
      <c r="P225">
        <v>223.63</v>
      </c>
      <c r="Q225" s="27">
        <f>INDEX(Schedule!$A$1:$N$2000, MATCH($C225, VAV_Schedule_5_21[[#All],[UNIT TAG]], FALSE), 5)</f>
        <v>640</v>
      </c>
      <c r="R225" s="27">
        <f>INDEX(Schedule!$A$1:$N$2000, MATCH($C225, VAV_Schedule_5_21[[#All],[UNIT TAG]], FALSE), 6)</f>
        <v>130</v>
      </c>
      <c r="S225" s="27">
        <f>INDEX(Schedule!$A$1:$N$2000, MATCH($C225, VAV_Schedule_5_21[[#All],[UNIT TAG]], FALSE), 5)</f>
        <v>640</v>
      </c>
      <c r="T225" s="27">
        <f>INDEX(Schedule!$A$1:$N$2000, MATCH($C225, VAV_Schedule_5_21[[#All],[UNIT TAG]], FALSE), 6)</f>
        <v>130</v>
      </c>
      <c r="U225" s="27">
        <f>INDEX(Schedule!$A$1:$N$2000, MATCH($C225, VAV_Schedule_5_21[[#All],[UNIT TAG]], FALSE), 5)</f>
        <v>640</v>
      </c>
      <c r="V225" s="27">
        <f>INDEX(Schedule!$A$1:$N$2000, MATCH($C225, VAV_Schedule_5_21[[#All],[UNIT TAG]], FALSE), 6)</f>
        <v>130</v>
      </c>
      <c r="W225" s="27">
        <f>INDEX(Schedule!$A$1:$N$2000, MATCH($C225, VAV_Schedule_5_21[[#All],[UNIT TAG]], FALSE), 6)</f>
        <v>130</v>
      </c>
      <c r="X225" s="27">
        <f>INDEX(Schedule!$A$1:$N$2000, MATCH($C225, VAV_Schedule_5_21[[#All],[UNIT TAG]], FALSE), 6)</f>
        <v>130</v>
      </c>
      <c r="Y225" s="27">
        <f>INDEX(Schedule!$A$1:$N$2000, MATCH($C225, VAV_Schedule_5_21[[#All],[UNIT TAG]], FALSE), 6)</f>
        <v>130</v>
      </c>
      <c r="Z225" s="27">
        <f>INDEX(Schedule!$A$1:$N$2000, MATCH($C225, VAV_Schedule_5_21[[#All],[UNIT TAG]], FALSE), 6)</f>
        <v>130</v>
      </c>
      <c r="AA225" s="27">
        <v>1000</v>
      </c>
      <c r="AB225" s="27">
        <v>1100</v>
      </c>
      <c r="AC225">
        <v>1400</v>
      </c>
      <c r="AD225" s="29" t="str">
        <f>IF(INDEX(Schedule!$A$1:$N$2000, MATCH($C225, VAV_Schedule_5_21[[#All],[UNIT TAG]], FALSE), 7)="-", 0, INDEX(Schedule!$A$1:$N$2000, MATCH($C225, VAV_Schedule_5_21[[#All],[UNIT TAG]], FALSE), 7))</f>
        <v>6</v>
      </c>
      <c r="AE225" t="str">
        <f>"B_01'" &amp; "Flr_0" &amp; INDEX(Joined!$A$3:$M$2000, MATCH($A225, Joined!$I$3:$I$2000, FALSE), 8)</f>
        <v>B_01'Flr_06</v>
      </c>
      <c r="AF225" t="str">
        <f>"R_" &amp; INDEX(Joined!$A$3:$M$2000, MATCH($A225, Joined!$I$3:$I$2000, FALSE), 7)</f>
        <v>R_VAV-6E-23</v>
      </c>
      <c r="AG225" t="str">
        <f>"B_01'" &amp; "Flr_0" &amp; INDEX(Joined!$A$3:$M$2000, MATCH($A225, Joined!$I$3:$I$2000, FALSE), 8)</f>
        <v>B_01'Flr_06</v>
      </c>
      <c r="AH225" t="str">
        <f>INDEX(Joined!$A$3:$M$2000, MATCH($A225, Joined!$I$3:$I$2000, FALSE), 7)</f>
        <v>VAV-6E-23</v>
      </c>
      <c r="AI225" t="s">
        <v>1553</v>
      </c>
    </row>
    <row r="226" spans="1:35" x14ac:dyDescent="0.2">
      <c r="A226" t="s">
        <v>726</v>
      </c>
      <c r="B226" t="str">
        <f>"B_01'" &amp; "Flr_0" &amp; INDEX(Joined!$A$3:$M$2000, MATCH($A226, Joined!$I$3:$I$2000, FALSE), 8)</f>
        <v>B_01'Flr_06</v>
      </c>
      <c r="C226" t="str">
        <f>INDEX(Joined!$A$3:$M$2000, MATCH($A226, Joined!$I$3:$I$2000, FALSE), 7)</f>
        <v>VAV-6E-24</v>
      </c>
      <c r="D226">
        <f>INDEX(Joined!$A$3:$M$2000, MATCH($A226, Joined!$I$3:$I$2000, FALSE), 5)</f>
        <v>151413</v>
      </c>
      <c r="E226" t="str">
        <f>INDEX(Joined!$A$3:$M$2000, MATCH($A226, Joined!$I$3:$I$2000, FALSE), 7)</f>
        <v>VAV-6E-24</v>
      </c>
      <c r="F226" t="s">
        <v>38</v>
      </c>
      <c r="G226" t="str">
        <f>INDEX(Schedule!$Q$2:$R$7, MATCH(ABT!$H226,Schedule!$Q$2:$Q$7, 0), 2)</f>
        <v>15011_DXR_VAV_DXR2M12</v>
      </c>
      <c r="H226">
        <f>INDEX(Joined!$A$3:$M$2000, MATCH($A226, Joined!$I$3:$I$2000, FALSE), 6)</f>
        <v>15011</v>
      </c>
      <c r="I226" t="str">
        <f>INDEX(Joined!$A$3:$M$2000, MATCH($A226, Joined!$I$3:$I$2000, FALSE), 4)</f>
        <v>514</v>
      </c>
      <c r="J226" t="b">
        <v>0</v>
      </c>
      <c r="K226">
        <f>INDEX(Joined!$A$3:$M$2000, MATCH($A226, Joined!$I$3:$I$2000, FALSE), 3)</f>
        <v>13</v>
      </c>
      <c r="L226">
        <v>85</v>
      </c>
      <c r="M226">
        <v>38400</v>
      </c>
      <c r="N226" s="27">
        <f>PI()*(INDEX(Schedule!$A$1:$N$2000, MATCH($C226, VAV_Schedule_5_21[[#All],[UNIT TAG]], FALSE), 4)/2/12)^2</f>
        <v>0.54541539124822802</v>
      </c>
      <c r="O226" s="27">
        <f>INDEX(Schedule!$A$1:$N$2000, MATCH($C226, VAV_Schedule_5_21[[#All],[UNIT TAG]], FALSE), 4)</f>
        <v>10</v>
      </c>
      <c r="P226">
        <v>224.63</v>
      </c>
      <c r="Q226" s="27">
        <f>INDEX(Schedule!$A$1:$N$2000, MATCH($C226, VAV_Schedule_5_21[[#All],[UNIT TAG]], FALSE), 5)</f>
        <v>860</v>
      </c>
      <c r="R226" s="27">
        <f>INDEX(Schedule!$A$1:$N$2000, MATCH($C226, VAV_Schedule_5_21[[#All],[UNIT TAG]], FALSE), 6)</f>
        <v>175</v>
      </c>
      <c r="S226" s="27">
        <f>INDEX(Schedule!$A$1:$N$2000, MATCH($C226, VAV_Schedule_5_21[[#All],[UNIT TAG]], FALSE), 5)</f>
        <v>860</v>
      </c>
      <c r="T226" s="27">
        <f>INDEX(Schedule!$A$1:$N$2000, MATCH($C226, VAV_Schedule_5_21[[#All],[UNIT TAG]], FALSE), 6)</f>
        <v>175</v>
      </c>
      <c r="U226" s="27">
        <f>INDEX(Schedule!$A$1:$N$2000, MATCH($C226, VAV_Schedule_5_21[[#All],[UNIT TAG]], FALSE), 5)</f>
        <v>860</v>
      </c>
      <c r="V226" s="27">
        <f>INDEX(Schedule!$A$1:$N$2000, MATCH($C226, VAV_Schedule_5_21[[#All],[UNIT TAG]], FALSE), 6)</f>
        <v>175</v>
      </c>
      <c r="W226" s="27">
        <f>INDEX(Schedule!$A$1:$N$2000, MATCH($C226, VAV_Schedule_5_21[[#All],[UNIT TAG]], FALSE), 6)</f>
        <v>175</v>
      </c>
      <c r="X226" s="27">
        <f>INDEX(Schedule!$A$1:$N$2000, MATCH($C226, VAV_Schedule_5_21[[#All],[UNIT TAG]], FALSE), 6)</f>
        <v>175</v>
      </c>
      <c r="Y226" s="27">
        <f>INDEX(Schedule!$A$1:$N$2000, MATCH($C226, VAV_Schedule_5_21[[#All],[UNIT TAG]], FALSE), 6)</f>
        <v>175</v>
      </c>
      <c r="Z226" s="27">
        <f>INDEX(Schedule!$A$1:$N$2000, MATCH($C226, VAV_Schedule_5_21[[#All],[UNIT TAG]], FALSE), 6)</f>
        <v>175</v>
      </c>
      <c r="AA226" s="27">
        <v>1000</v>
      </c>
      <c r="AB226" s="27">
        <v>1100</v>
      </c>
      <c r="AC226">
        <v>1400</v>
      </c>
      <c r="AD226" s="29" t="str">
        <f>IF(INDEX(Schedule!$A$1:$N$2000, MATCH($C226, VAV_Schedule_5_21[[#All],[UNIT TAG]], FALSE), 7)="-", 0, INDEX(Schedule!$A$1:$N$2000, MATCH($C226, VAV_Schedule_5_21[[#All],[UNIT TAG]], FALSE), 7))</f>
        <v>6</v>
      </c>
      <c r="AE226" t="str">
        <f>"B_01'" &amp; "Flr_0" &amp; INDEX(Joined!$A$3:$M$2000, MATCH($A226, Joined!$I$3:$I$2000, FALSE), 8)</f>
        <v>B_01'Flr_06</v>
      </c>
      <c r="AF226" t="str">
        <f>"R_" &amp; INDEX(Joined!$A$3:$M$2000, MATCH($A226, Joined!$I$3:$I$2000, FALSE), 7)</f>
        <v>R_VAV-6E-24</v>
      </c>
      <c r="AG226" t="str">
        <f>"B_01'" &amp; "Flr_0" &amp; INDEX(Joined!$A$3:$M$2000, MATCH($A226, Joined!$I$3:$I$2000, FALSE), 8)</f>
        <v>B_01'Flr_06</v>
      </c>
      <c r="AH226" t="str">
        <f>INDEX(Joined!$A$3:$M$2000, MATCH($A226, Joined!$I$3:$I$2000, FALSE), 7)</f>
        <v>VAV-6E-24</v>
      </c>
      <c r="AI226" t="s">
        <v>1554</v>
      </c>
    </row>
    <row r="227" spans="1:35" x14ac:dyDescent="0.2">
      <c r="A227" t="s">
        <v>727</v>
      </c>
      <c r="B227" t="str">
        <f>"B_01'" &amp; "Flr_0" &amp; INDEX(Joined!$A$3:$M$2000, MATCH($A227, Joined!$I$3:$I$2000, FALSE), 8)</f>
        <v>B_01'Flr_06</v>
      </c>
      <c r="C227" t="str">
        <f>INDEX(Joined!$A$3:$M$2000, MATCH($A227, Joined!$I$3:$I$2000, FALSE), 7)</f>
        <v>VAV-6E-25</v>
      </c>
      <c r="D227">
        <f>INDEX(Joined!$A$3:$M$2000, MATCH($A227, Joined!$I$3:$I$2000, FALSE), 5)</f>
        <v>151414</v>
      </c>
      <c r="E227" t="str">
        <f>INDEX(Joined!$A$3:$M$2000, MATCH($A227, Joined!$I$3:$I$2000, FALSE), 7)</f>
        <v>VAV-6E-25</v>
      </c>
      <c r="F227" t="s">
        <v>38</v>
      </c>
      <c r="G227" t="str">
        <f>INDEX(Schedule!$Q$2:$R$7, MATCH(ABT!$H227,Schedule!$Q$2:$Q$7, 0), 2)</f>
        <v>15011_DXR_VAV_DXR2M12</v>
      </c>
      <c r="H227">
        <f>INDEX(Joined!$A$3:$M$2000, MATCH($A227, Joined!$I$3:$I$2000, FALSE), 6)</f>
        <v>15011</v>
      </c>
      <c r="I227" t="str">
        <f>INDEX(Joined!$A$3:$M$2000, MATCH($A227, Joined!$I$3:$I$2000, FALSE), 4)</f>
        <v>514</v>
      </c>
      <c r="J227" t="b">
        <v>0</v>
      </c>
      <c r="K227">
        <f>INDEX(Joined!$A$3:$M$2000, MATCH($A227, Joined!$I$3:$I$2000, FALSE), 3)</f>
        <v>14</v>
      </c>
      <c r="L227">
        <v>85</v>
      </c>
      <c r="M227">
        <v>38400</v>
      </c>
      <c r="N227" s="27">
        <f>PI()*(INDEX(Schedule!$A$1:$N$2000, MATCH($C227, VAV_Schedule_5_21[[#All],[UNIT TAG]], FALSE), 4)/2/12)^2</f>
        <v>0.3490658503988659</v>
      </c>
      <c r="O227" s="27">
        <f>INDEX(Schedule!$A$1:$N$2000, MATCH($C227, VAV_Schedule_5_21[[#All],[UNIT TAG]], FALSE), 4)</f>
        <v>8</v>
      </c>
      <c r="P227">
        <v>225.63</v>
      </c>
      <c r="Q227" s="27">
        <f>INDEX(Schedule!$A$1:$N$2000, MATCH($C227, VAV_Schedule_5_21[[#All],[UNIT TAG]], FALSE), 5)</f>
        <v>690</v>
      </c>
      <c r="R227" s="27">
        <f>INDEX(Schedule!$A$1:$N$2000, MATCH($C227, VAV_Schedule_5_21[[#All],[UNIT TAG]], FALSE), 6)</f>
        <v>140</v>
      </c>
      <c r="S227" s="27">
        <f>INDEX(Schedule!$A$1:$N$2000, MATCH($C227, VAV_Schedule_5_21[[#All],[UNIT TAG]], FALSE), 5)</f>
        <v>690</v>
      </c>
      <c r="T227" s="27">
        <f>INDEX(Schedule!$A$1:$N$2000, MATCH($C227, VAV_Schedule_5_21[[#All],[UNIT TAG]], FALSE), 6)</f>
        <v>140</v>
      </c>
      <c r="U227" s="27">
        <f>INDEX(Schedule!$A$1:$N$2000, MATCH($C227, VAV_Schedule_5_21[[#All],[UNIT TAG]], FALSE), 5)</f>
        <v>690</v>
      </c>
      <c r="V227" s="27">
        <f>INDEX(Schedule!$A$1:$N$2000, MATCH($C227, VAV_Schedule_5_21[[#All],[UNIT TAG]], FALSE), 6)</f>
        <v>140</v>
      </c>
      <c r="W227" s="27">
        <f>INDEX(Schedule!$A$1:$N$2000, MATCH($C227, VAV_Schedule_5_21[[#All],[UNIT TAG]], FALSE), 6)</f>
        <v>140</v>
      </c>
      <c r="X227" s="27">
        <f>INDEX(Schedule!$A$1:$N$2000, MATCH($C227, VAV_Schedule_5_21[[#All],[UNIT TAG]], FALSE), 6)</f>
        <v>140</v>
      </c>
      <c r="Y227" s="27">
        <f>INDEX(Schedule!$A$1:$N$2000, MATCH($C227, VAV_Schedule_5_21[[#All],[UNIT TAG]], FALSE), 6)</f>
        <v>140</v>
      </c>
      <c r="Z227" s="27">
        <f>INDEX(Schedule!$A$1:$N$2000, MATCH($C227, VAV_Schedule_5_21[[#All],[UNIT TAG]], FALSE), 6)</f>
        <v>140</v>
      </c>
      <c r="AA227" s="27">
        <v>1000</v>
      </c>
      <c r="AB227" s="27">
        <v>1100</v>
      </c>
      <c r="AC227">
        <v>1400</v>
      </c>
      <c r="AD227" s="29" t="str">
        <f>IF(INDEX(Schedule!$A$1:$N$2000, MATCH($C227, VAV_Schedule_5_21[[#All],[UNIT TAG]], FALSE), 7)="-", 0, INDEX(Schedule!$A$1:$N$2000, MATCH($C227, VAV_Schedule_5_21[[#All],[UNIT TAG]], FALSE), 7))</f>
        <v>6</v>
      </c>
      <c r="AE227" t="str">
        <f>"B_01'" &amp; "Flr_0" &amp; INDEX(Joined!$A$3:$M$2000, MATCH($A227, Joined!$I$3:$I$2000, FALSE), 8)</f>
        <v>B_01'Flr_06</v>
      </c>
      <c r="AF227" t="str">
        <f>"R_" &amp; INDEX(Joined!$A$3:$M$2000, MATCH($A227, Joined!$I$3:$I$2000, FALSE), 7)</f>
        <v>R_VAV-6E-25</v>
      </c>
      <c r="AG227" t="str">
        <f>"B_01'" &amp; "Flr_0" &amp; INDEX(Joined!$A$3:$M$2000, MATCH($A227, Joined!$I$3:$I$2000, FALSE), 8)</f>
        <v>B_01'Flr_06</v>
      </c>
      <c r="AH227" t="str">
        <f>INDEX(Joined!$A$3:$M$2000, MATCH($A227, Joined!$I$3:$I$2000, FALSE), 7)</f>
        <v>VAV-6E-25</v>
      </c>
      <c r="AI227" t="s">
        <v>1555</v>
      </c>
    </row>
    <row r="228" spans="1:35" x14ac:dyDescent="0.2">
      <c r="A228" t="s">
        <v>728</v>
      </c>
      <c r="B228" t="str">
        <f>"B_01'" &amp; "Flr_0" &amp; INDEX(Joined!$A$3:$M$2000, MATCH($A228, Joined!$I$3:$I$2000, FALSE), 8)</f>
        <v>B_01'Flr_06</v>
      </c>
      <c r="C228" t="str">
        <f>INDEX(Joined!$A$3:$M$2000, MATCH($A228, Joined!$I$3:$I$2000, FALSE), 7)</f>
        <v>VAV-6E-26</v>
      </c>
      <c r="D228">
        <f>INDEX(Joined!$A$3:$M$2000, MATCH($A228, Joined!$I$3:$I$2000, FALSE), 5)</f>
        <v>151415</v>
      </c>
      <c r="E228" t="str">
        <f>INDEX(Joined!$A$3:$M$2000, MATCH($A228, Joined!$I$3:$I$2000, FALSE), 7)</f>
        <v>VAV-6E-26</v>
      </c>
      <c r="F228" t="s">
        <v>38</v>
      </c>
      <c r="G228" t="str">
        <f>INDEX(Schedule!$Q$2:$R$7, MATCH(ABT!$H228,Schedule!$Q$2:$Q$7, 0), 2)</f>
        <v>15010_DXR_VAV_DXR2M12</v>
      </c>
      <c r="H228">
        <f>INDEX(Joined!$A$3:$M$2000, MATCH($A228, Joined!$I$3:$I$2000, FALSE), 6)</f>
        <v>15010</v>
      </c>
      <c r="I228" t="str">
        <f>INDEX(Joined!$A$3:$M$2000, MATCH($A228, Joined!$I$3:$I$2000, FALSE), 4)</f>
        <v>514</v>
      </c>
      <c r="J228" t="b">
        <v>0</v>
      </c>
      <c r="K228">
        <f>INDEX(Joined!$A$3:$M$2000, MATCH($A228, Joined!$I$3:$I$2000, FALSE), 3)</f>
        <v>15</v>
      </c>
      <c r="L228">
        <v>85</v>
      </c>
      <c r="M228">
        <v>38400</v>
      </c>
      <c r="N228" s="27">
        <f>PI()*(INDEX(Schedule!$A$1:$N$2000, MATCH($C228, VAV_Schedule_5_21[[#All],[UNIT TAG]], FALSE), 4)/2/12)^2</f>
        <v>0.78539816339744828</v>
      </c>
      <c r="O228" s="27">
        <f>INDEX(Schedule!$A$1:$N$2000, MATCH($C228, VAV_Schedule_5_21[[#All],[UNIT TAG]], FALSE), 4)</f>
        <v>12</v>
      </c>
      <c r="P228">
        <v>226.63</v>
      </c>
      <c r="Q228" s="27">
        <f>INDEX(Schedule!$A$1:$N$2000, MATCH($C228, VAV_Schedule_5_21[[#All],[UNIT TAG]], FALSE), 5)</f>
        <v>1310</v>
      </c>
      <c r="R228" s="27">
        <f>INDEX(Schedule!$A$1:$N$2000, MATCH($C228, VAV_Schedule_5_21[[#All],[UNIT TAG]], FALSE), 6)</f>
        <v>265</v>
      </c>
      <c r="S228" s="27">
        <f>INDEX(Schedule!$A$1:$N$2000, MATCH($C228, VAV_Schedule_5_21[[#All],[UNIT TAG]], FALSE), 5)</f>
        <v>1310</v>
      </c>
      <c r="T228" s="27">
        <f>INDEX(Schedule!$A$1:$N$2000, MATCH($C228, VAV_Schedule_5_21[[#All],[UNIT TAG]], FALSE), 6)</f>
        <v>265</v>
      </c>
      <c r="U228" s="27">
        <f>INDEX(Schedule!$A$1:$N$2000, MATCH($C228, VAV_Schedule_5_21[[#All],[UNIT TAG]], FALSE), 5)</f>
        <v>1310</v>
      </c>
      <c r="V228" s="27">
        <f>INDEX(Schedule!$A$1:$N$2000, MATCH($C228, VAV_Schedule_5_21[[#All],[UNIT TAG]], FALSE), 6)</f>
        <v>265</v>
      </c>
      <c r="W228" s="27">
        <f>INDEX(Schedule!$A$1:$N$2000, MATCH($C228, VAV_Schedule_5_21[[#All],[UNIT TAG]], FALSE), 6)</f>
        <v>265</v>
      </c>
      <c r="X228" s="27">
        <f>INDEX(Schedule!$A$1:$N$2000, MATCH($C228, VAV_Schedule_5_21[[#All],[UNIT TAG]], FALSE), 6)</f>
        <v>265</v>
      </c>
      <c r="Y228" s="27">
        <f>INDEX(Schedule!$A$1:$N$2000, MATCH($C228, VAV_Schedule_5_21[[#All],[UNIT TAG]], FALSE), 6)</f>
        <v>265</v>
      </c>
      <c r="Z228" s="27">
        <f>INDEX(Schedule!$A$1:$N$2000, MATCH($C228, VAV_Schedule_5_21[[#All],[UNIT TAG]], FALSE), 6)</f>
        <v>265</v>
      </c>
      <c r="AA228" s="27">
        <v>1000</v>
      </c>
      <c r="AB228" s="27">
        <v>1100</v>
      </c>
      <c r="AC228">
        <v>1400</v>
      </c>
      <c r="AD228" s="29">
        <f>IF(INDEX(Schedule!$A$1:$N$2000, MATCH($C228, VAV_Schedule_5_21[[#All],[UNIT TAG]], FALSE), 7)="-", 0, INDEX(Schedule!$A$1:$N$2000, MATCH($C228, VAV_Schedule_5_21[[#All],[UNIT TAG]], FALSE), 7))</f>
        <v>0</v>
      </c>
      <c r="AE228" t="str">
        <f>"B_01'" &amp; "Flr_0" &amp; INDEX(Joined!$A$3:$M$2000, MATCH($A228, Joined!$I$3:$I$2000, FALSE), 8)</f>
        <v>B_01'Flr_06</v>
      </c>
      <c r="AF228" t="str">
        <f>"R_" &amp; INDEX(Joined!$A$3:$M$2000, MATCH($A228, Joined!$I$3:$I$2000, FALSE), 7)</f>
        <v>R_VAV-6E-26</v>
      </c>
      <c r="AG228" t="str">
        <f>"B_01'" &amp; "Flr_0" &amp; INDEX(Joined!$A$3:$M$2000, MATCH($A228, Joined!$I$3:$I$2000, FALSE), 8)</f>
        <v>B_01'Flr_06</v>
      </c>
      <c r="AH228" t="str">
        <f>INDEX(Joined!$A$3:$M$2000, MATCH($A228, Joined!$I$3:$I$2000, FALSE), 7)</f>
        <v>VAV-6E-26</v>
      </c>
      <c r="AI228" t="s">
        <v>1556</v>
      </c>
    </row>
    <row r="229" spans="1:35" x14ac:dyDescent="0.2">
      <c r="A229" t="s">
        <v>729</v>
      </c>
      <c r="B229" t="str">
        <f>"B_01'" &amp; "Flr_0" &amp; INDEX(Joined!$A$3:$M$2000, MATCH($A229, Joined!$I$3:$I$2000, FALSE), 8)</f>
        <v>B_01'Flr_06</v>
      </c>
      <c r="C229" t="str">
        <f>INDEX(Joined!$A$3:$M$2000, MATCH($A229, Joined!$I$3:$I$2000, FALSE), 7)</f>
        <v>VAV-6E-27</v>
      </c>
      <c r="D229">
        <f>INDEX(Joined!$A$3:$M$2000, MATCH($A229, Joined!$I$3:$I$2000, FALSE), 5)</f>
        <v>151416</v>
      </c>
      <c r="E229" t="str">
        <f>INDEX(Joined!$A$3:$M$2000, MATCH($A229, Joined!$I$3:$I$2000, FALSE), 7)</f>
        <v>VAV-6E-27</v>
      </c>
      <c r="F229" t="s">
        <v>38</v>
      </c>
      <c r="G229" t="str">
        <f>INDEX(Schedule!$Q$2:$R$7, MATCH(ABT!$H229,Schedule!$Q$2:$Q$7, 0), 2)</f>
        <v>15010_DXR_VAV_DXR2M12</v>
      </c>
      <c r="H229">
        <f>INDEX(Joined!$A$3:$M$2000, MATCH($A229, Joined!$I$3:$I$2000, FALSE), 6)</f>
        <v>15010</v>
      </c>
      <c r="I229" t="str">
        <f>INDEX(Joined!$A$3:$M$2000, MATCH($A229, Joined!$I$3:$I$2000, FALSE), 4)</f>
        <v>514</v>
      </c>
      <c r="J229" t="b">
        <v>0</v>
      </c>
      <c r="K229">
        <f>INDEX(Joined!$A$3:$M$2000, MATCH($A229, Joined!$I$3:$I$2000, FALSE), 3)</f>
        <v>16</v>
      </c>
      <c r="L229">
        <v>85</v>
      </c>
      <c r="M229">
        <v>38400</v>
      </c>
      <c r="N229" s="27">
        <f>PI()*(INDEX(Schedule!$A$1:$N$2000, MATCH($C229, VAV_Schedule_5_21[[#All],[UNIT TAG]], FALSE), 4)/2/12)^2</f>
        <v>0.54541539124822802</v>
      </c>
      <c r="O229" s="27">
        <f>INDEX(Schedule!$A$1:$N$2000, MATCH($C229, VAV_Schedule_5_21[[#All],[UNIT TAG]], FALSE), 4)</f>
        <v>10</v>
      </c>
      <c r="P229">
        <v>227.63</v>
      </c>
      <c r="Q229" s="27">
        <f>INDEX(Schedule!$A$1:$N$2000, MATCH($C229, VAV_Schedule_5_21[[#All],[UNIT TAG]], FALSE), 5)</f>
        <v>925</v>
      </c>
      <c r="R229" s="27">
        <f>INDEX(Schedule!$A$1:$N$2000, MATCH($C229, VAV_Schedule_5_21[[#All],[UNIT TAG]], FALSE), 6)</f>
        <v>0</v>
      </c>
      <c r="S229" s="27">
        <f>INDEX(Schedule!$A$1:$N$2000, MATCH($C229, VAV_Schedule_5_21[[#All],[UNIT TAG]], FALSE), 5)</f>
        <v>925</v>
      </c>
      <c r="T229" s="27">
        <f>INDEX(Schedule!$A$1:$N$2000, MATCH($C229, VAV_Schedule_5_21[[#All],[UNIT TAG]], FALSE), 6)</f>
        <v>0</v>
      </c>
      <c r="U229" s="27">
        <f>INDEX(Schedule!$A$1:$N$2000, MATCH($C229, VAV_Schedule_5_21[[#All],[UNIT TAG]], FALSE), 5)</f>
        <v>925</v>
      </c>
      <c r="V229" s="27">
        <f>INDEX(Schedule!$A$1:$N$2000, MATCH($C229, VAV_Schedule_5_21[[#All],[UNIT TAG]], FALSE), 6)</f>
        <v>0</v>
      </c>
      <c r="W229" s="27">
        <f>INDEX(Schedule!$A$1:$N$2000, MATCH($C229, VAV_Schedule_5_21[[#All],[UNIT TAG]], FALSE), 6)</f>
        <v>0</v>
      </c>
      <c r="X229" s="27">
        <f>INDEX(Schedule!$A$1:$N$2000, MATCH($C229, VAV_Schedule_5_21[[#All],[UNIT TAG]], FALSE), 6)</f>
        <v>0</v>
      </c>
      <c r="Y229" s="27">
        <f>INDEX(Schedule!$A$1:$N$2000, MATCH($C229, VAV_Schedule_5_21[[#All],[UNIT TAG]], FALSE), 6)</f>
        <v>0</v>
      </c>
      <c r="Z229" s="27">
        <f>INDEX(Schedule!$A$1:$N$2000, MATCH($C229, VAV_Schedule_5_21[[#All],[UNIT TAG]], FALSE), 6)</f>
        <v>0</v>
      </c>
      <c r="AA229" s="27">
        <v>1000</v>
      </c>
      <c r="AB229" s="27">
        <v>1100</v>
      </c>
      <c r="AC229">
        <v>1400</v>
      </c>
      <c r="AD229" s="29">
        <f>IF(INDEX(Schedule!$A$1:$N$2000, MATCH($C229, VAV_Schedule_5_21[[#All],[UNIT TAG]], FALSE), 7)="-", 0, INDEX(Schedule!$A$1:$N$2000, MATCH($C229, VAV_Schedule_5_21[[#All],[UNIT TAG]], FALSE), 7))</f>
        <v>0</v>
      </c>
      <c r="AE229" t="str">
        <f>"B_01'" &amp; "Flr_0" &amp; INDEX(Joined!$A$3:$M$2000, MATCH($A229, Joined!$I$3:$I$2000, FALSE), 8)</f>
        <v>B_01'Flr_06</v>
      </c>
      <c r="AF229" t="str">
        <f>"R_" &amp; INDEX(Joined!$A$3:$M$2000, MATCH($A229, Joined!$I$3:$I$2000, FALSE), 7)</f>
        <v>R_VAV-6E-27</v>
      </c>
      <c r="AG229" t="str">
        <f>"B_01'" &amp; "Flr_0" &amp; INDEX(Joined!$A$3:$M$2000, MATCH($A229, Joined!$I$3:$I$2000, FALSE), 8)</f>
        <v>B_01'Flr_06</v>
      </c>
      <c r="AH229" t="str">
        <f>INDEX(Joined!$A$3:$M$2000, MATCH($A229, Joined!$I$3:$I$2000, FALSE), 7)</f>
        <v>VAV-6E-27</v>
      </c>
      <c r="AI229" t="s">
        <v>1557</v>
      </c>
    </row>
    <row r="230" spans="1:35" x14ac:dyDescent="0.2">
      <c r="A230" t="s">
        <v>730</v>
      </c>
      <c r="B230" t="str">
        <f>"B_01'" &amp; "Flr_0" &amp; INDEX(Joined!$A$3:$M$2000, MATCH($A230, Joined!$I$3:$I$2000, FALSE), 8)</f>
        <v>B_01'Flr_06</v>
      </c>
      <c r="C230" t="str">
        <f>INDEX(Joined!$A$3:$M$2000, MATCH($A230, Joined!$I$3:$I$2000, FALSE), 7)</f>
        <v>VAV-6E-28</v>
      </c>
      <c r="D230">
        <f>INDEX(Joined!$A$3:$M$2000, MATCH($A230, Joined!$I$3:$I$2000, FALSE), 5)</f>
        <v>151417</v>
      </c>
      <c r="E230" t="str">
        <f>INDEX(Joined!$A$3:$M$2000, MATCH($A230, Joined!$I$3:$I$2000, FALSE), 7)</f>
        <v>VAV-6E-28</v>
      </c>
      <c r="F230" t="s">
        <v>38</v>
      </c>
      <c r="G230" t="str">
        <f>INDEX(Schedule!$Q$2:$R$7, MATCH(ABT!$H230,Schedule!$Q$2:$Q$7, 0), 2)</f>
        <v>15010_DXR_VAV_DXR2M12</v>
      </c>
      <c r="H230">
        <f>INDEX(Joined!$A$3:$M$2000, MATCH($A230, Joined!$I$3:$I$2000, FALSE), 6)</f>
        <v>15010</v>
      </c>
      <c r="I230" t="str">
        <f>INDEX(Joined!$A$3:$M$2000, MATCH($A230, Joined!$I$3:$I$2000, FALSE), 4)</f>
        <v>514</v>
      </c>
      <c r="J230" t="b">
        <v>0</v>
      </c>
      <c r="K230">
        <f>INDEX(Joined!$A$3:$M$2000, MATCH($A230, Joined!$I$3:$I$2000, FALSE), 3)</f>
        <v>17</v>
      </c>
      <c r="L230">
        <v>85</v>
      </c>
      <c r="M230">
        <v>38400</v>
      </c>
      <c r="N230" s="27">
        <f>PI()*(INDEX(Schedule!$A$1:$N$2000, MATCH($C230, VAV_Schedule_5_21[[#All],[UNIT TAG]], FALSE), 4)/2/12)^2</f>
        <v>0.78539816339744828</v>
      </c>
      <c r="O230" s="27">
        <f>INDEX(Schedule!$A$1:$N$2000, MATCH($C230, VAV_Schedule_5_21[[#All],[UNIT TAG]], FALSE), 4)</f>
        <v>12</v>
      </c>
      <c r="P230">
        <v>228.63</v>
      </c>
      <c r="Q230" s="27">
        <f>INDEX(Schedule!$A$1:$N$2000, MATCH($C230, VAV_Schedule_5_21[[#All],[UNIT TAG]], FALSE), 5)</f>
        <v>1510</v>
      </c>
      <c r="R230" s="27">
        <f>INDEX(Schedule!$A$1:$N$2000, MATCH($C230, VAV_Schedule_5_21[[#All],[UNIT TAG]], FALSE), 6)</f>
        <v>305</v>
      </c>
      <c r="S230" s="27">
        <f>INDEX(Schedule!$A$1:$N$2000, MATCH($C230, VAV_Schedule_5_21[[#All],[UNIT TAG]], FALSE), 5)</f>
        <v>1510</v>
      </c>
      <c r="T230" s="27">
        <f>INDEX(Schedule!$A$1:$N$2000, MATCH($C230, VAV_Schedule_5_21[[#All],[UNIT TAG]], FALSE), 6)</f>
        <v>305</v>
      </c>
      <c r="U230" s="27">
        <f>INDEX(Schedule!$A$1:$N$2000, MATCH($C230, VAV_Schedule_5_21[[#All],[UNIT TAG]], FALSE), 5)</f>
        <v>1510</v>
      </c>
      <c r="V230" s="27">
        <f>INDEX(Schedule!$A$1:$N$2000, MATCH($C230, VAV_Schedule_5_21[[#All],[UNIT TAG]], FALSE), 6)</f>
        <v>305</v>
      </c>
      <c r="W230" s="27">
        <f>INDEX(Schedule!$A$1:$N$2000, MATCH($C230, VAV_Schedule_5_21[[#All],[UNIT TAG]], FALSE), 6)</f>
        <v>305</v>
      </c>
      <c r="X230" s="27">
        <f>INDEX(Schedule!$A$1:$N$2000, MATCH($C230, VAV_Schedule_5_21[[#All],[UNIT TAG]], FALSE), 6)</f>
        <v>305</v>
      </c>
      <c r="Y230" s="27">
        <f>INDEX(Schedule!$A$1:$N$2000, MATCH($C230, VAV_Schedule_5_21[[#All],[UNIT TAG]], FALSE), 6)</f>
        <v>305</v>
      </c>
      <c r="Z230" s="27">
        <f>INDEX(Schedule!$A$1:$N$2000, MATCH($C230, VAV_Schedule_5_21[[#All],[UNIT TAG]], FALSE), 6)</f>
        <v>305</v>
      </c>
      <c r="AA230" s="27">
        <v>1000</v>
      </c>
      <c r="AB230" s="27">
        <v>1100</v>
      </c>
      <c r="AC230">
        <v>1400</v>
      </c>
      <c r="AD230" s="29">
        <f>IF(INDEX(Schedule!$A$1:$N$2000, MATCH($C230, VAV_Schedule_5_21[[#All],[UNIT TAG]], FALSE), 7)="-", 0, INDEX(Schedule!$A$1:$N$2000, MATCH($C230, VAV_Schedule_5_21[[#All],[UNIT TAG]], FALSE), 7))</f>
        <v>0</v>
      </c>
      <c r="AE230" t="str">
        <f>"B_01'" &amp; "Flr_0" &amp; INDEX(Joined!$A$3:$M$2000, MATCH($A230, Joined!$I$3:$I$2000, FALSE), 8)</f>
        <v>B_01'Flr_06</v>
      </c>
      <c r="AF230" t="str">
        <f>"R_" &amp; INDEX(Joined!$A$3:$M$2000, MATCH($A230, Joined!$I$3:$I$2000, FALSE), 7)</f>
        <v>R_VAV-6E-28</v>
      </c>
      <c r="AG230" t="str">
        <f>"B_01'" &amp; "Flr_0" &amp; INDEX(Joined!$A$3:$M$2000, MATCH($A230, Joined!$I$3:$I$2000, FALSE), 8)</f>
        <v>B_01'Flr_06</v>
      </c>
      <c r="AH230" t="str">
        <f>INDEX(Joined!$A$3:$M$2000, MATCH($A230, Joined!$I$3:$I$2000, FALSE), 7)</f>
        <v>VAV-6E-28</v>
      </c>
      <c r="AI230" t="s">
        <v>1558</v>
      </c>
    </row>
    <row r="231" spans="1:35" x14ac:dyDescent="0.2">
      <c r="A231" t="s">
        <v>731</v>
      </c>
      <c r="B231" t="str">
        <f>"B_01'" &amp; "Flr_0" &amp; INDEX(Joined!$A$3:$M$2000, MATCH($A231, Joined!$I$3:$I$2000, FALSE), 8)</f>
        <v>B_01'Flr_06</v>
      </c>
      <c r="C231" t="str">
        <f>INDEX(Joined!$A$3:$M$2000, MATCH($A231, Joined!$I$3:$I$2000, FALSE), 7)</f>
        <v>VAV-6E-29</v>
      </c>
      <c r="D231">
        <f>INDEX(Joined!$A$3:$M$2000, MATCH($A231, Joined!$I$3:$I$2000, FALSE), 5)</f>
        <v>151418</v>
      </c>
      <c r="E231" t="str">
        <f>INDEX(Joined!$A$3:$M$2000, MATCH($A231, Joined!$I$3:$I$2000, FALSE), 7)</f>
        <v>VAV-6E-29</v>
      </c>
      <c r="F231" t="s">
        <v>38</v>
      </c>
      <c r="G231" t="str">
        <f>INDEX(Schedule!$Q$2:$R$7, MATCH(ABT!$H231,Schedule!$Q$2:$Q$7, 0), 2)</f>
        <v>15011_DXR_VAV_DXR2M12</v>
      </c>
      <c r="H231">
        <f>INDEX(Joined!$A$3:$M$2000, MATCH($A231, Joined!$I$3:$I$2000, FALSE), 6)</f>
        <v>15011</v>
      </c>
      <c r="I231" t="str">
        <f>INDEX(Joined!$A$3:$M$2000, MATCH($A231, Joined!$I$3:$I$2000, FALSE), 4)</f>
        <v>514</v>
      </c>
      <c r="J231" t="b">
        <v>0</v>
      </c>
      <c r="K231">
        <f>INDEX(Joined!$A$3:$M$2000, MATCH($A231, Joined!$I$3:$I$2000, FALSE), 3)</f>
        <v>18</v>
      </c>
      <c r="L231">
        <v>85</v>
      </c>
      <c r="M231">
        <v>38400</v>
      </c>
      <c r="N231" s="27">
        <f>PI()*(INDEX(Schedule!$A$1:$N$2000, MATCH($C231, VAV_Schedule_5_21[[#All],[UNIT TAG]], FALSE), 4)/2/12)^2</f>
        <v>0.54541539124822802</v>
      </c>
      <c r="O231" s="27">
        <f>INDEX(Schedule!$A$1:$N$2000, MATCH($C231, VAV_Schedule_5_21[[#All],[UNIT TAG]], FALSE), 4)</f>
        <v>10</v>
      </c>
      <c r="P231">
        <v>229.63</v>
      </c>
      <c r="Q231" s="27">
        <f>INDEX(Schedule!$A$1:$N$2000, MATCH($C231, VAV_Schedule_5_21[[#All],[UNIT TAG]], FALSE), 5)</f>
        <v>800</v>
      </c>
      <c r="R231" s="27">
        <f>INDEX(Schedule!$A$1:$N$2000, MATCH($C231, VAV_Schedule_5_21[[#All],[UNIT TAG]], FALSE), 6)</f>
        <v>160</v>
      </c>
      <c r="S231" s="27">
        <f>INDEX(Schedule!$A$1:$N$2000, MATCH($C231, VAV_Schedule_5_21[[#All],[UNIT TAG]], FALSE), 5)</f>
        <v>800</v>
      </c>
      <c r="T231" s="27">
        <f>INDEX(Schedule!$A$1:$N$2000, MATCH($C231, VAV_Schedule_5_21[[#All],[UNIT TAG]], FALSE), 6)</f>
        <v>160</v>
      </c>
      <c r="U231" s="27">
        <f>INDEX(Schedule!$A$1:$N$2000, MATCH($C231, VAV_Schedule_5_21[[#All],[UNIT TAG]], FALSE), 5)</f>
        <v>800</v>
      </c>
      <c r="V231" s="27">
        <f>INDEX(Schedule!$A$1:$N$2000, MATCH($C231, VAV_Schedule_5_21[[#All],[UNIT TAG]], FALSE), 6)</f>
        <v>160</v>
      </c>
      <c r="W231" s="27">
        <f>INDEX(Schedule!$A$1:$N$2000, MATCH($C231, VAV_Schedule_5_21[[#All],[UNIT TAG]], FALSE), 6)</f>
        <v>160</v>
      </c>
      <c r="X231" s="27">
        <f>INDEX(Schedule!$A$1:$N$2000, MATCH($C231, VAV_Schedule_5_21[[#All],[UNIT TAG]], FALSE), 6)</f>
        <v>160</v>
      </c>
      <c r="Y231" s="27">
        <f>INDEX(Schedule!$A$1:$N$2000, MATCH($C231, VAV_Schedule_5_21[[#All],[UNIT TAG]], FALSE), 6)</f>
        <v>160</v>
      </c>
      <c r="Z231" s="27">
        <f>INDEX(Schedule!$A$1:$N$2000, MATCH($C231, VAV_Schedule_5_21[[#All],[UNIT TAG]], FALSE), 6)</f>
        <v>160</v>
      </c>
      <c r="AA231" s="27">
        <v>1000</v>
      </c>
      <c r="AB231" s="27">
        <v>1100</v>
      </c>
      <c r="AC231">
        <v>1400</v>
      </c>
      <c r="AD231" s="29" t="str">
        <f>IF(INDEX(Schedule!$A$1:$N$2000, MATCH($C231, VAV_Schedule_5_21[[#All],[UNIT TAG]], FALSE), 7)="-", 0, INDEX(Schedule!$A$1:$N$2000, MATCH($C231, VAV_Schedule_5_21[[#All],[UNIT TAG]], FALSE), 7))</f>
        <v>8</v>
      </c>
      <c r="AE231" t="str">
        <f>"B_01'" &amp; "Flr_0" &amp; INDEX(Joined!$A$3:$M$2000, MATCH($A231, Joined!$I$3:$I$2000, FALSE), 8)</f>
        <v>B_01'Flr_06</v>
      </c>
      <c r="AF231" t="str">
        <f>"R_" &amp; INDEX(Joined!$A$3:$M$2000, MATCH($A231, Joined!$I$3:$I$2000, FALSE), 7)</f>
        <v>R_VAV-6E-29</v>
      </c>
      <c r="AG231" t="str">
        <f>"B_01'" &amp; "Flr_0" &amp; INDEX(Joined!$A$3:$M$2000, MATCH($A231, Joined!$I$3:$I$2000, FALSE), 8)</f>
        <v>B_01'Flr_06</v>
      </c>
      <c r="AH231" t="str">
        <f>INDEX(Joined!$A$3:$M$2000, MATCH($A231, Joined!$I$3:$I$2000, FALSE), 7)</f>
        <v>VAV-6E-29</v>
      </c>
      <c r="AI231" t="s">
        <v>1559</v>
      </c>
    </row>
    <row r="232" spans="1:35" x14ac:dyDescent="0.2">
      <c r="A232" t="s">
        <v>732</v>
      </c>
      <c r="B232" t="str">
        <f>"B_01'" &amp; "Flr_0" &amp; INDEX(Joined!$A$3:$M$2000, MATCH($A232, Joined!$I$3:$I$2000, FALSE), 8)</f>
        <v>B_01'Flr_06</v>
      </c>
      <c r="C232" t="str">
        <f>INDEX(Joined!$A$3:$M$2000, MATCH($A232, Joined!$I$3:$I$2000, FALSE), 7)</f>
        <v>VAV-6E-30</v>
      </c>
      <c r="D232">
        <f>INDEX(Joined!$A$3:$M$2000, MATCH($A232, Joined!$I$3:$I$2000, FALSE), 5)</f>
        <v>151419</v>
      </c>
      <c r="E232" t="str">
        <f>INDEX(Joined!$A$3:$M$2000, MATCH($A232, Joined!$I$3:$I$2000, FALSE), 7)</f>
        <v>VAV-6E-30</v>
      </c>
      <c r="F232" t="s">
        <v>38</v>
      </c>
      <c r="G232" t="str">
        <f>INDEX(Schedule!$Q$2:$R$7, MATCH(ABT!$H232,Schedule!$Q$2:$Q$7, 0), 2)</f>
        <v>15011_DXR_VAV_DXR2M12</v>
      </c>
      <c r="H232">
        <f>INDEX(Joined!$A$3:$M$2000, MATCH($A232, Joined!$I$3:$I$2000, FALSE), 6)</f>
        <v>15011</v>
      </c>
      <c r="I232" t="str">
        <f>INDEX(Joined!$A$3:$M$2000, MATCH($A232, Joined!$I$3:$I$2000, FALSE), 4)</f>
        <v>514</v>
      </c>
      <c r="J232" t="b">
        <v>0</v>
      </c>
      <c r="K232">
        <f>INDEX(Joined!$A$3:$M$2000, MATCH($A232, Joined!$I$3:$I$2000, FALSE), 3)</f>
        <v>19</v>
      </c>
      <c r="L232">
        <v>85</v>
      </c>
      <c r="M232">
        <v>38400</v>
      </c>
      <c r="N232" s="27">
        <f>PI()*(INDEX(Schedule!$A$1:$N$2000, MATCH($C232, VAV_Schedule_5_21[[#All],[UNIT TAG]], FALSE), 4)/2/12)^2</f>
        <v>0.78539816339744828</v>
      </c>
      <c r="O232" s="27">
        <f>INDEX(Schedule!$A$1:$N$2000, MATCH($C232, VAV_Schedule_5_21[[#All],[UNIT TAG]], FALSE), 4)</f>
        <v>12</v>
      </c>
      <c r="P232">
        <v>230.63</v>
      </c>
      <c r="Q232" s="27">
        <f>INDEX(Schedule!$A$1:$N$2000, MATCH($C232, VAV_Schedule_5_21[[#All],[UNIT TAG]], FALSE), 5)</f>
        <v>1400</v>
      </c>
      <c r="R232" s="27">
        <f>INDEX(Schedule!$A$1:$N$2000, MATCH($C232, VAV_Schedule_5_21[[#All],[UNIT TAG]], FALSE), 6)</f>
        <v>280</v>
      </c>
      <c r="S232" s="27">
        <f>INDEX(Schedule!$A$1:$N$2000, MATCH($C232, VAV_Schedule_5_21[[#All],[UNIT TAG]], FALSE), 5)</f>
        <v>1400</v>
      </c>
      <c r="T232" s="27">
        <f>INDEX(Schedule!$A$1:$N$2000, MATCH($C232, VAV_Schedule_5_21[[#All],[UNIT TAG]], FALSE), 6)</f>
        <v>280</v>
      </c>
      <c r="U232" s="27">
        <f>INDEX(Schedule!$A$1:$N$2000, MATCH($C232, VAV_Schedule_5_21[[#All],[UNIT TAG]], FALSE), 5)</f>
        <v>1400</v>
      </c>
      <c r="V232" s="27">
        <f>INDEX(Schedule!$A$1:$N$2000, MATCH($C232, VAV_Schedule_5_21[[#All],[UNIT TAG]], FALSE), 6)</f>
        <v>280</v>
      </c>
      <c r="W232" s="27">
        <f>INDEX(Schedule!$A$1:$N$2000, MATCH($C232, VAV_Schedule_5_21[[#All],[UNIT TAG]], FALSE), 6)</f>
        <v>280</v>
      </c>
      <c r="X232" s="27">
        <f>INDEX(Schedule!$A$1:$N$2000, MATCH($C232, VAV_Schedule_5_21[[#All],[UNIT TAG]], FALSE), 6)</f>
        <v>280</v>
      </c>
      <c r="Y232" s="27">
        <f>INDEX(Schedule!$A$1:$N$2000, MATCH($C232, VAV_Schedule_5_21[[#All],[UNIT TAG]], FALSE), 6)</f>
        <v>280</v>
      </c>
      <c r="Z232" s="27">
        <f>INDEX(Schedule!$A$1:$N$2000, MATCH($C232, VAV_Schedule_5_21[[#All],[UNIT TAG]], FALSE), 6)</f>
        <v>280</v>
      </c>
      <c r="AA232" s="27">
        <v>1000</v>
      </c>
      <c r="AB232" s="27">
        <v>1100</v>
      </c>
      <c r="AC232">
        <v>1400</v>
      </c>
      <c r="AD232" s="29" t="str">
        <f>IF(INDEX(Schedule!$A$1:$N$2000, MATCH($C232, VAV_Schedule_5_21[[#All],[UNIT TAG]], FALSE), 7)="-", 0, INDEX(Schedule!$A$1:$N$2000, MATCH($C232, VAV_Schedule_5_21[[#All],[UNIT TAG]], FALSE), 7))</f>
        <v>8</v>
      </c>
      <c r="AE232" t="str">
        <f>"B_01'" &amp; "Flr_0" &amp; INDEX(Joined!$A$3:$M$2000, MATCH($A232, Joined!$I$3:$I$2000, FALSE), 8)</f>
        <v>B_01'Flr_06</v>
      </c>
      <c r="AF232" t="str">
        <f>"R_" &amp; INDEX(Joined!$A$3:$M$2000, MATCH($A232, Joined!$I$3:$I$2000, FALSE), 7)</f>
        <v>R_VAV-6E-30</v>
      </c>
      <c r="AG232" t="str">
        <f>"B_01'" &amp; "Flr_0" &amp; INDEX(Joined!$A$3:$M$2000, MATCH($A232, Joined!$I$3:$I$2000, FALSE), 8)</f>
        <v>B_01'Flr_06</v>
      </c>
      <c r="AH232" t="str">
        <f>INDEX(Joined!$A$3:$M$2000, MATCH($A232, Joined!$I$3:$I$2000, FALSE), 7)</f>
        <v>VAV-6E-30</v>
      </c>
      <c r="AI232" t="s">
        <v>1560</v>
      </c>
    </row>
    <row r="233" spans="1:35" x14ac:dyDescent="0.2">
      <c r="A233" t="s">
        <v>712</v>
      </c>
      <c r="B233" t="str">
        <f>"B_01'" &amp; "Flr_0" &amp; INDEX(Joined!$A$3:$M$2000, MATCH($A233, Joined!$I$3:$I$2000, FALSE), 8)</f>
        <v>B_01'Flr_06</v>
      </c>
      <c r="C233" t="str">
        <f>INDEX(Joined!$A$3:$M$2000, MATCH($A233, Joined!$I$3:$I$2000, FALSE), 7)</f>
        <v>VAV-6N-10</v>
      </c>
      <c r="D233">
        <f>INDEX(Joined!$A$3:$M$2000, MATCH($A233, Joined!$I$3:$I$2000, FALSE), 5)</f>
        <v>151307</v>
      </c>
      <c r="E233" t="str">
        <f>INDEX(Joined!$A$3:$M$2000, MATCH($A233, Joined!$I$3:$I$2000, FALSE), 7)</f>
        <v>VAV-6N-10</v>
      </c>
      <c r="F233" t="s">
        <v>38</v>
      </c>
      <c r="G233" t="str">
        <f>INDEX(Schedule!$Q$2:$R$7, MATCH(ABT!$H233,Schedule!$Q$2:$Q$7, 0), 2)</f>
        <v>15010_DXR_VAV_DXR2M12</v>
      </c>
      <c r="H233">
        <f>INDEX(Joined!$A$3:$M$2000, MATCH($A233, Joined!$I$3:$I$2000, FALSE), 6)</f>
        <v>15010</v>
      </c>
      <c r="I233" t="str">
        <f>INDEX(Joined!$A$3:$M$2000, MATCH($A233, Joined!$I$3:$I$2000, FALSE), 4)</f>
        <v>513</v>
      </c>
      <c r="J233" t="b">
        <v>0</v>
      </c>
      <c r="K233">
        <f>INDEX(Joined!$A$3:$M$2000, MATCH($A233, Joined!$I$3:$I$2000, FALSE), 3)</f>
        <v>7</v>
      </c>
      <c r="L233">
        <v>85</v>
      </c>
      <c r="M233">
        <v>38400</v>
      </c>
      <c r="N233" s="27">
        <f>PI()*(INDEX(Schedule!$A$1:$N$2000, MATCH($C233, VAV_Schedule_5_21[[#All],[UNIT TAG]], FALSE), 4)/2/12)^2</f>
        <v>0.78539816339744828</v>
      </c>
      <c r="O233" s="27">
        <f>INDEX(Schedule!$A$1:$N$2000, MATCH($C233, VAV_Schedule_5_21[[#All],[UNIT TAG]], FALSE), 4)</f>
        <v>12</v>
      </c>
      <c r="P233">
        <v>231.63</v>
      </c>
      <c r="Q233" s="27">
        <f>INDEX(Schedule!$A$1:$N$2000, MATCH($C233, VAV_Schedule_5_21[[#All],[UNIT TAG]], FALSE), 5)</f>
        <v>1385</v>
      </c>
      <c r="R233" s="27">
        <f>INDEX(Schedule!$A$1:$N$2000, MATCH($C233, VAV_Schedule_5_21[[#All],[UNIT TAG]], FALSE), 6)</f>
        <v>280</v>
      </c>
      <c r="S233" s="27">
        <f>INDEX(Schedule!$A$1:$N$2000, MATCH($C233, VAV_Schedule_5_21[[#All],[UNIT TAG]], FALSE), 5)</f>
        <v>1385</v>
      </c>
      <c r="T233" s="27">
        <f>INDEX(Schedule!$A$1:$N$2000, MATCH($C233, VAV_Schedule_5_21[[#All],[UNIT TAG]], FALSE), 6)</f>
        <v>280</v>
      </c>
      <c r="U233" s="27">
        <f>INDEX(Schedule!$A$1:$N$2000, MATCH($C233, VAV_Schedule_5_21[[#All],[UNIT TAG]], FALSE), 5)</f>
        <v>1385</v>
      </c>
      <c r="V233" s="27">
        <f>INDEX(Schedule!$A$1:$N$2000, MATCH($C233, VAV_Schedule_5_21[[#All],[UNIT TAG]], FALSE), 6)</f>
        <v>280</v>
      </c>
      <c r="W233" s="27">
        <f>INDEX(Schedule!$A$1:$N$2000, MATCH($C233, VAV_Schedule_5_21[[#All],[UNIT TAG]], FALSE), 6)</f>
        <v>280</v>
      </c>
      <c r="X233" s="27">
        <f>INDEX(Schedule!$A$1:$N$2000, MATCH($C233, VAV_Schedule_5_21[[#All],[UNIT TAG]], FALSE), 6)</f>
        <v>280</v>
      </c>
      <c r="Y233" s="27">
        <f>INDEX(Schedule!$A$1:$N$2000, MATCH($C233, VAV_Schedule_5_21[[#All],[UNIT TAG]], FALSE), 6)</f>
        <v>280</v>
      </c>
      <c r="Z233" s="27">
        <f>INDEX(Schedule!$A$1:$N$2000, MATCH($C233, VAV_Schedule_5_21[[#All],[UNIT TAG]], FALSE), 6)</f>
        <v>280</v>
      </c>
      <c r="AA233" s="27">
        <v>1000</v>
      </c>
      <c r="AB233" s="27">
        <v>1100</v>
      </c>
      <c r="AC233">
        <v>1400</v>
      </c>
      <c r="AD233" s="29">
        <f>IF(INDEX(Schedule!$A$1:$N$2000, MATCH($C233, VAV_Schedule_5_21[[#All],[UNIT TAG]], FALSE), 7)="-", 0, INDEX(Schedule!$A$1:$N$2000, MATCH($C233, VAV_Schedule_5_21[[#All],[UNIT TAG]], FALSE), 7))</f>
        <v>0</v>
      </c>
      <c r="AE233" t="str">
        <f>"B_01'" &amp; "Flr_0" &amp; INDEX(Joined!$A$3:$M$2000, MATCH($A233, Joined!$I$3:$I$2000, FALSE), 8)</f>
        <v>B_01'Flr_06</v>
      </c>
      <c r="AF233" t="str">
        <f>"R_" &amp; INDEX(Joined!$A$3:$M$2000, MATCH($A233, Joined!$I$3:$I$2000, FALSE), 7)</f>
        <v>R_VAV-6N-10</v>
      </c>
      <c r="AG233" t="str">
        <f>"B_01'" &amp; "Flr_0" &amp; INDEX(Joined!$A$3:$M$2000, MATCH($A233, Joined!$I$3:$I$2000, FALSE), 8)</f>
        <v>B_01'Flr_06</v>
      </c>
      <c r="AH233" t="str">
        <f>INDEX(Joined!$A$3:$M$2000, MATCH($A233, Joined!$I$3:$I$2000, FALSE), 7)</f>
        <v>VAV-6N-10</v>
      </c>
      <c r="AI233" t="s">
        <v>1561</v>
      </c>
    </row>
    <row r="234" spans="1:35" x14ac:dyDescent="0.2">
      <c r="A234" t="s">
        <v>713</v>
      </c>
      <c r="B234" t="str">
        <f>"B_01'" &amp; "Flr_0" &amp; INDEX(Joined!$A$3:$M$2000, MATCH($A234, Joined!$I$3:$I$2000, FALSE), 8)</f>
        <v>B_01'Flr_06</v>
      </c>
      <c r="C234" t="str">
        <f>INDEX(Joined!$A$3:$M$2000, MATCH($A234, Joined!$I$3:$I$2000, FALSE), 7)</f>
        <v>VAV-6N-11</v>
      </c>
      <c r="D234">
        <f>INDEX(Joined!$A$3:$M$2000, MATCH($A234, Joined!$I$3:$I$2000, FALSE), 5)</f>
        <v>151308</v>
      </c>
      <c r="E234" t="str">
        <f>INDEX(Joined!$A$3:$M$2000, MATCH($A234, Joined!$I$3:$I$2000, FALSE), 7)</f>
        <v>VAV-6N-11</v>
      </c>
      <c r="F234" t="s">
        <v>38</v>
      </c>
      <c r="G234" t="str">
        <f>INDEX(Schedule!$Q$2:$R$7, MATCH(ABT!$H234,Schedule!$Q$2:$Q$7, 0), 2)</f>
        <v>15010_DXR_VAV_DXR2M12</v>
      </c>
      <c r="H234">
        <f>INDEX(Joined!$A$3:$M$2000, MATCH($A234, Joined!$I$3:$I$2000, FALSE), 6)</f>
        <v>15010</v>
      </c>
      <c r="I234" t="str">
        <f>INDEX(Joined!$A$3:$M$2000, MATCH($A234, Joined!$I$3:$I$2000, FALSE), 4)</f>
        <v>513</v>
      </c>
      <c r="J234" t="b">
        <v>0</v>
      </c>
      <c r="K234">
        <f>INDEX(Joined!$A$3:$M$2000, MATCH($A234, Joined!$I$3:$I$2000, FALSE), 3)</f>
        <v>8</v>
      </c>
      <c r="L234">
        <v>85</v>
      </c>
      <c r="M234">
        <v>38400</v>
      </c>
      <c r="N234" s="27">
        <f>PI()*(INDEX(Schedule!$A$1:$N$2000, MATCH($C234, VAV_Schedule_5_21[[#All],[UNIT TAG]], FALSE), 4)/2/12)^2</f>
        <v>0.54541539124822802</v>
      </c>
      <c r="O234" s="27">
        <f>INDEX(Schedule!$A$1:$N$2000, MATCH($C234, VAV_Schedule_5_21[[#All],[UNIT TAG]], FALSE), 4)</f>
        <v>10</v>
      </c>
      <c r="P234">
        <v>232.63</v>
      </c>
      <c r="Q234" s="27">
        <f>INDEX(Schedule!$A$1:$N$2000, MATCH($C234, VAV_Schedule_5_21[[#All],[UNIT TAG]], FALSE), 5)</f>
        <v>1005</v>
      </c>
      <c r="R234" s="27">
        <f>INDEX(Schedule!$A$1:$N$2000, MATCH($C234, VAV_Schedule_5_21[[#All],[UNIT TAG]], FALSE), 6)</f>
        <v>205</v>
      </c>
      <c r="S234" s="27">
        <f>INDEX(Schedule!$A$1:$N$2000, MATCH($C234, VAV_Schedule_5_21[[#All],[UNIT TAG]], FALSE), 5)</f>
        <v>1005</v>
      </c>
      <c r="T234" s="27">
        <f>INDEX(Schedule!$A$1:$N$2000, MATCH($C234, VAV_Schedule_5_21[[#All],[UNIT TAG]], FALSE), 6)</f>
        <v>205</v>
      </c>
      <c r="U234" s="27">
        <f>INDEX(Schedule!$A$1:$N$2000, MATCH($C234, VAV_Schedule_5_21[[#All],[UNIT TAG]], FALSE), 5)</f>
        <v>1005</v>
      </c>
      <c r="V234" s="27">
        <f>INDEX(Schedule!$A$1:$N$2000, MATCH($C234, VAV_Schedule_5_21[[#All],[UNIT TAG]], FALSE), 6)</f>
        <v>205</v>
      </c>
      <c r="W234" s="27">
        <f>INDEX(Schedule!$A$1:$N$2000, MATCH($C234, VAV_Schedule_5_21[[#All],[UNIT TAG]], FALSE), 6)</f>
        <v>205</v>
      </c>
      <c r="X234" s="27">
        <f>INDEX(Schedule!$A$1:$N$2000, MATCH($C234, VAV_Schedule_5_21[[#All],[UNIT TAG]], FALSE), 6)</f>
        <v>205</v>
      </c>
      <c r="Y234" s="27">
        <f>INDEX(Schedule!$A$1:$N$2000, MATCH($C234, VAV_Schedule_5_21[[#All],[UNIT TAG]], FALSE), 6)</f>
        <v>205</v>
      </c>
      <c r="Z234" s="27">
        <f>INDEX(Schedule!$A$1:$N$2000, MATCH($C234, VAV_Schedule_5_21[[#All],[UNIT TAG]], FALSE), 6)</f>
        <v>205</v>
      </c>
      <c r="AA234" s="27">
        <v>1000</v>
      </c>
      <c r="AB234" s="27">
        <v>1100</v>
      </c>
      <c r="AC234">
        <v>1400</v>
      </c>
      <c r="AD234" s="29">
        <f>IF(INDEX(Schedule!$A$1:$N$2000, MATCH($C234, VAV_Schedule_5_21[[#All],[UNIT TAG]], FALSE), 7)="-", 0, INDEX(Schedule!$A$1:$N$2000, MATCH($C234, VAV_Schedule_5_21[[#All],[UNIT TAG]], FALSE), 7))</f>
        <v>0</v>
      </c>
      <c r="AE234" t="str">
        <f>"B_01'" &amp; "Flr_0" &amp; INDEX(Joined!$A$3:$M$2000, MATCH($A234, Joined!$I$3:$I$2000, FALSE), 8)</f>
        <v>B_01'Flr_06</v>
      </c>
      <c r="AF234" t="str">
        <f>"R_" &amp; INDEX(Joined!$A$3:$M$2000, MATCH($A234, Joined!$I$3:$I$2000, FALSE), 7)</f>
        <v>R_VAV-6N-11</v>
      </c>
      <c r="AG234" t="str">
        <f>"B_01'" &amp; "Flr_0" &amp; INDEX(Joined!$A$3:$M$2000, MATCH($A234, Joined!$I$3:$I$2000, FALSE), 8)</f>
        <v>B_01'Flr_06</v>
      </c>
      <c r="AH234" t="str">
        <f>INDEX(Joined!$A$3:$M$2000, MATCH($A234, Joined!$I$3:$I$2000, FALSE), 7)</f>
        <v>VAV-6N-11</v>
      </c>
      <c r="AI234" t="s">
        <v>1562</v>
      </c>
    </row>
    <row r="235" spans="1:35" x14ac:dyDescent="0.2">
      <c r="A235" t="s">
        <v>706</v>
      </c>
      <c r="B235" t="str">
        <f>"B_01'" &amp; "Flr_0" &amp; INDEX(Joined!$A$3:$M$2000, MATCH($A235, Joined!$I$3:$I$2000, FALSE), 8)</f>
        <v>B_01'Flr_06</v>
      </c>
      <c r="C235" t="str">
        <f>INDEX(Joined!$A$3:$M$2000, MATCH($A235, Joined!$I$3:$I$2000, FALSE), 7)</f>
        <v>VAV-6N-5</v>
      </c>
      <c r="D235">
        <f>INDEX(Joined!$A$3:$M$2000, MATCH($A235, Joined!$I$3:$I$2000, FALSE), 5)</f>
        <v>151301</v>
      </c>
      <c r="E235" t="str">
        <f>INDEX(Joined!$A$3:$M$2000, MATCH($A235, Joined!$I$3:$I$2000, FALSE), 7)</f>
        <v>VAV-6N-5</v>
      </c>
      <c r="F235" t="s">
        <v>38</v>
      </c>
      <c r="G235" t="str">
        <f>INDEX(Schedule!$Q$2:$R$7, MATCH(ABT!$H235,Schedule!$Q$2:$Q$7, 0), 2)</f>
        <v>15010_DXR_VAV_DXR2M12</v>
      </c>
      <c r="H235">
        <f>INDEX(Joined!$A$3:$M$2000, MATCH($A235, Joined!$I$3:$I$2000, FALSE), 6)</f>
        <v>15010</v>
      </c>
      <c r="I235" t="str">
        <f>INDEX(Joined!$A$3:$M$2000, MATCH($A235, Joined!$I$3:$I$2000, FALSE), 4)</f>
        <v>513</v>
      </c>
      <c r="J235" t="b">
        <v>0</v>
      </c>
      <c r="K235">
        <f>INDEX(Joined!$A$3:$M$2000, MATCH($A235, Joined!$I$3:$I$2000, FALSE), 3)</f>
        <v>1</v>
      </c>
      <c r="L235">
        <v>85</v>
      </c>
      <c r="M235">
        <v>38400</v>
      </c>
      <c r="N235" s="27">
        <f>PI()*(INDEX(Schedule!$A$1:$N$2000, MATCH($C235, VAV_Schedule_5_21[[#All],[UNIT TAG]], FALSE), 4)/2/12)^2</f>
        <v>0.78539816339744828</v>
      </c>
      <c r="O235" s="27">
        <f>INDEX(Schedule!$A$1:$N$2000, MATCH($C235, VAV_Schedule_5_21[[#All],[UNIT TAG]], FALSE), 4)</f>
        <v>12</v>
      </c>
      <c r="P235">
        <v>233.63</v>
      </c>
      <c r="Q235" s="27">
        <f>INDEX(Schedule!$A$1:$N$2000, MATCH($C235, VAV_Schedule_5_21[[#All],[UNIT TAG]], FALSE), 5)</f>
        <v>1200</v>
      </c>
      <c r="R235" s="27">
        <f>INDEX(Schedule!$A$1:$N$2000, MATCH($C235, VAV_Schedule_5_21[[#All],[UNIT TAG]], FALSE), 6)</f>
        <v>240</v>
      </c>
      <c r="S235" s="27">
        <f>INDEX(Schedule!$A$1:$N$2000, MATCH($C235, VAV_Schedule_5_21[[#All],[UNIT TAG]], FALSE), 5)</f>
        <v>1200</v>
      </c>
      <c r="T235" s="27">
        <f>INDEX(Schedule!$A$1:$N$2000, MATCH($C235, VAV_Schedule_5_21[[#All],[UNIT TAG]], FALSE), 6)</f>
        <v>240</v>
      </c>
      <c r="U235" s="27">
        <f>INDEX(Schedule!$A$1:$N$2000, MATCH($C235, VAV_Schedule_5_21[[#All],[UNIT TAG]], FALSE), 5)</f>
        <v>1200</v>
      </c>
      <c r="V235" s="27">
        <f>INDEX(Schedule!$A$1:$N$2000, MATCH($C235, VAV_Schedule_5_21[[#All],[UNIT TAG]], FALSE), 6)</f>
        <v>240</v>
      </c>
      <c r="W235" s="27">
        <f>INDEX(Schedule!$A$1:$N$2000, MATCH($C235, VAV_Schedule_5_21[[#All],[UNIT TAG]], FALSE), 6)</f>
        <v>240</v>
      </c>
      <c r="X235" s="27">
        <f>INDEX(Schedule!$A$1:$N$2000, MATCH($C235, VAV_Schedule_5_21[[#All],[UNIT TAG]], FALSE), 6)</f>
        <v>240</v>
      </c>
      <c r="Y235" s="27">
        <f>INDEX(Schedule!$A$1:$N$2000, MATCH($C235, VAV_Schedule_5_21[[#All],[UNIT TAG]], FALSE), 6)</f>
        <v>240</v>
      </c>
      <c r="Z235" s="27">
        <f>INDEX(Schedule!$A$1:$N$2000, MATCH($C235, VAV_Schedule_5_21[[#All],[UNIT TAG]], FALSE), 6)</f>
        <v>240</v>
      </c>
      <c r="AA235" s="27">
        <v>1000</v>
      </c>
      <c r="AB235" s="27">
        <v>1100</v>
      </c>
      <c r="AC235">
        <v>1400</v>
      </c>
      <c r="AD235" s="29">
        <f>IF(INDEX(Schedule!$A$1:$N$2000, MATCH($C235, VAV_Schedule_5_21[[#All],[UNIT TAG]], FALSE), 7)="-", 0, INDEX(Schedule!$A$1:$N$2000, MATCH($C235, VAV_Schedule_5_21[[#All],[UNIT TAG]], FALSE), 7))</f>
        <v>0</v>
      </c>
      <c r="AE235" t="str">
        <f>"B_01'" &amp; "Flr_0" &amp; INDEX(Joined!$A$3:$M$2000, MATCH($A235, Joined!$I$3:$I$2000, FALSE), 8)</f>
        <v>B_01'Flr_06</v>
      </c>
      <c r="AF235" t="str">
        <f>"R_" &amp; INDEX(Joined!$A$3:$M$2000, MATCH($A235, Joined!$I$3:$I$2000, FALSE), 7)</f>
        <v>R_VAV-6N-5</v>
      </c>
      <c r="AG235" t="str">
        <f>"B_01'" &amp; "Flr_0" &amp; INDEX(Joined!$A$3:$M$2000, MATCH($A235, Joined!$I$3:$I$2000, FALSE), 8)</f>
        <v>B_01'Flr_06</v>
      </c>
      <c r="AH235" t="str">
        <f>INDEX(Joined!$A$3:$M$2000, MATCH($A235, Joined!$I$3:$I$2000, FALSE), 7)</f>
        <v>VAV-6N-5</v>
      </c>
      <c r="AI235" t="s">
        <v>1563</v>
      </c>
    </row>
    <row r="236" spans="1:35" x14ac:dyDescent="0.2">
      <c r="A236" t="s">
        <v>707</v>
      </c>
      <c r="B236" t="str">
        <f>"B_01'" &amp; "Flr_0" &amp; INDEX(Joined!$A$3:$M$2000, MATCH($A236, Joined!$I$3:$I$2000, FALSE), 8)</f>
        <v>B_01'Flr_06</v>
      </c>
      <c r="C236" t="str">
        <f>INDEX(Joined!$A$3:$M$2000, MATCH($A236, Joined!$I$3:$I$2000, FALSE), 7)</f>
        <v>VAV-6N-6</v>
      </c>
      <c r="D236">
        <f>INDEX(Joined!$A$3:$M$2000, MATCH($A236, Joined!$I$3:$I$2000, FALSE), 5)</f>
        <v>151302</v>
      </c>
      <c r="E236" t="str">
        <f>INDEX(Joined!$A$3:$M$2000, MATCH($A236, Joined!$I$3:$I$2000, FALSE), 7)</f>
        <v>VAV-6N-6</v>
      </c>
      <c r="F236" t="s">
        <v>38</v>
      </c>
      <c r="G236" t="str">
        <f>INDEX(Schedule!$Q$2:$R$7, MATCH(ABT!$H236,Schedule!$Q$2:$Q$7, 0), 2)</f>
        <v>15010_DXR_VAV_DXR2M12</v>
      </c>
      <c r="H236">
        <f>INDEX(Joined!$A$3:$M$2000, MATCH($A236, Joined!$I$3:$I$2000, FALSE), 6)</f>
        <v>15010</v>
      </c>
      <c r="I236" t="str">
        <f>INDEX(Joined!$A$3:$M$2000, MATCH($A236, Joined!$I$3:$I$2000, FALSE), 4)</f>
        <v>513</v>
      </c>
      <c r="J236" t="b">
        <v>0</v>
      </c>
      <c r="K236">
        <f>INDEX(Joined!$A$3:$M$2000, MATCH($A236, Joined!$I$3:$I$2000, FALSE), 3)</f>
        <v>2</v>
      </c>
      <c r="L236">
        <v>85</v>
      </c>
      <c r="M236">
        <v>38400</v>
      </c>
      <c r="N236" s="27">
        <f>PI()*(INDEX(Schedule!$A$1:$N$2000, MATCH($C236, VAV_Schedule_5_21[[#All],[UNIT TAG]], FALSE), 4)/2/12)^2</f>
        <v>0.54541539124822802</v>
      </c>
      <c r="O236" s="27">
        <f>INDEX(Schedule!$A$1:$N$2000, MATCH($C236, VAV_Schedule_5_21[[#All],[UNIT TAG]], FALSE), 4)</f>
        <v>10</v>
      </c>
      <c r="P236">
        <v>234.63</v>
      </c>
      <c r="Q236" s="27">
        <f>INDEX(Schedule!$A$1:$N$2000, MATCH($C236, VAV_Schedule_5_21[[#All],[UNIT TAG]], FALSE), 5)</f>
        <v>975</v>
      </c>
      <c r="R236" s="27">
        <f>INDEX(Schedule!$A$1:$N$2000, MATCH($C236, VAV_Schedule_5_21[[#All],[UNIT TAG]], FALSE), 6)</f>
        <v>195</v>
      </c>
      <c r="S236" s="27">
        <f>INDEX(Schedule!$A$1:$N$2000, MATCH($C236, VAV_Schedule_5_21[[#All],[UNIT TAG]], FALSE), 5)</f>
        <v>975</v>
      </c>
      <c r="T236" s="27">
        <f>INDEX(Schedule!$A$1:$N$2000, MATCH($C236, VAV_Schedule_5_21[[#All],[UNIT TAG]], FALSE), 6)</f>
        <v>195</v>
      </c>
      <c r="U236" s="27">
        <f>INDEX(Schedule!$A$1:$N$2000, MATCH($C236, VAV_Schedule_5_21[[#All],[UNIT TAG]], FALSE), 5)</f>
        <v>975</v>
      </c>
      <c r="V236" s="27">
        <f>INDEX(Schedule!$A$1:$N$2000, MATCH($C236, VAV_Schedule_5_21[[#All],[UNIT TAG]], FALSE), 6)</f>
        <v>195</v>
      </c>
      <c r="W236" s="27">
        <f>INDEX(Schedule!$A$1:$N$2000, MATCH($C236, VAV_Schedule_5_21[[#All],[UNIT TAG]], FALSE), 6)</f>
        <v>195</v>
      </c>
      <c r="X236" s="27">
        <f>INDEX(Schedule!$A$1:$N$2000, MATCH($C236, VAV_Schedule_5_21[[#All],[UNIT TAG]], FALSE), 6)</f>
        <v>195</v>
      </c>
      <c r="Y236" s="27">
        <f>INDEX(Schedule!$A$1:$N$2000, MATCH($C236, VAV_Schedule_5_21[[#All],[UNIT TAG]], FALSE), 6)</f>
        <v>195</v>
      </c>
      <c r="Z236" s="27">
        <f>INDEX(Schedule!$A$1:$N$2000, MATCH($C236, VAV_Schedule_5_21[[#All],[UNIT TAG]], FALSE), 6)</f>
        <v>195</v>
      </c>
      <c r="AA236" s="27">
        <v>1000</v>
      </c>
      <c r="AB236" s="27">
        <v>1100</v>
      </c>
      <c r="AC236">
        <v>1400</v>
      </c>
      <c r="AD236" s="29">
        <f>IF(INDEX(Schedule!$A$1:$N$2000, MATCH($C236, VAV_Schedule_5_21[[#All],[UNIT TAG]], FALSE), 7)="-", 0, INDEX(Schedule!$A$1:$N$2000, MATCH($C236, VAV_Schedule_5_21[[#All],[UNIT TAG]], FALSE), 7))</f>
        <v>0</v>
      </c>
      <c r="AE236" t="str">
        <f>"B_01'" &amp; "Flr_0" &amp; INDEX(Joined!$A$3:$M$2000, MATCH($A236, Joined!$I$3:$I$2000, FALSE), 8)</f>
        <v>B_01'Flr_06</v>
      </c>
      <c r="AF236" t="str">
        <f>"R_" &amp; INDEX(Joined!$A$3:$M$2000, MATCH($A236, Joined!$I$3:$I$2000, FALSE), 7)</f>
        <v>R_VAV-6N-6</v>
      </c>
      <c r="AG236" t="str">
        <f>"B_01'" &amp; "Flr_0" &amp; INDEX(Joined!$A$3:$M$2000, MATCH($A236, Joined!$I$3:$I$2000, FALSE), 8)</f>
        <v>B_01'Flr_06</v>
      </c>
      <c r="AH236" t="str">
        <f>INDEX(Joined!$A$3:$M$2000, MATCH($A236, Joined!$I$3:$I$2000, FALSE), 7)</f>
        <v>VAV-6N-6</v>
      </c>
      <c r="AI236" t="s">
        <v>1564</v>
      </c>
    </row>
    <row r="237" spans="1:35" x14ac:dyDescent="0.2">
      <c r="A237" t="s">
        <v>708</v>
      </c>
      <c r="B237" t="str">
        <f>"B_01'" &amp; "Flr_0" &amp; INDEX(Joined!$A$3:$M$2000, MATCH($A237, Joined!$I$3:$I$2000, FALSE), 8)</f>
        <v>B_01'Flr_06</v>
      </c>
      <c r="C237" t="str">
        <f>INDEX(Joined!$A$3:$M$2000, MATCH($A237, Joined!$I$3:$I$2000, FALSE), 7)</f>
        <v>VAV-6N-7</v>
      </c>
      <c r="D237">
        <f>INDEX(Joined!$A$3:$M$2000, MATCH($A237, Joined!$I$3:$I$2000, FALSE), 5)</f>
        <v>151303</v>
      </c>
      <c r="E237" t="str">
        <f>INDEX(Joined!$A$3:$M$2000, MATCH($A237, Joined!$I$3:$I$2000, FALSE), 7)</f>
        <v>VAV-6N-7</v>
      </c>
      <c r="F237" t="s">
        <v>38</v>
      </c>
      <c r="G237" t="str">
        <f>INDEX(Schedule!$Q$2:$R$7, MATCH(ABT!$H237,Schedule!$Q$2:$Q$7, 0), 2)</f>
        <v>15010_DXR_VAV_DXR2M12</v>
      </c>
      <c r="H237">
        <f>INDEX(Joined!$A$3:$M$2000, MATCH($A237, Joined!$I$3:$I$2000, FALSE), 6)</f>
        <v>15010</v>
      </c>
      <c r="I237" t="str">
        <f>INDEX(Joined!$A$3:$M$2000, MATCH($A237, Joined!$I$3:$I$2000, FALSE), 4)</f>
        <v>513</v>
      </c>
      <c r="J237" t="b">
        <v>0</v>
      </c>
      <c r="K237">
        <f>INDEX(Joined!$A$3:$M$2000, MATCH($A237, Joined!$I$3:$I$2000, FALSE), 3)</f>
        <v>3</v>
      </c>
      <c r="L237">
        <v>85</v>
      </c>
      <c r="M237">
        <v>38400</v>
      </c>
      <c r="N237" s="27">
        <f>PI()*(INDEX(Schedule!$A$1:$N$2000, MATCH($C237, VAV_Schedule_5_21[[#All],[UNIT TAG]], FALSE), 4)/2/12)^2</f>
        <v>0.54541539124822802</v>
      </c>
      <c r="O237" s="27">
        <f>INDEX(Schedule!$A$1:$N$2000, MATCH($C237, VAV_Schedule_5_21[[#All],[UNIT TAG]], FALSE), 4)</f>
        <v>10</v>
      </c>
      <c r="P237">
        <v>235.63</v>
      </c>
      <c r="Q237" s="27">
        <f>INDEX(Schedule!$A$1:$N$2000, MATCH($C237, VAV_Schedule_5_21[[#All],[UNIT TAG]], FALSE), 5)</f>
        <v>760</v>
      </c>
      <c r="R237" s="27">
        <f>INDEX(Schedule!$A$1:$N$2000, MATCH($C237, VAV_Schedule_5_21[[#All],[UNIT TAG]], FALSE), 6)</f>
        <v>155</v>
      </c>
      <c r="S237" s="27">
        <f>INDEX(Schedule!$A$1:$N$2000, MATCH($C237, VAV_Schedule_5_21[[#All],[UNIT TAG]], FALSE), 5)</f>
        <v>760</v>
      </c>
      <c r="T237" s="27">
        <f>INDEX(Schedule!$A$1:$N$2000, MATCH($C237, VAV_Schedule_5_21[[#All],[UNIT TAG]], FALSE), 6)</f>
        <v>155</v>
      </c>
      <c r="U237" s="27">
        <f>INDEX(Schedule!$A$1:$N$2000, MATCH($C237, VAV_Schedule_5_21[[#All],[UNIT TAG]], FALSE), 5)</f>
        <v>760</v>
      </c>
      <c r="V237" s="27">
        <f>INDEX(Schedule!$A$1:$N$2000, MATCH($C237, VAV_Schedule_5_21[[#All],[UNIT TAG]], FALSE), 6)</f>
        <v>155</v>
      </c>
      <c r="W237" s="27">
        <f>INDEX(Schedule!$A$1:$N$2000, MATCH($C237, VAV_Schedule_5_21[[#All],[UNIT TAG]], FALSE), 6)</f>
        <v>155</v>
      </c>
      <c r="X237" s="27">
        <f>INDEX(Schedule!$A$1:$N$2000, MATCH($C237, VAV_Schedule_5_21[[#All],[UNIT TAG]], FALSE), 6)</f>
        <v>155</v>
      </c>
      <c r="Y237" s="27">
        <f>INDEX(Schedule!$A$1:$N$2000, MATCH($C237, VAV_Schedule_5_21[[#All],[UNIT TAG]], FALSE), 6)</f>
        <v>155</v>
      </c>
      <c r="Z237" s="27">
        <f>INDEX(Schedule!$A$1:$N$2000, MATCH($C237, VAV_Schedule_5_21[[#All],[UNIT TAG]], FALSE), 6)</f>
        <v>155</v>
      </c>
      <c r="AA237" s="27">
        <v>1000</v>
      </c>
      <c r="AB237" s="27">
        <v>1100</v>
      </c>
      <c r="AC237">
        <v>1400</v>
      </c>
      <c r="AD237" s="29">
        <f>IF(INDEX(Schedule!$A$1:$N$2000, MATCH($C237, VAV_Schedule_5_21[[#All],[UNIT TAG]], FALSE), 7)="-", 0, INDEX(Schedule!$A$1:$N$2000, MATCH($C237, VAV_Schedule_5_21[[#All],[UNIT TAG]], FALSE), 7))</f>
        <v>0</v>
      </c>
      <c r="AE237" t="str">
        <f>"B_01'" &amp; "Flr_0" &amp; INDEX(Joined!$A$3:$M$2000, MATCH($A237, Joined!$I$3:$I$2000, FALSE), 8)</f>
        <v>B_01'Flr_06</v>
      </c>
      <c r="AF237" t="str">
        <f>"R_" &amp; INDEX(Joined!$A$3:$M$2000, MATCH($A237, Joined!$I$3:$I$2000, FALSE), 7)</f>
        <v>R_VAV-6N-7</v>
      </c>
      <c r="AG237" t="str">
        <f>"B_01'" &amp; "Flr_0" &amp; INDEX(Joined!$A$3:$M$2000, MATCH($A237, Joined!$I$3:$I$2000, FALSE), 8)</f>
        <v>B_01'Flr_06</v>
      </c>
      <c r="AH237" t="str">
        <f>INDEX(Joined!$A$3:$M$2000, MATCH($A237, Joined!$I$3:$I$2000, FALSE), 7)</f>
        <v>VAV-6N-7</v>
      </c>
      <c r="AI237" t="s">
        <v>1565</v>
      </c>
    </row>
    <row r="238" spans="1:35" x14ac:dyDescent="0.2">
      <c r="A238" t="s">
        <v>709</v>
      </c>
      <c r="B238" t="str">
        <f>"B_01'" &amp; "Flr_0" &amp; INDEX(Joined!$A$3:$M$2000, MATCH($A238, Joined!$I$3:$I$2000, FALSE), 8)</f>
        <v>B_01'Flr_06</v>
      </c>
      <c r="C238" t="str">
        <f>INDEX(Joined!$A$3:$M$2000, MATCH($A238, Joined!$I$3:$I$2000, FALSE), 7)</f>
        <v>VAV-6N-8</v>
      </c>
      <c r="D238">
        <f>INDEX(Joined!$A$3:$M$2000, MATCH($A238, Joined!$I$3:$I$2000, FALSE), 5)</f>
        <v>151304</v>
      </c>
      <c r="E238" t="str">
        <f>INDEX(Joined!$A$3:$M$2000, MATCH($A238, Joined!$I$3:$I$2000, FALSE), 7)</f>
        <v>VAV-6N-8</v>
      </c>
      <c r="F238" t="s">
        <v>38</v>
      </c>
      <c r="G238" t="str">
        <f>INDEX(Schedule!$Q$2:$R$7, MATCH(ABT!$H238,Schedule!$Q$2:$Q$7, 0), 2)</f>
        <v>15010_DXR_VAV_DXR2M12</v>
      </c>
      <c r="H238">
        <f>INDEX(Joined!$A$3:$M$2000, MATCH($A238, Joined!$I$3:$I$2000, FALSE), 6)</f>
        <v>15010</v>
      </c>
      <c r="I238" t="str">
        <f>INDEX(Joined!$A$3:$M$2000, MATCH($A238, Joined!$I$3:$I$2000, FALSE), 4)</f>
        <v>513</v>
      </c>
      <c r="J238" t="b">
        <v>0</v>
      </c>
      <c r="K238">
        <f>INDEX(Joined!$A$3:$M$2000, MATCH($A238, Joined!$I$3:$I$2000, FALSE), 3)</f>
        <v>4</v>
      </c>
      <c r="L238">
        <v>85</v>
      </c>
      <c r="M238">
        <v>38400</v>
      </c>
      <c r="N238" s="27">
        <f>PI()*(INDEX(Schedule!$A$1:$N$2000, MATCH($C238, VAV_Schedule_5_21[[#All],[UNIT TAG]], FALSE), 4)/2/12)^2</f>
        <v>0.78539816339744828</v>
      </c>
      <c r="O238" s="27">
        <f>INDEX(Schedule!$A$1:$N$2000, MATCH($C238, VAV_Schedule_5_21[[#All],[UNIT TAG]], FALSE), 4)</f>
        <v>12</v>
      </c>
      <c r="P238">
        <v>236.63</v>
      </c>
      <c r="Q238" s="27">
        <f>INDEX(Schedule!$A$1:$N$2000, MATCH($C238, VAV_Schedule_5_21[[#All],[UNIT TAG]], FALSE), 5)</f>
        <v>1260</v>
      </c>
      <c r="R238" s="27">
        <f>INDEX(Schedule!$A$1:$N$2000, MATCH($C238, VAV_Schedule_5_21[[#All],[UNIT TAG]], FALSE), 6)</f>
        <v>255</v>
      </c>
      <c r="S238" s="27">
        <f>INDEX(Schedule!$A$1:$N$2000, MATCH($C238, VAV_Schedule_5_21[[#All],[UNIT TAG]], FALSE), 5)</f>
        <v>1260</v>
      </c>
      <c r="T238" s="27">
        <f>INDEX(Schedule!$A$1:$N$2000, MATCH($C238, VAV_Schedule_5_21[[#All],[UNIT TAG]], FALSE), 6)</f>
        <v>255</v>
      </c>
      <c r="U238" s="27">
        <f>INDEX(Schedule!$A$1:$N$2000, MATCH($C238, VAV_Schedule_5_21[[#All],[UNIT TAG]], FALSE), 5)</f>
        <v>1260</v>
      </c>
      <c r="V238" s="27">
        <f>INDEX(Schedule!$A$1:$N$2000, MATCH($C238, VAV_Schedule_5_21[[#All],[UNIT TAG]], FALSE), 6)</f>
        <v>255</v>
      </c>
      <c r="W238" s="27">
        <f>INDEX(Schedule!$A$1:$N$2000, MATCH($C238, VAV_Schedule_5_21[[#All],[UNIT TAG]], FALSE), 6)</f>
        <v>255</v>
      </c>
      <c r="X238" s="27">
        <f>INDEX(Schedule!$A$1:$N$2000, MATCH($C238, VAV_Schedule_5_21[[#All],[UNIT TAG]], FALSE), 6)</f>
        <v>255</v>
      </c>
      <c r="Y238" s="27">
        <f>INDEX(Schedule!$A$1:$N$2000, MATCH($C238, VAV_Schedule_5_21[[#All],[UNIT TAG]], FALSE), 6)</f>
        <v>255</v>
      </c>
      <c r="Z238" s="27">
        <f>INDEX(Schedule!$A$1:$N$2000, MATCH($C238, VAV_Schedule_5_21[[#All],[UNIT TAG]], FALSE), 6)</f>
        <v>255</v>
      </c>
      <c r="AA238" s="27">
        <v>1000</v>
      </c>
      <c r="AB238" s="27">
        <v>1100</v>
      </c>
      <c r="AC238">
        <v>1400</v>
      </c>
      <c r="AD238" s="29">
        <f>IF(INDEX(Schedule!$A$1:$N$2000, MATCH($C238, VAV_Schedule_5_21[[#All],[UNIT TAG]], FALSE), 7)="-", 0, INDEX(Schedule!$A$1:$N$2000, MATCH($C238, VAV_Schedule_5_21[[#All],[UNIT TAG]], FALSE), 7))</f>
        <v>0</v>
      </c>
      <c r="AE238" t="str">
        <f>"B_01'" &amp; "Flr_0" &amp; INDEX(Joined!$A$3:$M$2000, MATCH($A238, Joined!$I$3:$I$2000, FALSE), 8)</f>
        <v>B_01'Flr_06</v>
      </c>
      <c r="AF238" t="str">
        <f>"R_" &amp; INDEX(Joined!$A$3:$M$2000, MATCH($A238, Joined!$I$3:$I$2000, FALSE), 7)</f>
        <v>R_VAV-6N-8</v>
      </c>
      <c r="AG238" t="str">
        <f>"B_01'" &amp; "Flr_0" &amp; INDEX(Joined!$A$3:$M$2000, MATCH($A238, Joined!$I$3:$I$2000, FALSE), 8)</f>
        <v>B_01'Flr_06</v>
      </c>
      <c r="AH238" t="str">
        <f>INDEX(Joined!$A$3:$M$2000, MATCH($A238, Joined!$I$3:$I$2000, FALSE), 7)</f>
        <v>VAV-6N-8</v>
      </c>
      <c r="AI238" t="s">
        <v>1566</v>
      </c>
    </row>
    <row r="239" spans="1:35" x14ac:dyDescent="0.2">
      <c r="A239" t="s">
        <v>710</v>
      </c>
      <c r="B239" t="str">
        <f>"B_01'" &amp; "Flr_0" &amp; INDEX(Joined!$A$3:$M$2000, MATCH($A239, Joined!$I$3:$I$2000, FALSE), 8)</f>
        <v>B_01'Flr_06</v>
      </c>
      <c r="C239" t="str">
        <f>INDEX(Joined!$A$3:$M$2000, MATCH($A239, Joined!$I$3:$I$2000, FALSE), 7)</f>
        <v>VAV-6N-8A</v>
      </c>
      <c r="D239">
        <f>INDEX(Joined!$A$3:$M$2000, MATCH($A239, Joined!$I$3:$I$2000, FALSE), 5)</f>
        <v>151305</v>
      </c>
      <c r="E239" t="str">
        <f>INDEX(Joined!$A$3:$M$2000, MATCH($A239, Joined!$I$3:$I$2000, FALSE), 7)</f>
        <v>VAV-6N-8A</v>
      </c>
      <c r="F239" t="s">
        <v>38</v>
      </c>
      <c r="G239" t="str">
        <f>INDEX(Schedule!$Q$2:$R$7, MATCH(ABT!$H239,Schedule!$Q$2:$Q$7, 0), 2)</f>
        <v>15010_DXR_VAV_DXR2M12</v>
      </c>
      <c r="H239">
        <f>INDEX(Joined!$A$3:$M$2000, MATCH($A239, Joined!$I$3:$I$2000, FALSE), 6)</f>
        <v>15010</v>
      </c>
      <c r="I239" t="str">
        <f>INDEX(Joined!$A$3:$M$2000, MATCH($A239, Joined!$I$3:$I$2000, FALSE), 4)</f>
        <v>513</v>
      </c>
      <c r="J239" t="b">
        <v>0</v>
      </c>
      <c r="K239">
        <f>INDEX(Joined!$A$3:$M$2000, MATCH($A239, Joined!$I$3:$I$2000, FALSE), 3)</f>
        <v>5</v>
      </c>
      <c r="L239">
        <v>85</v>
      </c>
      <c r="M239">
        <v>38400</v>
      </c>
      <c r="N239" s="27">
        <f>PI()*(INDEX(Schedule!$A$1:$N$2000, MATCH($C239, VAV_Schedule_5_21[[#All],[UNIT TAG]], FALSE), 4)/2/12)^2</f>
        <v>0.3490658503988659</v>
      </c>
      <c r="O239" s="27">
        <f>INDEX(Schedule!$A$1:$N$2000, MATCH($C239, VAV_Schedule_5_21[[#All],[UNIT TAG]], FALSE), 4)</f>
        <v>8</v>
      </c>
      <c r="P239">
        <v>237.63</v>
      </c>
      <c r="Q239" s="27">
        <f>INDEX(Schedule!$A$1:$N$2000, MATCH($C239, VAV_Schedule_5_21[[#All],[UNIT TAG]], FALSE), 5)</f>
        <v>550</v>
      </c>
      <c r="R239" s="27">
        <f>INDEX(Schedule!$A$1:$N$2000, MATCH($C239, VAV_Schedule_5_21[[#All],[UNIT TAG]], FALSE), 6)</f>
        <v>110</v>
      </c>
      <c r="S239" s="27">
        <f>INDEX(Schedule!$A$1:$N$2000, MATCH($C239, VAV_Schedule_5_21[[#All],[UNIT TAG]], FALSE), 5)</f>
        <v>550</v>
      </c>
      <c r="T239" s="27">
        <f>INDEX(Schedule!$A$1:$N$2000, MATCH($C239, VAV_Schedule_5_21[[#All],[UNIT TAG]], FALSE), 6)</f>
        <v>110</v>
      </c>
      <c r="U239" s="27">
        <f>INDEX(Schedule!$A$1:$N$2000, MATCH($C239, VAV_Schedule_5_21[[#All],[UNIT TAG]], FALSE), 5)</f>
        <v>550</v>
      </c>
      <c r="V239" s="27">
        <f>INDEX(Schedule!$A$1:$N$2000, MATCH($C239, VAV_Schedule_5_21[[#All],[UNIT TAG]], FALSE), 6)</f>
        <v>110</v>
      </c>
      <c r="W239" s="27">
        <f>INDEX(Schedule!$A$1:$N$2000, MATCH($C239, VAV_Schedule_5_21[[#All],[UNIT TAG]], FALSE), 6)</f>
        <v>110</v>
      </c>
      <c r="X239" s="27">
        <f>INDEX(Schedule!$A$1:$N$2000, MATCH($C239, VAV_Schedule_5_21[[#All],[UNIT TAG]], FALSE), 6)</f>
        <v>110</v>
      </c>
      <c r="Y239" s="27">
        <f>INDEX(Schedule!$A$1:$N$2000, MATCH($C239, VAV_Schedule_5_21[[#All],[UNIT TAG]], FALSE), 6)</f>
        <v>110</v>
      </c>
      <c r="Z239" s="27">
        <f>INDEX(Schedule!$A$1:$N$2000, MATCH($C239, VAV_Schedule_5_21[[#All],[UNIT TAG]], FALSE), 6)</f>
        <v>110</v>
      </c>
      <c r="AA239" s="27">
        <v>1000</v>
      </c>
      <c r="AB239" s="27">
        <v>1100</v>
      </c>
      <c r="AC239">
        <v>1400</v>
      </c>
      <c r="AD239" s="29">
        <f>IF(INDEX(Schedule!$A$1:$N$2000, MATCH($C239, VAV_Schedule_5_21[[#All],[UNIT TAG]], FALSE), 7)="-", 0, INDEX(Schedule!$A$1:$N$2000, MATCH($C239, VAV_Schedule_5_21[[#All],[UNIT TAG]], FALSE), 7))</f>
        <v>0</v>
      </c>
      <c r="AE239" t="str">
        <f>"B_01'" &amp; "Flr_0" &amp; INDEX(Joined!$A$3:$M$2000, MATCH($A239, Joined!$I$3:$I$2000, FALSE), 8)</f>
        <v>B_01'Flr_06</v>
      </c>
      <c r="AF239" t="str">
        <f>"R_" &amp; INDEX(Joined!$A$3:$M$2000, MATCH($A239, Joined!$I$3:$I$2000, FALSE), 7)</f>
        <v>R_VAV-6N-8A</v>
      </c>
      <c r="AG239" t="str">
        <f>"B_01'" &amp; "Flr_0" &amp; INDEX(Joined!$A$3:$M$2000, MATCH($A239, Joined!$I$3:$I$2000, FALSE), 8)</f>
        <v>B_01'Flr_06</v>
      </c>
      <c r="AH239" t="str">
        <f>INDEX(Joined!$A$3:$M$2000, MATCH($A239, Joined!$I$3:$I$2000, FALSE), 7)</f>
        <v>VAV-6N-8A</v>
      </c>
      <c r="AI239" t="s">
        <v>1567</v>
      </c>
    </row>
    <row r="240" spans="1:35" x14ac:dyDescent="0.2">
      <c r="A240" t="s">
        <v>711</v>
      </c>
      <c r="B240" t="str">
        <f>"B_01'" &amp; "Flr_0" &amp; INDEX(Joined!$A$3:$M$2000, MATCH($A240, Joined!$I$3:$I$2000, FALSE), 8)</f>
        <v>B_01'Flr_06</v>
      </c>
      <c r="C240" t="str">
        <f>INDEX(Joined!$A$3:$M$2000, MATCH($A240, Joined!$I$3:$I$2000, FALSE), 7)</f>
        <v>VAV-6N-9</v>
      </c>
      <c r="D240">
        <f>INDEX(Joined!$A$3:$M$2000, MATCH($A240, Joined!$I$3:$I$2000, FALSE), 5)</f>
        <v>151306</v>
      </c>
      <c r="E240" t="str">
        <f>INDEX(Joined!$A$3:$M$2000, MATCH($A240, Joined!$I$3:$I$2000, FALSE), 7)</f>
        <v>VAV-6N-9</v>
      </c>
      <c r="F240" t="s">
        <v>38</v>
      </c>
      <c r="G240" t="str">
        <f>INDEX(Schedule!$Q$2:$R$7, MATCH(ABT!$H240,Schedule!$Q$2:$Q$7, 0), 2)</f>
        <v>15010_DXR_VAV_DXR2M12</v>
      </c>
      <c r="H240">
        <f>INDEX(Joined!$A$3:$M$2000, MATCH($A240, Joined!$I$3:$I$2000, FALSE), 6)</f>
        <v>15010</v>
      </c>
      <c r="I240" t="str">
        <f>INDEX(Joined!$A$3:$M$2000, MATCH($A240, Joined!$I$3:$I$2000, FALSE), 4)</f>
        <v>513</v>
      </c>
      <c r="J240" t="b">
        <v>0</v>
      </c>
      <c r="K240">
        <f>INDEX(Joined!$A$3:$M$2000, MATCH($A240, Joined!$I$3:$I$2000, FALSE), 3)</f>
        <v>6</v>
      </c>
      <c r="L240">
        <v>85</v>
      </c>
      <c r="M240">
        <v>38400</v>
      </c>
      <c r="N240" s="27">
        <f>PI()*(INDEX(Schedule!$A$1:$N$2000, MATCH($C240, VAV_Schedule_5_21[[#All],[UNIT TAG]], FALSE), 4)/2/12)^2</f>
        <v>0.78539816339744828</v>
      </c>
      <c r="O240" s="27">
        <f>INDEX(Schedule!$A$1:$N$2000, MATCH($C240, VAV_Schedule_5_21[[#All],[UNIT TAG]], FALSE), 4)</f>
        <v>12</v>
      </c>
      <c r="P240">
        <v>238.63</v>
      </c>
      <c r="Q240" s="27">
        <f>INDEX(Schedule!$A$1:$N$2000, MATCH($C240, VAV_Schedule_5_21[[#All],[UNIT TAG]], FALSE), 5)</f>
        <v>1310</v>
      </c>
      <c r="R240" s="27">
        <f>INDEX(Schedule!$A$1:$N$2000, MATCH($C240, VAV_Schedule_5_21[[#All],[UNIT TAG]], FALSE), 6)</f>
        <v>265</v>
      </c>
      <c r="S240" s="27">
        <f>INDEX(Schedule!$A$1:$N$2000, MATCH($C240, VAV_Schedule_5_21[[#All],[UNIT TAG]], FALSE), 5)</f>
        <v>1310</v>
      </c>
      <c r="T240" s="27">
        <f>INDEX(Schedule!$A$1:$N$2000, MATCH($C240, VAV_Schedule_5_21[[#All],[UNIT TAG]], FALSE), 6)</f>
        <v>265</v>
      </c>
      <c r="U240" s="27">
        <f>INDEX(Schedule!$A$1:$N$2000, MATCH($C240, VAV_Schedule_5_21[[#All],[UNIT TAG]], FALSE), 5)</f>
        <v>1310</v>
      </c>
      <c r="V240" s="27">
        <f>INDEX(Schedule!$A$1:$N$2000, MATCH($C240, VAV_Schedule_5_21[[#All],[UNIT TAG]], FALSE), 6)</f>
        <v>265</v>
      </c>
      <c r="W240" s="27">
        <f>INDEX(Schedule!$A$1:$N$2000, MATCH($C240, VAV_Schedule_5_21[[#All],[UNIT TAG]], FALSE), 6)</f>
        <v>265</v>
      </c>
      <c r="X240" s="27">
        <f>INDEX(Schedule!$A$1:$N$2000, MATCH($C240, VAV_Schedule_5_21[[#All],[UNIT TAG]], FALSE), 6)</f>
        <v>265</v>
      </c>
      <c r="Y240" s="27">
        <f>INDEX(Schedule!$A$1:$N$2000, MATCH($C240, VAV_Schedule_5_21[[#All],[UNIT TAG]], FALSE), 6)</f>
        <v>265</v>
      </c>
      <c r="Z240" s="27">
        <f>INDEX(Schedule!$A$1:$N$2000, MATCH($C240, VAV_Schedule_5_21[[#All],[UNIT TAG]], FALSE), 6)</f>
        <v>265</v>
      </c>
      <c r="AA240" s="27">
        <v>1000</v>
      </c>
      <c r="AB240" s="27">
        <v>1100</v>
      </c>
      <c r="AC240">
        <v>1400</v>
      </c>
      <c r="AD240" s="29">
        <f>IF(INDEX(Schedule!$A$1:$N$2000, MATCH($C240, VAV_Schedule_5_21[[#All],[UNIT TAG]], FALSE), 7)="-", 0, INDEX(Schedule!$A$1:$N$2000, MATCH($C240, VAV_Schedule_5_21[[#All],[UNIT TAG]], FALSE), 7))</f>
        <v>0</v>
      </c>
      <c r="AE240" t="str">
        <f>"B_01'" &amp; "Flr_0" &amp; INDEX(Joined!$A$3:$M$2000, MATCH($A240, Joined!$I$3:$I$2000, FALSE), 8)</f>
        <v>B_01'Flr_06</v>
      </c>
      <c r="AF240" t="str">
        <f>"R_" &amp; INDEX(Joined!$A$3:$M$2000, MATCH($A240, Joined!$I$3:$I$2000, FALSE), 7)</f>
        <v>R_VAV-6N-9</v>
      </c>
      <c r="AG240" t="str">
        <f>"B_01'" &amp; "Flr_0" &amp; INDEX(Joined!$A$3:$M$2000, MATCH($A240, Joined!$I$3:$I$2000, FALSE), 8)</f>
        <v>B_01'Flr_06</v>
      </c>
      <c r="AH240" t="str">
        <f>INDEX(Joined!$A$3:$M$2000, MATCH($A240, Joined!$I$3:$I$2000, FALSE), 7)</f>
        <v>VAV-6N-9</v>
      </c>
      <c r="AI240" t="s">
        <v>1568</v>
      </c>
    </row>
    <row r="241" spans="1:35" x14ac:dyDescent="0.2">
      <c r="A241" t="s">
        <v>702</v>
      </c>
      <c r="B241" t="str">
        <f>"B_01'" &amp; "Flr_0" &amp; INDEX(Joined!$A$3:$M$2000, MATCH($A241, Joined!$I$3:$I$2000, FALSE), 8)</f>
        <v>B_01'Flr_06</v>
      </c>
      <c r="C241" t="str">
        <f>INDEX(Joined!$A$3:$M$2000, MATCH($A241, Joined!$I$3:$I$2000, FALSE), 7)</f>
        <v>VAV-6W-1</v>
      </c>
      <c r="D241">
        <f>INDEX(Joined!$A$3:$M$2000, MATCH($A241, Joined!$I$3:$I$2000, FALSE), 5)</f>
        <v>151501</v>
      </c>
      <c r="E241" t="str">
        <f>INDEX(Joined!$A$3:$M$2000, MATCH($A241, Joined!$I$3:$I$2000, FALSE), 7)</f>
        <v>VAV-6W-1</v>
      </c>
      <c r="F241" t="s">
        <v>38</v>
      </c>
      <c r="G241" t="str">
        <f>INDEX(Schedule!$Q$2:$R$7, MATCH(ABT!$H241,Schedule!$Q$2:$Q$7, 0), 2)</f>
        <v>15011_DXR_VAV_DXR2M12</v>
      </c>
      <c r="H241">
        <f>INDEX(Joined!$A$3:$M$2000, MATCH($A241, Joined!$I$3:$I$2000, FALSE), 6)</f>
        <v>15011</v>
      </c>
      <c r="I241" t="str">
        <f>INDEX(Joined!$A$3:$M$2000, MATCH($A241, Joined!$I$3:$I$2000, FALSE), 4)</f>
        <v>515</v>
      </c>
      <c r="J241" t="b">
        <v>0</v>
      </c>
      <c r="K241">
        <f>INDEX(Joined!$A$3:$M$2000, MATCH($A241, Joined!$I$3:$I$2000, FALSE), 3)</f>
        <v>1</v>
      </c>
      <c r="L241">
        <v>85</v>
      </c>
      <c r="M241">
        <v>38400</v>
      </c>
      <c r="N241" s="27">
        <f>PI()*(INDEX(Schedule!$A$1:$N$2000, MATCH($C241, VAV_Schedule_5_21[[#All],[UNIT TAG]], FALSE), 4)/2/12)^2</f>
        <v>0.3490658503988659</v>
      </c>
      <c r="O241" s="27">
        <f>INDEX(Schedule!$A$1:$N$2000, MATCH($C241, VAV_Schedule_5_21[[#All],[UNIT TAG]], FALSE), 4)</f>
        <v>8</v>
      </c>
      <c r="P241">
        <v>239.63</v>
      </c>
      <c r="Q241" s="27">
        <f>INDEX(Schedule!$A$1:$N$2000, MATCH($C241, VAV_Schedule_5_21[[#All],[UNIT TAG]], FALSE), 5)</f>
        <v>640</v>
      </c>
      <c r="R241" s="27">
        <f>INDEX(Schedule!$A$1:$N$2000, MATCH($C241, VAV_Schedule_5_21[[#All],[UNIT TAG]], FALSE), 6)</f>
        <v>130</v>
      </c>
      <c r="S241" s="27">
        <f>INDEX(Schedule!$A$1:$N$2000, MATCH($C241, VAV_Schedule_5_21[[#All],[UNIT TAG]], FALSE), 5)</f>
        <v>640</v>
      </c>
      <c r="T241" s="27">
        <f>INDEX(Schedule!$A$1:$N$2000, MATCH($C241, VAV_Schedule_5_21[[#All],[UNIT TAG]], FALSE), 6)</f>
        <v>130</v>
      </c>
      <c r="U241" s="27">
        <f>INDEX(Schedule!$A$1:$N$2000, MATCH($C241, VAV_Schedule_5_21[[#All],[UNIT TAG]], FALSE), 5)</f>
        <v>640</v>
      </c>
      <c r="V241" s="27">
        <f>INDEX(Schedule!$A$1:$N$2000, MATCH($C241, VAV_Schedule_5_21[[#All],[UNIT TAG]], FALSE), 6)</f>
        <v>130</v>
      </c>
      <c r="W241" s="27">
        <f>INDEX(Schedule!$A$1:$N$2000, MATCH($C241, VAV_Schedule_5_21[[#All],[UNIT TAG]], FALSE), 6)</f>
        <v>130</v>
      </c>
      <c r="X241" s="27">
        <f>INDEX(Schedule!$A$1:$N$2000, MATCH($C241, VAV_Schedule_5_21[[#All],[UNIT TAG]], FALSE), 6)</f>
        <v>130</v>
      </c>
      <c r="Y241" s="27">
        <f>INDEX(Schedule!$A$1:$N$2000, MATCH($C241, VAV_Schedule_5_21[[#All],[UNIT TAG]], FALSE), 6)</f>
        <v>130</v>
      </c>
      <c r="Z241" s="27">
        <f>INDEX(Schedule!$A$1:$N$2000, MATCH($C241, VAV_Schedule_5_21[[#All],[UNIT TAG]], FALSE), 6)</f>
        <v>130</v>
      </c>
      <c r="AA241" s="27">
        <v>1000</v>
      </c>
      <c r="AB241" s="27">
        <v>1100</v>
      </c>
      <c r="AC241">
        <v>1400</v>
      </c>
      <c r="AD241" s="29" t="str">
        <f>IF(INDEX(Schedule!$A$1:$N$2000, MATCH($C241, VAV_Schedule_5_21[[#All],[UNIT TAG]], FALSE), 7)="-", 0, INDEX(Schedule!$A$1:$N$2000, MATCH($C241, VAV_Schedule_5_21[[#All],[UNIT TAG]], FALSE), 7))</f>
        <v>6</v>
      </c>
      <c r="AE241" t="str">
        <f>"B_01'" &amp; "Flr_0" &amp; INDEX(Joined!$A$3:$M$2000, MATCH($A241, Joined!$I$3:$I$2000, FALSE), 8)</f>
        <v>B_01'Flr_06</v>
      </c>
      <c r="AF241" t="str">
        <f>"R_" &amp; INDEX(Joined!$A$3:$M$2000, MATCH($A241, Joined!$I$3:$I$2000, FALSE), 7)</f>
        <v>R_VAV-6W-1</v>
      </c>
      <c r="AG241" t="str">
        <f>"B_01'" &amp; "Flr_0" &amp; INDEX(Joined!$A$3:$M$2000, MATCH($A241, Joined!$I$3:$I$2000, FALSE), 8)</f>
        <v>B_01'Flr_06</v>
      </c>
      <c r="AH241" t="str">
        <f>INDEX(Joined!$A$3:$M$2000, MATCH($A241, Joined!$I$3:$I$2000, FALSE), 7)</f>
        <v>VAV-6W-1</v>
      </c>
      <c r="AI241" t="s">
        <v>1569</v>
      </c>
    </row>
    <row r="242" spans="1:35" x14ac:dyDescent="0.2">
      <c r="A242" t="s">
        <v>703</v>
      </c>
      <c r="B242" t="str">
        <f>"B_01'" &amp; "Flr_0" &amp; INDEX(Joined!$A$3:$M$2000, MATCH($A242, Joined!$I$3:$I$2000, FALSE), 8)</f>
        <v>B_01'Flr_06</v>
      </c>
      <c r="C242" t="str">
        <f>INDEX(Joined!$A$3:$M$2000, MATCH($A242, Joined!$I$3:$I$2000, FALSE), 7)</f>
        <v>VAV-6W-2</v>
      </c>
      <c r="D242">
        <f>INDEX(Joined!$A$3:$M$2000, MATCH($A242, Joined!$I$3:$I$2000, FALSE), 5)</f>
        <v>151502</v>
      </c>
      <c r="E242" t="str">
        <f>INDEX(Joined!$A$3:$M$2000, MATCH($A242, Joined!$I$3:$I$2000, FALSE), 7)</f>
        <v>VAV-6W-2</v>
      </c>
      <c r="F242" t="s">
        <v>38</v>
      </c>
      <c r="G242" t="str">
        <f>INDEX(Schedule!$Q$2:$R$7, MATCH(ABT!$H242,Schedule!$Q$2:$Q$7, 0), 2)</f>
        <v>15011_DXR_VAV_DXR2M12</v>
      </c>
      <c r="H242">
        <f>INDEX(Joined!$A$3:$M$2000, MATCH($A242, Joined!$I$3:$I$2000, FALSE), 6)</f>
        <v>15011</v>
      </c>
      <c r="I242" t="str">
        <f>INDEX(Joined!$A$3:$M$2000, MATCH($A242, Joined!$I$3:$I$2000, FALSE), 4)</f>
        <v>515</v>
      </c>
      <c r="J242" t="b">
        <v>0</v>
      </c>
      <c r="K242">
        <f>INDEX(Joined!$A$3:$M$2000, MATCH($A242, Joined!$I$3:$I$2000, FALSE), 3)</f>
        <v>2</v>
      </c>
      <c r="L242">
        <v>85</v>
      </c>
      <c r="M242">
        <v>38400</v>
      </c>
      <c r="N242" s="27">
        <f>PI()*(INDEX(Schedule!$A$1:$N$2000, MATCH($C242, VAV_Schedule_5_21[[#All],[UNIT TAG]], FALSE), 4)/2/12)^2</f>
        <v>0.3490658503988659</v>
      </c>
      <c r="O242" s="27">
        <f>INDEX(Schedule!$A$1:$N$2000, MATCH($C242, VAV_Schedule_5_21[[#All],[UNIT TAG]], FALSE), 4)</f>
        <v>8</v>
      </c>
      <c r="P242">
        <v>240.63</v>
      </c>
      <c r="Q242" s="27">
        <f>INDEX(Schedule!$A$1:$N$2000, MATCH($C242, VAV_Schedule_5_21[[#All],[UNIT TAG]], FALSE), 5)</f>
        <v>680</v>
      </c>
      <c r="R242" s="27">
        <f>INDEX(Schedule!$A$1:$N$2000, MATCH($C242, VAV_Schedule_5_21[[#All],[UNIT TAG]], FALSE), 6)</f>
        <v>140</v>
      </c>
      <c r="S242" s="27">
        <f>INDEX(Schedule!$A$1:$N$2000, MATCH($C242, VAV_Schedule_5_21[[#All],[UNIT TAG]], FALSE), 5)</f>
        <v>680</v>
      </c>
      <c r="T242" s="27">
        <f>INDEX(Schedule!$A$1:$N$2000, MATCH($C242, VAV_Schedule_5_21[[#All],[UNIT TAG]], FALSE), 6)</f>
        <v>140</v>
      </c>
      <c r="U242" s="27">
        <f>INDEX(Schedule!$A$1:$N$2000, MATCH($C242, VAV_Schedule_5_21[[#All],[UNIT TAG]], FALSE), 5)</f>
        <v>680</v>
      </c>
      <c r="V242" s="27">
        <f>INDEX(Schedule!$A$1:$N$2000, MATCH($C242, VAV_Schedule_5_21[[#All],[UNIT TAG]], FALSE), 6)</f>
        <v>140</v>
      </c>
      <c r="W242" s="27">
        <f>INDEX(Schedule!$A$1:$N$2000, MATCH($C242, VAV_Schedule_5_21[[#All],[UNIT TAG]], FALSE), 6)</f>
        <v>140</v>
      </c>
      <c r="X242" s="27">
        <f>INDEX(Schedule!$A$1:$N$2000, MATCH($C242, VAV_Schedule_5_21[[#All],[UNIT TAG]], FALSE), 6)</f>
        <v>140</v>
      </c>
      <c r="Y242" s="27">
        <f>INDEX(Schedule!$A$1:$N$2000, MATCH($C242, VAV_Schedule_5_21[[#All],[UNIT TAG]], FALSE), 6)</f>
        <v>140</v>
      </c>
      <c r="Z242" s="27">
        <f>INDEX(Schedule!$A$1:$N$2000, MATCH($C242, VAV_Schedule_5_21[[#All],[UNIT TAG]], FALSE), 6)</f>
        <v>140</v>
      </c>
      <c r="AA242" s="27">
        <v>1000</v>
      </c>
      <c r="AB242" s="27">
        <v>1100</v>
      </c>
      <c r="AC242">
        <v>1400</v>
      </c>
      <c r="AD242" s="29" t="str">
        <f>IF(INDEX(Schedule!$A$1:$N$2000, MATCH($C242, VAV_Schedule_5_21[[#All],[UNIT TAG]], FALSE), 7)="-", 0, INDEX(Schedule!$A$1:$N$2000, MATCH($C242, VAV_Schedule_5_21[[#All],[UNIT TAG]], FALSE), 7))</f>
        <v>6</v>
      </c>
      <c r="AE242" t="str">
        <f>"B_01'" &amp; "Flr_0" &amp; INDEX(Joined!$A$3:$M$2000, MATCH($A242, Joined!$I$3:$I$2000, FALSE), 8)</f>
        <v>B_01'Flr_06</v>
      </c>
      <c r="AF242" t="str">
        <f>"R_" &amp; INDEX(Joined!$A$3:$M$2000, MATCH($A242, Joined!$I$3:$I$2000, FALSE), 7)</f>
        <v>R_VAV-6W-2</v>
      </c>
      <c r="AG242" t="str">
        <f>"B_01'" &amp; "Flr_0" &amp; INDEX(Joined!$A$3:$M$2000, MATCH($A242, Joined!$I$3:$I$2000, FALSE), 8)</f>
        <v>B_01'Flr_06</v>
      </c>
      <c r="AH242" t="str">
        <f>INDEX(Joined!$A$3:$M$2000, MATCH($A242, Joined!$I$3:$I$2000, FALSE), 7)</f>
        <v>VAV-6W-2</v>
      </c>
      <c r="AI242" t="s">
        <v>1570</v>
      </c>
    </row>
    <row r="243" spans="1:35" x14ac:dyDescent="0.2">
      <c r="A243" t="s">
        <v>704</v>
      </c>
      <c r="B243" t="str">
        <f>"B_01'" &amp; "Flr_0" &amp; INDEX(Joined!$A$3:$M$2000, MATCH($A243, Joined!$I$3:$I$2000, FALSE), 8)</f>
        <v>B_01'Flr_06</v>
      </c>
      <c r="C243" t="str">
        <f>INDEX(Joined!$A$3:$M$2000, MATCH($A243, Joined!$I$3:$I$2000, FALSE), 7)</f>
        <v>VAV-6W-3</v>
      </c>
      <c r="D243">
        <f>INDEX(Joined!$A$3:$M$2000, MATCH($A243, Joined!$I$3:$I$2000, FALSE), 5)</f>
        <v>151503</v>
      </c>
      <c r="E243" t="str">
        <f>INDEX(Joined!$A$3:$M$2000, MATCH($A243, Joined!$I$3:$I$2000, FALSE), 7)</f>
        <v>VAV-6W-3</v>
      </c>
      <c r="F243" t="s">
        <v>38</v>
      </c>
      <c r="G243" t="str">
        <f>INDEX(Schedule!$Q$2:$R$7, MATCH(ABT!$H243,Schedule!$Q$2:$Q$7, 0), 2)</f>
        <v>15011_DXR_VAV_DXR2M12</v>
      </c>
      <c r="H243">
        <f>INDEX(Joined!$A$3:$M$2000, MATCH($A243, Joined!$I$3:$I$2000, FALSE), 6)</f>
        <v>15011</v>
      </c>
      <c r="I243" t="str">
        <f>INDEX(Joined!$A$3:$M$2000, MATCH($A243, Joined!$I$3:$I$2000, FALSE), 4)</f>
        <v>515</v>
      </c>
      <c r="J243" t="b">
        <v>0</v>
      </c>
      <c r="K243">
        <f>INDEX(Joined!$A$3:$M$2000, MATCH($A243, Joined!$I$3:$I$2000, FALSE), 3)</f>
        <v>3</v>
      </c>
      <c r="L243">
        <v>85</v>
      </c>
      <c r="M243">
        <v>38400</v>
      </c>
      <c r="N243" s="27">
        <f>PI()*(INDEX(Schedule!$A$1:$N$2000, MATCH($C243, VAV_Schedule_5_21[[#All],[UNIT TAG]], FALSE), 4)/2/12)^2</f>
        <v>0.3490658503988659</v>
      </c>
      <c r="O243" s="27">
        <f>INDEX(Schedule!$A$1:$N$2000, MATCH($C243, VAV_Schedule_5_21[[#All],[UNIT TAG]], FALSE), 4)</f>
        <v>8</v>
      </c>
      <c r="P243">
        <v>241.63</v>
      </c>
      <c r="Q243" s="27">
        <f>INDEX(Schedule!$A$1:$N$2000, MATCH($C243, VAV_Schedule_5_21[[#All],[UNIT TAG]], FALSE), 5)</f>
        <v>600</v>
      </c>
      <c r="R243" s="27">
        <f>INDEX(Schedule!$A$1:$N$2000, MATCH($C243, VAV_Schedule_5_21[[#All],[UNIT TAG]], FALSE), 6)</f>
        <v>120</v>
      </c>
      <c r="S243" s="27">
        <f>INDEX(Schedule!$A$1:$N$2000, MATCH($C243, VAV_Schedule_5_21[[#All],[UNIT TAG]], FALSE), 5)</f>
        <v>600</v>
      </c>
      <c r="T243" s="27">
        <f>INDEX(Schedule!$A$1:$N$2000, MATCH($C243, VAV_Schedule_5_21[[#All],[UNIT TAG]], FALSE), 6)</f>
        <v>120</v>
      </c>
      <c r="U243" s="27">
        <f>INDEX(Schedule!$A$1:$N$2000, MATCH($C243, VAV_Schedule_5_21[[#All],[UNIT TAG]], FALSE), 5)</f>
        <v>600</v>
      </c>
      <c r="V243" s="27">
        <f>INDEX(Schedule!$A$1:$N$2000, MATCH($C243, VAV_Schedule_5_21[[#All],[UNIT TAG]], FALSE), 6)</f>
        <v>120</v>
      </c>
      <c r="W243" s="27">
        <f>INDEX(Schedule!$A$1:$N$2000, MATCH($C243, VAV_Schedule_5_21[[#All],[UNIT TAG]], FALSE), 6)</f>
        <v>120</v>
      </c>
      <c r="X243" s="27">
        <f>INDEX(Schedule!$A$1:$N$2000, MATCH($C243, VAV_Schedule_5_21[[#All],[UNIT TAG]], FALSE), 6)</f>
        <v>120</v>
      </c>
      <c r="Y243" s="27">
        <f>INDEX(Schedule!$A$1:$N$2000, MATCH($C243, VAV_Schedule_5_21[[#All],[UNIT TAG]], FALSE), 6)</f>
        <v>120</v>
      </c>
      <c r="Z243" s="27">
        <f>INDEX(Schedule!$A$1:$N$2000, MATCH($C243, VAV_Schedule_5_21[[#All],[UNIT TAG]], FALSE), 6)</f>
        <v>120</v>
      </c>
      <c r="AA243" s="27">
        <v>1000</v>
      </c>
      <c r="AB243" s="27">
        <v>1100</v>
      </c>
      <c r="AC243">
        <v>1400</v>
      </c>
      <c r="AD243" s="29" t="str">
        <f>IF(INDEX(Schedule!$A$1:$N$2000, MATCH($C243, VAV_Schedule_5_21[[#All],[UNIT TAG]], FALSE), 7)="-", 0, INDEX(Schedule!$A$1:$N$2000, MATCH($C243, VAV_Schedule_5_21[[#All],[UNIT TAG]], FALSE), 7))</f>
        <v>6</v>
      </c>
      <c r="AE243" t="str">
        <f>"B_01'" &amp; "Flr_0" &amp; INDEX(Joined!$A$3:$M$2000, MATCH($A243, Joined!$I$3:$I$2000, FALSE), 8)</f>
        <v>B_01'Flr_06</v>
      </c>
      <c r="AF243" t="str">
        <f>"R_" &amp; INDEX(Joined!$A$3:$M$2000, MATCH($A243, Joined!$I$3:$I$2000, FALSE), 7)</f>
        <v>R_VAV-6W-3</v>
      </c>
      <c r="AG243" t="str">
        <f>"B_01'" &amp; "Flr_0" &amp; INDEX(Joined!$A$3:$M$2000, MATCH($A243, Joined!$I$3:$I$2000, FALSE), 8)</f>
        <v>B_01'Flr_06</v>
      </c>
      <c r="AH243" t="str">
        <f>INDEX(Joined!$A$3:$M$2000, MATCH($A243, Joined!$I$3:$I$2000, FALSE), 7)</f>
        <v>VAV-6W-3</v>
      </c>
      <c r="AI243" t="s">
        <v>1571</v>
      </c>
    </row>
    <row r="244" spans="1:35" x14ac:dyDescent="0.2">
      <c r="A244" t="s">
        <v>733</v>
      </c>
      <c r="B244" t="str">
        <f>"B_01'" &amp; "Flr_0" &amp; INDEX(Joined!$A$3:$M$2000, MATCH($A244, Joined!$I$3:$I$2000, FALSE), 8)</f>
        <v>B_01'Flr_06</v>
      </c>
      <c r="C244" t="str">
        <f>INDEX(Joined!$A$3:$M$2000, MATCH($A244, Joined!$I$3:$I$2000, FALSE), 7)</f>
        <v>VAV-6W-31</v>
      </c>
      <c r="D244">
        <f>INDEX(Joined!$A$3:$M$2000, MATCH($A244, Joined!$I$3:$I$2000, FALSE), 5)</f>
        <v>151505</v>
      </c>
      <c r="E244" t="str">
        <f>INDEX(Joined!$A$3:$M$2000, MATCH($A244, Joined!$I$3:$I$2000, FALSE), 7)</f>
        <v>VAV-6W-31</v>
      </c>
      <c r="F244" t="s">
        <v>38</v>
      </c>
      <c r="G244" t="str">
        <f>INDEX(Schedule!$Q$2:$R$7, MATCH(ABT!$H244,Schedule!$Q$2:$Q$7, 0), 2)</f>
        <v>15010_DXR_VAV_DXR2M12</v>
      </c>
      <c r="H244">
        <f>INDEX(Joined!$A$3:$M$2000, MATCH($A244, Joined!$I$3:$I$2000, FALSE), 6)</f>
        <v>15010</v>
      </c>
      <c r="I244" t="str">
        <f>INDEX(Joined!$A$3:$M$2000, MATCH($A244, Joined!$I$3:$I$2000, FALSE), 4)</f>
        <v>515</v>
      </c>
      <c r="J244" t="b">
        <v>0</v>
      </c>
      <c r="K244">
        <f>INDEX(Joined!$A$3:$M$2000, MATCH($A244, Joined!$I$3:$I$2000, FALSE), 3)</f>
        <v>5</v>
      </c>
      <c r="L244">
        <v>85</v>
      </c>
      <c r="M244">
        <v>38400</v>
      </c>
      <c r="N244" s="27">
        <f>PI()*(INDEX(Schedule!$A$1:$N$2000, MATCH($C244, VAV_Schedule_5_21[[#All],[UNIT TAG]], FALSE), 4)/2/12)^2</f>
        <v>0.3490658503988659</v>
      </c>
      <c r="O244" s="27">
        <f>INDEX(Schedule!$A$1:$N$2000, MATCH($C244, VAV_Schedule_5_21[[#All],[UNIT TAG]], FALSE), 4)</f>
        <v>8</v>
      </c>
      <c r="P244">
        <v>242.63</v>
      </c>
      <c r="Q244" s="27">
        <f>INDEX(Schedule!$A$1:$N$2000, MATCH($C244, VAV_Schedule_5_21[[#All],[UNIT TAG]], FALSE), 5)</f>
        <v>560</v>
      </c>
      <c r="R244" s="27">
        <f>INDEX(Schedule!$A$1:$N$2000, MATCH($C244, VAV_Schedule_5_21[[#All],[UNIT TAG]], FALSE), 6)</f>
        <v>115</v>
      </c>
      <c r="S244" s="27">
        <f>INDEX(Schedule!$A$1:$N$2000, MATCH($C244, VAV_Schedule_5_21[[#All],[UNIT TAG]], FALSE), 5)</f>
        <v>560</v>
      </c>
      <c r="T244" s="27">
        <f>INDEX(Schedule!$A$1:$N$2000, MATCH($C244, VAV_Schedule_5_21[[#All],[UNIT TAG]], FALSE), 6)</f>
        <v>115</v>
      </c>
      <c r="U244" s="27">
        <f>INDEX(Schedule!$A$1:$N$2000, MATCH($C244, VAV_Schedule_5_21[[#All],[UNIT TAG]], FALSE), 5)</f>
        <v>560</v>
      </c>
      <c r="V244" s="27">
        <f>INDEX(Schedule!$A$1:$N$2000, MATCH($C244, VAV_Schedule_5_21[[#All],[UNIT TAG]], FALSE), 6)</f>
        <v>115</v>
      </c>
      <c r="W244" s="27">
        <f>INDEX(Schedule!$A$1:$N$2000, MATCH($C244, VAV_Schedule_5_21[[#All],[UNIT TAG]], FALSE), 6)</f>
        <v>115</v>
      </c>
      <c r="X244" s="27">
        <f>INDEX(Schedule!$A$1:$N$2000, MATCH($C244, VAV_Schedule_5_21[[#All],[UNIT TAG]], FALSE), 6)</f>
        <v>115</v>
      </c>
      <c r="Y244" s="27">
        <f>INDEX(Schedule!$A$1:$N$2000, MATCH($C244, VAV_Schedule_5_21[[#All],[UNIT TAG]], FALSE), 6)</f>
        <v>115</v>
      </c>
      <c r="Z244" s="27">
        <f>INDEX(Schedule!$A$1:$N$2000, MATCH($C244, VAV_Schedule_5_21[[#All],[UNIT TAG]], FALSE), 6)</f>
        <v>115</v>
      </c>
      <c r="AA244" s="27">
        <v>1000</v>
      </c>
      <c r="AB244" s="27">
        <v>1100</v>
      </c>
      <c r="AC244">
        <v>1400</v>
      </c>
      <c r="AD244" s="29">
        <f>IF(INDEX(Schedule!$A$1:$N$2000, MATCH($C244, VAV_Schedule_5_21[[#All],[UNIT TAG]], FALSE), 7)="-", 0, INDEX(Schedule!$A$1:$N$2000, MATCH($C244, VAV_Schedule_5_21[[#All],[UNIT TAG]], FALSE), 7))</f>
        <v>0</v>
      </c>
      <c r="AE244" t="str">
        <f>"B_01'" &amp; "Flr_0" &amp; INDEX(Joined!$A$3:$M$2000, MATCH($A244, Joined!$I$3:$I$2000, FALSE), 8)</f>
        <v>B_01'Flr_06</v>
      </c>
      <c r="AF244" t="str">
        <f>"R_" &amp; INDEX(Joined!$A$3:$M$2000, MATCH($A244, Joined!$I$3:$I$2000, FALSE), 7)</f>
        <v>R_VAV-6W-31</v>
      </c>
      <c r="AG244" t="str">
        <f>"B_01'" &amp; "Flr_0" &amp; INDEX(Joined!$A$3:$M$2000, MATCH($A244, Joined!$I$3:$I$2000, FALSE), 8)</f>
        <v>B_01'Flr_06</v>
      </c>
      <c r="AH244" t="str">
        <f>INDEX(Joined!$A$3:$M$2000, MATCH($A244, Joined!$I$3:$I$2000, FALSE), 7)</f>
        <v>VAV-6W-31</v>
      </c>
      <c r="AI244" t="s">
        <v>1572</v>
      </c>
    </row>
    <row r="245" spans="1:35" x14ac:dyDescent="0.2">
      <c r="A245" t="s">
        <v>734</v>
      </c>
      <c r="B245" t="str">
        <f>"B_01'" &amp; "Flr_0" &amp; INDEX(Joined!$A$3:$M$2000, MATCH($A245, Joined!$I$3:$I$2000, FALSE), 8)</f>
        <v>B_01'Flr_06</v>
      </c>
      <c r="C245" t="str">
        <f>INDEX(Joined!$A$3:$M$2000, MATCH($A245, Joined!$I$3:$I$2000, FALSE), 7)</f>
        <v>VAV-6W-32</v>
      </c>
      <c r="D245">
        <f>INDEX(Joined!$A$3:$M$2000, MATCH($A245, Joined!$I$3:$I$2000, FALSE), 5)</f>
        <v>151506</v>
      </c>
      <c r="E245" t="str">
        <f>INDEX(Joined!$A$3:$M$2000, MATCH($A245, Joined!$I$3:$I$2000, FALSE), 7)</f>
        <v>VAV-6W-32</v>
      </c>
      <c r="F245" t="s">
        <v>38</v>
      </c>
      <c r="G245" t="str">
        <f>INDEX(Schedule!$Q$2:$R$7, MATCH(ABT!$H245,Schedule!$Q$2:$Q$7, 0), 2)</f>
        <v>15010_DXR_VAV_DXR2M12</v>
      </c>
      <c r="H245">
        <f>INDEX(Joined!$A$3:$M$2000, MATCH($A245, Joined!$I$3:$I$2000, FALSE), 6)</f>
        <v>15010</v>
      </c>
      <c r="I245" t="str">
        <f>INDEX(Joined!$A$3:$M$2000, MATCH($A245, Joined!$I$3:$I$2000, FALSE), 4)</f>
        <v>515</v>
      </c>
      <c r="J245" t="b">
        <v>0</v>
      </c>
      <c r="K245">
        <f>INDEX(Joined!$A$3:$M$2000, MATCH($A245, Joined!$I$3:$I$2000, FALSE), 3)</f>
        <v>6</v>
      </c>
      <c r="L245">
        <v>85</v>
      </c>
      <c r="M245">
        <v>38400</v>
      </c>
      <c r="N245" s="27">
        <f>PI()*(INDEX(Schedule!$A$1:$N$2000, MATCH($C245, VAV_Schedule_5_21[[#All],[UNIT TAG]], FALSE), 4)/2/12)^2</f>
        <v>0.54541539124822802</v>
      </c>
      <c r="O245" s="27">
        <f>INDEX(Schedule!$A$1:$N$2000, MATCH($C245, VAV_Schedule_5_21[[#All],[UNIT TAG]], FALSE), 4)</f>
        <v>10</v>
      </c>
      <c r="P245">
        <v>243.63</v>
      </c>
      <c r="Q245" s="27">
        <f>INDEX(Schedule!$A$1:$N$2000, MATCH($C245, VAV_Schedule_5_21[[#All],[UNIT TAG]], FALSE), 5)</f>
        <v>1030</v>
      </c>
      <c r="R245" s="27">
        <f>INDEX(Schedule!$A$1:$N$2000, MATCH($C245, VAV_Schedule_5_21[[#All],[UNIT TAG]], FALSE), 6)</f>
        <v>210</v>
      </c>
      <c r="S245" s="27">
        <f>INDEX(Schedule!$A$1:$N$2000, MATCH($C245, VAV_Schedule_5_21[[#All],[UNIT TAG]], FALSE), 5)</f>
        <v>1030</v>
      </c>
      <c r="T245" s="27">
        <f>INDEX(Schedule!$A$1:$N$2000, MATCH($C245, VAV_Schedule_5_21[[#All],[UNIT TAG]], FALSE), 6)</f>
        <v>210</v>
      </c>
      <c r="U245" s="27">
        <f>INDEX(Schedule!$A$1:$N$2000, MATCH($C245, VAV_Schedule_5_21[[#All],[UNIT TAG]], FALSE), 5)</f>
        <v>1030</v>
      </c>
      <c r="V245" s="27">
        <f>INDEX(Schedule!$A$1:$N$2000, MATCH($C245, VAV_Schedule_5_21[[#All],[UNIT TAG]], FALSE), 6)</f>
        <v>210</v>
      </c>
      <c r="W245" s="27">
        <f>INDEX(Schedule!$A$1:$N$2000, MATCH($C245, VAV_Schedule_5_21[[#All],[UNIT TAG]], FALSE), 6)</f>
        <v>210</v>
      </c>
      <c r="X245" s="27">
        <f>INDEX(Schedule!$A$1:$N$2000, MATCH($C245, VAV_Schedule_5_21[[#All],[UNIT TAG]], FALSE), 6)</f>
        <v>210</v>
      </c>
      <c r="Y245" s="27">
        <f>INDEX(Schedule!$A$1:$N$2000, MATCH($C245, VAV_Schedule_5_21[[#All],[UNIT TAG]], FALSE), 6)</f>
        <v>210</v>
      </c>
      <c r="Z245" s="27">
        <f>INDEX(Schedule!$A$1:$N$2000, MATCH($C245, VAV_Schedule_5_21[[#All],[UNIT TAG]], FALSE), 6)</f>
        <v>210</v>
      </c>
      <c r="AA245" s="27">
        <v>1000</v>
      </c>
      <c r="AB245" s="27">
        <v>1100</v>
      </c>
      <c r="AC245">
        <v>1400</v>
      </c>
      <c r="AD245" s="29">
        <f>IF(INDEX(Schedule!$A$1:$N$2000, MATCH($C245, VAV_Schedule_5_21[[#All],[UNIT TAG]], FALSE), 7)="-", 0, INDEX(Schedule!$A$1:$N$2000, MATCH($C245, VAV_Schedule_5_21[[#All],[UNIT TAG]], FALSE), 7))</f>
        <v>0</v>
      </c>
      <c r="AE245" t="str">
        <f>"B_01'" &amp; "Flr_0" &amp; INDEX(Joined!$A$3:$M$2000, MATCH($A245, Joined!$I$3:$I$2000, FALSE), 8)</f>
        <v>B_01'Flr_06</v>
      </c>
      <c r="AF245" t="str">
        <f>"R_" &amp; INDEX(Joined!$A$3:$M$2000, MATCH($A245, Joined!$I$3:$I$2000, FALSE), 7)</f>
        <v>R_VAV-6W-32</v>
      </c>
      <c r="AG245" t="str">
        <f>"B_01'" &amp; "Flr_0" &amp; INDEX(Joined!$A$3:$M$2000, MATCH($A245, Joined!$I$3:$I$2000, FALSE), 8)</f>
        <v>B_01'Flr_06</v>
      </c>
      <c r="AH245" t="str">
        <f>INDEX(Joined!$A$3:$M$2000, MATCH($A245, Joined!$I$3:$I$2000, FALSE), 7)</f>
        <v>VAV-6W-32</v>
      </c>
      <c r="AI245" t="s">
        <v>1573</v>
      </c>
    </row>
    <row r="246" spans="1:35" x14ac:dyDescent="0.2">
      <c r="A246" t="s">
        <v>735</v>
      </c>
      <c r="B246" t="str">
        <f>"B_01'" &amp; "Flr_0" &amp; INDEX(Joined!$A$3:$M$2000, MATCH($A246, Joined!$I$3:$I$2000, FALSE), 8)</f>
        <v>B_01'Flr_06</v>
      </c>
      <c r="C246" t="str">
        <f>INDEX(Joined!$A$3:$M$2000, MATCH($A246, Joined!$I$3:$I$2000, FALSE), 7)</f>
        <v>VAV-6W-33</v>
      </c>
      <c r="D246">
        <f>INDEX(Joined!$A$3:$M$2000, MATCH($A246, Joined!$I$3:$I$2000, FALSE), 5)</f>
        <v>151507</v>
      </c>
      <c r="E246" t="str">
        <f>INDEX(Joined!$A$3:$M$2000, MATCH($A246, Joined!$I$3:$I$2000, FALSE), 7)</f>
        <v>VAV-6W-33</v>
      </c>
      <c r="F246" t="s">
        <v>38</v>
      </c>
      <c r="G246" t="str">
        <f>INDEX(Schedule!$Q$2:$R$7, MATCH(ABT!$H246,Schedule!$Q$2:$Q$7, 0), 2)</f>
        <v>15011_DXR_VAV_DXR2M12</v>
      </c>
      <c r="H246">
        <f>INDEX(Joined!$A$3:$M$2000, MATCH($A246, Joined!$I$3:$I$2000, FALSE), 6)</f>
        <v>15011</v>
      </c>
      <c r="I246" t="str">
        <f>INDEX(Joined!$A$3:$M$2000, MATCH($A246, Joined!$I$3:$I$2000, FALSE), 4)</f>
        <v>515</v>
      </c>
      <c r="J246" t="b">
        <v>0</v>
      </c>
      <c r="K246">
        <f>INDEX(Joined!$A$3:$M$2000, MATCH($A246, Joined!$I$3:$I$2000, FALSE), 3)</f>
        <v>7</v>
      </c>
      <c r="L246">
        <v>85</v>
      </c>
      <c r="M246">
        <v>38400</v>
      </c>
      <c r="N246" s="27">
        <f>PI()*(INDEX(Schedule!$A$1:$N$2000, MATCH($C246, VAV_Schedule_5_21[[#All],[UNIT TAG]], FALSE), 4)/2/12)^2</f>
        <v>0.54541539124822802</v>
      </c>
      <c r="O246" s="27">
        <f>INDEX(Schedule!$A$1:$N$2000, MATCH($C246, VAV_Schedule_5_21[[#All],[UNIT TAG]], FALSE), 4)</f>
        <v>10</v>
      </c>
      <c r="P246">
        <v>244.63</v>
      </c>
      <c r="Q246" s="27">
        <f>INDEX(Schedule!$A$1:$N$2000, MATCH($C246, VAV_Schedule_5_21[[#All],[UNIT TAG]], FALSE), 5)</f>
        <v>800</v>
      </c>
      <c r="R246" s="27">
        <f>INDEX(Schedule!$A$1:$N$2000, MATCH($C246, VAV_Schedule_5_21[[#All],[UNIT TAG]], FALSE), 6)</f>
        <v>160</v>
      </c>
      <c r="S246" s="27">
        <f>INDEX(Schedule!$A$1:$N$2000, MATCH($C246, VAV_Schedule_5_21[[#All],[UNIT TAG]], FALSE), 5)</f>
        <v>800</v>
      </c>
      <c r="T246" s="27">
        <f>INDEX(Schedule!$A$1:$N$2000, MATCH($C246, VAV_Schedule_5_21[[#All],[UNIT TAG]], FALSE), 6)</f>
        <v>160</v>
      </c>
      <c r="U246" s="27">
        <f>INDEX(Schedule!$A$1:$N$2000, MATCH($C246, VAV_Schedule_5_21[[#All],[UNIT TAG]], FALSE), 5)</f>
        <v>800</v>
      </c>
      <c r="V246" s="27">
        <f>INDEX(Schedule!$A$1:$N$2000, MATCH($C246, VAV_Schedule_5_21[[#All],[UNIT TAG]], FALSE), 6)</f>
        <v>160</v>
      </c>
      <c r="W246" s="27">
        <f>INDEX(Schedule!$A$1:$N$2000, MATCH($C246, VAV_Schedule_5_21[[#All],[UNIT TAG]], FALSE), 6)</f>
        <v>160</v>
      </c>
      <c r="X246" s="27">
        <f>INDEX(Schedule!$A$1:$N$2000, MATCH($C246, VAV_Schedule_5_21[[#All],[UNIT TAG]], FALSE), 6)</f>
        <v>160</v>
      </c>
      <c r="Y246" s="27">
        <f>INDEX(Schedule!$A$1:$N$2000, MATCH($C246, VAV_Schedule_5_21[[#All],[UNIT TAG]], FALSE), 6)</f>
        <v>160</v>
      </c>
      <c r="Z246" s="27">
        <f>INDEX(Schedule!$A$1:$N$2000, MATCH($C246, VAV_Schedule_5_21[[#All],[UNIT TAG]], FALSE), 6)</f>
        <v>160</v>
      </c>
      <c r="AA246" s="27">
        <v>1000</v>
      </c>
      <c r="AB246" s="27">
        <v>1100</v>
      </c>
      <c r="AC246">
        <v>1400</v>
      </c>
      <c r="AD246" s="29" t="str">
        <f>IF(INDEX(Schedule!$A$1:$N$2000, MATCH($C246, VAV_Schedule_5_21[[#All],[UNIT TAG]], FALSE), 7)="-", 0, INDEX(Schedule!$A$1:$N$2000, MATCH($C246, VAV_Schedule_5_21[[#All],[UNIT TAG]], FALSE), 7))</f>
        <v>8</v>
      </c>
      <c r="AE246" t="str">
        <f>"B_01'" &amp; "Flr_0" &amp; INDEX(Joined!$A$3:$M$2000, MATCH($A246, Joined!$I$3:$I$2000, FALSE), 8)</f>
        <v>B_01'Flr_06</v>
      </c>
      <c r="AF246" t="str">
        <f>"R_" &amp; INDEX(Joined!$A$3:$M$2000, MATCH($A246, Joined!$I$3:$I$2000, FALSE), 7)</f>
        <v>R_VAV-6W-33</v>
      </c>
      <c r="AG246" t="str">
        <f>"B_01'" &amp; "Flr_0" &amp; INDEX(Joined!$A$3:$M$2000, MATCH($A246, Joined!$I$3:$I$2000, FALSE), 8)</f>
        <v>B_01'Flr_06</v>
      </c>
      <c r="AH246" t="str">
        <f>INDEX(Joined!$A$3:$M$2000, MATCH($A246, Joined!$I$3:$I$2000, FALSE), 7)</f>
        <v>VAV-6W-33</v>
      </c>
      <c r="AI246" t="s">
        <v>1574</v>
      </c>
    </row>
    <row r="247" spans="1:35" x14ac:dyDescent="0.2">
      <c r="A247" t="s">
        <v>736</v>
      </c>
      <c r="B247" t="str">
        <f>"B_01'" &amp; "Flr_0" &amp; INDEX(Joined!$A$3:$M$2000, MATCH($A247, Joined!$I$3:$I$2000, FALSE), 8)</f>
        <v>B_01'Flr_06</v>
      </c>
      <c r="C247" t="str">
        <f>INDEX(Joined!$A$3:$M$2000, MATCH($A247, Joined!$I$3:$I$2000, FALSE), 7)</f>
        <v>VAV-6W-34</v>
      </c>
      <c r="D247">
        <f>INDEX(Joined!$A$3:$M$2000, MATCH($A247, Joined!$I$3:$I$2000, FALSE), 5)</f>
        <v>151508</v>
      </c>
      <c r="E247" t="str">
        <f>INDEX(Joined!$A$3:$M$2000, MATCH($A247, Joined!$I$3:$I$2000, FALSE), 7)</f>
        <v>VAV-6W-34</v>
      </c>
      <c r="F247" t="s">
        <v>38</v>
      </c>
      <c r="G247" t="str">
        <f>INDEX(Schedule!$Q$2:$R$7, MATCH(ABT!$H247,Schedule!$Q$2:$Q$7, 0), 2)</f>
        <v>15011_DXR_VAV_DXR2M12</v>
      </c>
      <c r="H247">
        <f>INDEX(Joined!$A$3:$M$2000, MATCH($A247, Joined!$I$3:$I$2000, FALSE), 6)</f>
        <v>15011</v>
      </c>
      <c r="I247" t="str">
        <f>INDEX(Joined!$A$3:$M$2000, MATCH($A247, Joined!$I$3:$I$2000, FALSE), 4)</f>
        <v>515</v>
      </c>
      <c r="J247" t="b">
        <v>0</v>
      </c>
      <c r="K247">
        <f>INDEX(Joined!$A$3:$M$2000, MATCH($A247, Joined!$I$3:$I$2000, FALSE), 3)</f>
        <v>8</v>
      </c>
      <c r="L247">
        <v>85</v>
      </c>
      <c r="M247">
        <v>38400</v>
      </c>
      <c r="N247" s="27">
        <f>PI()*(INDEX(Schedule!$A$1:$N$2000, MATCH($C247, VAV_Schedule_5_21[[#All],[UNIT TAG]], FALSE), 4)/2/12)^2</f>
        <v>0.3490658503988659</v>
      </c>
      <c r="O247" s="27">
        <f>INDEX(Schedule!$A$1:$N$2000, MATCH($C247, VAV_Schedule_5_21[[#All],[UNIT TAG]], FALSE), 4)</f>
        <v>8</v>
      </c>
      <c r="P247">
        <v>245.63</v>
      </c>
      <c r="Q247" s="27">
        <f>INDEX(Schedule!$A$1:$N$2000, MATCH($C247, VAV_Schedule_5_21[[#All],[UNIT TAG]], FALSE), 5)</f>
        <v>640</v>
      </c>
      <c r="R247" s="27">
        <f>INDEX(Schedule!$A$1:$N$2000, MATCH($C247, VAV_Schedule_5_21[[#All],[UNIT TAG]], FALSE), 6)</f>
        <v>130</v>
      </c>
      <c r="S247" s="27">
        <f>INDEX(Schedule!$A$1:$N$2000, MATCH($C247, VAV_Schedule_5_21[[#All],[UNIT TAG]], FALSE), 5)</f>
        <v>640</v>
      </c>
      <c r="T247" s="27">
        <f>INDEX(Schedule!$A$1:$N$2000, MATCH($C247, VAV_Schedule_5_21[[#All],[UNIT TAG]], FALSE), 6)</f>
        <v>130</v>
      </c>
      <c r="U247" s="27">
        <f>INDEX(Schedule!$A$1:$N$2000, MATCH($C247, VAV_Schedule_5_21[[#All],[UNIT TAG]], FALSE), 5)</f>
        <v>640</v>
      </c>
      <c r="V247" s="27">
        <f>INDEX(Schedule!$A$1:$N$2000, MATCH($C247, VAV_Schedule_5_21[[#All],[UNIT TAG]], FALSE), 6)</f>
        <v>130</v>
      </c>
      <c r="W247" s="27">
        <f>INDEX(Schedule!$A$1:$N$2000, MATCH($C247, VAV_Schedule_5_21[[#All],[UNIT TAG]], FALSE), 6)</f>
        <v>130</v>
      </c>
      <c r="X247" s="27">
        <f>INDEX(Schedule!$A$1:$N$2000, MATCH($C247, VAV_Schedule_5_21[[#All],[UNIT TAG]], FALSE), 6)</f>
        <v>130</v>
      </c>
      <c r="Y247" s="27">
        <f>INDEX(Schedule!$A$1:$N$2000, MATCH($C247, VAV_Schedule_5_21[[#All],[UNIT TAG]], FALSE), 6)</f>
        <v>130</v>
      </c>
      <c r="Z247" s="27">
        <f>INDEX(Schedule!$A$1:$N$2000, MATCH($C247, VAV_Schedule_5_21[[#All],[UNIT TAG]], FALSE), 6)</f>
        <v>130</v>
      </c>
      <c r="AA247" s="27">
        <v>1000</v>
      </c>
      <c r="AB247" s="27">
        <v>1100</v>
      </c>
      <c r="AC247">
        <v>1400</v>
      </c>
      <c r="AD247" s="29" t="str">
        <f>IF(INDEX(Schedule!$A$1:$N$2000, MATCH($C247, VAV_Schedule_5_21[[#All],[UNIT TAG]], FALSE), 7)="-", 0, INDEX(Schedule!$A$1:$N$2000, MATCH($C247, VAV_Schedule_5_21[[#All],[UNIT TAG]], FALSE), 7))</f>
        <v>6</v>
      </c>
      <c r="AE247" t="str">
        <f>"B_01'" &amp; "Flr_0" &amp; INDEX(Joined!$A$3:$M$2000, MATCH($A247, Joined!$I$3:$I$2000, FALSE), 8)</f>
        <v>B_01'Flr_06</v>
      </c>
      <c r="AF247" t="str">
        <f>"R_" &amp; INDEX(Joined!$A$3:$M$2000, MATCH($A247, Joined!$I$3:$I$2000, FALSE), 7)</f>
        <v>R_VAV-6W-34</v>
      </c>
      <c r="AG247" t="str">
        <f>"B_01'" &amp; "Flr_0" &amp; INDEX(Joined!$A$3:$M$2000, MATCH($A247, Joined!$I$3:$I$2000, FALSE), 8)</f>
        <v>B_01'Flr_06</v>
      </c>
      <c r="AH247" t="str">
        <f>INDEX(Joined!$A$3:$M$2000, MATCH($A247, Joined!$I$3:$I$2000, FALSE), 7)</f>
        <v>VAV-6W-34</v>
      </c>
      <c r="AI247" t="s">
        <v>1575</v>
      </c>
    </row>
    <row r="248" spans="1:35" x14ac:dyDescent="0.2">
      <c r="A248" t="s">
        <v>737</v>
      </c>
      <c r="B248" t="str">
        <f>"B_01'" &amp; "Flr_0" &amp; INDEX(Joined!$A$3:$M$2000, MATCH($A248, Joined!$I$3:$I$2000, FALSE), 8)</f>
        <v>B_01'Flr_06</v>
      </c>
      <c r="C248" t="str">
        <f>INDEX(Joined!$A$3:$M$2000, MATCH($A248, Joined!$I$3:$I$2000, FALSE), 7)</f>
        <v>VAV-6W-35</v>
      </c>
      <c r="D248">
        <f>INDEX(Joined!$A$3:$M$2000, MATCH($A248, Joined!$I$3:$I$2000, FALSE), 5)</f>
        <v>151509</v>
      </c>
      <c r="E248" t="str">
        <f>INDEX(Joined!$A$3:$M$2000, MATCH($A248, Joined!$I$3:$I$2000, FALSE), 7)</f>
        <v>VAV-6W-35</v>
      </c>
      <c r="F248" t="s">
        <v>38</v>
      </c>
      <c r="G248" t="str">
        <f>INDEX(Schedule!$Q$2:$R$7, MATCH(ABT!$H248,Schedule!$Q$2:$Q$7, 0), 2)</f>
        <v>15011_DXR_VAV_DXR2M12</v>
      </c>
      <c r="H248">
        <f>INDEX(Joined!$A$3:$M$2000, MATCH($A248, Joined!$I$3:$I$2000, FALSE), 6)</f>
        <v>15011</v>
      </c>
      <c r="I248" t="str">
        <f>INDEX(Joined!$A$3:$M$2000, MATCH($A248, Joined!$I$3:$I$2000, FALSE), 4)</f>
        <v>515</v>
      </c>
      <c r="J248" t="b">
        <v>0</v>
      </c>
      <c r="K248">
        <f>INDEX(Joined!$A$3:$M$2000, MATCH($A248, Joined!$I$3:$I$2000, FALSE), 3)</f>
        <v>9</v>
      </c>
      <c r="L248">
        <v>85</v>
      </c>
      <c r="M248">
        <v>38400</v>
      </c>
      <c r="N248" s="27">
        <f>PI()*(INDEX(Schedule!$A$1:$N$2000, MATCH($C248, VAV_Schedule_5_21[[#All],[UNIT TAG]], FALSE), 4)/2/12)^2</f>
        <v>0.54541539124822802</v>
      </c>
      <c r="O248" s="27">
        <f>INDEX(Schedule!$A$1:$N$2000, MATCH($C248, VAV_Schedule_5_21[[#All],[UNIT TAG]], FALSE), 4)</f>
        <v>10</v>
      </c>
      <c r="P248">
        <v>246.63</v>
      </c>
      <c r="Q248" s="27">
        <f>INDEX(Schedule!$A$1:$N$2000, MATCH($C248, VAV_Schedule_5_21[[#All],[UNIT TAG]], FALSE), 5)</f>
        <v>860</v>
      </c>
      <c r="R248" s="27">
        <f>INDEX(Schedule!$A$1:$N$2000, MATCH($C248, VAV_Schedule_5_21[[#All],[UNIT TAG]], FALSE), 6)</f>
        <v>175</v>
      </c>
      <c r="S248" s="27">
        <f>INDEX(Schedule!$A$1:$N$2000, MATCH($C248, VAV_Schedule_5_21[[#All],[UNIT TAG]], FALSE), 5)</f>
        <v>860</v>
      </c>
      <c r="T248" s="27">
        <f>INDEX(Schedule!$A$1:$N$2000, MATCH($C248, VAV_Schedule_5_21[[#All],[UNIT TAG]], FALSE), 6)</f>
        <v>175</v>
      </c>
      <c r="U248" s="27">
        <f>INDEX(Schedule!$A$1:$N$2000, MATCH($C248, VAV_Schedule_5_21[[#All],[UNIT TAG]], FALSE), 5)</f>
        <v>860</v>
      </c>
      <c r="V248" s="27">
        <f>INDEX(Schedule!$A$1:$N$2000, MATCH($C248, VAV_Schedule_5_21[[#All],[UNIT TAG]], FALSE), 6)</f>
        <v>175</v>
      </c>
      <c r="W248" s="27">
        <f>INDEX(Schedule!$A$1:$N$2000, MATCH($C248, VAV_Schedule_5_21[[#All],[UNIT TAG]], FALSE), 6)</f>
        <v>175</v>
      </c>
      <c r="X248" s="27">
        <f>INDEX(Schedule!$A$1:$N$2000, MATCH($C248, VAV_Schedule_5_21[[#All],[UNIT TAG]], FALSE), 6)</f>
        <v>175</v>
      </c>
      <c r="Y248" s="27">
        <f>INDEX(Schedule!$A$1:$N$2000, MATCH($C248, VAV_Schedule_5_21[[#All],[UNIT TAG]], FALSE), 6)</f>
        <v>175</v>
      </c>
      <c r="Z248" s="27">
        <f>INDEX(Schedule!$A$1:$N$2000, MATCH($C248, VAV_Schedule_5_21[[#All],[UNIT TAG]], FALSE), 6)</f>
        <v>175</v>
      </c>
      <c r="AA248" s="27">
        <v>1000</v>
      </c>
      <c r="AB248" s="27">
        <v>1100</v>
      </c>
      <c r="AC248">
        <v>1400</v>
      </c>
      <c r="AD248" s="29" t="str">
        <f>IF(INDEX(Schedule!$A$1:$N$2000, MATCH($C248, VAV_Schedule_5_21[[#All],[UNIT TAG]], FALSE), 7)="-", 0, INDEX(Schedule!$A$1:$N$2000, MATCH($C248, VAV_Schedule_5_21[[#All],[UNIT TAG]], FALSE), 7))</f>
        <v>6</v>
      </c>
      <c r="AE248" t="str">
        <f>"B_01'" &amp; "Flr_0" &amp; INDEX(Joined!$A$3:$M$2000, MATCH($A248, Joined!$I$3:$I$2000, FALSE), 8)</f>
        <v>B_01'Flr_06</v>
      </c>
      <c r="AF248" t="str">
        <f>"R_" &amp; INDEX(Joined!$A$3:$M$2000, MATCH($A248, Joined!$I$3:$I$2000, FALSE), 7)</f>
        <v>R_VAV-6W-35</v>
      </c>
      <c r="AG248" t="str">
        <f>"B_01'" &amp; "Flr_0" &amp; INDEX(Joined!$A$3:$M$2000, MATCH($A248, Joined!$I$3:$I$2000, FALSE), 8)</f>
        <v>B_01'Flr_06</v>
      </c>
      <c r="AH248" t="str">
        <f>INDEX(Joined!$A$3:$M$2000, MATCH($A248, Joined!$I$3:$I$2000, FALSE), 7)</f>
        <v>VAV-6W-35</v>
      </c>
      <c r="AI248" t="s">
        <v>1576</v>
      </c>
    </row>
    <row r="249" spans="1:35" x14ac:dyDescent="0.2">
      <c r="A249" t="s">
        <v>738</v>
      </c>
      <c r="B249" t="str">
        <f>"B_01'" &amp; "Flr_0" &amp; INDEX(Joined!$A$3:$M$2000, MATCH($A249, Joined!$I$3:$I$2000, FALSE), 8)</f>
        <v>B_01'Flr_06</v>
      </c>
      <c r="C249" t="str">
        <f>INDEX(Joined!$A$3:$M$2000, MATCH($A249, Joined!$I$3:$I$2000, FALSE), 7)</f>
        <v>VAV-6W-36</v>
      </c>
      <c r="D249">
        <f>INDEX(Joined!$A$3:$M$2000, MATCH($A249, Joined!$I$3:$I$2000, FALSE), 5)</f>
        <v>151510</v>
      </c>
      <c r="E249" t="str">
        <f>INDEX(Joined!$A$3:$M$2000, MATCH($A249, Joined!$I$3:$I$2000, FALSE), 7)</f>
        <v>VAV-6W-36</v>
      </c>
      <c r="F249" t="s">
        <v>38</v>
      </c>
      <c r="G249" t="str">
        <f>INDEX(Schedule!$Q$2:$R$7, MATCH(ABT!$H249,Schedule!$Q$2:$Q$7, 0), 2)</f>
        <v>15011_DXR_VAV_DXR2M12</v>
      </c>
      <c r="H249">
        <f>INDEX(Joined!$A$3:$M$2000, MATCH($A249, Joined!$I$3:$I$2000, FALSE), 6)</f>
        <v>15011</v>
      </c>
      <c r="I249" t="str">
        <f>INDEX(Joined!$A$3:$M$2000, MATCH($A249, Joined!$I$3:$I$2000, FALSE), 4)</f>
        <v>515</v>
      </c>
      <c r="J249" t="b">
        <v>0</v>
      </c>
      <c r="K249">
        <f>INDEX(Joined!$A$3:$M$2000, MATCH($A249, Joined!$I$3:$I$2000, FALSE), 3)</f>
        <v>10</v>
      </c>
      <c r="L249">
        <v>85</v>
      </c>
      <c r="M249">
        <v>38400</v>
      </c>
      <c r="N249" s="27">
        <f>PI()*(INDEX(Schedule!$A$1:$N$2000, MATCH($C249, VAV_Schedule_5_21[[#All],[UNIT TAG]], FALSE), 4)/2/12)^2</f>
        <v>0.3490658503988659</v>
      </c>
      <c r="O249" s="27">
        <f>INDEX(Schedule!$A$1:$N$2000, MATCH($C249, VAV_Schedule_5_21[[#All],[UNIT TAG]], FALSE), 4)</f>
        <v>8</v>
      </c>
      <c r="P249">
        <v>247.63</v>
      </c>
      <c r="Q249" s="27">
        <f>INDEX(Schedule!$A$1:$N$2000, MATCH($C249, VAV_Schedule_5_21[[#All],[UNIT TAG]], FALSE), 5)</f>
        <v>700</v>
      </c>
      <c r="R249" s="27">
        <f>INDEX(Schedule!$A$1:$N$2000, MATCH($C249, VAV_Schedule_5_21[[#All],[UNIT TAG]], FALSE), 6)</f>
        <v>140</v>
      </c>
      <c r="S249" s="27">
        <f>INDEX(Schedule!$A$1:$N$2000, MATCH($C249, VAV_Schedule_5_21[[#All],[UNIT TAG]], FALSE), 5)</f>
        <v>700</v>
      </c>
      <c r="T249" s="27">
        <f>INDEX(Schedule!$A$1:$N$2000, MATCH($C249, VAV_Schedule_5_21[[#All],[UNIT TAG]], FALSE), 6)</f>
        <v>140</v>
      </c>
      <c r="U249" s="27">
        <f>INDEX(Schedule!$A$1:$N$2000, MATCH($C249, VAV_Schedule_5_21[[#All],[UNIT TAG]], FALSE), 5)</f>
        <v>700</v>
      </c>
      <c r="V249" s="27">
        <f>INDEX(Schedule!$A$1:$N$2000, MATCH($C249, VAV_Schedule_5_21[[#All],[UNIT TAG]], FALSE), 6)</f>
        <v>140</v>
      </c>
      <c r="W249" s="27">
        <f>INDEX(Schedule!$A$1:$N$2000, MATCH($C249, VAV_Schedule_5_21[[#All],[UNIT TAG]], FALSE), 6)</f>
        <v>140</v>
      </c>
      <c r="X249" s="27">
        <f>INDEX(Schedule!$A$1:$N$2000, MATCH($C249, VAV_Schedule_5_21[[#All],[UNIT TAG]], FALSE), 6)</f>
        <v>140</v>
      </c>
      <c r="Y249" s="27">
        <f>INDEX(Schedule!$A$1:$N$2000, MATCH($C249, VAV_Schedule_5_21[[#All],[UNIT TAG]], FALSE), 6)</f>
        <v>140</v>
      </c>
      <c r="Z249" s="27">
        <f>INDEX(Schedule!$A$1:$N$2000, MATCH($C249, VAV_Schedule_5_21[[#All],[UNIT TAG]], FALSE), 6)</f>
        <v>140</v>
      </c>
      <c r="AA249" s="27">
        <v>1000</v>
      </c>
      <c r="AB249" s="27">
        <v>1100</v>
      </c>
      <c r="AC249">
        <v>1400</v>
      </c>
      <c r="AD249" s="29" t="str">
        <f>IF(INDEX(Schedule!$A$1:$N$2000, MATCH($C249, VAV_Schedule_5_21[[#All],[UNIT TAG]], FALSE), 7)="-", 0, INDEX(Schedule!$A$1:$N$2000, MATCH($C249, VAV_Schedule_5_21[[#All],[UNIT TAG]], FALSE), 7))</f>
        <v>6</v>
      </c>
      <c r="AE249" t="str">
        <f>"B_01'" &amp; "Flr_0" &amp; INDEX(Joined!$A$3:$M$2000, MATCH($A249, Joined!$I$3:$I$2000, FALSE), 8)</f>
        <v>B_01'Flr_06</v>
      </c>
      <c r="AF249" t="str">
        <f>"R_" &amp; INDEX(Joined!$A$3:$M$2000, MATCH($A249, Joined!$I$3:$I$2000, FALSE), 7)</f>
        <v>R_VAV-6W-36</v>
      </c>
      <c r="AG249" t="str">
        <f>"B_01'" &amp; "Flr_0" &amp; INDEX(Joined!$A$3:$M$2000, MATCH($A249, Joined!$I$3:$I$2000, FALSE), 8)</f>
        <v>B_01'Flr_06</v>
      </c>
      <c r="AH249" t="str">
        <f>INDEX(Joined!$A$3:$M$2000, MATCH($A249, Joined!$I$3:$I$2000, FALSE), 7)</f>
        <v>VAV-6W-36</v>
      </c>
      <c r="AI249" t="s">
        <v>1577</v>
      </c>
    </row>
    <row r="250" spans="1:35" x14ac:dyDescent="0.2">
      <c r="A250" t="s">
        <v>739</v>
      </c>
      <c r="B250" t="str">
        <f>"B_01'" &amp; "Flr_0" &amp; INDEX(Joined!$A$3:$M$2000, MATCH($A250, Joined!$I$3:$I$2000, FALSE), 8)</f>
        <v>B_01'Flr_06</v>
      </c>
      <c r="C250" t="str">
        <f>INDEX(Joined!$A$3:$M$2000, MATCH($A250, Joined!$I$3:$I$2000, FALSE), 7)</f>
        <v>VAV-6W-37</v>
      </c>
      <c r="D250">
        <f>INDEX(Joined!$A$3:$M$2000, MATCH($A250, Joined!$I$3:$I$2000, FALSE), 5)</f>
        <v>151511</v>
      </c>
      <c r="E250" t="str">
        <f>INDEX(Joined!$A$3:$M$2000, MATCH($A250, Joined!$I$3:$I$2000, FALSE), 7)</f>
        <v>VAV-6W-37</v>
      </c>
      <c r="F250" t="s">
        <v>38</v>
      </c>
      <c r="G250" t="str">
        <f>INDEX(Schedule!$Q$2:$R$7, MATCH(ABT!$H250,Schedule!$Q$2:$Q$7, 0), 2)</f>
        <v>15010_DXR_VAV_DXR2M12</v>
      </c>
      <c r="H250">
        <f>INDEX(Joined!$A$3:$M$2000, MATCH($A250, Joined!$I$3:$I$2000, FALSE), 6)</f>
        <v>15010</v>
      </c>
      <c r="I250" t="str">
        <f>INDEX(Joined!$A$3:$M$2000, MATCH($A250, Joined!$I$3:$I$2000, FALSE), 4)</f>
        <v>515</v>
      </c>
      <c r="J250" t="b">
        <v>0</v>
      </c>
      <c r="K250">
        <f>INDEX(Joined!$A$3:$M$2000, MATCH($A250, Joined!$I$3:$I$2000, FALSE), 3)</f>
        <v>11</v>
      </c>
      <c r="L250">
        <v>85</v>
      </c>
      <c r="M250">
        <v>38400</v>
      </c>
      <c r="N250" s="27">
        <f>PI()*(INDEX(Schedule!$A$1:$N$2000, MATCH($C250, VAV_Schedule_5_21[[#All],[UNIT TAG]], FALSE), 4)/2/12)^2</f>
        <v>0.78539816339744828</v>
      </c>
      <c r="O250" s="27">
        <f>INDEX(Schedule!$A$1:$N$2000, MATCH($C250, VAV_Schedule_5_21[[#All],[UNIT TAG]], FALSE), 4)</f>
        <v>12</v>
      </c>
      <c r="P250">
        <v>248.63</v>
      </c>
      <c r="Q250" s="27">
        <f>INDEX(Schedule!$A$1:$N$2000, MATCH($C250, VAV_Schedule_5_21[[#All],[UNIT TAG]], FALSE), 5)</f>
        <v>1140</v>
      </c>
      <c r="R250" s="27">
        <f>INDEX(Schedule!$A$1:$N$2000, MATCH($C250, VAV_Schedule_5_21[[#All],[UNIT TAG]], FALSE), 6)</f>
        <v>230</v>
      </c>
      <c r="S250" s="27">
        <f>INDEX(Schedule!$A$1:$N$2000, MATCH($C250, VAV_Schedule_5_21[[#All],[UNIT TAG]], FALSE), 5)</f>
        <v>1140</v>
      </c>
      <c r="T250" s="27">
        <f>INDEX(Schedule!$A$1:$N$2000, MATCH($C250, VAV_Schedule_5_21[[#All],[UNIT TAG]], FALSE), 6)</f>
        <v>230</v>
      </c>
      <c r="U250" s="27">
        <f>INDEX(Schedule!$A$1:$N$2000, MATCH($C250, VAV_Schedule_5_21[[#All],[UNIT TAG]], FALSE), 5)</f>
        <v>1140</v>
      </c>
      <c r="V250" s="27">
        <f>INDEX(Schedule!$A$1:$N$2000, MATCH($C250, VAV_Schedule_5_21[[#All],[UNIT TAG]], FALSE), 6)</f>
        <v>230</v>
      </c>
      <c r="W250" s="27">
        <f>INDEX(Schedule!$A$1:$N$2000, MATCH($C250, VAV_Schedule_5_21[[#All],[UNIT TAG]], FALSE), 6)</f>
        <v>230</v>
      </c>
      <c r="X250" s="27">
        <f>INDEX(Schedule!$A$1:$N$2000, MATCH($C250, VAV_Schedule_5_21[[#All],[UNIT TAG]], FALSE), 6)</f>
        <v>230</v>
      </c>
      <c r="Y250" s="27">
        <f>INDEX(Schedule!$A$1:$N$2000, MATCH($C250, VAV_Schedule_5_21[[#All],[UNIT TAG]], FALSE), 6)</f>
        <v>230</v>
      </c>
      <c r="Z250" s="27">
        <f>INDEX(Schedule!$A$1:$N$2000, MATCH($C250, VAV_Schedule_5_21[[#All],[UNIT TAG]], FALSE), 6)</f>
        <v>230</v>
      </c>
      <c r="AA250" s="27">
        <v>1000</v>
      </c>
      <c r="AB250" s="27">
        <v>1100</v>
      </c>
      <c r="AC250">
        <v>1400</v>
      </c>
      <c r="AD250" s="29">
        <f>IF(INDEX(Schedule!$A$1:$N$2000, MATCH($C250, VAV_Schedule_5_21[[#All],[UNIT TAG]], FALSE), 7)="-", 0, INDEX(Schedule!$A$1:$N$2000, MATCH($C250, VAV_Schedule_5_21[[#All],[UNIT TAG]], FALSE), 7))</f>
        <v>0</v>
      </c>
      <c r="AE250" t="str">
        <f>"B_01'" &amp; "Flr_0" &amp; INDEX(Joined!$A$3:$M$2000, MATCH($A250, Joined!$I$3:$I$2000, FALSE), 8)</f>
        <v>B_01'Flr_06</v>
      </c>
      <c r="AF250" t="str">
        <f>"R_" &amp; INDEX(Joined!$A$3:$M$2000, MATCH($A250, Joined!$I$3:$I$2000, FALSE), 7)</f>
        <v>R_VAV-6W-37</v>
      </c>
      <c r="AG250" t="str">
        <f>"B_01'" &amp; "Flr_0" &amp; INDEX(Joined!$A$3:$M$2000, MATCH($A250, Joined!$I$3:$I$2000, FALSE), 8)</f>
        <v>B_01'Flr_06</v>
      </c>
      <c r="AH250" t="str">
        <f>INDEX(Joined!$A$3:$M$2000, MATCH($A250, Joined!$I$3:$I$2000, FALSE), 7)</f>
        <v>VAV-6W-37</v>
      </c>
      <c r="AI250" t="s">
        <v>1578</v>
      </c>
    </row>
    <row r="251" spans="1:35" x14ac:dyDescent="0.2">
      <c r="A251" t="s">
        <v>740</v>
      </c>
      <c r="B251" t="str">
        <f>"B_01'" &amp; "Flr_0" &amp; INDEX(Joined!$A$3:$M$2000, MATCH($A251, Joined!$I$3:$I$2000, FALSE), 8)</f>
        <v>B_01'Flr_06</v>
      </c>
      <c r="C251" t="str">
        <f>INDEX(Joined!$A$3:$M$2000, MATCH($A251, Joined!$I$3:$I$2000, FALSE), 7)</f>
        <v>VAV-6W-38</v>
      </c>
      <c r="D251">
        <f>INDEX(Joined!$A$3:$M$2000, MATCH($A251, Joined!$I$3:$I$2000, FALSE), 5)</f>
        <v>151512</v>
      </c>
      <c r="E251" t="str">
        <f>INDEX(Joined!$A$3:$M$2000, MATCH($A251, Joined!$I$3:$I$2000, FALSE), 7)</f>
        <v>VAV-6W-38</v>
      </c>
      <c r="F251" t="s">
        <v>38</v>
      </c>
      <c r="G251" t="str">
        <f>INDEX(Schedule!$Q$2:$R$7, MATCH(ABT!$H251,Schedule!$Q$2:$Q$7, 0), 2)</f>
        <v>15010_DXR_VAV_DXR2M12</v>
      </c>
      <c r="H251">
        <f>INDEX(Joined!$A$3:$M$2000, MATCH($A251, Joined!$I$3:$I$2000, FALSE), 6)</f>
        <v>15010</v>
      </c>
      <c r="I251" t="str">
        <f>INDEX(Joined!$A$3:$M$2000, MATCH($A251, Joined!$I$3:$I$2000, FALSE), 4)</f>
        <v>515</v>
      </c>
      <c r="J251" t="b">
        <v>0</v>
      </c>
      <c r="K251">
        <f>INDEX(Joined!$A$3:$M$2000, MATCH($A251, Joined!$I$3:$I$2000, FALSE), 3)</f>
        <v>12</v>
      </c>
      <c r="L251">
        <v>85</v>
      </c>
      <c r="M251">
        <v>38400</v>
      </c>
      <c r="N251" s="27">
        <f>PI()*(INDEX(Schedule!$A$1:$N$2000, MATCH($C251, VAV_Schedule_5_21[[#All],[UNIT TAG]], FALSE), 4)/2/12)^2</f>
        <v>0.54541539124822802</v>
      </c>
      <c r="O251" s="27">
        <f>INDEX(Schedule!$A$1:$N$2000, MATCH($C251, VAV_Schedule_5_21[[#All],[UNIT TAG]], FALSE), 4)</f>
        <v>10</v>
      </c>
      <c r="P251">
        <v>249.63</v>
      </c>
      <c r="Q251" s="27">
        <f>INDEX(Schedule!$A$1:$N$2000, MATCH($C251, VAV_Schedule_5_21[[#All],[UNIT TAG]], FALSE), 5)</f>
        <v>1040</v>
      </c>
      <c r="R251" s="27">
        <f>INDEX(Schedule!$A$1:$N$2000, MATCH($C251, VAV_Schedule_5_21[[#All],[UNIT TAG]], FALSE), 6)</f>
        <v>210</v>
      </c>
      <c r="S251" s="27">
        <f>INDEX(Schedule!$A$1:$N$2000, MATCH($C251, VAV_Schedule_5_21[[#All],[UNIT TAG]], FALSE), 5)</f>
        <v>1040</v>
      </c>
      <c r="T251" s="27">
        <f>INDEX(Schedule!$A$1:$N$2000, MATCH($C251, VAV_Schedule_5_21[[#All],[UNIT TAG]], FALSE), 6)</f>
        <v>210</v>
      </c>
      <c r="U251" s="27">
        <f>INDEX(Schedule!$A$1:$N$2000, MATCH($C251, VAV_Schedule_5_21[[#All],[UNIT TAG]], FALSE), 5)</f>
        <v>1040</v>
      </c>
      <c r="V251" s="27">
        <f>INDEX(Schedule!$A$1:$N$2000, MATCH($C251, VAV_Schedule_5_21[[#All],[UNIT TAG]], FALSE), 6)</f>
        <v>210</v>
      </c>
      <c r="W251" s="27">
        <f>INDEX(Schedule!$A$1:$N$2000, MATCH($C251, VAV_Schedule_5_21[[#All],[UNIT TAG]], FALSE), 6)</f>
        <v>210</v>
      </c>
      <c r="X251" s="27">
        <f>INDEX(Schedule!$A$1:$N$2000, MATCH($C251, VAV_Schedule_5_21[[#All],[UNIT TAG]], FALSE), 6)</f>
        <v>210</v>
      </c>
      <c r="Y251" s="27">
        <f>INDEX(Schedule!$A$1:$N$2000, MATCH($C251, VAV_Schedule_5_21[[#All],[UNIT TAG]], FALSE), 6)</f>
        <v>210</v>
      </c>
      <c r="Z251" s="27">
        <f>INDEX(Schedule!$A$1:$N$2000, MATCH($C251, VAV_Schedule_5_21[[#All],[UNIT TAG]], FALSE), 6)</f>
        <v>210</v>
      </c>
      <c r="AA251" s="27">
        <v>1000</v>
      </c>
      <c r="AB251" s="27">
        <v>1100</v>
      </c>
      <c r="AC251">
        <v>1400</v>
      </c>
      <c r="AD251" s="29">
        <f>IF(INDEX(Schedule!$A$1:$N$2000, MATCH($C251, VAV_Schedule_5_21[[#All],[UNIT TAG]], FALSE), 7)="-", 0, INDEX(Schedule!$A$1:$N$2000, MATCH($C251, VAV_Schedule_5_21[[#All],[UNIT TAG]], FALSE), 7))</f>
        <v>0</v>
      </c>
      <c r="AE251" t="str">
        <f>"B_01'" &amp; "Flr_0" &amp; INDEX(Joined!$A$3:$M$2000, MATCH($A251, Joined!$I$3:$I$2000, FALSE), 8)</f>
        <v>B_01'Flr_06</v>
      </c>
      <c r="AF251" t="str">
        <f>"R_" &amp; INDEX(Joined!$A$3:$M$2000, MATCH($A251, Joined!$I$3:$I$2000, FALSE), 7)</f>
        <v>R_VAV-6W-38</v>
      </c>
      <c r="AG251" t="str">
        <f>"B_01'" &amp; "Flr_0" &amp; INDEX(Joined!$A$3:$M$2000, MATCH($A251, Joined!$I$3:$I$2000, FALSE), 8)</f>
        <v>B_01'Flr_06</v>
      </c>
      <c r="AH251" t="str">
        <f>INDEX(Joined!$A$3:$M$2000, MATCH($A251, Joined!$I$3:$I$2000, FALSE), 7)</f>
        <v>VAV-6W-38</v>
      </c>
      <c r="AI251" t="s">
        <v>1579</v>
      </c>
    </row>
    <row r="252" spans="1:35" x14ac:dyDescent="0.2">
      <c r="A252" t="s">
        <v>741</v>
      </c>
      <c r="B252" t="str">
        <f>"B_01'" &amp; "Flr_0" &amp; INDEX(Joined!$A$3:$M$2000, MATCH($A252, Joined!$I$3:$I$2000, FALSE), 8)</f>
        <v>B_01'Flr_06</v>
      </c>
      <c r="C252" t="str">
        <f>INDEX(Joined!$A$3:$M$2000, MATCH($A252, Joined!$I$3:$I$2000, FALSE), 7)</f>
        <v>VAV-6W-39</v>
      </c>
      <c r="D252">
        <f>INDEX(Joined!$A$3:$M$2000, MATCH($A252, Joined!$I$3:$I$2000, FALSE), 5)</f>
        <v>151513</v>
      </c>
      <c r="E252" t="str">
        <f>INDEX(Joined!$A$3:$M$2000, MATCH($A252, Joined!$I$3:$I$2000, FALSE), 7)</f>
        <v>VAV-6W-39</v>
      </c>
      <c r="F252" t="s">
        <v>38</v>
      </c>
      <c r="G252" t="str">
        <f>INDEX(Schedule!$Q$2:$R$7, MATCH(ABT!$H252,Schedule!$Q$2:$Q$7, 0), 2)</f>
        <v>15010_DXR_VAV_DXR2M12</v>
      </c>
      <c r="H252">
        <f>INDEX(Joined!$A$3:$M$2000, MATCH($A252, Joined!$I$3:$I$2000, FALSE), 6)</f>
        <v>15010</v>
      </c>
      <c r="I252" t="str">
        <f>INDEX(Joined!$A$3:$M$2000, MATCH($A252, Joined!$I$3:$I$2000, FALSE), 4)</f>
        <v>515</v>
      </c>
      <c r="J252" t="b">
        <v>0</v>
      </c>
      <c r="K252">
        <f>INDEX(Joined!$A$3:$M$2000, MATCH($A252, Joined!$I$3:$I$2000, FALSE), 3)</f>
        <v>13</v>
      </c>
      <c r="L252">
        <v>85</v>
      </c>
      <c r="M252">
        <v>38400</v>
      </c>
      <c r="N252" s="27">
        <f>PI()*(INDEX(Schedule!$A$1:$N$2000, MATCH($C252, VAV_Schedule_5_21[[#All],[UNIT TAG]], FALSE), 4)/2/12)^2</f>
        <v>0.19634954084936207</v>
      </c>
      <c r="O252" s="27">
        <f>INDEX(Schedule!$A$1:$N$2000, MATCH($C252, VAV_Schedule_5_21[[#All],[UNIT TAG]], FALSE), 4)</f>
        <v>6</v>
      </c>
      <c r="P252">
        <v>250.63</v>
      </c>
      <c r="Q252" s="27">
        <f>INDEX(Schedule!$A$1:$N$2000, MATCH($C252, VAV_Schedule_5_21[[#All],[UNIT TAG]], FALSE), 5)</f>
        <v>185</v>
      </c>
      <c r="R252" s="27">
        <f>INDEX(Schedule!$A$1:$N$2000, MATCH($C252, VAV_Schedule_5_21[[#All],[UNIT TAG]], FALSE), 6)</f>
        <v>40</v>
      </c>
      <c r="S252" s="27">
        <f>INDEX(Schedule!$A$1:$N$2000, MATCH($C252, VAV_Schedule_5_21[[#All],[UNIT TAG]], FALSE), 5)</f>
        <v>185</v>
      </c>
      <c r="T252" s="27">
        <f>INDEX(Schedule!$A$1:$N$2000, MATCH($C252, VAV_Schedule_5_21[[#All],[UNIT TAG]], FALSE), 6)</f>
        <v>40</v>
      </c>
      <c r="U252" s="27">
        <f>INDEX(Schedule!$A$1:$N$2000, MATCH($C252, VAV_Schedule_5_21[[#All],[UNIT TAG]], FALSE), 5)</f>
        <v>185</v>
      </c>
      <c r="V252" s="27">
        <f>INDEX(Schedule!$A$1:$N$2000, MATCH($C252, VAV_Schedule_5_21[[#All],[UNIT TAG]], FALSE), 6)</f>
        <v>40</v>
      </c>
      <c r="W252" s="27">
        <f>INDEX(Schedule!$A$1:$N$2000, MATCH($C252, VAV_Schedule_5_21[[#All],[UNIT TAG]], FALSE), 6)</f>
        <v>40</v>
      </c>
      <c r="X252" s="27">
        <f>INDEX(Schedule!$A$1:$N$2000, MATCH($C252, VAV_Schedule_5_21[[#All],[UNIT TAG]], FALSE), 6)</f>
        <v>40</v>
      </c>
      <c r="Y252" s="27">
        <f>INDEX(Schedule!$A$1:$N$2000, MATCH($C252, VAV_Schedule_5_21[[#All],[UNIT TAG]], FALSE), 6)</f>
        <v>40</v>
      </c>
      <c r="Z252" s="27">
        <f>INDEX(Schedule!$A$1:$N$2000, MATCH($C252, VAV_Schedule_5_21[[#All],[UNIT TAG]], FALSE), 6)</f>
        <v>40</v>
      </c>
      <c r="AA252" s="27">
        <v>1000</v>
      </c>
      <c r="AB252" s="27">
        <v>1100</v>
      </c>
      <c r="AC252">
        <v>1400</v>
      </c>
      <c r="AD252" s="29">
        <f>IF(INDEX(Schedule!$A$1:$N$2000, MATCH($C252, VAV_Schedule_5_21[[#All],[UNIT TAG]], FALSE), 7)="-", 0, INDEX(Schedule!$A$1:$N$2000, MATCH($C252, VAV_Schedule_5_21[[#All],[UNIT TAG]], FALSE), 7))</f>
        <v>0</v>
      </c>
      <c r="AE252" t="str">
        <f>"B_01'" &amp; "Flr_0" &amp; INDEX(Joined!$A$3:$M$2000, MATCH($A252, Joined!$I$3:$I$2000, FALSE), 8)</f>
        <v>B_01'Flr_06</v>
      </c>
      <c r="AF252" t="str">
        <f>"R_" &amp; INDEX(Joined!$A$3:$M$2000, MATCH($A252, Joined!$I$3:$I$2000, FALSE), 7)</f>
        <v>R_VAV-6W-39</v>
      </c>
      <c r="AG252" t="str">
        <f>"B_01'" &amp; "Flr_0" &amp; INDEX(Joined!$A$3:$M$2000, MATCH($A252, Joined!$I$3:$I$2000, FALSE), 8)</f>
        <v>B_01'Flr_06</v>
      </c>
      <c r="AH252" t="str">
        <f>INDEX(Joined!$A$3:$M$2000, MATCH($A252, Joined!$I$3:$I$2000, FALSE), 7)</f>
        <v>VAV-6W-39</v>
      </c>
      <c r="AI252" t="s">
        <v>1580</v>
      </c>
    </row>
    <row r="253" spans="1:35" x14ac:dyDescent="0.2">
      <c r="A253" t="s">
        <v>705</v>
      </c>
      <c r="B253" t="str">
        <f>"B_01'" &amp; "Flr_0" &amp; INDEX(Joined!$A$3:$M$2000, MATCH($A253, Joined!$I$3:$I$2000, FALSE), 8)</f>
        <v>B_01'Flr_06</v>
      </c>
      <c r="C253" t="str">
        <f>INDEX(Joined!$A$3:$M$2000, MATCH($A253, Joined!$I$3:$I$2000, FALSE), 7)</f>
        <v>VAV-6W-4</v>
      </c>
      <c r="D253">
        <f>INDEX(Joined!$A$3:$M$2000, MATCH($A253, Joined!$I$3:$I$2000, FALSE), 5)</f>
        <v>151504</v>
      </c>
      <c r="E253" t="str">
        <f>INDEX(Joined!$A$3:$M$2000, MATCH($A253, Joined!$I$3:$I$2000, FALSE), 7)</f>
        <v>VAV-6W-4</v>
      </c>
      <c r="F253" t="s">
        <v>38</v>
      </c>
      <c r="G253" t="str">
        <f>INDEX(Schedule!$Q$2:$R$7, MATCH(ABT!$H253,Schedule!$Q$2:$Q$7, 0), 2)</f>
        <v>15011_DXR_VAV_DXR2M12</v>
      </c>
      <c r="H253">
        <f>INDEX(Joined!$A$3:$M$2000, MATCH($A253, Joined!$I$3:$I$2000, FALSE), 6)</f>
        <v>15011</v>
      </c>
      <c r="I253" t="str">
        <f>INDEX(Joined!$A$3:$M$2000, MATCH($A253, Joined!$I$3:$I$2000, FALSE), 4)</f>
        <v>515</v>
      </c>
      <c r="J253" t="b">
        <v>0</v>
      </c>
      <c r="K253">
        <f>INDEX(Joined!$A$3:$M$2000, MATCH($A253, Joined!$I$3:$I$2000, FALSE), 3)</f>
        <v>4</v>
      </c>
      <c r="L253">
        <v>85</v>
      </c>
      <c r="M253">
        <v>38400</v>
      </c>
      <c r="N253" s="27">
        <f>PI()*(INDEX(Schedule!$A$1:$N$2000, MATCH($C253, VAV_Schedule_5_21[[#All],[UNIT TAG]], FALSE), 4)/2/12)^2</f>
        <v>0.54541539124822802</v>
      </c>
      <c r="O253" s="27">
        <f>INDEX(Schedule!$A$1:$N$2000, MATCH($C253, VAV_Schedule_5_21[[#All],[UNIT TAG]], FALSE), 4)</f>
        <v>10</v>
      </c>
      <c r="P253">
        <v>251.63</v>
      </c>
      <c r="Q253" s="27">
        <f>INDEX(Schedule!$A$1:$N$2000, MATCH($C253, VAV_Schedule_5_21[[#All],[UNIT TAG]], FALSE), 5)</f>
        <v>840</v>
      </c>
      <c r="R253" s="27">
        <f>INDEX(Schedule!$A$1:$N$2000, MATCH($C253, VAV_Schedule_5_21[[#All],[UNIT TAG]], FALSE), 6)</f>
        <v>170</v>
      </c>
      <c r="S253" s="27">
        <f>INDEX(Schedule!$A$1:$N$2000, MATCH($C253, VAV_Schedule_5_21[[#All],[UNIT TAG]], FALSE), 5)</f>
        <v>840</v>
      </c>
      <c r="T253" s="27">
        <f>INDEX(Schedule!$A$1:$N$2000, MATCH($C253, VAV_Schedule_5_21[[#All],[UNIT TAG]], FALSE), 6)</f>
        <v>170</v>
      </c>
      <c r="U253" s="27">
        <f>INDEX(Schedule!$A$1:$N$2000, MATCH($C253, VAV_Schedule_5_21[[#All],[UNIT TAG]], FALSE), 5)</f>
        <v>840</v>
      </c>
      <c r="V253" s="27">
        <f>INDEX(Schedule!$A$1:$N$2000, MATCH($C253, VAV_Schedule_5_21[[#All],[UNIT TAG]], FALSE), 6)</f>
        <v>170</v>
      </c>
      <c r="W253" s="27">
        <f>INDEX(Schedule!$A$1:$N$2000, MATCH($C253, VAV_Schedule_5_21[[#All],[UNIT TAG]], FALSE), 6)</f>
        <v>170</v>
      </c>
      <c r="X253" s="27">
        <f>INDEX(Schedule!$A$1:$N$2000, MATCH($C253, VAV_Schedule_5_21[[#All],[UNIT TAG]], FALSE), 6)</f>
        <v>170</v>
      </c>
      <c r="Y253" s="27">
        <f>INDEX(Schedule!$A$1:$N$2000, MATCH($C253, VAV_Schedule_5_21[[#All],[UNIT TAG]], FALSE), 6)</f>
        <v>170</v>
      </c>
      <c r="Z253" s="27">
        <f>INDEX(Schedule!$A$1:$N$2000, MATCH($C253, VAV_Schedule_5_21[[#All],[UNIT TAG]], FALSE), 6)</f>
        <v>170</v>
      </c>
      <c r="AA253" s="27">
        <v>1000</v>
      </c>
      <c r="AB253" s="27">
        <v>1100</v>
      </c>
      <c r="AC253">
        <v>1400</v>
      </c>
      <c r="AD253" s="29" t="str">
        <f>IF(INDEX(Schedule!$A$1:$N$2000, MATCH($C253, VAV_Schedule_5_21[[#All],[UNIT TAG]], FALSE), 7)="-", 0, INDEX(Schedule!$A$1:$N$2000, MATCH($C253, VAV_Schedule_5_21[[#All],[UNIT TAG]], FALSE), 7))</f>
        <v>6</v>
      </c>
      <c r="AE253" t="str">
        <f>"B_01'" &amp; "Flr_0" &amp; INDEX(Joined!$A$3:$M$2000, MATCH($A253, Joined!$I$3:$I$2000, FALSE), 8)</f>
        <v>B_01'Flr_06</v>
      </c>
      <c r="AF253" t="str">
        <f>"R_" &amp; INDEX(Joined!$A$3:$M$2000, MATCH($A253, Joined!$I$3:$I$2000, FALSE), 7)</f>
        <v>R_VAV-6W-4</v>
      </c>
      <c r="AG253" t="str">
        <f>"B_01'" &amp; "Flr_0" &amp; INDEX(Joined!$A$3:$M$2000, MATCH($A253, Joined!$I$3:$I$2000, FALSE), 8)</f>
        <v>B_01'Flr_06</v>
      </c>
      <c r="AH253" t="str">
        <f>INDEX(Joined!$A$3:$M$2000, MATCH($A253, Joined!$I$3:$I$2000, FALSE), 7)</f>
        <v>VAV-6W-4</v>
      </c>
      <c r="AI253" t="s">
        <v>1581</v>
      </c>
    </row>
    <row r="254" spans="1:35" x14ac:dyDescent="0.2">
      <c r="A254" t="s">
        <v>742</v>
      </c>
      <c r="B254" t="str">
        <f>"B_01'" &amp; "Flr_0" &amp; INDEX(Joined!$A$3:$M$2000, MATCH($A254, Joined!$I$3:$I$2000, FALSE), 8)</f>
        <v>B_01'Flr_06</v>
      </c>
      <c r="C254" t="str">
        <f>INDEX(Joined!$A$3:$M$2000, MATCH($A254, Joined!$I$3:$I$2000, FALSE), 7)</f>
        <v>VAV-6W-40</v>
      </c>
      <c r="D254">
        <f>INDEX(Joined!$A$3:$M$2000, MATCH($A254, Joined!$I$3:$I$2000, FALSE), 5)</f>
        <v>151514</v>
      </c>
      <c r="E254" t="str">
        <f>INDEX(Joined!$A$3:$M$2000, MATCH($A254, Joined!$I$3:$I$2000, FALSE), 7)</f>
        <v>VAV-6W-40</v>
      </c>
      <c r="F254" t="s">
        <v>38</v>
      </c>
      <c r="G254" t="str">
        <f>INDEX(Schedule!$Q$2:$R$7, MATCH(ABT!$H254,Schedule!$Q$2:$Q$7, 0), 2)</f>
        <v>15011_DXR_VAV_DXR2M12</v>
      </c>
      <c r="H254">
        <f>INDEX(Joined!$A$3:$M$2000, MATCH($A254, Joined!$I$3:$I$2000, FALSE), 6)</f>
        <v>15011</v>
      </c>
      <c r="I254" t="str">
        <f>INDEX(Joined!$A$3:$M$2000, MATCH($A254, Joined!$I$3:$I$2000, FALSE), 4)</f>
        <v>515</v>
      </c>
      <c r="J254" t="b">
        <v>0</v>
      </c>
      <c r="K254">
        <f>INDEX(Joined!$A$3:$M$2000, MATCH($A254, Joined!$I$3:$I$2000, FALSE), 3)</f>
        <v>14</v>
      </c>
      <c r="L254">
        <v>85</v>
      </c>
      <c r="M254">
        <v>38400</v>
      </c>
      <c r="N254" s="27">
        <f>PI()*(INDEX(Schedule!$A$1:$N$2000, MATCH($C254, VAV_Schedule_5_21[[#All],[UNIT TAG]], FALSE), 4)/2/12)^2</f>
        <v>0.78539816339744828</v>
      </c>
      <c r="O254" s="27">
        <f>INDEX(Schedule!$A$1:$N$2000, MATCH($C254, VAV_Schedule_5_21[[#All],[UNIT TAG]], FALSE), 4)</f>
        <v>12</v>
      </c>
      <c r="P254">
        <v>252.63</v>
      </c>
      <c r="Q254" s="27">
        <f>INDEX(Schedule!$A$1:$N$2000, MATCH($C254, VAV_Schedule_5_21[[#All],[UNIT TAG]], FALSE), 5)</f>
        <v>1220</v>
      </c>
      <c r="R254" s="27">
        <f>INDEX(Schedule!$A$1:$N$2000, MATCH($C254, VAV_Schedule_5_21[[#All],[UNIT TAG]], FALSE), 6)</f>
        <v>245</v>
      </c>
      <c r="S254" s="27">
        <f>INDEX(Schedule!$A$1:$N$2000, MATCH($C254, VAV_Schedule_5_21[[#All],[UNIT TAG]], FALSE), 5)</f>
        <v>1220</v>
      </c>
      <c r="T254" s="27">
        <f>INDEX(Schedule!$A$1:$N$2000, MATCH($C254, VAV_Schedule_5_21[[#All],[UNIT TAG]], FALSE), 6)</f>
        <v>245</v>
      </c>
      <c r="U254" s="27">
        <f>INDEX(Schedule!$A$1:$N$2000, MATCH($C254, VAV_Schedule_5_21[[#All],[UNIT TAG]], FALSE), 5)</f>
        <v>1220</v>
      </c>
      <c r="V254" s="27">
        <f>INDEX(Schedule!$A$1:$N$2000, MATCH($C254, VAV_Schedule_5_21[[#All],[UNIT TAG]], FALSE), 6)</f>
        <v>245</v>
      </c>
      <c r="W254" s="27">
        <f>INDEX(Schedule!$A$1:$N$2000, MATCH($C254, VAV_Schedule_5_21[[#All],[UNIT TAG]], FALSE), 6)</f>
        <v>245</v>
      </c>
      <c r="X254" s="27">
        <f>INDEX(Schedule!$A$1:$N$2000, MATCH($C254, VAV_Schedule_5_21[[#All],[UNIT TAG]], FALSE), 6)</f>
        <v>245</v>
      </c>
      <c r="Y254" s="27">
        <f>INDEX(Schedule!$A$1:$N$2000, MATCH($C254, VAV_Schedule_5_21[[#All],[UNIT TAG]], FALSE), 6)</f>
        <v>245</v>
      </c>
      <c r="Z254" s="27">
        <f>INDEX(Schedule!$A$1:$N$2000, MATCH($C254, VAV_Schedule_5_21[[#All],[UNIT TAG]], FALSE), 6)</f>
        <v>245</v>
      </c>
      <c r="AA254" s="27">
        <v>1000</v>
      </c>
      <c r="AB254" s="27">
        <v>1100</v>
      </c>
      <c r="AC254">
        <v>1400</v>
      </c>
      <c r="AD254" s="29" t="str">
        <f>IF(INDEX(Schedule!$A$1:$N$2000, MATCH($C254, VAV_Schedule_5_21[[#All],[UNIT TAG]], FALSE), 7)="-", 0, INDEX(Schedule!$A$1:$N$2000, MATCH($C254, VAV_Schedule_5_21[[#All],[UNIT TAG]], FALSE), 7))</f>
        <v>7</v>
      </c>
      <c r="AE254" t="str">
        <f>"B_01'" &amp; "Flr_0" &amp; INDEX(Joined!$A$3:$M$2000, MATCH($A254, Joined!$I$3:$I$2000, FALSE), 8)</f>
        <v>B_01'Flr_06</v>
      </c>
      <c r="AF254" t="str">
        <f>"R_" &amp; INDEX(Joined!$A$3:$M$2000, MATCH($A254, Joined!$I$3:$I$2000, FALSE), 7)</f>
        <v>R_VAV-6W-40</v>
      </c>
      <c r="AG254" t="str">
        <f>"B_01'" &amp; "Flr_0" &amp; INDEX(Joined!$A$3:$M$2000, MATCH($A254, Joined!$I$3:$I$2000, FALSE), 8)</f>
        <v>B_01'Flr_06</v>
      </c>
      <c r="AH254" t="str">
        <f>INDEX(Joined!$A$3:$M$2000, MATCH($A254, Joined!$I$3:$I$2000, FALSE), 7)</f>
        <v>VAV-6W-40</v>
      </c>
      <c r="AI254" t="s">
        <v>1582</v>
      </c>
    </row>
    <row r="255" spans="1:35" x14ac:dyDescent="0.2">
      <c r="A255" t="s">
        <v>743</v>
      </c>
      <c r="B255" t="str">
        <f>"B_01'" &amp; "Flr_0" &amp; INDEX(Joined!$A$3:$M$2000, MATCH($A255, Joined!$I$3:$I$2000, FALSE), 8)</f>
        <v>B_01'Flr_06</v>
      </c>
      <c r="C255" t="str">
        <f>INDEX(Joined!$A$3:$M$2000, MATCH($A255, Joined!$I$3:$I$2000, FALSE), 7)</f>
        <v>VAV-6W-41</v>
      </c>
      <c r="D255">
        <f>INDEX(Joined!$A$3:$M$2000, MATCH($A255, Joined!$I$3:$I$2000, FALSE), 5)</f>
        <v>151515</v>
      </c>
      <c r="E255" t="str">
        <f>INDEX(Joined!$A$3:$M$2000, MATCH($A255, Joined!$I$3:$I$2000, FALSE), 7)</f>
        <v>VAV-6W-41</v>
      </c>
      <c r="F255" t="s">
        <v>38</v>
      </c>
      <c r="G255" t="str">
        <f>INDEX(Schedule!$Q$2:$R$7, MATCH(ABT!$H255,Schedule!$Q$2:$Q$7, 0), 2)</f>
        <v>15011_DXR_VAV_DXR2M12</v>
      </c>
      <c r="H255">
        <f>INDEX(Joined!$A$3:$M$2000, MATCH($A255, Joined!$I$3:$I$2000, FALSE), 6)</f>
        <v>15011</v>
      </c>
      <c r="I255" t="str">
        <f>INDEX(Joined!$A$3:$M$2000, MATCH($A255, Joined!$I$3:$I$2000, FALSE), 4)</f>
        <v>515</v>
      </c>
      <c r="J255" t="b">
        <v>0</v>
      </c>
      <c r="K255">
        <f>INDEX(Joined!$A$3:$M$2000, MATCH($A255, Joined!$I$3:$I$2000, FALSE), 3)</f>
        <v>15</v>
      </c>
      <c r="L255">
        <v>85</v>
      </c>
      <c r="M255">
        <v>38400</v>
      </c>
      <c r="N255" s="27">
        <f>PI()*(INDEX(Schedule!$A$1:$N$2000, MATCH($C255, VAV_Schedule_5_21[[#All],[UNIT TAG]], FALSE), 4)/2/12)^2</f>
        <v>0.54541539124822802</v>
      </c>
      <c r="O255" s="27">
        <f>INDEX(Schedule!$A$1:$N$2000, MATCH($C255, VAV_Schedule_5_21[[#All],[UNIT TAG]], FALSE), 4)</f>
        <v>10</v>
      </c>
      <c r="P255">
        <v>253.63</v>
      </c>
      <c r="Q255" s="27">
        <f>INDEX(Schedule!$A$1:$N$2000, MATCH($C255, VAV_Schedule_5_21[[#All],[UNIT TAG]], FALSE), 5)</f>
        <v>960</v>
      </c>
      <c r="R255" s="27">
        <f>INDEX(Schedule!$A$1:$N$2000, MATCH($C255, VAV_Schedule_5_21[[#All],[UNIT TAG]], FALSE), 6)</f>
        <v>195</v>
      </c>
      <c r="S255" s="27">
        <f>INDEX(Schedule!$A$1:$N$2000, MATCH($C255, VAV_Schedule_5_21[[#All],[UNIT TAG]], FALSE), 5)</f>
        <v>960</v>
      </c>
      <c r="T255" s="27">
        <f>INDEX(Schedule!$A$1:$N$2000, MATCH($C255, VAV_Schedule_5_21[[#All],[UNIT TAG]], FALSE), 6)</f>
        <v>195</v>
      </c>
      <c r="U255" s="27">
        <f>INDEX(Schedule!$A$1:$N$2000, MATCH($C255, VAV_Schedule_5_21[[#All],[UNIT TAG]], FALSE), 5)</f>
        <v>960</v>
      </c>
      <c r="V255" s="27">
        <f>INDEX(Schedule!$A$1:$N$2000, MATCH($C255, VAV_Schedule_5_21[[#All],[UNIT TAG]], FALSE), 6)</f>
        <v>195</v>
      </c>
      <c r="W255" s="27">
        <f>INDEX(Schedule!$A$1:$N$2000, MATCH($C255, VAV_Schedule_5_21[[#All],[UNIT TAG]], FALSE), 6)</f>
        <v>195</v>
      </c>
      <c r="X255" s="27">
        <f>INDEX(Schedule!$A$1:$N$2000, MATCH($C255, VAV_Schedule_5_21[[#All],[UNIT TAG]], FALSE), 6)</f>
        <v>195</v>
      </c>
      <c r="Y255" s="27">
        <f>INDEX(Schedule!$A$1:$N$2000, MATCH($C255, VAV_Schedule_5_21[[#All],[UNIT TAG]], FALSE), 6)</f>
        <v>195</v>
      </c>
      <c r="Z255" s="27">
        <f>INDEX(Schedule!$A$1:$N$2000, MATCH($C255, VAV_Schedule_5_21[[#All],[UNIT TAG]], FALSE), 6)</f>
        <v>195</v>
      </c>
      <c r="AA255" s="27">
        <v>1000</v>
      </c>
      <c r="AB255" s="27">
        <v>1100</v>
      </c>
      <c r="AC255">
        <v>1400</v>
      </c>
      <c r="AD255" s="29" t="str">
        <f>IF(INDEX(Schedule!$A$1:$N$2000, MATCH($C255, VAV_Schedule_5_21[[#All],[UNIT TAG]], FALSE), 7)="-", 0, INDEX(Schedule!$A$1:$N$2000, MATCH($C255, VAV_Schedule_5_21[[#All],[UNIT TAG]], FALSE), 7))</f>
        <v>6</v>
      </c>
      <c r="AE255" t="str">
        <f>"B_01'" &amp; "Flr_0" &amp; INDEX(Joined!$A$3:$M$2000, MATCH($A255, Joined!$I$3:$I$2000, FALSE), 8)</f>
        <v>B_01'Flr_06</v>
      </c>
      <c r="AF255" t="str">
        <f>"R_" &amp; INDEX(Joined!$A$3:$M$2000, MATCH($A255, Joined!$I$3:$I$2000, FALSE), 7)</f>
        <v>R_VAV-6W-41</v>
      </c>
      <c r="AG255" t="str">
        <f>"B_01'" &amp; "Flr_0" &amp; INDEX(Joined!$A$3:$M$2000, MATCH($A255, Joined!$I$3:$I$2000, FALSE), 8)</f>
        <v>B_01'Flr_06</v>
      </c>
      <c r="AH255" t="str">
        <f>INDEX(Joined!$A$3:$M$2000, MATCH($A255, Joined!$I$3:$I$2000, FALSE), 7)</f>
        <v>VAV-6W-41</v>
      </c>
      <c r="AI255" t="s">
        <v>1583</v>
      </c>
    </row>
    <row r="256" spans="1:35" x14ac:dyDescent="0.2">
      <c r="A256" t="s">
        <v>744</v>
      </c>
      <c r="B256" t="str">
        <f>"B_01'" &amp; "Flr_0" &amp; INDEX(Joined!$A$3:$M$2000, MATCH($A256, Joined!$I$3:$I$2000, FALSE), 8)</f>
        <v>B_01'Flr_06</v>
      </c>
      <c r="C256" t="str">
        <f>INDEX(Joined!$A$3:$M$2000, MATCH($A256, Joined!$I$3:$I$2000, FALSE), 7)</f>
        <v>VAV-6W-42</v>
      </c>
      <c r="D256">
        <f>INDEX(Joined!$A$3:$M$2000, MATCH($A256, Joined!$I$3:$I$2000, FALSE), 5)</f>
        <v>151516</v>
      </c>
      <c r="E256" t="str">
        <f>INDEX(Joined!$A$3:$M$2000, MATCH($A256, Joined!$I$3:$I$2000, FALSE), 7)</f>
        <v>VAV-6W-42</v>
      </c>
      <c r="F256" t="s">
        <v>38</v>
      </c>
      <c r="G256" t="str">
        <f>INDEX(Schedule!$Q$2:$R$7, MATCH(ABT!$H256,Schedule!$Q$2:$Q$7, 0), 2)</f>
        <v>15011_DXR_VAV_DXR2M12</v>
      </c>
      <c r="H256">
        <f>INDEX(Joined!$A$3:$M$2000, MATCH($A256, Joined!$I$3:$I$2000, FALSE), 6)</f>
        <v>15011</v>
      </c>
      <c r="I256" t="str">
        <f>INDEX(Joined!$A$3:$M$2000, MATCH($A256, Joined!$I$3:$I$2000, FALSE), 4)</f>
        <v>515</v>
      </c>
      <c r="J256" t="b">
        <v>0</v>
      </c>
      <c r="K256">
        <f>INDEX(Joined!$A$3:$M$2000, MATCH($A256, Joined!$I$3:$I$2000, FALSE), 3)</f>
        <v>16</v>
      </c>
      <c r="L256">
        <v>85</v>
      </c>
      <c r="M256">
        <v>38400</v>
      </c>
      <c r="N256" s="27">
        <f>PI()*(INDEX(Schedule!$A$1:$N$2000, MATCH($C256, VAV_Schedule_5_21[[#All],[UNIT TAG]], FALSE), 4)/2/12)^2</f>
        <v>0.78539816339744828</v>
      </c>
      <c r="O256" s="27">
        <f>INDEX(Schedule!$A$1:$N$2000, MATCH($C256, VAV_Schedule_5_21[[#All],[UNIT TAG]], FALSE), 4)</f>
        <v>12</v>
      </c>
      <c r="P256">
        <v>254.63</v>
      </c>
      <c r="Q256" s="27">
        <f>INDEX(Schedule!$A$1:$N$2000, MATCH($C256, VAV_Schedule_5_21[[#All],[UNIT TAG]], FALSE), 5)</f>
        <v>1220</v>
      </c>
      <c r="R256" s="27">
        <f>INDEX(Schedule!$A$1:$N$2000, MATCH($C256, VAV_Schedule_5_21[[#All],[UNIT TAG]], FALSE), 6)</f>
        <v>245</v>
      </c>
      <c r="S256" s="27">
        <f>INDEX(Schedule!$A$1:$N$2000, MATCH($C256, VAV_Schedule_5_21[[#All],[UNIT TAG]], FALSE), 5)</f>
        <v>1220</v>
      </c>
      <c r="T256" s="27">
        <f>INDEX(Schedule!$A$1:$N$2000, MATCH($C256, VAV_Schedule_5_21[[#All],[UNIT TAG]], FALSE), 6)</f>
        <v>245</v>
      </c>
      <c r="U256" s="27">
        <f>INDEX(Schedule!$A$1:$N$2000, MATCH($C256, VAV_Schedule_5_21[[#All],[UNIT TAG]], FALSE), 5)</f>
        <v>1220</v>
      </c>
      <c r="V256" s="27">
        <f>INDEX(Schedule!$A$1:$N$2000, MATCH($C256, VAV_Schedule_5_21[[#All],[UNIT TAG]], FALSE), 6)</f>
        <v>245</v>
      </c>
      <c r="W256" s="27">
        <f>INDEX(Schedule!$A$1:$N$2000, MATCH($C256, VAV_Schedule_5_21[[#All],[UNIT TAG]], FALSE), 6)</f>
        <v>245</v>
      </c>
      <c r="X256" s="27">
        <f>INDEX(Schedule!$A$1:$N$2000, MATCH($C256, VAV_Schedule_5_21[[#All],[UNIT TAG]], FALSE), 6)</f>
        <v>245</v>
      </c>
      <c r="Y256" s="27">
        <f>INDEX(Schedule!$A$1:$N$2000, MATCH($C256, VAV_Schedule_5_21[[#All],[UNIT TAG]], FALSE), 6)</f>
        <v>245</v>
      </c>
      <c r="Z256" s="27">
        <f>INDEX(Schedule!$A$1:$N$2000, MATCH($C256, VAV_Schedule_5_21[[#All],[UNIT TAG]], FALSE), 6)</f>
        <v>245</v>
      </c>
      <c r="AA256" s="27">
        <v>1000</v>
      </c>
      <c r="AB256" s="27">
        <v>1100</v>
      </c>
      <c r="AC256">
        <v>1400</v>
      </c>
      <c r="AD256" s="29" t="str">
        <f>IF(INDEX(Schedule!$A$1:$N$2000, MATCH($C256, VAV_Schedule_5_21[[#All],[UNIT TAG]], FALSE), 7)="-", 0, INDEX(Schedule!$A$1:$N$2000, MATCH($C256, VAV_Schedule_5_21[[#All],[UNIT TAG]], FALSE), 7))</f>
        <v>7</v>
      </c>
      <c r="AE256" t="str">
        <f>"B_01'" &amp; "Flr_0" &amp; INDEX(Joined!$A$3:$M$2000, MATCH($A256, Joined!$I$3:$I$2000, FALSE), 8)</f>
        <v>B_01'Flr_06</v>
      </c>
      <c r="AF256" t="str">
        <f>"R_" &amp; INDEX(Joined!$A$3:$M$2000, MATCH($A256, Joined!$I$3:$I$2000, FALSE), 7)</f>
        <v>R_VAV-6W-42</v>
      </c>
      <c r="AG256" t="str">
        <f>"B_01'" &amp; "Flr_0" &amp; INDEX(Joined!$A$3:$M$2000, MATCH($A256, Joined!$I$3:$I$2000, FALSE), 8)</f>
        <v>B_01'Flr_06</v>
      </c>
      <c r="AH256" t="str">
        <f>INDEX(Joined!$A$3:$M$2000, MATCH($A256, Joined!$I$3:$I$2000, FALSE), 7)</f>
        <v>VAV-6W-42</v>
      </c>
      <c r="AI256" t="s">
        <v>1584</v>
      </c>
    </row>
    <row r="257" spans="1:35" x14ac:dyDescent="0.2">
      <c r="A257" t="s">
        <v>745</v>
      </c>
      <c r="B257" t="str">
        <f>"B_01'" &amp; "Flr_0" &amp; INDEX(Joined!$A$3:$M$2000, MATCH($A257, Joined!$I$3:$I$2000, FALSE), 8)</f>
        <v>B_01'Flr_06</v>
      </c>
      <c r="C257" t="str">
        <f>INDEX(Joined!$A$3:$M$2000, MATCH($A257, Joined!$I$3:$I$2000, FALSE), 7)</f>
        <v>VAV-6W-43</v>
      </c>
      <c r="D257">
        <f>INDEX(Joined!$A$3:$M$2000, MATCH($A257, Joined!$I$3:$I$2000, FALSE), 5)</f>
        <v>151517</v>
      </c>
      <c r="E257" t="str">
        <f>INDEX(Joined!$A$3:$M$2000, MATCH($A257, Joined!$I$3:$I$2000, FALSE), 7)</f>
        <v>VAV-6W-43</v>
      </c>
      <c r="F257" t="s">
        <v>38</v>
      </c>
      <c r="G257" t="str">
        <f>INDEX(Schedule!$Q$2:$R$7, MATCH(ABT!$H257,Schedule!$Q$2:$Q$7, 0), 2)</f>
        <v>15010_DXR_VAV_DXR2M12</v>
      </c>
      <c r="H257">
        <f>INDEX(Joined!$A$3:$M$2000, MATCH($A257, Joined!$I$3:$I$2000, FALSE), 6)</f>
        <v>15010</v>
      </c>
      <c r="I257" t="str">
        <f>INDEX(Joined!$A$3:$M$2000, MATCH($A257, Joined!$I$3:$I$2000, FALSE), 4)</f>
        <v>515</v>
      </c>
      <c r="J257" t="b">
        <v>0</v>
      </c>
      <c r="K257">
        <f>INDEX(Joined!$A$3:$M$2000, MATCH($A257, Joined!$I$3:$I$2000, FALSE), 3)</f>
        <v>17</v>
      </c>
      <c r="L257">
        <v>85</v>
      </c>
      <c r="M257">
        <v>38400</v>
      </c>
      <c r="N257" s="27">
        <f>PI()*(INDEX(Schedule!$A$1:$N$2000, MATCH($C257, VAV_Schedule_5_21[[#All],[UNIT TAG]], FALSE), 4)/2/12)^2</f>
        <v>0.19634954084936207</v>
      </c>
      <c r="O257" s="27">
        <f>INDEX(Schedule!$A$1:$N$2000, MATCH($C257, VAV_Schedule_5_21[[#All],[UNIT TAG]], FALSE), 4)</f>
        <v>6</v>
      </c>
      <c r="P257">
        <v>255.63</v>
      </c>
      <c r="Q257" s="27">
        <f>INDEX(Schedule!$A$1:$N$2000, MATCH($C257, VAV_Schedule_5_21[[#All],[UNIT TAG]], FALSE), 5)</f>
        <v>200</v>
      </c>
      <c r="R257" s="27">
        <f>INDEX(Schedule!$A$1:$N$2000, MATCH($C257, VAV_Schedule_5_21[[#All],[UNIT TAG]], FALSE), 6)</f>
        <v>40</v>
      </c>
      <c r="S257" s="27">
        <f>INDEX(Schedule!$A$1:$N$2000, MATCH($C257, VAV_Schedule_5_21[[#All],[UNIT TAG]], FALSE), 5)</f>
        <v>200</v>
      </c>
      <c r="T257" s="27">
        <f>INDEX(Schedule!$A$1:$N$2000, MATCH($C257, VAV_Schedule_5_21[[#All],[UNIT TAG]], FALSE), 6)</f>
        <v>40</v>
      </c>
      <c r="U257" s="27">
        <f>INDEX(Schedule!$A$1:$N$2000, MATCH($C257, VAV_Schedule_5_21[[#All],[UNIT TAG]], FALSE), 5)</f>
        <v>200</v>
      </c>
      <c r="V257" s="27">
        <f>INDEX(Schedule!$A$1:$N$2000, MATCH($C257, VAV_Schedule_5_21[[#All],[UNIT TAG]], FALSE), 6)</f>
        <v>40</v>
      </c>
      <c r="W257" s="27">
        <f>INDEX(Schedule!$A$1:$N$2000, MATCH($C257, VAV_Schedule_5_21[[#All],[UNIT TAG]], FALSE), 6)</f>
        <v>40</v>
      </c>
      <c r="X257" s="27">
        <f>INDEX(Schedule!$A$1:$N$2000, MATCH($C257, VAV_Schedule_5_21[[#All],[UNIT TAG]], FALSE), 6)</f>
        <v>40</v>
      </c>
      <c r="Y257" s="27">
        <f>INDEX(Schedule!$A$1:$N$2000, MATCH($C257, VAV_Schedule_5_21[[#All],[UNIT TAG]], FALSE), 6)</f>
        <v>40</v>
      </c>
      <c r="Z257" s="27">
        <f>INDEX(Schedule!$A$1:$N$2000, MATCH($C257, VAV_Schedule_5_21[[#All],[UNIT TAG]], FALSE), 6)</f>
        <v>40</v>
      </c>
      <c r="AA257" s="27">
        <v>1000</v>
      </c>
      <c r="AB257" s="27">
        <v>1100</v>
      </c>
      <c r="AC257">
        <v>1400</v>
      </c>
      <c r="AD257" s="29">
        <f>IF(INDEX(Schedule!$A$1:$N$2000, MATCH($C257, VAV_Schedule_5_21[[#All],[UNIT TAG]], FALSE), 7)="-", 0, INDEX(Schedule!$A$1:$N$2000, MATCH($C257, VAV_Schedule_5_21[[#All],[UNIT TAG]], FALSE), 7))</f>
        <v>0</v>
      </c>
      <c r="AE257" t="str">
        <f>"B_01'" &amp; "Flr_0" &amp; INDEX(Joined!$A$3:$M$2000, MATCH($A257, Joined!$I$3:$I$2000, FALSE), 8)</f>
        <v>B_01'Flr_06</v>
      </c>
      <c r="AF257" t="str">
        <f>"R_" &amp; INDEX(Joined!$A$3:$M$2000, MATCH($A257, Joined!$I$3:$I$2000, FALSE), 7)</f>
        <v>R_VAV-6W-43</v>
      </c>
      <c r="AG257" t="str">
        <f>"B_01'" &amp; "Flr_0" &amp; INDEX(Joined!$A$3:$M$2000, MATCH($A257, Joined!$I$3:$I$2000, FALSE), 8)</f>
        <v>B_01'Flr_06</v>
      </c>
      <c r="AH257" t="str">
        <f>INDEX(Joined!$A$3:$M$2000, MATCH($A257, Joined!$I$3:$I$2000, FALSE), 7)</f>
        <v>VAV-6W-43</v>
      </c>
      <c r="AI257" t="s">
        <v>1585</v>
      </c>
    </row>
    <row r="258" spans="1:35" x14ac:dyDescent="0.2">
      <c r="A258" t="s">
        <v>759</v>
      </c>
      <c r="B258" t="str">
        <f>"B_01'" &amp; "Flr_0" &amp; INDEX(Joined!$A$3:$M$2000, MATCH($A258, Joined!$I$3:$I$2000, FALSE), 8)</f>
        <v>B_01'Flr_07</v>
      </c>
      <c r="C258" t="str">
        <f>INDEX(Joined!$A$3:$M$2000, MATCH($A258, Joined!$I$3:$I$2000, FALSE), 7)</f>
        <v>VAV-7E-13</v>
      </c>
      <c r="D258">
        <f>INDEX(Joined!$A$3:$M$2000, MATCH($A258, Joined!$I$3:$I$2000, FALSE), 5)</f>
        <v>151701</v>
      </c>
      <c r="E258" t="str">
        <f>INDEX(Joined!$A$3:$M$2000, MATCH($A258, Joined!$I$3:$I$2000, FALSE), 7)</f>
        <v>VAV-7E-13</v>
      </c>
      <c r="F258" t="s">
        <v>38</v>
      </c>
      <c r="G258" t="str">
        <f>INDEX(Schedule!$Q$2:$R$7, MATCH(ABT!$H258,Schedule!$Q$2:$Q$7, 0), 2)</f>
        <v>15011_DXR_VAV_DXR2M12</v>
      </c>
      <c r="H258">
        <f>INDEX(Joined!$A$3:$M$2000, MATCH($A258, Joined!$I$3:$I$2000, FALSE), 6)</f>
        <v>15011</v>
      </c>
      <c r="I258" t="str">
        <f>INDEX(Joined!$A$3:$M$2000, MATCH($A258, Joined!$I$3:$I$2000, FALSE), 4)</f>
        <v>517</v>
      </c>
      <c r="J258" t="b">
        <v>0</v>
      </c>
      <c r="K258">
        <f>INDEX(Joined!$A$3:$M$2000, MATCH($A258, Joined!$I$3:$I$2000, FALSE), 3)</f>
        <v>1</v>
      </c>
      <c r="L258">
        <v>85</v>
      </c>
      <c r="M258">
        <v>38400</v>
      </c>
      <c r="N258" s="27">
        <f>PI()*(INDEX(Schedule!$A$1:$N$2000, MATCH($C258, VAV_Schedule_5_21[[#All],[UNIT TAG]], FALSE), 4)/2/12)^2</f>
        <v>0.54541539124822802</v>
      </c>
      <c r="O258" s="27">
        <f>INDEX(Schedule!$A$1:$N$2000, MATCH($C258, VAV_Schedule_5_21[[#All],[UNIT TAG]], FALSE), 4)</f>
        <v>10</v>
      </c>
      <c r="P258">
        <v>256.63</v>
      </c>
      <c r="Q258" s="27">
        <f>INDEX(Schedule!$A$1:$N$2000, MATCH($C258, VAV_Schedule_5_21[[#All],[UNIT TAG]], FALSE), 5)</f>
        <v>840</v>
      </c>
      <c r="R258" s="27">
        <f>INDEX(Schedule!$A$1:$N$2000, MATCH($C258, VAV_Schedule_5_21[[#All],[UNIT TAG]], FALSE), 6)</f>
        <v>170</v>
      </c>
      <c r="S258" s="27">
        <f>INDEX(Schedule!$A$1:$N$2000, MATCH($C258, VAV_Schedule_5_21[[#All],[UNIT TAG]], FALSE), 5)</f>
        <v>840</v>
      </c>
      <c r="T258" s="27">
        <f>INDEX(Schedule!$A$1:$N$2000, MATCH($C258, VAV_Schedule_5_21[[#All],[UNIT TAG]], FALSE), 6)</f>
        <v>170</v>
      </c>
      <c r="U258" s="27">
        <f>INDEX(Schedule!$A$1:$N$2000, MATCH($C258, VAV_Schedule_5_21[[#All],[UNIT TAG]], FALSE), 5)</f>
        <v>840</v>
      </c>
      <c r="V258" s="27">
        <f>INDEX(Schedule!$A$1:$N$2000, MATCH($C258, VAV_Schedule_5_21[[#All],[UNIT TAG]], FALSE), 6)</f>
        <v>170</v>
      </c>
      <c r="W258" s="27">
        <f>INDEX(Schedule!$A$1:$N$2000, MATCH($C258, VAV_Schedule_5_21[[#All],[UNIT TAG]], FALSE), 6)</f>
        <v>170</v>
      </c>
      <c r="X258" s="27">
        <f>INDEX(Schedule!$A$1:$N$2000, MATCH($C258, VAV_Schedule_5_21[[#All],[UNIT TAG]], FALSE), 6)</f>
        <v>170</v>
      </c>
      <c r="Y258" s="27">
        <f>INDEX(Schedule!$A$1:$N$2000, MATCH($C258, VAV_Schedule_5_21[[#All],[UNIT TAG]], FALSE), 6)</f>
        <v>170</v>
      </c>
      <c r="Z258" s="27">
        <f>INDEX(Schedule!$A$1:$N$2000, MATCH($C258, VAV_Schedule_5_21[[#All],[UNIT TAG]], FALSE), 6)</f>
        <v>170</v>
      </c>
      <c r="AA258" s="27">
        <v>1000</v>
      </c>
      <c r="AB258" s="27">
        <v>1100</v>
      </c>
      <c r="AC258">
        <v>1400</v>
      </c>
      <c r="AD258" s="29" t="str">
        <f>IF(INDEX(Schedule!$A$1:$N$2000, MATCH($C258, VAV_Schedule_5_21[[#All],[UNIT TAG]], FALSE), 7)="-", 0, INDEX(Schedule!$A$1:$N$2000, MATCH($C258, VAV_Schedule_5_21[[#All],[UNIT TAG]], FALSE), 7))</f>
        <v>6</v>
      </c>
      <c r="AE258" t="str">
        <f>"B_01'" &amp; "Flr_0" &amp; INDEX(Joined!$A$3:$M$2000, MATCH($A258, Joined!$I$3:$I$2000, FALSE), 8)</f>
        <v>B_01'Flr_07</v>
      </c>
      <c r="AF258" t="str">
        <f>"R_" &amp; INDEX(Joined!$A$3:$M$2000, MATCH($A258, Joined!$I$3:$I$2000, FALSE), 7)</f>
        <v>R_VAV-7E-13</v>
      </c>
      <c r="AG258" t="str">
        <f>"B_01'" &amp; "Flr_0" &amp; INDEX(Joined!$A$3:$M$2000, MATCH($A258, Joined!$I$3:$I$2000, FALSE), 8)</f>
        <v>B_01'Flr_07</v>
      </c>
      <c r="AH258" t="str">
        <f>INDEX(Joined!$A$3:$M$2000, MATCH($A258, Joined!$I$3:$I$2000, FALSE), 7)</f>
        <v>VAV-7E-13</v>
      </c>
      <c r="AI258" t="s">
        <v>1586</v>
      </c>
    </row>
    <row r="259" spans="1:35" x14ac:dyDescent="0.2">
      <c r="A259" t="s">
        <v>760</v>
      </c>
      <c r="B259" t="str">
        <f>"B_01'" &amp; "Flr_0" &amp; INDEX(Joined!$A$3:$M$2000, MATCH($A259, Joined!$I$3:$I$2000, FALSE), 8)</f>
        <v>B_01'Flr_07</v>
      </c>
      <c r="C259" t="str">
        <f>INDEX(Joined!$A$3:$M$2000, MATCH($A259, Joined!$I$3:$I$2000, FALSE), 7)</f>
        <v>VAV-7E-14</v>
      </c>
      <c r="D259">
        <f>INDEX(Joined!$A$3:$M$2000, MATCH($A259, Joined!$I$3:$I$2000, FALSE), 5)</f>
        <v>151702</v>
      </c>
      <c r="E259" t="str">
        <f>INDEX(Joined!$A$3:$M$2000, MATCH($A259, Joined!$I$3:$I$2000, FALSE), 7)</f>
        <v>VAV-7E-14</v>
      </c>
      <c r="F259" t="s">
        <v>38</v>
      </c>
      <c r="G259" t="str">
        <f>INDEX(Schedule!$Q$2:$R$7, MATCH(ABT!$H259,Schedule!$Q$2:$Q$7, 0), 2)</f>
        <v>15011_DXR_VAV_DXR2M12</v>
      </c>
      <c r="H259">
        <f>INDEX(Joined!$A$3:$M$2000, MATCH($A259, Joined!$I$3:$I$2000, FALSE), 6)</f>
        <v>15011</v>
      </c>
      <c r="I259" t="str">
        <f>INDEX(Joined!$A$3:$M$2000, MATCH($A259, Joined!$I$3:$I$2000, FALSE), 4)</f>
        <v>517</v>
      </c>
      <c r="J259" t="b">
        <v>0</v>
      </c>
      <c r="K259">
        <f>INDEX(Joined!$A$3:$M$2000, MATCH($A259, Joined!$I$3:$I$2000, FALSE), 3)</f>
        <v>2</v>
      </c>
      <c r="L259">
        <v>85</v>
      </c>
      <c r="M259">
        <v>38400</v>
      </c>
      <c r="N259" s="27">
        <f>PI()*(INDEX(Schedule!$A$1:$N$2000, MATCH($C259, VAV_Schedule_5_21[[#All],[UNIT TAG]], FALSE), 4)/2/12)^2</f>
        <v>0.3490658503988659</v>
      </c>
      <c r="O259" s="27">
        <f>INDEX(Schedule!$A$1:$N$2000, MATCH($C259, VAV_Schedule_5_21[[#All],[UNIT TAG]], FALSE), 4)</f>
        <v>8</v>
      </c>
      <c r="P259">
        <v>257.63</v>
      </c>
      <c r="Q259" s="27">
        <f>INDEX(Schedule!$A$1:$N$2000, MATCH($C259, VAV_Schedule_5_21[[#All],[UNIT TAG]], FALSE), 5)</f>
        <v>640</v>
      </c>
      <c r="R259" s="27">
        <f>INDEX(Schedule!$A$1:$N$2000, MATCH($C259, VAV_Schedule_5_21[[#All],[UNIT TAG]], FALSE), 6)</f>
        <v>130</v>
      </c>
      <c r="S259" s="27">
        <f>INDEX(Schedule!$A$1:$N$2000, MATCH($C259, VAV_Schedule_5_21[[#All],[UNIT TAG]], FALSE), 5)</f>
        <v>640</v>
      </c>
      <c r="T259" s="27">
        <f>INDEX(Schedule!$A$1:$N$2000, MATCH($C259, VAV_Schedule_5_21[[#All],[UNIT TAG]], FALSE), 6)</f>
        <v>130</v>
      </c>
      <c r="U259" s="27">
        <f>INDEX(Schedule!$A$1:$N$2000, MATCH($C259, VAV_Schedule_5_21[[#All],[UNIT TAG]], FALSE), 5)</f>
        <v>640</v>
      </c>
      <c r="V259" s="27">
        <f>INDEX(Schedule!$A$1:$N$2000, MATCH($C259, VAV_Schedule_5_21[[#All],[UNIT TAG]], FALSE), 6)</f>
        <v>130</v>
      </c>
      <c r="W259" s="27">
        <f>INDEX(Schedule!$A$1:$N$2000, MATCH($C259, VAV_Schedule_5_21[[#All],[UNIT TAG]], FALSE), 6)</f>
        <v>130</v>
      </c>
      <c r="X259" s="27">
        <f>INDEX(Schedule!$A$1:$N$2000, MATCH($C259, VAV_Schedule_5_21[[#All],[UNIT TAG]], FALSE), 6)</f>
        <v>130</v>
      </c>
      <c r="Y259" s="27">
        <f>INDEX(Schedule!$A$1:$N$2000, MATCH($C259, VAV_Schedule_5_21[[#All],[UNIT TAG]], FALSE), 6)</f>
        <v>130</v>
      </c>
      <c r="Z259" s="27">
        <f>INDEX(Schedule!$A$1:$N$2000, MATCH($C259, VAV_Schedule_5_21[[#All],[UNIT TAG]], FALSE), 6)</f>
        <v>130</v>
      </c>
      <c r="AA259" s="27">
        <v>1000</v>
      </c>
      <c r="AB259" s="27">
        <v>1100</v>
      </c>
      <c r="AC259">
        <v>1400</v>
      </c>
      <c r="AD259" s="29" t="str">
        <f>IF(INDEX(Schedule!$A$1:$N$2000, MATCH($C259, VAV_Schedule_5_21[[#All],[UNIT TAG]], FALSE), 7)="-", 0, INDEX(Schedule!$A$1:$N$2000, MATCH($C259, VAV_Schedule_5_21[[#All],[UNIT TAG]], FALSE), 7))</f>
        <v>6</v>
      </c>
      <c r="AE259" t="str">
        <f>"B_01'" &amp; "Flr_0" &amp; INDEX(Joined!$A$3:$M$2000, MATCH($A259, Joined!$I$3:$I$2000, FALSE), 8)</f>
        <v>B_01'Flr_07</v>
      </c>
      <c r="AF259" t="str">
        <f>"R_" &amp; INDEX(Joined!$A$3:$M$2000, MATCH($A259, Joined!$I$3:$I$2000, FALSE), 7)</f>
        <v>R_VAV-7E-14</v>
      </c>
      <c r="AG259" t="str">
        <f>"B_01'" &amp; "Flr_0" &amp; INDEX(Joined!$A$3:$M$2000, MATCH($A259, Joined!$I$3:$I$2000, FALSE), 8)</f>
        <v>B_01'Flr_07</v>
      </c>
      <c r="AH259" t="str">
        <f>INDEX(Joined!$A$3:$M$2000, MATCH($A259, Joined!$I$3:$I$2000, FALSE), 7)</f>
        <v>VAV-7E-14</v>
      </c>
      <c r="AI259" t="s">
        <v>1587</v>
      </c>
    </row>
    <row r="260" spans="1:35" x14ac:dyDescent="0.2">
      <c r="A260" t="s">
        <v>761</v>
      </c>
      <c r="B260" t="str">
        <f>"B_01'" &amp; "Flr_0" &amp; INDEX(Joined!$A$3:$M$2000, MATCH($A260, Joined!$I$3:$I$2000, FALSE), 8)</f>
        <v>B_01'Flr_07</v>
      </c>
      <c r="C260" t="str">
        <f>INDEX(Joined!$A$3:$M$2000, MATCH($A260, Joined!$I$3:$I$2000, FALSE), 7)</f>
        <v>VAV-7E-15</v>
      </c>
      <c r="D260">
        <f>INDEX(Joined!$A$3:$M$2000, MATCH($A260, Joined!$I$3:$I$2000, FALSE), 5)</f>
        <v>151703</v>
      </c>
      <c r="E260" t="str">
        <f>INDEX(Joined!$A$3:$M$2000, MATCH($A260, Joined!$I$3:$I$2000, FALSE), 7)</f>
        <v>VAV-7E-15</v>
      </c>
      <c r="F260" t="s">
        <v>38</v>
      </c>
      <c r="G260" t="str">
        <f>INDEX(Schedule!$Q$2:$R$7, MATCH(ABT!$H260,Schedule!$Q$2:$Q$7, 0), 2)</f>
        <v>15011_DXR_VAV_DXR2M12</v>
      </c>
      <c r="H260">
        <f>INDEX(Joined!$A$3:$M$2000, MATCH($A260, Joined!$I$3:$I$2000, FALSE), 6)</f>
        <v>15011</v>
      </c>
      <c r="I260" t="str">
        <f>INDEX(Joined!$A$3:$M$2000, MATCH($A260, Joined!$I$3:$I$2000, FALSE), 4)</f>
        <v>517</v>
      </c>
      <c r="J260" t="b">
        <v>0</v>
      </c>
      <c r="K260">
        <f>INDEX(Joined!$A$3:$M$2000, MATCH($A260, Joined!$I$3:$I$2000, FALSE), 3)</f>
        <v>3</v>
      </c>
      <c r="L260">
        <v>85</v>
      </c>
      <c r="M260">
        <v>38400</v>
      </c>
      <c r="N260" s="27">
        <f>PI()*(INDEX(Schedule!$A$1:$N$2000, MATCH($C260, VAV_Schedule_5_21[[#All],[UNIT TAG]], FALSE), 4)/2/12)^2</f>
        <v>0.3490658503988659</v>
      </c>
      <c r="O260" s="27">
        <f>INDEX(Schedule!$A$1:$N$2000, MATCH($C260, VAV_Schedule_5_21[[#All],[UNIT TAG]], FALSE), 4)</f>
        <v>8</v>
      </c>
      <c r="P260">
        <v>258.63</v>
      </c>
      <c r="Q260" s="27">
        <f>INDEX(Schedule!$A$1:$N$2000, MATCH($C260, VAV_Schedule_5_21[[#All],[UNIT TAG]], FALSE), 5)</f>
        <v>680</v>
      </c>
      <c r="R260" s="27">
        <f>INDEX(Schedule!$A$1:$N$2000, MATCH($C260, VAV_Schedule_5_21[[#All],[UNIT TAG]], FALSE), 6)</f>
        <v>140</v>
      </c>
      <c r="S260" s="27">
        <f>INDEX(Schedule!$A$1:$N$2000, MATCH($C260, VAV_Schedule_5_21[[#All],[UNIT TAG]], FALSE), 5)</f>
        <v>680</v>
      </c>
      <c r="T260" s="27">
        <f>INDEX(Schedule!$A$1:$N$2000, MATCH($C260, VAV_Schedule_5_21[[#All],[UNIT TAG]], FALSE), 6)</f>
        <v>140</v>
      </c>
      <c r="U260" s="27">
        <f>INDEX(Schedule!$A$1:$N$2000, MATCH($C260, VAV_Schedule_5_21[[#All],[UNIT TAG]], FALSE), 5)</f>
        <v>680</v>
      </c>
      <c r="V260" s="27">
        <f>INDEX(Schedule!$A$1:$N$2000, MATCH($C260, VAV_Schedule_5_21[[#All],[UNIT TAG]], FALSE), 6)</f>
        <v>140</v>
      </c>
      <c r="W260" s="27">
        <f>INDEX(Schedule!$A$1:$N$2000, MATCH($C260, VAV_Schedule_5_21[[#All],[UNIT TAG]], FALSE), 6)</f>
        <v>140</v>
      </c>
      <c r="X260" s="27">
        <f>INDEX(Schedule!$A$1:$N$2000, MATCH($C260, VAV_Schedule_5_21[[#All],[UNIT TAG]], FALSE), 6)</f>
        <v>140</v>
      </c>
      <c r="Y260" s="27">
        <f>INDEX(Schedule!$A$1:$N$2000, MATCH($C260, VAV_Schedule_5_21[[#All],[UNIT TAG]], FALSE), 6)</f>
        <v>140</v>
      </c>
      <c r="Z260" s="27">
        <f>INDEX(Schedule!$A$1:$N$2000, MATCH($C260, VAV_Schedule_5_21[[#All],[UNIT TAG]], FALSE), 6)</f>
        <v>140</v>
      </c>
      <c r="AA260" s="27">
        <v>1000</v>
      </c>
      <c r="AB260" s="27">
        <v>1100</v>
      </c>
      <c r="AC260">
        <v>1400</v>
      </c>
      <c r="AD260" s="29" t="str">
        <f>IF(INDEX(Schedule!$A$1:$N$2000, MATCH($C260, VAV_Schedule_5_21[[#All],[UNIT TAG]], FALSE), 7)="-", 0, INDEX(Schedule!$A$1:$N$2000, MATCH($C260, VAV_Schedule_5_21[[#All],[UNIT TAG]], FALSE), 7))</f>
        <v>6</v>
      </c>
      <c r="AE260" t="str">
        <f>"B_01'" &amp; "Flr_0" &amp; INDEX(Joined!$A$3:$M$2000, MATCH($A260, Joined!$I$3:$I$2000, FALSE), 8)</f>
        <v>B_01'Flr_07</v>
      </c>
      <c r="AF260" t="str">
        <f>"R_" &amp; INDEX(Joined!$A$3:$M$2000, MATCH($A260, Joined!$I$3:$I$2000, FALSE), 7)</f>
        <v>R_VAV-7E-15</v>
      </c>
      <c r="AG260" t="str">
        <f>"B_01'" &amp; "Flr_0" &amp; INDEX(Joined!$A$3:$M$2000, MATCH($A260, Joined!$I$3:$I$2000, FALSE), 8)</f>
        <v>B_01'Flr_07</v>
      </c>
      <c r="AH260" t="str">
        <f>INDEX(Joined!$A$3:$M$2000, MATCH($A260, Joined!$I$3:$I$2000, FALSE), 7)</f>
        <v>VAV-7E-15</v>
      </c>
      <c r="AI260" t="s">
        <v>1588</v>
      </c>
    </row>
    <row r="261" spans="1:35" x14ac:dyDescent="0.2">
      <c r="A261" t="s">
        <v>762</v>
      </c>
      <c r="B261" t="str">
        <f>"B_01'" &amp; "Flr_0" &amp; INDEX(Joined!$A$3:$M$2000, MATCH($A261, Joined!$I$3:$I$2000, FALSE), 8)</f>
        <v>B_01'Flr_07</v>
      </c>
      <c r="C261" t="str">
        <f>INDEX(Joined!$A$3:$M$2000, MATCH($A261, Joined!$I$3:$I$2000, FALSE), 7)</f>
        <v>VAV-7E-16</v>
      </c>
      <c r="D261">
        <f>INDEX(Joined!$A$3:$M$2000, MATCH($A261, Joined!$I$3:$I$2000, FALSE), 5)</f>
        <v>151704</v>
      </c>
      <c r="E261" t="str">
        <f>INDEX(Joined!$A$3:$M$2000, MATCH($A261, Joined!$I$3:$I$2000, FALSE), 7)</f>
        <v>VAV-7E-16</v>
      </c>
      <c r="F261" t="s">
        <v>38</v>
      </c>
      <c r="G261" t="str">
        <f>INDEX(Schedule!$Q$2:$R$7, MATCH(ABT!$H261,Schedule!$Q$2:$Q$7, 0), 2)</f>
        <v>15011_DXR_VAV_DXR2M12</v>
      </c>
      <c r="H261">
        <f>INDEX(Joined!$A$3:$M$2000, MATCH($A261, Joined!$I$3:$I$2000, FALSE), 6)</f>
        <v>15011</v>
      </c>
      <c r="I261" t="str">
        <f>INDEX(Joined!$A$3:$M$2000, MATCH($A261, Joined!$I$3:$I$2000, FALSE), 4)</f>
        <v>517</v>
      </c>
      <c r="J261" t="b">
        <v>0</v>
      </c>
      <c r="K261">
        <f>INDEX(Joined!$A$3:$M$2000, MATCH($A261, Joined!$I$3:$I$2000, FALSE), 3)</f>
        <v>4</v>
      </c>
      <c r="L261">
        <v>85</v>
      </c>
      <c r="M261">
        <v>38400</v>
      </c>
      <c r="N261" s="27">
        <f>PI()*(INDEX(Schedule!$A$1:$N$2000, MATCH($C261, VAV_Schedule_5_21[[#All],[UNIT TAG]], FALSE), 4)/2/12)^2</f>
        <v>0.3490658503988659</v>
      </c>
      <c r="O261" s="27">
        <f>INDEX(Schedule!$A$1:$N$2000, MATCH($C261, VAV_Schedule_5_21[[#All],[UNIT TAG]], FALSE), 4)</f>
        <v>8</v>
      </c>
      <c r="P261">
        <v>259.63</v>
      </c>
      <c r="Q261" s="27">
        <f>INDEX(Schedule!$A$1:$N$2000, MATCH($C261, VAV_Schedule_5_21[[#All],[UNIT TAG]], FALSE), 5)</f>
        <v>600</v>
      </c>
      <c r="R261" s="27">
        <f>INDEX(Schedule!$A$1:$N$2000, MATCH($C261, VAV_Schedule_5_21[[#All],[UNIT TAG]], FALSE), 6)</f>
        <v>120</v>
      </c>
      <c r="S261" s="27">
        <f>INDEX(Schedule!$A$1:$N$2000, MATCH($C261, VAV_Schedule_5_21[[#All],[UNIT TAG]], FALSE), 5)</f>
        <v>600</v>
      </c>
      <c r="T261" s="27">
        <f>INDEX(Schedule!$A$1:$N$2000, MATCH($C261, VAV_Schedule_5_21[[#All],[UNIT TAG]], FALSE), 6)</f>
        <v>120</v>
      </c>
      <c r="U261" s="27">
        <f>INDEX(Schedule!$A$1:$N$2000, MATCH($C261, VAV_Schedule_5_21[[#All],[UNIT TAG]], FALSE), 5)</f>
        <v>600</v>
      </c>
      <c r="V261" s="27">
        <f>INDEX(Schedule!$A$1:$N$2000, MATCH($C261, VAV_Schedule_5_21[[#All],[UNIT TAG]], FALSE), 6)</f>
        <v>120</v>
      </c>
      <c r="W261" s="27">
        <f>INDEX(Schedule!$A$1:$N$2000, MATCH($C261, VAV_Schedule_5_21[[#All],[UNIT TAG]], FALSE), 6)</f>
        <v>120</v>
      </c>
      <c r="X261" s="27">
        <f>INDEX(Schedule!$A$1:$N$2000, MATCH($C261, VAV_Schedule_5_21[[#All],[UNIT TAG]], FALSE), 6)</f>
        <v>120</v>
      </c>
      <c r="Y261" s="27">
        <f>INDEX(Schedule!$A$1:$N$2000, MATCH($C261, VAV_Schedule_5_21[[#All],[UNIT TAG]], FALSE), 6)</f>
        <v>120</v>
      </c>
      <c r="Z261" s="27">
        <f>INDEX(Schedule!$A$1:$N$2000, MATCH($C261, VAV_Schedule_5_21[[#All],[UNIT TAG]], FALSE), 6)</f>
        <v>120</v>
      </c>
      <c r="AA261" s="27">
        <v>1000</v>
      </c>
      <c r="AB261" s="27">
        <v>1100</v>
      </c>
      <c r="AC261">
        <v>1400</v>
      </c>
      <c r="AD261" s="29" t="str">
        <f>IF(INDEX(Schedule!$A$1:$N$2000, MATCH($C261, VAV_Schedule_5_21[[#All],[UNIT TAG]], FALSE), 7)="-", 0, INDEX(Schedule!$A$1:$N$2000, MATCH($C261, VAV_Schedule_5_21[[#All],[UNIT TAG]], FALSE), 7))</f>
        <v>6</v>
      </c>
      <c r="AE261" t="str">
        <f>"B_01'" &amp; "Flr_0" &amp; INDEX(Joined!$A$3:$M$2000, MATCH($A261, Joined!$I$3:$I$2000, FALSE), 8)</f>
        <v>B_01'Flr_07</v>
      </c>
      <c r="AF261" t="str">
        <f>"R_" &amp; INDEX(Joined!$A$3:$M$2000, MATCH($A261, Joined!$I$3:$I$2000, FALSE), 7)</f>
        <v>R_VAV-7E-16</v>
      </c>
      <c r="AG261" t="str">
        <f>"B_01'" &amp; "Flr_0" &amp; INDEX(Joined!$A$3:$M$2000, MATCH($A261, Joined!$I$3:$I$2000, FALSE), 8)</f>
        <v>B_01'Flr_07</v>
      </c>
      <c r="AH261" t="str">
        <f>INDEX(Joined!$A$3:$M$2000, MATCH($A261, Joined!$I$3:$I$2000, FALSE), 7)</f>
        <v>VAV-7E-16</v>
      </c>
      <c r="AI261" t="s">
        <v>1589</v>
      </c>
    </row>
    <row r="262" spans="1:35" x14ac:dyDescent="0.2">
      <c r="A262" t="s">
        <v>763</v>
      </c>
      <c r="B262" t="str">
        <f>"B_01'" &amp; "Flr_0" &amp; INDEX(Joined!$A$3:$M$2000, MATCH($A262, Joined!$I$3:$I$2000, FALSE), 8)</f>
        <v>B_01'Flr_07</v>
      </c>
      <c r="C262" t="str">
        <f>INDEX(Joined!$A$3:$M$2000, MATCH($A262, Joined!$I$3:$I$2000, FALSE), 7)</f>
        <v>VAV-7E-17</v>
      </c>
      <c r="D262">
        <f>INDEX(Joined!$A$3:$M$2000, MATCH($A262, Joined!$I$3:$I$2000, FALSE), 5)</f>
        <v>151705</v>
      </c>
      <c r="E262" t="str">
        <f>INDEX(Joined!$A$3:$M$2000, MATCH($A262, Joined!$I$3:$I$2000, FALSE), 7)</f>
        <v>VAV-7E-17</v>
      </c>
      <c r="F262" t="s">
        <v>38</v>
      </c>
      <c r="G262" t="str">
        <f>INDEX(Schedule!$Q$2:$R$7, MATCH(ABT!$H262,Schedule!$Q$2:$Q$7, 0), 2)</f>
        <v>15010_DXR_VAV_DXR2M12</v>
      </c>
      <c r="H262">
        <f>INDEX(Joined!$A$3:$M$2000, MATCH($A262, Joined!$I$3:$I$2000, FALSE), 6)</f>
        <v>15010</v>
      </c>
      <c r="I262" t="str">
        <f>INDEX(Joined!$A$3:$M$2000, MATCH($A262, Joined!$I$3:$I$2000, FALSE), 4)</f>
        <v>517</v>
      </c>
      <c r="J262" t="b">
        <v>0</v>
      </c>
      <c r="K262">
        <f>INDEX(Joined!$A$3:$M$2000, MATCH($A262, Joined!$I$3:$I$2000, FALSE), 3)</f>
        <v>5</v>
      </c>
      <c r="L262">
        <v>85</v>
      </c>
      <c r="M262">
        <v>38400</v>
      </c>
      <c r="N262" s="27">
        <f>PI()*(INDEX(Schedule!$A$1:$N$2000, MATCH($C262, VAV_Schedule_5_21[[#All],[UNIT TAG]], FALSE), 4)/2/12)^2</f>
        <v>0.19634954084936207</v>
      </c>
      <c r="O262" s="27">
        <f>INDEX(Schedule!$A$1:$N$2000, MATCH($C262, VAV_Schedule_5_21[[#All],[UNIT TAG]], FALSE), 4)</f>
        <v>6</v>
      </c>
      <c r="P262">
        <v>260.63</v>
      </c>
      <c r="Q262" s="27">
        <f>INDEX(Schedule!$A$1:$N$2000, MATCH($C262, VAV_Schedule_5_21[[#All],[UNIT TAG]], FALSE), 5)</f>
        <v>200</v>
      </c>
      <c r="R262" s="27">
        <f>INDEX(Schedule!$A$1:$N$2000, MATCH($C262, VAV_Schedule_5_21[[#All],[UNIT TAG]], FALSE), 6)</f>
        <v>40</v>
      </c>
      <c r="S262" s="27">
        <f>INDEX(Schedule!$A$1:$N$2000, MATCH($C262, VAV_Schedule_5_21[[#All],[UNIT TAG]], FALSE), 5)</f>
        <v>200</v>
      </c>
      <c r="T262" s="27">
        <f>INDEX(Schedule!$A$1:$N$2000, MATCH($C262, VAV_Schedule_5_21[[#All],[UNIT TAG]], FALSE), 6)</f>
        <v>40</v>
      </c>
      <c r="U262" s="27">
        <f>INDEX(Schedule!$A$1:$N$2000, MATCH($C262, VAV_Schedule_5_21[[#All],[UNIT TAG]], FALSE), 5)</f>
        <v>200</v>
      </c>
      <c r="V262" s="27">
        <f>INDEX(Schedule!$A$1:$N$2000, MATCH($C262, VAV_Schedule_5_21[[#All],[UNIT TAG]], FALSE), 6)</f>
        <v>40</v>
      </c>
      <c r="W262" s="27">
        <f>INDEX(Schedule!$A$1:$N$2000, MATCH($C262, VAV_Schedule_5_21[[#All],[UNIT TAG]], FALSE), 6)</f>
        <v>40</v>
      </c>
      <c r="X262" s="27">
        <f>INDEX(Schedule!$A$1:$N$2000, MATCH($C262, VAV_Schedule_5_21[[#All],[UNIT TAG]], FALSE), 6)</f>
        <v>40</v>
      </c>
      <c r="Y262" s="27">
        <f>INDEX(Schedule!$A$1:$N$2000, MATCH($C262, VAV_Schedule_5_21[[#All],[UNIT TAG]], FALSE), 6)</f>
        <v>40</v>
      </c>
      <c r="Z262" s="27">
        <f>INDEX(Schedule!$A$1:$N$2000, MATCH($C262, VAV_Schedule_5_21[[#All],[UNIT TAG]], FALSE), 6)</f>
        <v>40</v>
      </c>
      <c r="AA262" s="27">
        <v>1000</v>
      </c>
      <c r="AB262" s="27">
        <v>1100</v>
      </c>
      <c r="AC262">
        <v>1400</v>
      </c>
      <c r="AD262" s="29">
        <f>IF(INDEX(Schedule!$A$1:$N$2000, MATCH($C262, VAV_Schedule_5_21[[#All],[UNIT TAG]], FALSE), 7)="-", 0, INDEX(Schedule!$A$1:$N$2000, MATCH($C262, VAV_Schedule_5_21[[#All],[UNIT TAG]], FALSE), 7))</f>
        <v>0</v>
      </c>
      <c r="AE262" t="str">
        <f>"B_01'" &amp; "Flr_0" &amp; INDEX(Joined!$A$3:$M$2000, MATCH($A262, Joined!$I$3:$I$2000, FALSE), 8)</f>
        <v>B_01'Flr_07</v>
      </c>
      <c r="AF262" t="str">
        <f>"R_" &amp; INDEX(Joined!$A$3:$M$2000, MATCH($A262, Joined!$I$3:$I$2000, FALSE), 7)</f>
        <v>R_VAV-7E-17</v>
      </c>
      <c r="AG262" t="str">
        <f>"B_01'" &amp; "Flr_0" &amp; INDEX(Joined!$A$3:$M$2000, MATCH($A262, Joined!$I$3:$I$2000, FALSE), 8)</f>
        <v>B_01'Flr_07</v>
      </c>
      <c r="AH262" t="str">
        <f>INDEX(Joined!$A$3:$M$2000, MATCH($A262, Joined!$I$3:$I$2000, FALSE), 7)</f>
        <v>VAV-7E-17</v>
      </c>
      <c r="AI262" t="s">
        <v>1590</v>
      </c>
    </row>
    <row r="263" spans="1:35" x14ac:dyDescent="0.2">
      <c r="A263" t="s">
        <v>764</v>
      </c>
      <c r="B263" t="str">
        <f>"B_01'" &amp; "Flr_0" &amp; INDEX(Joined!$A$3:$M$2000, MATCH($A263, Joined!$I$3:$I$2000, FALSE), 8)</f>
        <v>B_01'Flr_07</v>
      </c>
      <c r="C263" t="str">
        <f>INDEX(Joined!$A$3:$M$2000, MATCH($A263, Joined!$I$3:$I$2000, FALSE), 7)</f>
        <v>VAV-7E-18</v>
      </c>
      <c r="D263">
        <f>INDEX(Joined!$A$3:$M$2000, MATCH($A263, Joined!$I$3:$I$2000, FALSE), 5)</f>
        <v>151706</v>
      </c>
      <c r="E263" t="str">
        <f>INDEX(Joined!$A$3:$M$2000, MATCH($A263, Joined!$I$3:$I$2000, FALSE), 7)</f>
        <v>VAV-7E-18</v>
      </c>
      <c r="F263" t="s">
        <v>38</v>
      </c>
      <c r="G263" t="str">
        <f>INDEX(Schedule!$Q$2:$R$7, MATCH(ABT!$H263,Schedule!$Q$2:$Q$7, 0), 2)</f>
        <v>15011_DXR_VAV_DXR2M12</v>
      </c>
      <c r="H263">
        <f>INDEX(Joined!$A$3:$M$2000, MATCH($A263, Joined!$I$3:$I$2000, FALSE), 6)</f>
        <v>15011</v>
      </c>
      <c r="I263" t="str">
        <f>INDEX(Joined!$A$3:$M$2000, MATCH($A263, Joined!$I$3:$I$2000, FALSE), 4)</f>
        <v>517</v>
      </c>
      <c r="J263" t="b">
        <v>0</v>
      </c>
      <c r="K263">
        <f>INDEX(Joined!$A$3:$M$2000, MATCH($A263, Joined!$I$3:$I$2000, FALSE), 3)</f>
        <v>6</v>
      </c>
      <c r="L263">
        <v>85</v>
      </c>
      <c r="M263">
        <v>38400</v>
      </c>
      <c r="N263" s="27">
        <f>PI()*(INDEX(Schedule!$A$1:$N$2000, MATCH($C263, VAV_Schedule_5_21[[#All],[UNIT TAG]], FALSE), 4)/2/12)^2</f>
        <v>0.54541539124822802</v>
      </c>
      <c r="O263" s="27">
        <f>INDEX(Schedule!$A$1:$N$2000, MATCH($C263, VAV_Schedule_5_21[[#All],[UNIT TAG]], FALSE), 4)</f>
        <v>10</v>
      </c>
      <c r="P263">
        <v>261.63</v>
      </c>
      <c r="Q263" s="27">
        <f>INDEX(Schedule!$A$1:$N$2000, MATCH($C263, VAV_Schedule_5_21[[#All],[UNIT TAG]], FALSE), 5)</f>
        <v>1085</v>
      </c>
      <c r="R263" s="27">
        <f>INDEX(Schedule!$A$1:$N$2000, MATCH($C263, VAV_Schedule_5_21[[#All],[UNIT TAG]], FALSE), 6)</f>
        <v>220</v>
      </c>
      <c r="S263" s="27">
        <f>INDEX(Schedule!$A$1:$N$2000, MATCH($C263, VAV_Schedule_5_21[[#All],[UNIT TAG]], FALSE), 5)</f>
        <v>1085</v>
      </c>
      <c r="T263" s="27">
        <f>INDEX(Schedule!$A$1:$N$2000, MATCH($C263, VAV_Schedule_5_21[[#All],[UNIT TAG]], FALSE), 6)</f>
        <v>220</v>
      </c>
      <c r="U263" s="27">
        <f>INDEX(Schedule!$A$1:$N$2000, MATCH($C263, VAV_Schedule_5_21[[#All],[UNIT TAG]], FALSE), 5)</f>
        <v>1085</v>
      </c>
      <c r="V263" s="27">
        <f>INDEX(Schedule!$A$1:$N$2000, MATCH($C263, VAV_Schedule_5_21[[#All],[UNIT TAG]], FALSE), 6)</f>
        <v>220</v>
      </c>
      <c r="W263" s="27">
        <f>INDEX(Schedule!$A$1:$N$2000, MATCH($C263, VAV_Schedule_5_21[[#All],[UNIT TAG]], FALSE), 6)</f>
        <v>220</v>
      </c>
      <c r="X263" s="27">
        <f>INDEX(Schedule!$A$1:$N$2000, MATCH($C263, VAV_Schedule_5_21[[#All],[UNIT TAG]], FALSE), 6)</f>
        <v>220</v>
      </c>
      <c r="Y263" s="27">
        <f>INDEX(Schedule!$A$1:$N$2000, MATCH($C263, VAV_Schedule_5_21[[#All],[UNIT TAG]], FALSE), 6)</f>
        <v>220</v>
      </c>
      <c r="Z263" s="27">
        <f>INDEX(Schedule!$A$1:$N$2000, MATCH($C263, VAV_Schedule_5_21[[#All],[UNIT TAG]], FALSE), 6)</f>
        <v>220</v>
      </c>
      <c r="AA263" s="27">
        <v>1000</v>
      </c>
      <c r="AB263" s="27">
        <v>1100</v>
      </c>
      <c r="AC263">
        <v>1400</v>
      </c>
      <c r="AD263" s="29" t="str">
        <f>IF(INDEX(Schedule!$A$1:$N$2000, MATCH($C263, VAV_Schedule_5_21[[#All],[UNIT TAG]], FALSE), 7)="-", 0, INDEX(Schedule!$A$1:$N$2000, MATCH($C263, VAV_Schedule_5_21[[#All],[UNIT TAG]], FALSE), 7))</f>
        <v>7</v>
      </c>
      <c r="AE263" t="str">
        <f>"B_01'" &amp; "Flr_0" &amp; INDEX(Joined!$A$3:$M$2000, MATCH($A263, Joined!$I$3:$I$2000, FALSE), 8)</f>
        <v>B_01'Flr_07</v>
      </c>
      <c r="AF263" t="str">
        <f>"R_" &amp; INDEX(Joined!$A$3:$M$2000, MATCH($A263, Joined!$I$3:$I$2000, FALSE), 7)</f>
        <v>R_VAV-7E-18</v>
      </c>
      <c r="AG263" t="str">
        <f>"B_01'" &amp; "Flr_0" &amp; INDEX(Joined!$A$3:$M$2000, MATCH($A263, Joined!$I$3:$I$2000, FALSE), 8)</f>
        <v>B_01'Flr_07</v>
      </c>
      <c r="AH263" t="str">
        <f>INDEX(Joined!$A$3:$M$2000, MATCH($A263, Joined!$I$3:$I$2000, FALSE), 7)</f>
        <v>VAV-7E-18</v>
      </c>
      <c r="AI263" t="s">
        <v>1591</v>
      </c>
    </row>
    <row r="264" spans="1:35" x14ac:dyDescent="0.2">
      <c r="A264" t="s">
        <v>765</v>
      </c>
      <c r="B264" t="str">
        <f>"B_01'" &amp; "Flr_0" &amp; INDEX(Joined!$A$3:$M$2000, MATCH($A264, Joined!$I$3:$I$2000, FALSE), 8)</f>
        <v>B_01'Flr_07</v>
      </c>
      <c r="C264" t="str">
        <f>INDEX(Joined!$A$3:$M$2000, MATCH($A264, Joined!$I$3:$I$2000, FALSE), 7)</f>
        <v>VAV-7E-19</v>
      </c>
      <c r="D264">
        <f>INDEX(Joined!$A$3:$M$2000, MATCH($A264, Joined!$I$3:$I$2000, FALSE), 5)</f>
        <v>151707</v>
      </c>
      <c r="E264" t="str">
        <f>INDEX(Joined!$A$3:$M$2000, MATCH($A264, Joined!$I$3:$I$2000, FALSE), 7)</f>
        <v>VAV-7E-19</v>
      </c>
      <c r="F264" t="s">
        <v>38</v>
      </c>
      <c r="G264" t="str">
        <f>INDEX(Schedule!$Q$2:$R$7, MATCH(ABT!$H264,Schedule!$Q$2:$Q$7, 0), 2)</f>
        <v>15010_DXR_VAV_DXR2M12</v>
      </c>
      <c r="H264">
        <f>INDEX(Joined!$A$3:$M$2000, MATCH($A264, Joined!$I$3:$I$2000, FALSE), 6)</f>
        <v>15010</v>
      </c>
      <c r="I264" t="str">
        <f>INDEX(Joined!$A$3:$M$2000, MATCH($A264, Joined!$I$3:$I$2000, FALSE), 4)</f>
        <v>517</v>
      </c>
      <c r="J264" t="b">
        <v>0</v>
      </c>
      <c r="K264">
        <f>INDEX(Joined!$A$3:$M$2000, MATCH($A264, Joined!$I$3:$I$2000, FALSE), 3)</f>
        <v>7</v>
      </c>
      <c r="L264">
        <v>85</v>
      </c>
      <c r="M264">
        <v>38400</v>
      </c>
      <c r="N264" s="27">
        <f>PI()*(INDEX(Schedule!$A$1:$N$2000, MATCH($C264, VAV_Schedule_5_21[[#All],[UNIT TAG]], FALSE), 4)/2/12)^2</f>
        <v>0.3490658503988659</v>
      </c>
      <c r="O264" s="27">
        <f>INDEX(Schedule!$A$1:$N$2000, MATCH($C264, VAV_Schedule_5_21[[#All],[UNIT TAG]], FALSE), 4)</f>
        <v>8</v>
      </c>
      <c r="P264">
        <v>262.63</v>
      </c>
      <c r="Q264" s="27">
        <f>INDEX(Schedule!$A$1:$N$2000, MATCH($C264, VAV_Schedule_5_21[[#All],[UNIT TAG]], FALSE), 5)</f>
        <v>680</v>
      </c>
      <c r="R264" s="27">
        <f>INDEX(Schedule!$A$1:$N$2000, MATCH($C264, VAV_Schedule_5_21[[#All],[UNIT TAG]], FALSE), 6)</f>
        <v>140</v>
      </c>
      <c r="S264" s="27">
        <f>INDEX(Schedule!$A$1:$N$2000, MATCH($C264, VAV_Schedule_5_21[[#All],[UNIT TAG]], FALSE), 5)</f>
        <v>680</v>
      </c>
      <c r="T264" s="27">
        <f>INDEX(Schedule!$A$1:$N$2000, MATCH($C264, VAV_Schedule_5_21[[#All],[UNIT TAG]], FALSE), 6)</f>
        <v>140</v>
      </c>
      <c r="U264" s="27">
        <f>INDEX(Schedule!$A$1:$N$2000, MATCH($C264, VAV_Schedule_5_21[[#All],[UNIT TAG]], FALSE), 5)</f>
        <v>680</v>
      </c>
      <c r="V264" s="27">
        <f>INDEX(Schedule!$A$1:$N$2000, MATCH($C264, VAV_Schedule_5_21[[#All],[UNIT TAG]], FALSE), 6)</f>
        <v>140</v>
      </c>
      <c r="W264" s="27">
        <f>INDEX(Schedule!$A$1:$N$2000, MATCH($C264, VAV_Schedule_5_21[[#All],[UNIT TAG]], FALSE), 6)</f>
        <v>140</v>
      </c>
      <c r="X264" s="27">
        <f>INDEX(Schedule!$A$1:$N$2000, MATCH($C264, VAV_Schedule_5_21[[#All],[UNIT TAG]], FALSE), 6)</f>
        <v>140</v>
      </c>
      <c r="Y264" s="27">
        <f>INDEX(Schedule!$A$1:$N$2000, MATCH($C264, VAV_Schedule_5_21[[#All],[UNIT TAG]], FALSE), 6)</f>
        <v>140</v>
      </c>
      <c r="Z264" s="27">
        <f>INDEX(Schedule!$A$1:$N$2000, MATCH($C264, VAV_Schedule_5_21[[#All],[UNIT TAG]], FALSE), 6)</f>
        <v>140</v>
      </c>
      <c r="AA264" s="27">
        <v>1000</v>
      </c>
      <c r="AB264" s="27">
        <v>1100</v>
      </c>
      <c r="AC264">
        <v>1400</v>
      </c>
      <c r="AD264" s="29">
        <f>IF(INDEX(Schedule!$A$1:$N$2000, MATCH($C264, VAV_Schedule_5_21[[#All],[UNIT TAG]], FALSE), 7)="-", 0, INDEX(Schedule!$A$1:$N$2000, MATCH($C264, VAV_Schedule_5_21[[#All],[UNIT TAG]], FALSE), 7))</f>
        <v>0</v>
      </c>
      <c r="AE264" t="str">
        <f>"B_01'" &amp; "Flr_0" &amp; INDEX(Joined!$A$3:$M$2000, MATCH($A264, Joined!$I$3:$I$2000, FALSE), 8)</f>
        <v>B_01'Flr_07</v>
      </c>
      <c r="AF264" t="str">
        <f>"R_" &amp; INDEX(Joined!$A$3:$M$2000, MATCH($A264, Joined!$I$3:$I$2000, FALSE), 7)</f>
        <v>R_VAV-7E-19</v>
      </c>
      <c r="AG264" t="str">
        <f>"B_01'" &amp; "Flr_0" &amp; INDEX(Joined!$A$3:$M$2000, MATCH($A264, Joined!$I$3:$I$2000, FALSE), 8)</f>
        <v>B_01'Flr_07</v>
      </c>
      <c r="AH264" t="str">
        <f>INDEX(Joined!$A$3:$M$2000, MATCH($A264, Joined!$I$3:$I$2000, FALSE), 7)</f>
        <v>VAV-7E-19</v>
      </c>
      <c r="AI264" t="s">
        <v>1592</v>
      </c>
    </row>
    <row r="265" spans="1:35" x14ac:dyDescent="0.2">
      <c r="A265" t="s">
        <v>766</v>
      </c>
      <c r="B265" t="str">
        <f>"B_01'" &amp; "Flr_0" &amp; INDEX(Joined!$A$3:$M$2000, MATCH($A265, Joined!$I$3:$I$2000, FALSE), 8)</f>
        <v>B_01'Flr_07</v>
      </c>
      <c r="C265" t="str">
        <f>INDEX(Joined!$A$3:$M$2000, MATCH($A265, Joined!$I$3:$I$2000, FALSE), 7)</f>
        <v>VAV-7E-20</v>
      </c>
      <c r="D265">
        <f>INDEX(Joined!$A$3:$M$2000, MATCH($A265, Joined!$I$3:$I$2000, FALSE), 5)</f>
        <v>151708</v>
      </c>
      <c r="E265" t="str">
        <f>INDEX(Joined!$A$3:$M$2000, MATCH($A265, Joined!$I$3:$I$2000, FALSE), 7)</f>
        <v>VAV-7E-20</v>
      </c>
      <c r="F265" t="s">
        <v>38</v>
      </c>
      <c r="G265" t="str">
        <f>INDEX(Schedule!$Q$2:$R$7, MATCH(ABT!$H265,Schedule!$Q$2:$Q$7, 0), 2)</f>
        <v>15010_DXR_VAV_DXR2M12</v>
      </c>
      <c r="H265">
        <f>INDEX(Joined!$A$3:$M$2000, MATCH($A265, Joined!$I$3:$I$2000, FALSE), 6)</f>
        <v>15010</v>
      </c>
      <c r="I265" t="str">
        <f>INDEX(Joined!$A$3:$M$2000, MATCH($A265, Joined!$I$3:$I$2000, FALSE), 4)</f>
        <v>517</v>
      </c>
      <c r="J265" t="b">
        <v>0</v>
      </c>
      <c r="K265">
        <f>INDEX(Joined!$A$3:$M$2000, MATCH($A265, Joined!$I$3:$I$2000, FALSE), 3)</f>
        <v>8</v>
      </c>
      <c r="L265">
        <v>85</v>
      </c>
      <c r="M265">
        <v>38400</v>
      </c>
      <c r="N265" s="27">
        <f>PI()*(INDEX(Schedule!$A$1:$N$2000, MATCH($C265, VAV_Schedule_5_21[[#All],[UNIT TAG]], FALSE), 4)/2/12)^2</f>
        <v>0.19634954084936207</v>
      </c>
      <c r="O265" s="27">
        <f>INDEX(Schedule!$A$1:$N$2000, MATCH($C265, VAV_Schedule_5_21[[#All],[UNIT TAG]], FALSE), 4)</f>
        <v>6</v>
      </c>
      <c r="P265">
        <v>263.63</v>
      </c>
      <c r="Q265" s="27">
        <f>INDEX(Schedule!$A$1:$N$2000, MATCH($C265, VAV_Schedule_5_21[[#All],[UNIT TAG]], FALSE), 5)</f>
        <v>350</v>
      </c>
      <c r="R265" s="27">
        <f>INDEX(Schedule!$A$1:$N$2000, MATCH($C265, VAV_Schedule_5_21[[#All],[UNIT TAG]], FALSE), 6)</f>
        <v>70</v>
      </c>
      <c r="S265" s="27">
        <f>INDEX(Schedule!$A$1:$N$2000, MATCH($C265, VAV_Schedule_5_21[[#All],[UNIT TAG]], FALSE), 5)</f>
        <v>350</v>
      </c>
      <c r="T265" s="27">
        <f>INDEX(Schedule!$A$1:$N$2000, MATCH($C265, VAV_Schedule_5_21[[#All],[UNIT TAG]], FALSE), 6)</f>
        <v>70</v>
      </c>
      <c r="U265" s="27">
        <f>INDEX(Schedule!$A$1:$N$2000, MATCH($C265, VAV_Schedule_5_21[[#All],[UNIT TAG]], FALSE), 5)</f>
        <v>350</v>
      </c>
      <c r="V265" s="27">
        <f>INDEX(Schedule!$A$1:$N$2000, MATCH($C265, VAV_Schedule_5_21[[#All],[UNIT TAG]], FALSE), 6)</f>
        <v>70</v>
      </c>
      <c r="W265" s="27">
        <f>INDEX(Schedule!$A$1:$N$2000, MATCH($C265, VAV_Schedule_5_21[[#All],[UNIT TAG]], FALSE), 6)</f>
        <v>70</v>
      </c>
      <c r="X265" s="27">
        <f>INDEX(Schedule!$A$1:$N$2000, MATCH($C265, VAV_Schedule_5_21[[#All],[UNIT TAG]], FALSE), 6)</f>
        <v>70</v>
      </c>
      <c r="Y265" s="27">
        <f>INDEX(Schedule!$A$1:$N$2000, MATCH($C265, VAV_Schedule_5_21[[#All],[UNIT TAG]], FALSE), 6)</f>
        <v>70</v>
      </c>
      <c r="Z265" s="27">
        <f>INDEX(Schedule!$A$1:$N$2000, MATCH($C265, VAV_Schedule_5_21[[#All],[UNIT TAG]], FALSE), 6)</f>
        <v>70</v>
      </c>
      <c r="AA265" s="27">
        <v>1000</v>
      </c>
      <c r="AB265" s="27">
        <v>1100</v>
      </c>
      <c r="AC265">
        <v>1400</v>
      </c>
      <c r="AD265" s="29">
        <f>IF(INDEX(Schedule!$A$1:$N$2000, MATCH($C265, VAV_Schedule_5_21[[#All],[UNIT TAG]], FALSE), 7)="-", 0, INDEX(Schedule!$A$1:$N$2000, MATCH($C265, VAV_Schedule_5_21[[#All],[UNIT TAG]], FALSE), 7))</f>
        <v>0</v>
      </c>
      <c r="AE265" t="str">
        <f>"B_01'" &amp; "Flr_0" &amp; INDEX(Joined!$A$3:$M$2000, MATCH($A265, Joined!$I$3:$I$2000, FALSE), 8)</f>
        <v>B_01'Flr_07</v>
      </c>
      <c r="AF265" t="str">
        <f>"R_" &amp; INDEX(Joined!$A$3:$M$2000, MATCH($A265, Joined!$I$3:$I$2000, FALSE), 7)</f>
        <v>R_VAV-7E-20</v>
      </c>
      <c r="AG265" t="str">
        <f>"B_01'" &amp; "Flr_0" &amp; INDEX(Joined!$A$3:$M$2000, MATCH($A265, Joined!$I$3:$I$2000, FALSE), 8)</f>
        <v>B_01'Flr_07</v>
      </c>
      <c r="AH265" t="str">
        <f>INDEX(Joined!$A$3:$M$2000, MATCH($A265, Joined!$I$3:$I$2000, FALSE), 7)</f>
        <v>VAV-7E-20</v>
      </c>
      <c r="AI265" t="s">
        <v>1593</v>
      </c>
    </row>
    <row r="266" spans="1:35" x14ac:dyDescent="0.2">
      <c r="A266" t="s">
        <v>767</v>
      </c>
      <c r="B266" t="str">
        <f>"B_01'" &amp; "Flr_0" &amp; INDEX(Joined!$A$3:$M$2000, MATCH($A266, Joined!$I$3:$I$2000, FALSE), 8)</f>
        <v>B_01'Flr_07</v>
      </c>
      <c r="C266" t="str">
        <f>INDEX(Joined!$A$3:$M$2000, MATCH($A266, Joined!$I$3:$I$2000, FALSE), 7)</f>
        <v>VAV-7E-21</v>
      </c>
      <c r="D266">
        <f>INDEX(Joined!$A$3:$M$2000, MATCH($A266, Joined!$I$3:$I$2000, FALSE), 5)</f>
        <v>151709</v>
      </c>
      <c r="E266" t="str">
        <f>INDEX(Joined!$A$3:$M$2000, MATCH($A266, Joined!$I$3:$I$2000, FALSE), 7)</f>
        <v>VAV-7E-21</v>
      </c>
      <c r="F266" t="s">
        <v>38</v>
      </c>
      <c r="G266" t="str">
        <f>INDEX(Schedule!$Q$2:$R$7, MATCH(ABT!$H266,Schedule!$Q$2:$Q$7, 0), 2)</f>
        <v>15011_DXR_VAV_DXR2M12</v>
      </c>
      <c r="H266">
        <f>INDEX(Joined!$A$3:$M$2000, MATCH($A266, Joined!$I$3:$I$2000, FALSE), 6)</f>
        <v>15011</v>
      </c>
      <c r="I266" t="str">
        <f>INDEX(Joined!$A$3:$M$2000, MATCH($A266, Joined!$I$3:$I$2000, FALSE), 4)</f>
        <v>517</v>
      </c>
      <c r="J266" t="b">
        <v>0</v>
      </c>
      <c r="K266">
        <f>INDEX(Joined!$A$3:$M$2000, MATCH($A266, Joined!$I$3:$I$2000, FALSE), 3)</f>
        <v>9</v>
      </c>
      <c r="L266">
        <v>85</v>
      </c>
      <c r="M266">
        <v>38400</v>
      </c>
      <c r="N266" s="27">
        <f>PI()*(INDEX(Schedule!$A$1:$N$2000, MATCH($C266, VAV_Schedule_5_21[[#All],[UNIT TAG]], FALSE), 4)/2/12)^2</f>
        <v>0.54541539124822802</v>
      </c>
      <c r="O266" s="27">
        <f>INDEX(Schedule!$A$1:$N$2000, MATCH($C266, VAV_Schedule_5_21[[#All],[UNIT TAG]], FALSE), 4)</f>
        <v>10</v>
      </c>
      <c r="P266">
        <v>264.63</v>
      </c>
      <c r="Q266" s="27">
        <f>INDEX(Schedule!$A$1:$N$2000, MATCH($C266, VAV_Schedule_5_21[[#All],[UNIT TAG]], FALSE), 5)</f>
        <v>805</v>
      </c>
      <c r="R266" s="27">
        <f>INDEX(Schedule!$A$1:$N$2000, MATCH($C266, VAV_Schedule_5_21[[#All],[UNIT TAG]], FALSE), 6)</f>
        <v>165</v>
      </c>
      <c r="S266" s="27">
        <f>INDEX(Schedule!$A$1:$N$2000, MATCH($C266, VAV_Schedule_5_21[[#All],[UNIT TAG]], FALSE), 5)</f>
        <v>805</v>
      </c>
      <c r="T266" s="27">
        <f>INDEX(Schedule!$A$1:$N$2000, MATCH($C266, VAV_Schedule_5_21[[#All],[UNIT TAG]], FALSE), 6)</f>
        <v>165</v>
      </c>
      <c r="U266" s="27">
        <f>INDEX(Schedule!$A$1:$N$2000, MATCH($C266, VAV_Schedule_5_21[[#All],[UNIT TAG]], FALSE), 5)</f>
        <v>805</v>
      </c>
      <c r="V266" s="27">
        <f>INDEX(Schedule!$A$1:$N$2000, MATCH($C266, VAV_Schedule_5_21[[#All],[UNIT TAG]], FALSE), 6)</f>
        <v>165</v>
      </c>
      <c r="W266" s="27">
        <f>INDEX(Schedule!$A$1:$N$2000, MATCH($C266, VAV_Schedule_5_21[[#All],[UNIT TAG]], FALSE), 6)</f>
        <v>165</v>
      </c>
      <c r="X266" s="27">
        <f>INDEX(Schedule!$A$1:$N$2000, MATCH($C266, VAV_Schedule_5_21[[#All],[UNIT TAG]], FALSE), 6)</f>
        <v>165</v>
      </c>
      <c r="Y266" s="27">
        <f>INDEX(Schedule!$A$1:$N$2000, MATCH($C266, VAV_Schedule_5_21[[#All],[UNIT TAG]], FALSE), 6)</f>
        <v>165</v>
      </c>
      <c r="Z266" s="27">
        <f>INDEX(Schedule!$A$1:$N$2000, MATCH($C266, VAV_Schedule_5_21[[#All],[UNIT TAG]], FALSE), 6)</f>
        <v>165</v>
      </c>
      <c r="AA266" s="27">
        <v>1000</v>
      </c>
      <c r="AB266" s="27">
        <v>1100</v>
      </c>
      <c r="AC266">
        <v>1400</v>
      </c>
      <c r="AD266" s="29" t="str">
        <f>IF(INDEX(Schedule!$A$1:$N$2000, MATCH($C266, VAV_Schedule_5_21[[#All],[UNIT TAG]], FALSE), 7)="-", 0, INDEX(Schedule!$A$1:$N$2000, MATCH($C266, VAV_Schedule_5_21[[#All],[UNIT TAG]], FALSE), 7))</f>
        <v>6</v>
      </c>
      <c r="AE266" t="str">
        <f>"B_01'" &amp; "Flr_0" &amp; INDEX(Joined!$A$3:$M$2000, MATCH($A266, Joined!$I$3:$I$2000, FALSE), 8)</f>
        <v>B_01'Flr_07</v>
      </c>
      <c r="AF266" t="str">
        <f>"R_" &amp; INDEX(Joined!$A$3:$M$2000, MATCH($A266, Joined!$I$3:$I$2000, FALSE), 7)</f>
        <v>R_VAV-7E-21</v>
      </c>
      <c r="AG266" t="str">
        <f>"B_01'" &amp; "Flr_0" &amp; INDEX(Joined!$A$3:$M$2000, MATCH($A266, Joined!$I$3:$I$2000, FALSE), 8)</f>
        <v>B_01'Flr_07</v>
      </c>
      <c r="AH266" t="str">
        <f>INDEX(Joined!$A$3:$M$2000, MATCH($A266, Joined!$I$3:$I$2000, FALSE), 7)</f>
        <v>VAV-7E-21</v>
      </c>
      <c r="AI266" t="s">
        <v>1594</v>
      </c>
    </row>
    <row r="267" spans="1:35" x14ac:dyDescent="0.2">
      <c r="A267" t="s">
        <v>768</v>
      </c>
      <c r="B267" t="str">
        <f>"B_01'" &amp; "Flr_0" &amp; INDEX(Joined!$A$3:$M$2000, MATCH($A267, Joined!$I$3:$I$2000, FALSE), 8)</f>
        <v>B_01'Flr_07</v>
      </c>
      <c r="C267" t="str">
        <f>INDEX(Joined!$A$3:$M$2000, MATCH($A267, Joined!$I$3:$I$2000, FALSE), 7)</f>
        <v>VAV-7E-22</v>
      </c>
      <c r="D267">
        <f>INDEX(Joined!$A$3:$M$2000, MATCH($A267, Joined!$I$3:$I$2000, FALSE), 5)</f>
        <v>151710</v>
      </c>
      <c r="E267" t="str">
        <f>INDEX(Joined!$A$3:$M$2000, MATCH($A267, Joined!$I$3:$I$2000, FALSE), 7)</f>
        <v>VAV-7E-22</v>
      </c>
      <c r="F267" t="s">
        <v>38</v>
      </c>
      <c r="G267" t="str">
        <f>INDEX(Schedule!$Q$2:$R$7, MATCH(ABT!$H267,Schedule!$Q$2:$Q$7, 0), 2)</f>
        <v>15011_DXR_VAV_DXR2M12</v>
      </c>
      <c r="H267">
        <f>INDEX(Joined!$A$3:$M$2000, MATCH($A267, Joined!$I$3:$I$2000, FALSE), 6)</f>
        <v>15011</v>
      </c>
      <c r="I267" t="str">
        <f>INDEX(Joined!$A$3:$M$2000, MATCH($A267, Joined!$I$3:$I$2000, FALSE), 4)</f>
        <v>517</v>
      </c>
      <c r="J267" t="b">
        <v>0</v>
      </c>
      <c r="K267">
        <f>INDEX(Joined!$A$3:$M$2000, MATCH($A267, Joined!$I$3:$I$2000, FALSE), 3)</f>
        <v>10</v>
      </c>
      <c r="L267">
        <v>85</v>
      </c>
      <c r="M267">
        <v>38400</v>
      </c>
      <c r="N267" s="27">
        <f>PI()*(INDEX(Schedule!$A$1:$N$2000, MATCH($C267, VAV_Schedule_5_21[[#All],[UNIT TAG]], FALSE), 4)/2/12)^2</f>
        <v>0.54541539124822802</v>
      </c>
      <c r="O267" s="27">
        <f>INDEX(Schedule!$A$1:$N$2000, MATCH($C267, VAV_Schedule_5_21[[#All],[UNIT TAG]], FALSE), 4)</f>
        <v>10</v>
      </c>
      <c r="P267">
        <v>265.63</v>
      </c>
      <c r="Q267" s="27">
        <f>INDEX(Schedule!$A$1:$N$2000, MATCH($C267, VAV_Schedule_5_21[[#All],[UNIT TAG]], FALSE), 5)</f>
        <v>1050</v>
      </c>
      <c r="R267" s="27">
        <f>INDEX(Schedule!$A$1:$N$2000, MATCH($C267, VAV_Schedule_5_21[[#All],[UNIT TAG]], FALSE), 6)</f>
        <v>210</v>
      </c>
      <c r="S267" s="27">
        <f>INDEX(Schedule!$A$1:$N$2000, MATCH($C267, VAV_Schedule_5_21[[#All],[UNIT TAG]], FALSE), 5)</f>
        <v>1050</v>
      </c>
      <c r="T267" s="27">
        <f>INDEX(Schedule!$A$1:$N$2000, MATCH($C267, VAV_Schedule_5_21[[#All],[UNIT TAG]], FALSE), 6)</f>
        <v>210</v>
      </c>
      <c r="U267" s="27">
        <f>INDEX(Schedule!$A$1:$N$2000, MATCH($C267, VAV_Schedule_5_21[[#All],[UNIT TAG]], FALSE), 5)</f>
        <v>1050</v>
      </c>
      <c r="V267" s="27">
        <f>INDEX(Schedule!$A$1:$N$2000, MATCH($C267, VAV_Schedule_5_21[[#All],[UNIT TAG]], FALSE), 6)</f>
        <v>210</v>
      </c>
      <c r="W267" s="27">
        <f>INDEX(Schedule!$A$1:$N$2000, MATCH($C267, VAV_Schedule_5_21[[#All],[UNIT TAG]], FALSE), 6)</f>
        <v>210</v>
      </c>
      <c r="X267" s="27">
        <f>INDEX(Schedule!$A$1:$N$2000, MATCH($C267, VAV_Schedule_5_21[[#All],[UNIT TAG]], FALSE), 6)</f>
        <v>210</v>
      </c>
      <c r="Y267" s="27">
        <f>INDEX(Schedule!$A$1:$N$2000, MATCH($C267, VAV_Schedule_5_21[[#All],[UNIT TAG]], FALSE), 6)</f>
        <v>210</v>
      </c>
      <c r="Z267" s="27">
        <f>INDEX(Schedule!$A$1:$N$2000, MATCH($C267, VAV_Schedule_5_21[[#All],[UNIT TAG]], FALSE), 6)</f>
        <v>210</v>
      </c>
      <c r="AA267" s="27">
        <v>1000</v>
      </c>
      <c r="AB267" s="27">
        <v>1100</v>
      </c>
      <c r="AC267">
        <v>1400</v>
      </c>
      <c r="AD267" s="29" t="str">
        <f>IF(INDEX(Schedule!$A$1:$N$2000, MATCH($C267, VAV_Schedule_5_21[[#All],[UNIT TAG]], FALSE), 7)="-", 0, INDEX(Schedule!$A$1:$N$2000, MATCH($C267, VAV_Schedule_5_21[[#All],[UNIT TAG]], FALSE), 7))</f>
        <v>7</v>
      </c>
      <c r="AE267" t="str">
        <f>"B_01'" &amp; "Flr_0" &amp; INDEX(Joined!$A$3:$M$2000, MATCH($A267, Joined!$I$3:$I$2000, FALSE), 8)</f>
        <v>B_01'Flr_07</v>
      </c>
      <c r="AF267" t="str">
        <f>"R_" &amp; INDEX(Joined!$A$3:$M$2000, MATCH($A267, Joined!$I$3:$I$2000, FALSE), 7)</f>
        <v>R_VAV-7E-22</v>
      </c>
      <c r="AG267" t="str">
        <f>"B_01'" &amp; "Flr_0" &amp; INDEX(Joined!$A$3:$M$2000, MATCH($A267, Joined!$I$3:$I$2000, FALSE), 8)</f>
        <v>B_01'Flr_07</v>
      </c>
      <c r="AH267" t="str">
        <f>INDEX(Joined!$A$3:$M$2000, MATCH($A267, Joined!$I$3:$I$2000, FALSE), 7)</f>
        <v>VAV-7E-22</v>
      </c>
      <c r="AI267" t="s">
        <v>1595</v>
      </c>
    </row>
    <row r="268" spans="1:35" x14ac:dyDescent="0.2">
      <c r="A268" t="s">
        <v>769</v>
      </c>
      <c r="B268" t="str">
        <f>"B_01'" &amp; "Flr_0" &amp; INDEX(Joined!$A$3:$M$2000, MATCH($A268, Joined!$I$3:$I$2000, FALSE), 8)</f>
        <v>B_01'Flr_07</v>
      </c>
      <c r="C268" t="str">
        <f>INDEX(Joined!$A$3:$M$2000, MATCH($A268, Joined!$I$3:$I$2000, FALSE), 7)</f>
        <v>VAV-7E-23</v>
      </c>
      <c r="D268">
        <f>INDEX(Joined!$A$3:$M$2000, MATCH($A268, Joined!$I$3:$I$2000, FALSE), 5)</f>
        <v>151711</v>
      </c>
      <c r="E268" t="str">
        <f>INDEX(Joined!$A$3:$M$2000, MATCH($A268, Joined!$I$3:$I$2000, FALSE), 7)</f>
        <v>VAV-7E-23</v>
      </c>
      <c r="F268" t="s">
        <v>38</v>
      </c>
      <c r="G268" t="str">
        <f>INDEX(Schedule!$Q$2:$R$7, MATCH(ABT!$H268,Schedule!$Q$2:$Q$7, 0), 2)</f>
        <v>15010_DXR_VAV_DXR2M12</v>
      </c>
      <c r="H268">
        <f>INDEX(Joined!$A$3:$M$2000, MATCH($A268, Joined!$I$3:$I$2000, FALSE), 6)</f>
        <v>15010</v>
      </c>
      <c r="I268" t="str">
        <f>INDEX(Joined!$A$3:$M$2000, MATCH($A268, Joined!$I$3:$I$2000, FALSE), 4)</f>
        <v>517</v>
      </c>
      <c r="J268" t="b">
        <v>0</v>
      </c>
      <c r="K268">
        <f>INDEX(Joined!$A$3:$M$2000, MATCH($A268, Joined!$I$3:$I$2000, FALSE), 3)</f>
        <v>11</v>
      </c>
      <c r="L268">
        <v>85</v>
      </c>
      <c r="M268">
        <v>38400</v>
      </c>
      <c r="N268" s="27">
        <f>PI()*(INDEX(Schedule!$A$1:$N$2000, MATCH($C268, VAV_Schedule_5_21[[#All],[UNIT TAG]], FALSE), 4)/2/12)^2</f>
        <v>0.19634954084936207</v>
      </c>
      <c r="O268" s="27">
        <f>INDEX(Schedule!$A$1:$N$2000, MATCH($C268, VAV_Schedule_5_21[[#All],[UNIT TAG]], FALSE), 4)</f>
        <v>6</v>
      </c>
      <c r="P268">
        <v>266.63</v>
      </c>
      <c r="Q268" s="27">
        <f>INDEX(Schedule!$A$1:$N$2000, MATCH($C268, VAV_Schedule_5_21[[#All],[UNIT TAG]], FALSE), 5)</f>
        <v>200</v>
      </c>
      <c r="R268" s="27">
        <f>INDEX(Schedule!$A$1:$N$2000, MATCH($C268, VAV_Schedule_5_21[[#All],[UNIT TAG]], FALSE), 6)</f>
        <v>40</v>
      </c>
      <c r="S268" s="27">
        <f>INDEX(Schedule!$A$1:$N$2000, MATCH($C268, VAV_Schedule_5_21[[#All],[UNIT TAG]], FALSE), 5)</f>
        <v>200</v>
      </c>
      <c r="T268" s="27">
        <f>INDEX(Schedule!$A$1:$N$2000, MATCH($C268, VAV_Schedule_5_21[[#All],[UNIT TAG]], FALSE), 6)</f>
        <v>40</v>
      </c>
      <c r="U268" s="27">
        <f>INDEX(Schedule!$A$1:$N$2000, MATCH($C268, VAV_Schedule_5_21[[#All],[UNIT TAG]], FALSE), 5)</f>
        <v>200</v>
      </c>
      <c r="V268" s="27">
        <f>INDEX(Schedule!$A$1:$N$2000, MATCH($C268, VAV_Schedule_5_21[[#All],[UNIT TAG]], FALSE), 6)</f>
        <v>40</v>
      </c>
      <c r="W268" s="27">
        <f>INDEX(Schedule!$A$1:$N$2000, MATCH($C268, VAV_Schedule_5_21[[#All],[UNIT TAG]], FALSE), 6)</f>
        <v>40</v>
      </c>
      <c r="X268" s="27">
        <f>INDEX(Schedule!$A$1:$N$2000, MATCH($C268, VAV_Schedule_5_21[[#All],[UNIT TAG]], FALSE), 6)</f>
        <v>40</v>
      </c>
      <c r="Y268" s="27">
        <f>INDEX(Schedule!$A$1:$N$2000, MATCH($C268, VAV_Schedule_5_21[[#All],[UNIT TAG]], FALSE), 6)</f>
        <v>40</v>
      </c>
      <c r="Z268" s="27">
        <f>INDEX(Schedule!$A$1:$N$2000, MATCH($C268, VAV_Schedule_5_21[[#All],[UNIT TAG]], FALSE), 6)</f>
        <v>40</v>
      </c>
      <c r="AA268" s="27">
        <v>1000</v>
      </c>
      <c r="AB268" s="27">
        <v>1100</v>
      </c>
      <c r="AC268">
        <v>1400</v>
      </c>
      <c r="AD268" s="29">
        <f>IF(INDEX(Schedule!$A$1:$N$2000, MATCH($C268, VAV_Schedule_5_21[[#All],[UNIT TAG]], FALSE), 7)="-", 0, INDEX(Schedule!$A$1:$N$2000, MATCH($C268, VAV_Schedule_5_21[[#All],[UNIT TAG]], FALSE), 7))</f>
        <v>0</v>
      </c>
      <c r="AE268" t="str">
        <f>"B_01'" &amp; "Flr_0" &amp; INDEX(Joined!$A$3:$M$2000, MATCH($A268, Joined!$I$3:$I$2000, FALSE), 8)</f>
        <v>B_01'Flr_07</v>
      </c>
      <c r="AF268" t="str">
        <f>"R_" &amp; INDEX(Joined!$A$3:$M$2000, MATCH($A268, Joined!$I$3:$I$2000, FALSE), 7)</f>
        <v>R_VAV-7E-23</v>
      </c>
      <c r="AG268" t="str">
        <f>"B_01'" &amp; "Flr_0" &amp; INDEX(Joined!$A$3:$M$2000, MATCH($A268, Joined!$I$3:$I$2000, FALSE), 8)</f>
        <v>B_01'Flr_07</v>
      </c>
      <c r="AH268" t="str">
        <f>INDEX(Joined!$A$3:$M$2000, MATCH($A268, Joined!$I$3:$I$2000, FALSE), 7)</f>
        <v>VAV-7E-23</v>
      </c>
      <c r="AI268" t="s">
        <v>1596</v>
      </c>
    </row>
    <row r="269" spans="1:35" x14ac:dyDescent="0.2">
      <c r="A269" t="s">
        <v>770</v>
      </c>
      <c r="B269" t="str">
        <f>"B_01'" &amp; "Flr_0" &amp; INDEX(Joined!$A$3:$M$2000, MATCH($A269, Joined!$I$3:$I$2000, FALSE), 8)</f>
        <v>B_01'Flr_07</v>
      </c>
      <c r="C269" t="str">
        <f>INDEX(Joined!$A$3:$M$2000, MATCH($A269, Joined!$I$3:$I$2000, FALSE), 7)</f>
        <v>VAV-7E-24</v>
      </c>
      <c r="D269">
        <f>INDEX(Joined!$A$3:$M$2000, MATCH($A269, Joined!$I$3:$I$2000, FALSE), 5)</f>
        <v>151712</v>
      </c>
      <c r="E269" t="str">
        <f>INDEX(Joined!$A$3:$M$2000, MATCH($A269, Joined!$I$3:$I$2000, FALSE), 7)</f>
        <v>VAV-7E-24</v>
      </c>
      <c r="F269" t="s">
        <v>38</v>
      </c>
      <c r="G269" t="str">
        <f>INDEX(Schedule!$Q$2:$R$7, MATCH(ABT!$H269,Schedule!$Q$2:$Q$7, 0), 2)</f>
        <v>15011_DXR_VAV_DXR2M12</v>
      </c>
      <c r="H269">
        <f>INDEX(Joined!$A$3:$M$2000, MATCH($A269, Joined!$I$3:$I$2000, FALSE), 6)</f>
        <v>15011</v>
      </c>
      <c r="I269" t="str">
        <f>INDEX(Joined!$A$3:$M$2000, MATCH($A269, Joined!$I$3:$I$2000, FALSE), 4)</f>
        <v>517</v>
      </c>
      <c r="J269" t="b">
        <v>0</v>
      </c>
      <c r="K269">
        <f>INDEX(Joined!$A$3:$M$2000, MATCH($A269, Joined!$I$3:$I$2000, FALSE), 3)</f>
        <v>12</v>
      </c>
      <c r="L269">
        <v>85</v>
      </c>
      <c r="M269">
        <v>38400</v>
      </c>
      <c r="N269" s="27">
        <f>PI()*(INDEX(Schedule!$A$1:$N$2000, MATCH($C269, VAV_Schedule_5_21[[#All],[UNIT TAG]], FALSE), 4)/2/12)^2</f>
        <v>0.3490658503988659</v>
      </c>
      <c r="O269" s="27">
        <f>INDEX(Schedule!$A$1:$N$2000, MATCH($C269, VAV_Schedule_5_21[[#All],[UNIT TAG]], FALSE), 4)</f>
        <v>8</v>
      </c>
      <c r="P269">
        <v>267.63</v>
      </c>
      <c r="Q269" s="27">
        <f>INDEX(Schedule!$A$1:$N$2000, MATCH($C269, VAV_Schedule_5_21[[#All],[UNIT TAG]], FALSE), 5)</f>
        <v>640</v>
      </c>
      <c r="R269" s="27">
        <f>INDEX(Schedule!$A$1:$N$2000, MATCH($C269, VAV_Schedule_5_21[[#All],[UNIT TAG]], FALSE), 6)</f>
        <v>130</v>
      </c>
      <c r="S269" s="27">
        <f>INDEX(Schedule!$A$1:$N$2000, MATCH($C269, VAV_Schedule_5_21[[#All],[UNIT TAG]], FALSE), 5)</f>
        <v>640</v>
      </c>
      <c r="T269" s="27">
        <f>INDEX(Schedule!$A$1:$N$2000, MATCH($C269, VAV_Schedule_5_21[[#All],[UNIT TAG]], FALSE), 6)</f>
        <v>130</v>
      </c>
      <c r="U269" s="27">
        <f>INDEX(Schedule!$A$1:$N$2000, MATCH($C269, VAV_Schedule_5_21[[#All],[UNIT TAG]], FALSE), 5)</f>
        <v>640</v>
      </c>
      <c r="V269" s="27">
        <f>INDEX(Schedule!$A$1:$N$2000, MATCH($C269, VAV_Schedule_5_21[[#All],[UNIT TAG]], FALSE), 6)</f>
        <v>130</v>
      </c>
      <c r="W269" s="27">
        <f>INDEX(Schedule!$A$1:$N$2000, MATCH($C269, VAV_Schedule_5_21[[#All],[UNIT TAG]], FALSE), 6)</f>
        <v>130</v>
      </c>
      <c r="X269" s="27">
        <f>INDEX(Schedule!$A$1:$N$2000, MATCH($C269, VAV_Schedule_5_21[[#All],[UNIT TAG]], FALSE), 6)</f>
        <v>130</v>
      </c>
      <c r="Y269" s="27">
        <f>INDEX(Schedule!$A$1:$N$2000, MATCH($C269, VAV_Schedule_5_21[[#All],[UNIT TAG]], FALSE), 6)</f>
        <v>130</v>
      </c>
      <c r="Z269" s="27">
        <f>INDEX(Schedule!$A$1:$N$2000, MATCH($C269, VAV_Schedule_5_21[[#All],[UNIT TAG]], FALSE), 6)</f>
        <v>130</v>
      </c>
      <c r="AA269" s="27">
        <v>1000</v>
      </c>
      <c r="AB269" s="27">
        <v>1100</v>
      </c>
      <c r="AC269">
        <v>1400</v>
      </c>
      <c r="AD269" s="29" t="str">
        <f>IF(INDEX(Schedule!$A$1:$N$2000, MATCH($C269, VAV_Schedule_5_21[[#All],[UNIT TAG]], FALSE), 7)="-", 0, INDEX(Schedule!$A$1:$N$2000, MATCH($C269, VAV_Schedule_5_21[[#All],[UNIT TAG]], FALSE), 7))</f>
        <v>6</v>
      </c>
      <c r="AE269" t="str">
        <f>"B_01'" &amp; "Flr_0" &amp; INDEX(Joined!$A$3:$M$2000, MATCH($A269, Joined!$I$3:$I$2000, FALSE), 8)</f>
        <v>B_01'Flr_07</v>
      </c>
      <c r="AF269" t="str">
        <f>"R_" &amp; INDEX(Joined!$A$3:$M$2000, MATCH($A269, Joined!$I$3:$I$2000, FALSE), 7)</f>
        <v>R_VAV-7E-24</v>
      </c>
      <c r="AG269" t="str">
        <f>"B_01'" &amp; "Flr_0" &amp; INDEX(Joined!$A$3:$M$2000, MATCH($A269, Joined!$I$3:$I$2000, FALSE), 8)</f>
        <v>B_01'Flr_07</v>
      </c>
      <c r="AH269" t="str">
        <f>INDEX(Joined!$A$3:$M$2000, MATCH($A269, Joined!$I$3:$I$2000, FALSE), 7)</f>
        <v>VAV-7E-24</v>
      </c>
      <c r="AI269" t="s">
        <v>1597</v>
      </c>
    </row>
    <row r="270" spans="1:35" x14ac:dyDescent="0.2">
      <c r="A270" t="s">
        <v>771</v>
      </c>
      <c r="B270" t="str">
        <f>"B_01'" &amp; "Flr_0" &amp; INDEX(Joined!$A$3:$M$2000, MATCH($A270, Joined!$I$3:$I$2000, FALSE), 8)</f>
        <v>B_01'Flr_07</v>
      </c>
      <c r="C270" t="str">
        <f>INDEX(Joined!$A$3:$M$2000, MATCH($A270, Joined!$I$3:$I$2000, FALSE), 7)</f>
        <v>VAV-7E-25</v>
      </c>
      <c r="D270">
        <f>INDEX(Joined!$A$3:$M$2000, MATCH($A270, Joined!$I$3:$I$2000, FALSE), 5)</f>
        <v>151713</v>
      </c>
      <c r="E270" t="str">
        <f>INDEX(Joined!$A$3:$M$2000, MATCH($A270, Joined!$I$3:$I$2000, FALSE), 7)</f>
        <v>VAV-7E-25</v>
      </c>
      <c r="F270" t="s">
        <v>38</v>
      </c>
      <c r="G270" t="str">
        <f>INDEX(Schedule!$Q$2:$R$7, MATCH(ABT!$H270,Schedule!$Q$2:$Q$7, 0), 2)</f>
        <v>15011_DXR_VAV_DXR2M12</v>
      </c>
      <c r="H270">
        <f>INDEX(Joined!$A$3:$M$2000, MATCH($A270, Joined!$I$3:$I$2000, FALSE), 6)</f>
        <v>15011</v>
      </c>
      <c r="I270" t="str">
        <f>INDEX(Joined!$A$3:$M$2000, MATCH($A270, Joined!$I$3:$I$2000, FALSE), 4)</f>
        <v>517</v>
      </c>
      <c r="J270" t="b">
        <v>0</v>
      </c>
      <c r="K270">
        <f>INDEX(Joined!$A$3:$M$2000, MATCH($A270, Joined!$I$3:$I$2000, FALSE), 3)</f>
        <v>13</v>
      </c>
      <c r="L270">
        <v>85</v>
      </c>
      <c r="M270">
        <v>38400</v>
      </c>
      <c r="N270" s="27">
        <f>PI()*(INDEX(Schedule!$A$1:$N$2000, MATCH($C270, VAV_Schedule_5_21[[#All],[UNIT TAG]], FALSE), 4)/2/12)^2</f>
        <v>0.54541539124822802</v>
      </c>
      <c r="O270" s="27">
        <f>INDEX(Schedule!$A$1:$N$2000, MATCH($C270, VAV_Schedule_5_21[[#All],[UNIT TAG]], FALSE), 4)</f>
        <v>10</v>
      </c>
      <c r="P270">
        <v>268.63</v>
      </c>
      <c r="Q270" s="27">
        <f>INDEX(Schedule!$A$1:$N$2000, MATCH($C270, VAV_Schedule_5_21[[#All],[UNIT TAG]], FALSE), 5)</f>
        <v>860</v>
      </c>
      <c r="R270" s="27">
        <f>INDEX(Schedule!$A$1:$N$2000, MATCH($C270, VAV_Schedule_5_21[[#All],[UNIT TAG]], FALSE), 6)</f>
        <v>175</v>
      </c>
      <c r="S270" s="27">
        <f>INDEX(Schedule!$A$1:$N$2000, MATCH($C270, VAV_Schedule_5_21[[#All],[UNIT TAG]], FALSE), 5)</f>
        <v>860</v>
      </c>
      <c r="T270" s="27">
        <f>INDEX(Schedule!$A$1:$N$2000, MATCH($C270, VAV_Schedule_5_21[[#All],[UNIT TAG]], FALSE), 6)</f>
        <v>175</v>
      </c>
      <c r="U270" s="27">
        <f>INDEX(Schedule!$A$1:$N$2000, MATCH($C270, VAV_Schedule_5_21[[#All],[UNIT TAG]], FALSE), 5)</f>
        <v>860</v>
      </c>
      <c r="V270" s="27">
        <f>INDEX(Schedule!$A$1:$N$2000, MATCH($C270, VAV_Schedule_5_21[[#All],[UNIT TAG]], FALSE), 6)</f>
        <v>175</v>
      </c>
      <c r="W270" s="27">
        <f>INDEX(Schedule!$A$1:$N$2000, MATCH($C270, VAV_Schedule_5_21[[#All],[UNIT TAG]], FALSE), 6)</f>
        <v>175</v>
      </c>
      <c r="X270" s="27">
        <f>INDEX(Schedule!$A$1:$N$2000, MATCH($C270, VAV_Schedule_5_21[[#All],[UNIT TAG]], FALSE), 6)</f>
        <v>175</v>
      </c>
      <c r="Y270" s="27">
        <f>INDEX(Schedule!$A$1:$N$2000, MATCH($C270, VAV_Schedule_5_21[[#All],[UNIT TAG]], FALSE), 6)</f>
        <v>175</v>
      </c>
      <c r="Z270" s="27">
        <f>INDEX(Schedule!$A$1:$N$2000, MATCH($C270, VAV_Schedule_5_21[[#All],[UNIT TAG]], FALSE), 6)</f>
        <v>175</v>
      </c>
      <c r="AA270" s="27">
        <v>1000</v>
      </c>
      <c r="AB270" s="27">
        <v>1100</v>
      </c>
      <c r="AC270">
        <v>1400</v>
      </c>
      <c r="AD270" s="29" t="str">
        <f>IF(INDEX(Schedule!$A$1:$N$2000, MATCH($C270, VAV_Schedule_5_21[[#All],[UNIT TAG]], FALSE), 7)="-", 0, INDEX(Schedule!$A$1:$N$2000, MATCH($C270, VAV_Schedule_5_21[[#All],[UNIT TAG]], FALSE), 7))</f>
        <v>6</v>
      </c>
      <c r="AE270" t="str">
        <f>"B_01'" &amp; "Flr_0" &amp; INDEX(Joined!$A$3:$M$2000, MATCH($A270, Joined!$I$3:$I$2000, FALSE), 8)</f>
        <v>B_01'Flr_07</v>
      </c>
      <c r="AF270" t="str">
        <f>"R_" &amp; INDEX(Joined!$A$3:$M$2000, MATCH($A270, Joined!$I$3:$I$2000, FALSE), 7)</f>
        <v>R_VAV-7E-25</v>
      </c>
      <c r="AG270" t="str">
        <f>"B_01'" &amp; "Flr_0" &amp; INDEX(Joined!$A$3:$M$2000, MATCH($A270, Joined!$I$3:$I$2000, FALSE), 8)</f>
        <v>B_01'Flr_07</v>
      </c>
      <c r="AH270" t="str">
        <f>INDEX(Joined!$A$3:$M$2000, MATCH($A270, Joined!$I$3:$I$2000, FALSE), 7)</f>
        <v>VAV-7E-25</v>
      </c>
      <c r="AI270" t="s">
        <v>1598</v>
      </c>
    </row>
    <row r="271" spans="1:35" x14ac:dyDescent="0.2">
      <c r="A271" t="s">
        <v>772</v>
      </c>
      <c r="B271" t="str">
        <f>"B_01'" &amp; "Flr_0" &amp; INDEX(Joined!$A$3:$M$2000, MATCH($A271, Joined!$I$3:$I$2000, FALSE), 8)</f>
        <v>B_01'Flr_07</v>
      </c>
      <c r="C271" t="str">
        <f>INDEX(Joined!$A$3:$M$2000, MATCH($A271, Joined!$I$3:$I$2000, FALSE), 7)</f>
        <v>VAV-7E-26</v>
      </c>
      <c r="D271">
        <f>INDEX(Joined!$A$3:$M$2000, MATCH($A271, Joined!$I$3:$I$2000, FALSE), 5)</f>
        <v>151714</v>
      </c>
      <c r="E271" t="str">
        <f>INDEX(Joined!$A$3:$M$2000, MATCH($A271, Joined!$I$3:$I$2000, FALSE), 7)</f>
        <v>VAV-7E-26</v>
      </c>
      <c r="F271" t="s">
        <v>38</v>
      </c>
      <c r="G271" t="str">
        <f>INDEX(Schedule!$Q$2:$R$7, MATCH(ABT!$H271,Schedule!$Q$2:$Q$7, 0), 2)</f>
        <v>15011_DXR_VAV_DXR2M12</v>
      </c>
      <c r="H271">
        <f>INDEX(Joined!$A$3:$M$2000, MATCH($A271, Joined!$I$3:$I$2000, FALSE), 6)</f>
        <v>15011</v>
      </c>
      <c r="I271" t="str">
        <f>INDEX(Joined!$A$3:$M$2000, MATCH($A271, Joined!$I$3:$I$2000, FALSE), 4)</f>
        <v>517</v>
      </c>
      <c r="J271" t="b">
        <v>0</v>
      </c>
      <c r="K271">
        <f>INDEX(Joined!$A$3:$M$2000, MATCH($A271, Joined!$I$3:$I$2000, FALSE), 3)</f>
        <v>14</v>
      </c>
      <c r="L271">
        <v>85</v>
      </c>
      <c r="M271">
        <v>38400</v>
      </c>
      <c r="N271" s="27">
        <f>PI()*(INDEX(Schedule!$A$1:$N$2000, MATCH($C271, VAV_Schedule_5_21[[#All],[UNIT TAG]], FALSE), 4)/2/12)^2</f>
        <v>0.3490658503988659</v>
      </c>
      <c r="O271" s="27">
        <f>INDEX(Schedule!$A$1:$N$2000, MATCH($C271, VAV_Schedule_5_21[[#All],[UNIT TAG]], FALSE), 4)</f>
        <v>8</v>
      </c>
      <c r="P271">
        <v>269.63</v>
      </c>
      <c r="Q271" s="27">
        <f>INDEX(Schedule!$A$1:$N$2000, MATCH($C271, VAV_Schedule_5_21[[#All],[UNIT TAG]], FALSE), 5)</f>
        <v>640</v>
      </c>
      <c r="R271" s="27">
        <f>INDEX(Schedule!$A$1:$N$2000, MATCH($C271, VAV_Schedule_5_21[[#All],[UNIT TAG]], FALSE), 6)</f>
        <v>130</v>
      </c>
      <c r="S271" s="27">
        <f>INDEX(Schedule!$A$1:$N$2000, MATCH($C271, VAV_Schedule_5_21[[#All],[UNIT TAG]], FALSE), 5)</f>
        <v>640</v>
      </c>
      <c r="T271" s="27">
        <f>INDEX(Schedule!$A$1:$N$2000, MATCH($C271, VAV_Schedule_5_21[[#All],[UNIT TAG]], FALSE), 6)</f>
        <v>130</v>
      </c>
      <c r="U271" s="27">
        <f>INDEX(Schedule!$A$1:$N$2000, MATCH($C271, VAV_Schedule_5_21[[#All],[UNIT TAG]], FALSE), 5)</f>
        <v>640</v>
      </c>
      <c r="V271" s="27">
        <f>INDEX(Schedule!$A$1:$N$2000, MATCH($C271, VAV_Schedule_5_21[[#All],[UNIT TAG]], FALSE), 6)</f>
        <v>130</v>
      </c>
      <c r="W271" s="27">
        <f>INDEX(Schedule!$A$1:$N$2000, MATCH($C271, VAV_Schedule_5_21[[#All],[UNIT TAG]], FALSE), 6)</f>
        <v>130</v>
      </c>
      <c r="X271" s="27">
        <f>INDEX(Schedule!$A$1:$N$2000, MATCH($C271, VAV_Schedule_5_21[[#All],[UNIT TAG]], FALSE), 6)</f>
        <v>130</v>
      </c>
      <c r="Y271" s="27">
        <f>INDEX(Schedule!$A$1:$N$2000, MATCH($C271, VAV_Schedule_5_21[[#All],[UNIT TAG]], FALSE), 6)</f>
        <v>130</v>
      </c>
      <c r="Z271" s="27">
        <f>INDEX(Schedule!$A$1:$N$2000, MATCH($C271, VAV_Schedule_5_21[[#All],[UNIT TAG]], FALSE), 6)</f>
        <v>130</v>
      </c>
      <c r="AA271" s="27">
        <v>1000</v>
      </c>
      <c r="AB271" s="27">
        <v>1100</v>
      </c>
      <c r="AC271">
        <v>1400</v>
      </c>
      <c r="AD271" s="29" t="str">
        <f>IF(INDEX(Schedule!$A$1:$N$2000, MATCH($C271, VAV_Schedule_5_21[[#All],[UNIT TAG]], FALSE), 7)="-", 0, INDEX(Schedule!$A$1:$N$2000, MATCH($C271, VAV_Schedule_5_21[[#All],[UNIT TAG]], FALSE), 7))</f>
        <v>6</v>
      </c>
      <c r="AE271" t="str">
        <f>"B_01'" &amp; "Flr_0" &amp; INDEX(Joined!$A$3:$M$2000, MATCH($A271, Joined!$I$3:$I$2000, FALSE), 8)</f>
        <v>B_01'Flr_07</v>
      </c>
      <c r="AF271" t="str">
        <f>"R_" &amp; INDEX(Joined!$A$3:$M$2000, MATCH($A271, Joined!$I$3:$I$2000, FALSE), 7)</f>
        <v>R_VAV-7E-26</v>
      </c>
      <c r="AG271" t="str">
        <f>"B_01'" &amp; "Flr_0" &amp; INDEX(Joined!$A$3:$M$2000, MATCH($A271, Joined!$I$3:$I$2000, FALSE), 8)</f>
        <v>B_01'Flr_07</v>
      </c>
      <c r="AH271" t="str">
        <f>INDEX(Joined!$A$3:$M$2000, MATCH($A271, Joined!$I$3:$I$2000, FALSE), 7)</f>
        <v>VAV-7E-26</v>
      </c>
      <c r="AI271" t="s">
        <v>1599</v>
      </c>
    </row>
    <row r="272" spans="1:35" x14ac:dyDescent="0.2">
      <c r="A272" t="s">
        <v>773</v>
      </c>
      <c r="B272" t="str">
        <f>"B_01'" &amp; "Flr_0" &amp; INDEX(Joined!$A$3:$M$2000, MATCH($A272, Joined!$I$3:$I$2000, FALSE), 8)</f>
        <v>B_01'Flr_07</v>
      </c>
      <c r="C272" t="str">
        <f>INDEX(Joined!$A$3:$M$2000, MATCH($A272, Joined!$I$3:$I$2000, FALSE), 7)</f>
        <v>VAV-7E-27</v>
      </c>
      <c r="D272">
        <f>INDEX(Joined!$A$3:$M$2000, MATCH($A272, Joined!$I$3:$I$2000, FALSE), 5)</f>
        <v>151715</v>
      </c>
      <c r="E272" t="str">
        <f>INDEX(Joined!$A$3:$M$2000, MATCH($A272, Joined!$I$3:$I$2000, FALSE), 7)</f>
        <v>VAV-7E-27</v>
      </c>
      <c r="F272" t="s">
        <v>38</v>
      </c>
      <c r="G272" t="str">
        <f>INDEX(Schedule!$Q$2:$R$7, MATCH(ABT!$H272,Schedule!$Q$2:$Q$7, 0), 2)</f>
        <v>15010_DXR_VAV_DXR2M12</v>
      </c>
      <c r="H272">
        <f>INDEX(Joined!$A$3:$M$2000, MATCH($A272, Joined!$I$3:$I$2000, FALSE), 6)</f>
        <v>15010</v>
      </c>
      <c r="I272" t="str">
        <f>INDEX(Joined!$A$3:$M$2000, MATCH($A272, Joined!$I$3:$I$2000, FALSE), 4)</f>
        <v>517</v>
      </c>
      <c r="J272" t="b">
        <v>0</v>
      </c>
      <c r="K272">
        <f>INDEX(Joined!$A$3:$M$2000, MATCH($A272, Joined!$I$3:$I$2000, FALSE), 3)</f>
        <v>15</v>
      </c>
      <c r="L272">
        <v>85</v>
      </c>
      <c r="M272">
        <v>38400</v>
      </c>
      <c r="N272" s="27">
        <f>PI()*(INDEX(Schedule!$A$1:$N$2000, MATCH($C272, VAV_Schedule_5_21[[#All],[UNIT TAG]], FALSE), 4)/2/12)^2</f>
        <v>0.78539816339744828</v>
      </c>
      <c r="O272" s="27">
        <f>INDEX(Schedule!$A$1:$N$2000, MATCH($C272, VAV_Schedule_5_21[[#All],[UNIT TAG]], FALSE), 4)</f>
        <v>12</v>
      </c>
      <c r="P272">
        <v>270.63</v>
      </c>
      <c r="Q272" s="27">
        <f>INDEX(Schedule!$A$1:$N$2000, MATCH($C272, VAV_Schedule_5_21[[#All],[UNIT TAG]], FALSE), 5)</f>
        <v>1310</v>
      </c>
      <c r="R272" s="27">
        <f>INDEX(Schedule!$A$1:$N$2000, MATCH($C272, VAV_Schedule_5_21[[#All],[UNIT TAG]], FALSE), 6)</f>
        <v>265</v>
      </c>
      <c r="S272" s="27">
        <f>INDEX(Schedule!$A$1:$N$2000, MATCH($C272, VAV_Schedule_5_21[[#All],[UNIT TAG]], FALSE), 5)</f>
        <v>1310</v>
      </c>
      <c r="T272" s="27">
        <f>INDEX(Schedule!$A$1:$N$2000, MATCH($C272, VAV_Schedule_5_21[[#All],[UNIT TAG]], FALSE), 6)</f>
        <v>265</v>
      </c>
      <c r="U272" s="27">
        <f>INDEX(Schedule!$A$1:$N$2000, MATCH($C272, VAV_Schedule_5_21[[#All],[UNIT TAG]], FALSE), 5)</f>
        <v>1310</v>
      </c>
      <c r="V272" s="27">
        <f>INDEX(Schedule!$A$1:$N$2000, MATCH($C272, VAV_Schedule_5_21[[#All],[UNIT TAG]], FALSE), 6)</f>
        <v>265</v>
      </c>
      <c r="W272" s="27">
        <f>INDEX(Schedule!$A$1:$N$2000, MATCH($C272, VAV_Schedule_5_21[[#All],[UNIT TAG]], FALSE), 6)</f>
        <v>265</v>
      </c>
      <c r="X272" s="27">
        <f>INDEX(Schedule!$A$1:$N$2000, MATCH($C272, VAV_Schedule_5_21[[#All],[UNIT TAG]], FALSE), 6)</f>
        <v>265</v>
      </c>
      <c r="Y272" s="27">
        <f>INDEX(Schedule!$A$1:$N$2000, MATCH($C272, VAV_Schedule_5_21[[#All],[UNIT TAG]], FALSE), 6)</f>
        <v>265</v>
      </c>
      <c r="Z272" s="27">
        <f>INDEX(Schedule!$A$1:$N$2000, MATCH($C272, VAV_Schedule_5_21[[#All],[UNIT TAG]], FALSE), 6)</f>
        <v>265</v>
      </c>
      <c r="AA272" s="27">
        <v>1000</v>
      </c>
      <c r="AB272" s="27">
        <v>1100</v>
      </c>
      <c r="AC272">
        <v>1400</v>
      </c>
      <c r="AD272" s="29">
        <f>IF(INDEX(Schedule!$A$1:$N$2000, MATCH($C272, VAV_Schedule_5_21[[#All],[UNIT TAG]], FALSE), 7)="-", 0, INDEX(Schedule!$A$1:$N$2000, MATCH($C272, VAV_Schedule_5_21[[#All],[UNIT TAG]], FALSE), 7))</f>
        <v>0</v>
      </c>
      <c r="AE272" t="str">
        <f>"B_01'" &amp; "Flr_0" &amp; INDEX(Joined!$A$3:$M$2000, MATCH($A272, Joined!$I$3:$I$2000, FALSE), 8)</f>
        <v>B_01'Flr_07</v>
      </c>
      <c r="AF272" t="str">
        <f>"R_" &amp; INDEX(Joined!$A$3:$M$2000, MATCH($A272, Joined!$I$3:$I$2000, FALSE), 7)</f>
        <v>R_VAV-7E-27</v>
      </c>
      <c r="AG272" t="str">
        <f>"B_01'" &amp; "Flr_0" &amp; INDEX(Joined!$A$3:$M$2000, MATCH($A272, Joined!$I$3:$I$2000, FALSE), 8)</f>
        <v>B_01'Flr_07</v>
      </c>
      <c r="AH272" t="str">
        <f>INDEX(Joined!$A$3:$M$2000, MATCH($A272, Joined!$I$3:$I$2000, FALSE), 7)</f>
        <v>VAV-7E-27</v>
      </c>
      <c r="AI272" t="s">
        <v>1600</v>
      </c>
    </row>
    <row r="273" spans="1:35" x14ac:dyDescent="0.2">
      <c r="A273" t="s">
        <v>774</v>
      </c>
      <c r="B273" t="str">
        <f>"B_01'" &amp; "Flr_0" &amp; INDEX(Joined!$A$3:$M$2000, MATCH($A273, Joined!$I$3:$I$2000, FALSE), 8)</f>
        <v>B_01'Flr_07</v>
      </c>
      <c r="C273" t="str">
        <f>INDEX(Joined!$A$3:$M$2000, MATCH($A273, Joined!$I$3:$I$2000, FALSE), 7)</f>
        <v>VAV-7E-28</v>
      </c>
      <c r="D273">
        <f>INDEX(Joined!$A$3:$M$2000, MATCH($A273, Joined!$I$3:$I$2000, FALSE), 5)</f>
        <v>151716</v>
      </c>
      <c r="E273" t="str">
        <f>INDEX(Joined!$A$3:$M$2000, MATCH($A273, Joined!$I$3:$I$2000, FALSE), 7)</f>
        <v>VAV-7E-28</v>
      </c>
      <c r="F273" t="s">
        <v>38</v>
      </c>
      <c r="G273" t="str">
        <f>INDEX(Schedule!$Q$2:$R$7, MATCH(ABT!$H273,Schedule!$Q$2:$Q$7, 0), 2)</f>
        <v>15010_DXR_VAV_DXR2M12</v>
      </c>
      <c r="H273">
        <f>INDEX(Joined!$A$3:$M$2000, MATCH($A273, Joined!$I$3:$I$2000, FALSE), 6)</f>
        <v>15010</v>
      </c>
      <c r="I273" t="str">
        <f>INDEX(Joined!$A$3:$M$2000, MATCH($A273, Joined!$I$3:$I$2000, FALSE), 4)</f>
        <v>517</v>
      </c>
      <c r="J273" t="b">
        <v>0</v>
      </c>
      <c r="K273">
        <f>INDEX(Joined!$A$3:$M$2000, MATCH($A273, Joined!$I$3:$I$2000, FALSE), 3)</f>
        <v>16</v>
      </c>
      <c r="L273">
        <v>85</v>
      </c>
      <c r="M273">
        <v>38400</v>
      </c>
      <c r="N273" s="27">
        <f>PI()*(INDEX(Schedule!$A$1:$N$2000, MATCH($C273, VAV_Schedule_5_21[[#All],[UNIT TAG]], FALSE), 4)/2/12)^2</f>
        <v>0.78539816339744828</v>
      </c>
      <c r="O273" s="27">
        <f>INDEX(Schedule!$A$1:$N$2000, MATCH($C273, VAV_Schedule_5_21[[#All],[UNIT TAG]], FALSE), 4)</f>
        <v>12</v>
      </c>
      <c r="P273">
        <v>271.63</v>
      </c>
      <c r="Q273" s="27">
        <f>INDEX(Schedule!$A$1:$N$2000, MATCH($C273, VAV_Schedule_5_21[[#All],[UNIT TAG]], FALSE), 5)</f>
        <v>1510</v>
      </c>
      <c r="R273" s="27">
        <f>INDEX(Schedule!$A$1:$N$2000, MATCH($C273, VAV_Schedule_5_21[[#All],[UNIT TAG]], FALSE), 6)</f>
        <v>305</v>
      </c>
      <c r="S273" s="27">
        <f>INDEX(Schedule!$A$1:$N$2000, MATCH($C273, VAV_Schedule_5_21[[#All],[UNIT TAG]], FALSE), 5)</f>
        <v>1510</v>
      </c>
      <c r="T273" s="27">
        <f>INDEX(Schedule!$A$1:$N$2000, MATCH($C273, VAV_Schedule_5_21[[#All],[UNIT TAG]], FALSE), 6)</f>
        <v>305</v>
      </c>
      <c r="U273" s="27">
        <f>INDEX(Schedule!$A$1:$N$2000, MATCH($C273, VAV_Schedule_5_21[[#All],[UNIT TAG]], FALSE), 5)</f>
        <v>1510</v>
      </c>
      <c r="V273" s="27">
        <f>INDEX(Schedule!$A$1:$N$2000, MATCH($C273, VAV_Schedule_5_21[[#All],[UNIT TAG]], FALSE), 6)</f>
        <v>305</v>
      </c>
      <c r="W273" s="27">
        <f>INDEX(Schedule!$A$1:$N$2000, MATCH($C273, VAV_Schedule_5_21[[#All],[UNIT TAG]], FALSE), 6)</f>
        <v>305</v>
      </c>
      <c r="X273" s="27">
        <f>INDEX(Schedule!$A$1:$N$2000, MATCH($C273, VAV_Schedule_5_21[[#All],[UNIT TAG]], FALSE), 6)</f>
        <v>305</v>
      </c>
      <c r="Y273" s="27">
        <f>INDEX(Schedule!$A$1:$N$2000, MATCH($C273, VAV_Schedule_5_21[[#All],[UNIT TAG]], FALSE), 6)</f>
        <v>305</v>
      </c>
      <c r="Z273" s="27">
        <f>INDEX(Schedule!$A$1:$N$2000, MATCH($C273, VAV_Schedule_5_21[[#All],[UNIT TAG]], FALSE), 6)</f>
        <v>305</v>
      </c>
      <c r="AA273" s="27">
        <v>1000</v>
      </c>
      <c r="AB273" s="27">
        <v>1100</v>
      </c>
      <c r="AC273">
        <v>1400</v>
      </c>
      <c r="AD273" s="29">
        <f>IF(INDEX(Schedule!$A$1:$N$2000, MATCH($C273, VAV_Schedule_5_21[[#All],[UNIT TAG]], FALSE), 7)="-", 0, INDEX(Schedule!$A$1:$N$2000, MATCH($C273, VAV_Schedule_5_21[[#All],[UNIT TAG]], FALSE), 7))</f>
        <v>0</v>
      </c>
      <c r="AE273" t="str">
        <f>"B_01'" &amp; "Flr_0" &amp; INDEX(Joined!$A$3:$M$2000, MATCH($A273, Joined!$I$3:$I$2000, FALSE), 8)</f>
        <v>B_01'Flr_07</v>
      </c>
      <c r="AF273" t="str">
        <f>"R_" &amp; INDEX(Joined!$A$3:$M$2000, MATCH($A273, Joined!$I$3:$I$2000, FALSE), 7)</f>
        <v>R_VAV-7E-28</v>
      </c>
      <c r="AG273" t="str">
        <f>"B_01'" &amp; "Flr_0" &amp; INDEX(Joined!$A$3:$M$2000, MATCH($A273, Joined!$I$3:$I$2000, FALSE), 8)</f>
        <v>B_01'Flr_07</v>
      </c>
      <c r="AH273" t="str">
        <f>INDEX(Joined!$A$3:$M$2000, MATCH($A273, Joined!$I$3:$I$2000, FALSE), 7)</f>
        <v>VAV-7E-28</v>
      </c>
      <c r="AI273" t="s">
        <v>1601</v>
      </c>
    </row>
    <row r="274" spans="1:35" x14ac:dyDescent="0.2">
      <c r="A274" t="s">
        <v>775</v>
      </c>
      <c r="B274" t="str">
        <f>"B_01'" &amp; "Flr_0" &amp; INDEX(Joined!$A$3:$M$2000, MATCH($A274, Joined!$I$3:$I$2000, FALSE), 8)</f>
        <v>B_01'Flr_07</v>
      </c>
      <c r="C274" t="str">
        <f>INDEX(Joined!$A$3:$M$2000, MATCH($A274, Joined!$I$3:$I$2000, FALSE), 7)</f>
        <v>VAV-7E-29</v>
      </c>
      <c r="D274">
        <f>INDEX(Joined!$A$3:$M$2000, MATCH($A274, Joined!$I$3:$I$2000, FALSE), 5)</f>
        <v>151717</v>
      </c>
      <c r="E274" t="str">
        <f>INDEX(Joined!$A$3:$M$2000, MATCH($A274, Joined!$I$3:$I$2000, FALSE), 7)</f>
        <v>VAV-7E-29</v>
      </c>
      <c r="F274" t="s">
        <v>38</v>
      </c>
      <c r="G274" t="str">
        <f>INDEX(Schedule!$Q$2:$R$7, MATCH(ABT!$H274,Schedule!$Q$2:$Q$7, 0), 2)</f>
        <v>15010_DXR_VAV_DXR2M12</v>
      </c>
      <c r="H274">
        <f>INDEX(Joined!$A$3:$M$2000, MATCH($A274, Joined!$I$3:$I$2000, FALSE), 6)</f>
        <v>15010</v>
      </c>
      <c r="I274" t="str">
        <f>INDEX(Joined!$A$3:$M$2000, MATCH($A274, Joined!$I$3:$I$2000, FALSE), 4)</f>
        <v>517</v>
      </c>
      <c r="J274" t="b">
        <v>0</v>
      </c>
      <c r="K274">
        <f>INDEX(Joined!$A$3:$M$2000, MATCH($A274, Joined!$I$3:$I$2000, FALSE), 3)</f>
        <v>17</v>
      </c>
      <c r="L274">
        <v>85</v>
      </c>
      <c r="M274">
        <v>38400</v>
      </c>
      <c r="N274" s="27">
        <f>PI()*(INDEX(Schedule!$A$1:$N$2000, MATCH($C274, VAV_Schedule_5_21[[#All],[UNIT TAG]], FALSE), 4)/2/12)^2</f>
        <v>0.54541539124822802</v>
      </c>
      <c r="O274" s="27">
        <f>INDEX(Schedule!$A$1:$N$2000, MATCH($C274, VAV_Schedule_5_21[[#All],[UNIT TAG]], FALSE), 4)</f>
        <v>10</v>
      </c>
      <c r="P274">
        <v>272.63</v>
      </c>
      <c r="Q274" s="27">
        <f>INDEX(Schedule!$A$1:$N$2000, MATCH($C274, VAV_Schedule_5_21[[#All],[UNIT TAG]], FALSE), 5)</f>
        <v>925</v>
      </c>
      <c r="R274" s="27">
        <f>INDEX(Schedule!$A$1:$N$2000, MATCH($C274, VAV_Schedule_5_21[[#All],[UNIT TAG]], FALSE), 6)</f>
        <v>0</v>
      </c>
      <c r="S274" s="27">
        <f>INDEX(Schedule!$A$1:$N$2000, MATCH($C274, VAV_Schedule_5_21[[#All],[UNIT TAG]], FALSE), 5)</f>
        <v>925</v>
      </c>
      <c r="T274" s="27">
        <f>INDEX(Schedule!$A$1:$N$2000, MATCH($C274, VAV_Schedule_5_21[[#All],[UNIT TAG]], FALSE), 6)</f>
        <v>0</v>
      </c>
      <c r="U274" s="27">
        <f>INDEX(Schedule!$A$1:$N$2000, MATCH($C274, VAV_Schedule_5_21[[#All],[UNIT TAG]], FALSE), 5)</f>
        <v>925</v>
      </c>
      <c r="V274" s="27">
        <f>INDEX(Schedule!$A$1:$N$2000, MATCH($C274, VAV_Schedule_5_21[[#All],[UNIT TAG]], FALSE), 6)</f>
        <v>0</v>
      </c>
      <c r="W274" s="27">
        <f>INDEX(Schedule!$A$1:$N$2000, MATCH($C274, VAV_Schedule_5_21[[#All],[UNIT TAG]], FALSE), 6)</f>
        <v>0</v>
      </c>
      <c r="X274" s="27">
        <f>INDEX(Schedule!$A$1:$N$2000, MATCH($C274, VAV_Schedule_5_21[[#All],[UNIT TAG]], FALSE), 6)</f>
        <v>0</v>
      </c>
      <c r="Y274" s="27">
        <f>INDEX(Schedule!$A$1:$N$2000, MATCH($C274, VAV_Schedule_5_21[[#All],[UNIT TAG]], FALSE), 6)</f>
        <v>0</v>
      </c>
      <c r="Z274" s="27">
        <f>INDEX(Schedule!$A$1:$N$2000, MATCH($C274, VAV_Schedule_5_21[[#All],[UNIT TAG]], FALSE), 6)</f>
        <v>0</v>
      </c>
      <c r="AA274" s="27">
        <v>1000</v>
      </c>
      <c r="AB274" s="27">
        <v>1100</v>
      </c>
      <c r="AC274">
        <v>1400</v>
      </c>
      <c r="AD274" s="29">
        <f>IF(INDEX(Schedule!$A$1:$N$2000, MATCH($C274, VAV_Schedule_5_21[[#All],[UNIT TAG]], FALSE), 7)="-", 0, INDEX(Schedule!$A$1:$N$2000, MATCH($C274, VAV_Schedule_5_21[[#All],[UNIT TAG]], FALSE), 7))</f>
        <v>0</v>
      </c>
      <c r="AE274" t="str">
        <f>"B_01'" &amp; "Flr_0" &amp; INDEX(Joined!$A$3:$M$2000, MATCH($A274, Joined!$I$3:$I$2000, FALSE), 8)</f>
        <v>B_01'Flr_07</v>
      </c>
      <c r="AF274" t="str">
        <f>"R_" &amp; INDEX(Joined!$A$3:$M$2000, MATCH($A274, Joined!$I$3:$I$2000, FALSE), 7)</f>
        <v>R_VAV-7E-29</v>
      </c>
      <c r="AG274" t="str">
        <f>"B_01'" &amp; "Flr_0" &amp; INDEX(Joined!$A$3:$M$2000, MATCH($A274, Joined!$I$3:$I$2000, FALSE), 8)</f>
        <v>B_01'Flr_07</v>
      </c>
      <c r="AH274" t="str">
        <f>INDEX(Joined!$A$3:$M$2000, MATCH($A274, Joined!$I$3:$I$2000, FALSE), 7)</f>
        <v>VAV-7E-29</v>
      </c>
      <c r="AI274" t="s">
        <v>1602</v>
      </c>
    </row>
    <row r="275" spans="1:35" x14ac:dyDescent="0.2">
      <c r="A275" t="s">
        <v>776</v>
      </c>
      <c r="B275" t="str">
        <f>"B_01'" &amp; "Flr_0" &amp; INDEX(Joined!$A$3:$M$2000, MATCH($A275, Joined!$I$3:$I$2000, FALSE), 8)</f>
        <v>B_01'Flr_07</v>
      </c>
      <c r="C275" t="str">
        <f>INDEX(Joined!$A$3:$M$2000, MATCH($A275, Joined!$I$3:$I$2000, FALSE), 7)</f>
        <v>VAV-7E-30</v>
      </c>
      <c r="D275">
        <f>INDEX(Joined!$A$3:$M$2000, MATCH($A275, Joined!$I$3:$I$2000, FALSE), 5)</f>
        <v>151718</v>
      </c>
      <c r="E275" t="str">
        <f>INDEX(Joined!$A$3:$M$2000, MATCH($A275, Joined!$I$3:$I$2000, FALSE), 7)</f>
        <v>VAV-7E-30</v>
      </c>
      <c r="F275" t="s">
        <v>38</v>
      </c>
      <c r="G275" t="str">
        <f>INDEX(Schedule!$Q$2:$R$7, MATCH(ABT!$H275,Schedule!$Q$2:$Q$7, 0), 2)</f>
        <v>15011_DXR_VAV_DXR2M12</v>
      </c>
      <c r="H275">
        <f>INDEX(Joined!$A$3:$M$2000, MATCH($A275, Joined!$I$3:$I$2000, FALSE), 6)</f>
        <v>15011</v>
      </c>
      <c r="I275" t="str">
        <f>INDEX(Joined!$A$3:$M$2000, MATCH($A275, Joined!$I$3:$I$2000, FALSE), 4)</f>
        <v>517</v>
      </c>
      <c r="J275" t="b">
        <v>0</v>
      </c>
      <c r="K275">
        <f>INDEX(Joined!$A$3:$M$2000, MATCH($A275, Joined!$I$3:$I$2000, FALSE), 3)</f>
        <v>18</v>
      </c>
      <c r="L275">
        <v>85</v>
      </c>
      <c r="M275">
        <v>38400</v>
      </c>
      <c r="N275" s="27">
        <f>PI()*(INDEX(Schedule!$A$1:$N$2000, MATCH($C275, VAV_Schedule_5_21[[#All],[UNIT TAG]], FALSE), 4)/2/12)^2</f>
        <v>0.54541539124822802</v>
      </c>
      <c r="O275" s="27">
        <f>INDEX(Schedule!$A$1:$N$2000, MATCH($C275, VAV_Schedule_5_21[[#All],[UNIT TAG]], FALSE), 4)</f>
        <v>10</v>
      </c>
      <c r="P275">
        <v>273.63</v>
      </c>
      <c r="Q275" s="27">
        <f>INDEX(Schedule!$A$1:$N$2000, MATCH($C275, VAV_Schedule_5_21[[#All],[UNIT TAG]], FALSE), 5)</f>
        <v>800</v>
      </c>
      <c r="R275" s="27">
        <f>INDEX(Schedule!$A$1:$N$2000, MATCH($C275, VAV_Schedule_5_21[[#All],[UNIT TAG]], FALSE), 6)</f>
        <v>160</v>
      </c>
      <c r="S275" s="27">
        <f>INDEX(Schedule!$A$1:$N$2000, MATCH($C275, VAV_Schedule_5_21[[#All],[UNIT TAG]], FALSE), 5)</f>
        <v>800</v>
      </c>
      <c r="T275" s="27">
        <f>INDEX(Schedule!$A$1:$N$2000, MATCH($C275, VAV_Schedule_5_21[[#All],[UNIT TAG]], FALSE), 6)</f>
        <v>160</v>
      </c>
      <c r="U275" s="27">
        <f>INDEX(Schedule!$A$1:$N$2000, MATCH($C275, VAV_Schedule_5_21[[#All],[UNIT TAG]], FALSE), 5)</f>
        <v>800</v>
      </c>
      <c r="V275" s="27">
        <f>INDEX(Schedule!$A$1:$N$2000, MATCH($C275, VAV_Schedule_5_21[[#All],[UNIT TAG]], FALSE), 6)</f>
        <v>160</v>
      </c>
      <c r="W275" s="27">
        <f>INDEX(Schedule!$A$1:$N$2000, MATCH($C275, VAV_Schedule_5_21[[#All],[UNIT TAG]], FALSE), 6)</f>
        <v>160</v>
      </c>
      <c r="X275" s="27">
        <f>INDEX(Schedule!$A$1:$N$2000, MATCH($C275, VAV_Schedule_5_21[[#All],[UNIT TAG]], FALSE), 6)</f>
        <v>160</v>
      </c>
      <c r="Y275" s="27">
        <f>INDEX(Schedule!$A$1:$N$2000, MATCH($C275, VAV_Schedule_5_21[[#All],[UNIT TAG]], FALSE), 6)</f>
        <v>160</v>
      </c>
      <c r="Z275" s="27">
        <f>INDEX(Schedule!$A$1:$N$2000, MATCH($C275, VAV_Schedule_5_21[[#All],[UNIT TAG]], FALSE), 6)</f>
        <v>160</v>
      </c>
      <c r="AA275" s="27">
        <v>1000</v>
      </c>
      <c r="AB275" s="27">
        <v>1100</v>
      </c>
      <c r="AC275">
        <v>1400</v>
      </c>
      <c r="AD275" s="29" t="str">
        <f>IF(INDEX(Schedule!$A$1:$N$2000, MATCH($C275, VAV_Schedule_5_21[[#All],[UNIT TAG]], FALSE), 7)="-", 0, INDEX(Schedule!$A$1:$N$2000, MATCH($C275, VAV_Schedule_5_21[[#All],[UNIT TAG]], FALSE), 7))</f>
        <v>8</v>
      </c>
      <c r="AE275" t="str">
        <f>"B_01'" &amp; "Flr_0" &amp; INDEX(Joined!$A$3:$M$2000, MATCH($A275, Joined!$I$3:$I$2000, FALSE), 8)</f>
        <v>B_01'Flr_07</v>
      </c>
      <c r="AF275" t="str">
        <f>"R_" &amp; INDEX(Joined!$A$3:$M$2000, MATCH($A275, Joined!$I$3:$I$2000, FALSE), 7)</f>
        <v>R_VAV-7E-30</v>
      </c>
      <c r="AG275" t="str">
        <f>"B_01'" &amp; "Flr_0" &amp; INDEX(Joined!$A$3:$M$2000, MATCH($A275, Joined!$I$3:$I$2000, FALSE), 8)</f>
        <v>B_01'Flr_07</v>
      </c>
      <c r="AH275" t="str">
        <f>INDEX(Joined!$A$3:$M$2000, MATCH($A275, Joined!$I$3:$I$2000, FALSE), 7)</f>
        <v>VAV-7E-30</v>
      </c>
      <c r="AI275" t="s">
        <v>1603</v>
      </c>
    </row>
    <row r="276" spans="1:35" x14ac:dyDescent="0.2">
      <c r="A276" t="s">
        <v>777</v>
      </c>
      <c r="B276" t="str">
        <f>"B_01'" &amp; "Flr_0" &amp; INDEX(Joined!$A$3:$M$2000, MATCH($A276, Joined!$I$3:$I$2000, FALSE), 8)</f>
        <v>B_01'Flr_07</v>
      </c>
      <c r="C276" t="str">
        <f>INDEX(Joined!$A$3:$M$2000, MATCH($A276, Joined!$I$3:$I$2000, FALSE), 7)</f>
        <v>VAV-7E-31</v>
      </c>
      <c r="D276">
        <f>INDEX(Joined!$A$3:$M$2000, MATCH($A276, Joined!$I$3:$I$2000, FALSE), 5)</f>
        <v>151719</v>
      </c>
      <c r="E276" t="str">
        <f>INDEX(Joined!$A$3:$M$2000, MATCH($A276, Joined!$I$3:$I$2000, FALSE), 7)</f>
        <v>VAV-7E-31</v>
      </c>
      <c r="F276" t="s">
        <v>38</v>
      </c>
      <c r="G276" t="str">
        <f>INDEX(Schedule!$Q$2:$R$7, MATCH(ABT!$H276,Schedule!$Q$2:$Q$7, 0), 2)</f>
        <v>15011_DXR_VAV_DXR2M12</v>
      </c>
      <c r="H276">
        <f>INDEX(Joined!$A$3:$M$2000, MATCH($A276, Joined!$I$3:$I$2000, FALSE), 6)</f>
        <v>15011</v>
      </c>
      <c r="I276" t="str">
        <f>INDEX(Joined!$A$3:$M$2000, MATCH($A276, Joined!$I$3:$I$2000, FALSE), 4)</f>
        <v>517</v>
      </c>
      <c r="J276" t="b">
        <v>0</v>
      </c>
      <c r="K276">
        <f>INDEX(Joined!$A$3:$M$2000, MATCH($A276, Joined!$I$3:$I$2000, FALSE), 3)</f>
        <v>19</v>
      </c>
      <c r="L276">
        <v>85</v>
      </c>
      <c r="M276">
        <v>38400</v>
      </c>
      <c r="N276" s="27">
        <f>PI()*(INDEX(Schedule!$A$1:$N$2000, MATCH($C276, VAV_Schedule_5_21[[#All],[UNIT TAG]], FALSE), 4)/2/12)^2</f>
        <v>0.78539816339744828</v>
      </c>
      <c r="O276" s="27">
        <f>INDEX(Schedule!$A$1:$N$2000, MATCH($C276, VAV_Schedule_5_21[[#All],[UNIT TAG]], FALSE), 4)</f>
        <v>12</v>
      </c>
      <c r="P276">
        <v>274.63</v>
      </c>
      <c r="Q276" s="27">
        <f>INDEX(Schedule!$A$1:$N$2000, MATCH($C276, VAV_Schedule_5_21[[#All],[UNIT TAG]], FALSE), 5)</f>
        <v>1400</v>
      </c>
      <c r="R276" s="27">
        <f>INDEX(Schedule!$A$1:$N$2000, MATCH($C276, VAV_Schedule_5_21[[#All],[UNIT TAG]], FALSE), 6)</f>
        <v>280</v>
      </c>
      <c r="S276" s="27">
        <f>INDEX(Schedule!$A$1:$N$2000, MATCH($C276, VAV_Schedule_5_21[[#All],[UNIT TAG]], FALSE), 5)</f>
        <v>1400</v>
      </c>
      <c r="T276" s="27">
        <f>INDEX(Schedule!$A$1:$N$2000, MATCH($C276, VAV_Schedule_5_21[[#All],[UNIT TAG]], FALSE), 6)</f>
        <v>280</v>
      </c>
      <c r="U276" s="27">
        <f>INDEX(Schedule!$A$1:$N$2000, MATCH($C276, VAV_Schedule_5_21[[#All],[UNIT TAG]], FALSE), 5)</f>
        <v>1400</v>
      </c>
      <c r="V276" s="27">
        <f>INDEX(Schedule!$A$1:$N$2000, MATCH($C276, VAV_Schedule_5_21[[#All],[UNIT TAG]], FALSE), 6)</f>
        <v>280</v>
      </c>
      <c r="W276" s="27">
        <f>INDEX(Schedule!$A$1:$N$2000, MATCH($C276, VAV_Schedule_5_21[[#All],[UNIT TAG]], FALSE), 6)</f>
        <v>280</v>
      </c>
      <c r="X276" s="27">
        <f>INDEX(Schedule!$A$1:$N$2000, MATCH($C276, VAV_Schedule_5_21[[#All],[UNIT TAG]], FALSE), 6)</f>
        <v>280</v>
      </c>
      <c r="Y276" s="27">
        <f>INDEX(Schedule!$A$1:$N$2000, MATCH($C276, VAV_Schedule_5_21[[#All],[UNIT TAG]], FALSE), 6)</f>
        <v>280</v>
      </c>
      <c r="Z276" s="27">
        <f>INDEX(Schedule!$A$1:$N$2000, MATCH($C276, VAV_Schedule_5_21[[#All],[UNIT TAG]], FALSE), 6)</f>
        <v>280</v>
      </c>
      <c r="AA276" s="27">
        <v>1000</v>
      </c>
      <c r="AB276" s="27">
        <v>1100</v>
      </c>
      <c r="AC276">
        <v>1400</v>
      </c>
      <c r="AD276" s="29" t="str">
        <f>IF(INDEX(Schedule!$A$1:$N$2000, MATCH($C276, VAV_Schedule_5_21[[#All],[UNIT TAG]], FALSE), 7)="-", 0, INDEX(Schedule!$A$1:$N$2000, MATCH($C276, VAV_Schedule_5_21[[#All],[UNIT TAG]], FALSE), 7))</f>
        <v>8</v>
      </c>
      <c r="AE276" t="str">
        <f>"B_01'" &amp; "Flr_0" &amp; INDEX(Joined!$A$3:$M$2000, MATCH($A276, Joined!$I$3:$I$2000, FALSE), 8)</f>
        <v>B_01'Flr_07</v>
      </c>
      <c r="AF276" t="str">
        <f>"R_" &amp; INDEX(Joined!$A$3:$M$2000, MATCH($A276, Joined!$I$3:$I$2000, FALSE), 7)</f>
        <v>R_VAV-7E-31</v>
      </c>
      <c r="AG276" t="str">
        <f>"B_01'" &amp; "Flr_0" &amp; INDEX(Joined!$A$3:$M$2000, MATCH($A276, Joined!$I$3:$I$2000, FALSE), 8)</f>
        <v>B_01'Flr_07</v>
      </c>
      <c r="AH276" t="str">
        <f>INDEX(Joined!$A$3:$M$2000, MATCH($A276, Joined!$I$3:$I$2000, FALSE), 7)</f>
        <v>VAV-7E-31</v>
      </c>
      <c r="AI276" t="s">
        <v>1604</v>
      </c>
    </row>
    <row r="277" spans="1:35" x14ac:dyDescent="0.2">
      <c r="A277" t="s">
        <v>756</v>
      </c>
      <c r="B277" t="str">
        <f>"B_01'" &amp; "Flr_0" &amp; INDEX(Joined!$A$3:$M$2000, MATCH($A277, Joined!$I$3:$I$2000, FALSE), 8)</f>
        <v>B_01'Flr_07</v>
      </c>
      <c r="C277" t="str">
        <f>INDEX(Joined!$A$3:$M$2000, MATCH($A277, Joined!$I$3:$I$2000, FALSE), 7)</f>
        <v>VAV-7N-10</v>
      </c>
      <c r="D277">
        <f>INDEX(Joined!$A$3:$M$2000, MATCH($A277, Joined!$I$3:$I$2000, FALSE), 5)</f>
        <v>151607</v>
      </c>
      <c r="E277" t="str">
        <f>INDEX(Joined!$A$3:$M$2000, MATCH($A277, Joined!$I$3:$I$2000, FALSE), 7)</f>
        <v>VAV-7N-10</v>
      </c>
      <c r="F277" t="s">
        <v>38</v>
      </c>
      <c r="G277" t="str">
        <f>INDEX(Schedule!$Q$2:$R$7, MATCH(ABT!$H277,Schedule!$Q$2:$Q$7, 0), 2)</f>
        <v>15010_DXR_VAV_DXR2M12</v>
      </c>
      <c r="H277">
        <f>INDEX(Joined!$A$3:$M$2000, MATCH($A277, Joined!$I$3:$I$2000, FALSE), 6)</f>
        <v>15010</v>
      </c>
      <c r="I277" t="str">
        <f>INDEX(Joined!$A$3:$M$2000, MATCH($A277, Joined!$I$3:$I$2000, FALSE), 4)</f>
        <v>516</v>
      </c>
      <c r="J277" t="b">
        <v>0</v>
      </c>
      <c r="K277">
        <f>INDEX(Joined!$A$3:$M$2000, MATCH($A277, Joined!$I$3:$I$2000, FALSE), 3)</f>
        <v>7</v>
      </c>
      <c r="L277">
        <v>85</v>
      </c>
      <c r="M277">
        <v>38400</v>
      </c>
      <c r="N277" s="27">
        <f>PI()*(INDEX(Schedule!$A$1:$N$2000, MATCH($C277, VAV_Schedule_5_21[[#All],[UNIT TAG]], FALSE), 4)/2/12)^2</f>
        <v>0.78539816339744828</v>
      </c>
      <c r="O277" s="27">
        <f>INDEX(Schedule!$A$1:$N$2000, MATCH($C277, VAV_Schedule_5_21[[#All],[UNIT TAG]], FALSE), 4)</f>
        <v>12</v>
      </c>
      <c r="P277">
        <v>275.63</v>
      </c>
      <c r="Q277" s="27">
        <f>INDEX(Schedule!$A$1:$N$2000, MATCH($C277, VAV_Schedule_5_21[[#All],[UNIT TAG]], FALSE), 5)</f>
        <v>1310</v>
      </c>
      <c r="R277" s="27">
        <f>INDEX(Schedule!$A$1:$N$2000, MATCH($C277, VAV_Schedule_5_21[[#All],[UNIT TAG]], FALSE), 6)</f>
        <v>265</v>
      </c>
      <c r="S277" s="27">
        <f>INDEX(Schedule!$A$1:$N$2000, MATCH($C277, VAV_Schedule_5_21[[#All],[UNIT TAG]], FALSE), 5)</f>
        <v>1310</v>
      </c>
      <c r="T277" s="27">
        <f>INDEX(Schedule!$A$1:$N$2000, MATCH($C277, VAV_Schedule_5_21[[#All],[UNIT TAG]], FALSE), 6)</f>
        <v>265</v>
      </c>
      <c r="U277" s="27">
        <f>INDEX(Schedule!$A$1:$N$2000, MATCH($C277, VAV_Schedule_5_21[[#All],[UNIT TAG]], FALSE), 5)</f>
        <v>1310</v>
      </c>
      <c r="V277" s="27">
        <f>INDEX(Schedule!$A$1:$N$2000, MATCH($C277, VAV_Schedule_5_21[[#All],[UNIT TAG]], FALSE), 6)</f>
        <v>265</v>
      </c>
      <c r="W277" s="27">
        <f>INDEX(Schedule!$A$1:$N$2000, MATCH($C277, VAV_Schedule_5_21[[#All],[UNIT TAG]], FALSE), 6)</f>
        <v>265</v>
      </c>
      <c r="X277" s="27">
        <f>INDEX(Schedule!$A$1:$N$2000, MATCH($C277, VAV_Schedule_5_21[[#All],[UNIT TAG]], FALSE), 6)</f>
        <v>265</v>
      </c>
      <c r="Y277" s="27">
        <f>INDEX(Schedule!$A$1:$N$2000, MATCH($C277, VAV_Schedule_5_21[[#All],[UNIT TAG]], FALSE), 6)</f>
        <v>265</v>
      </c>
      <c r="Z277" s="27">
        <f>INDEX(Schedule!$A$1:$N$2000, MATCH($C277, VAV_Schedule_5_21[[#All],[UNIT TAG]], FALSE), 6)</f>
        <v>265</v>
      </c>
      <c r="AA277" s="27">
        <v>1000</v>
      </c>
      <c r="AB277" s="27">
        <v>1100</v>
      </c>
      <c r="AC277">
        <v>1400</v>
      </c>
      <c r="AD277" s="29">
        <f>IF(INDEX(Schedule!$A$1:$N$2000, MATCH($C277, VAV_Schedule_5_21[[#All],[UNIT TAG]], FALSE), 7)="-", 0, INDEX(Schedule!$A$1:$N$2000, MATCH($C277, VAV_Schedule_5_21[[#All],[UNIT TAG]], FALSE), 7))</f>
        <v>0</v>
      </c>
      <c r="AE277" t="str">
        <f>"B_01'" &amp; "Flr_0" &amp; INDEX(Joined!$A$3:$M$2000, MATCH($A277, Joined!$I$3:$I$2000, FALSE), 8)</f>
        <v>B_01'Flr_07</v>
      </c>
      <c r="AF277" t="str">
        <f>"R_" &amp; INDEX(Joined!$A$3:$M$2000, MATCH($A277, Joined!$I$3:$I$2000, FALSE), 7)</f>
        <v>R_VAV-7N-10</v>
      </c>
      <c r="AG277" t="str">
        <f>"B_01'" &amp; "Flr_0" &amp; INDEX(Joined!$A$3:$M$2000, MATCH($A277, Joined!$I$3:$I$2000, FALSE), 8)</f>
        <v>B_01'Flr_07</v>
      </c>
      <c r="AH277" t="str">
        <f>INDEX(Joined!$A$3:$M$2000, MATCH($A277, Joined!$I$3:$I$2000, FALSE), 7)</f>
        <v>VAV-7N-10</v>
      </c>
      <c r="AI277" t="s">
        <v>1605</v>
      </c>
    </row>
    <row r="278" spans="1:35" x14ac:dyDescent="0.2">
      <c r="A278" t="s">
        <v>757</v>
      </c>
      <c r="B278" t="str">
        <f>"B_01'" &amp; "Flr_0" &amp; INDEX(Joined!$A$3:$M$2000, MATCH($A278, Joined!$I$3:$I$2000, FALSE), 8)</f>
        <v>B_01'Flr_07</v>
      </c>
      <c r="C278" t="str">
        <f>INDEX(Joined!$A$3:$M$2000, MATCH($A278, Joined!$I$3:$I$2000, FALSE), 7)</f>
        <v>VAV-7N-11</v>
      </c>
      <c r="D278">
        <f>INDEX(Joined!$A$3:$M$2000, MATCH($A278, Joined!$I$3:$I$2000, FALSE), 5)</f>
        <v>151608</v>
      </c>
      <c r="E278" t="str">
        <f>INDEX(Joined!$A$3:$M$2000, MATCH($A278, Joined!$I$3:$I$2000, FALSE), 7)</f>
        <v>VAV-7N-11</v>
      </c>
      <c r="F278" t="s">
        <v>38</v>
      </c>
      <c r="G278" t="str">
        <f>INDEX(Schedule!$Q$2:$R$7, MATCH(ABT!$H278,Schedule!$Q$2:$Q$7, 0), 2)</f>
        <v>15010_DXR_VAV_DXR2M12</v>
      </c>
      <c r="H278">
        <f>INDEX(Joined!$A$3:$M$2000, MATCH($A278, Joined!$I$3:$I$2000, FALSE), 6)</f>
        <v>15010</v>
      </c>
      <c r="I278" t="str">
        <f>INDEX(Joined!$A$3:$M$2000, MATCH($A278, Joined!$I$3:$I$2000, FALSE), 4)</f>
        <v>516</v>
      </c>
      <c r="J278" t="b">
        <v>0</v>
      </c>
      <c r="K278">
        <f>INDEX(Joined!$A$3:$M$2000, MATCH($A278, Joined!$I$3:$I$2000, FALSE), 3)</f>
        <v>8</v>
      </c>
      <c r="L278">
        <v>85</v>
      </c>
      <c r="M278">
        <v>38400</v>
      </c>
      <c r="N278" s="27">
        <f>PI()*(INDEX(Schedule!$A$1:$N$2000, MATCH($C278, VAV_Schedule_5_21[[#All],[UNIT TAG]], FALSE), 4)/2/12)^2</f>
        <v>0.78539816339744828</v>
      </c>
      <c r="O278" s="27">
        <f>INDEX(Schedule!$A$1:$N$2000, MATCH($C278, VAV_Schedule_5_21[[#All],[UNIT TAG]], FALSE), 4)</f>
        <v>12</v>
      </c>
      <c r="P278">
        <v>276.63</v>
      </c>
      <c r="Q278" s="27">
        <f>INDEX(Schedule!$A$1:$N$2000, MATCH($C278, VAV_Schedule_5_21[[#All],[UNIT TAG]], FALSE), 5)</f>
        <v>1385</v>
      </c>
      <c r="R278" s="27">
        <f>INDEX(Schedule!$A$1:$N$2000, MATCH($C278, VAV_Schedule_5_21[[#All],[UNIT TAG]], FALSE), 6)</f>
        <v>280</v>
      </c>
      <c r="S278" s="27">
        <f>INDEX(Schedule!$A$1:$N$2000, MATCH($C278, VAV_Schedule_5_21[[#All],[UNIT TAG]], FALSE), 5)</f>
        <v>1385</v>
      </c>
      <c r="T278" s="27">
        <f>INDEX(Schedule!$A$1:$N$2000, MATCH($C278, VAV_Schedule_5_21[[#All],[UNIT TAG]], FALSE), 6)</f>
        <v>280</v>
      </c>
      <c r="U278" s="27">
        <f>INDEX(Schedule!$A$1:$N$2000, MATCH($C278, VAV_Schedule_5_21[[#All],[UNIT TAG]], FALSE), 5)</f>
        <v>1385</v>
      </c>
      <c r="V278" s="27">
        <f>INDEX(Schedule!$A$1:$N$2000, MATCH($C278, VAV_Schedule_5_21[[#All],[UNIT TAG]], FALSE), 6)</f>
        <v>280</v>
      </c>
      <c r="W278" s="27">
        <f>INDEX(Schedule!$A$1:$N$2000, MATCH($C278, VAV_Schedule_5_21[[#All],[UNIT TAG]], FALSE), 6)</f>
        <v>280</v>
      </c>
      <c r="X278" s="27">
        <f>INDEX(Schedule!$A$1:$N$2000, MATCH($C278, VAV_Schedule_5_21[[#All],[UNIT TAG]], FALSE), 6)</f>
        <v>280</v>
      </c>
      <c r="Y278" s="27">
        <f>INDEX(Schedule!$A$1:$N$2000, MATCH($C278, VAV_Schedule_5_21[[#All],[UNIT TAG]], FALSE), 6)</f>
        <v>280</v>
      </c>
      <c r="Z278" s="27">
        <f>INDEX(Schedule!$A$1:$N$2000, MATCH($C278, VAV_Schedule_5_21[[#All],[UNIT TAG]], FALSE), 6)</f>
        <v>280</v>
      </c>
      <c r="AA278" s="27">
        <v>1000</v>
      </c>
      <c r="AB278" s="27">
        <v>1100</v>
      </c>
      <c r="AC278">
        <v>1400</v>
      </c>
      <c r="AD278" s="29">
        <f>IF(INDEX(Schedule!$A$1:$N$2000, MATCH($C278, VAV_Schedule_5_21[[#All],[UNIT TAG]], FALSE), 7)="-", 0, INDEX(Schedule!$A$1:$N$2000, MATCH($C278, VAV_Schedule_5_21[[#All],[UNIT TAG]], FALSE), 7))</f>
        <v>0</v>
      </c>
      <c r="AE278" t="str">
        <f>"B_01'" &amp; "Flr_0" &amp; INDEX(Joined!$A$3:$M$2000, MATCH($A278, Joined!$I$3:$I$2000, FALSE), 8)</f>
        <v>B_01'Flr_07</v>
      </c>
      <c r="AF278" t="str">
        <f>"R_" &amp; INDEX(Joined!$A$3:$M$2000, MATCH($A278, Joined!$I$3:$I$2000, FALSE), 7)</f>
        <v>R_VAV-7N-11</v>
      </c>
      <c r="AG278" t="str">
        <f>"B_01'" &amp; "Flr_0" &amp; INDEX(Joined!$A$3:$M$2000, MATCH($A278, Joined!$I$3:$I$2000, FALSE), 8)</f>
        <v>B_01'Flr_07</v>
      </c>
      <c r="AH278" t="str">
        <f>INDEX(Joined!$A$3:$M$2000, MATCH($A278, Joined!$I$3:$I$2000, FALSE), 7)</f>
        <v>VAV-7N-11</v>
      </c>
      <c r="AI278" t="s">
        <v>1606</v>
      </c>
    </row>
    <row r="279" spans="1:35" x14ac:dyDescent="0.2">
      <c r="A279" t="s">
        <v>758</v>
      </c>
      <c r="B279" t="str">
        <f>"B_01'" &amp; "Flr_0" &amp; INDEX(Joined!$A$3:$M$2000, MATCH($A279, Joined!$I$3:$I$2000, FALSE), 8)</f>
        <v>B_01'Flr_07</v>
      </c>
      <c r="C279" t="str">
        <f>INDEX(Joined!$A$3:$M$2000, MATCH($A279, Joined!$I$3:$I$2000, FALSE), 7)</f>
        <v>VAV-7N-12</v>
      </c>
      <c r="D279">
        <f>INDEX(Joined!$A$3:$M$2000, MATCH($A279, Joined!$I$3:$I$2000, FALSE), 5)</f>
        <v>151609</v>
      </c>
      <c r="E279" t="str">
        <f>INDEX(Joined!$A$3:$M$2000, MATCH($A279, Joined!$I$3:$I$2000, FALSE), 7)</f>
        <v>VAV-7N-12</v>
      </c>
      <c r="F279" t="s">
        <v>38</v>
      </c>
      <c r="G279" t="str">
        <f>INDEX(Schedule!$Q$2:$R$7, MATCH(ABT!$H279,Schedule!$Q$2:$Q$7, 0), 2)</f>
        <v>15010_DXR_VAV_DXR2M12</v>
      </c>
      <c r="H279">
        <f>INDEX(Joined!$A$3:$M$2000, MATCH($A279, Joined!$I$3:$I$2000, FALSE), 6)</f>
        <v>15010</v>
      </c>
      <c r="I279" t="str">
        <f>INDEX(Joined!$A$3:$M$2000, MATCH($A279, Joined!$I$3:$I$2000, FALSE), 4)</f>
        <v>516</v>
      </c>
      <c r="J279" t="b">
        <v>0</v>
      </c>
      <c r="K279">
        <f>INDEX(Joined!$A$3:$M$2000, MATCH($A279, Joined!$I$3:$I$2000, FALSE), 3)</f>
        <v>9</v>
      </c>
      <c r="L279">
        <v>85</v>
      </c>
      <c r="M279">
        <v>38400</v>
      </c>
      <c r="N279" s="27">
        <f>PI()*(INDEX(Schedule!$A$1:$N$2000, MATCH($C279, VAV_Schedule_5_21[[#All],[UNIT TAG]], FALSE), 4)/2/12)^2</f>
        <v>0.54541539124822802</v>
      </c>
      <c r="O279" s="27">
        <f>INDEX(Schedule!$A$1:$N$2000, MATCH($C279, VAV_Schedule_5_21[[#All],[UNIT TAG]], FALSE), 4)</f>
        <v>10</v>
      </c>
      <c r="P279">
        <v>277.63</v>
      </c>
      <c r="Q279" s="27">
        <f>INDEX(Schedule!$A$1:$N$2000, MATCH($C279, VAV_Schedule_5_21[[#All],[UNIT TAG]], FALSE), 5)</f>
        <v>1035</v>
      </c>
      <c r="R279" s="27">
        <f>INDEX(Schedule!$A$1:$N$2000, MATCH($C279, VAV_Schedule_5_21[[#All],[UNIT TAG]], FALSE), 6)</f>
        <v>210</v>
      </c>
      <c r="S279" s="27">
        <f>INDEX(Schedule!$A$1:$N$2000, MATCH($C279, VAV_Schedule_5_21[[#All],[UNIT TAG]], FALSE), 5)</f>
        <v>1035</v>
      </c>
      <c r="T279" s="27">
        <f>INDEX(Schedule!$A$1:$N$2000, MATCH($C279, VAV_Schedule_5_21[[#All],[UNIT TAG]], FALSE), 6)</f>
        <v>210</v>
      </c>
      <c r="U279" s="27">
        <f>INDEX(Schedule!$A$1:$N$2000, MATCH($C279, VAV_Schedule_5_21[[#All],[UNIT TAG]], FALSE), 5)</f>
        <v>1035</v>
      </c>
      <c r="V279" s="27">
        <f>INDEX(Schedule!$A$1:$N$2000, MATCH($C279, VAV_Schedule_5_21[[#All],[UNIT TAG]], FALSE), 6)</f>
        <v>210</v>
      </c>
      <c r="W279" s="27">
        <f>INDEX(Schedule!$A$1:$N$2000, MATCH($C279, VAV_Schedule_5_21[[#All],[UNIT TAG]], FALSE), 6)</f>
        <v>210</v>
      </c>
      <c r="X279" s="27">
        <f>INDEX(Schedule!$A$1:$N$2000, MATCH($C279, VAV_Schedule_5_21[[#All],[UNIT TAG]], FALSE), 6)</f>
        <v>210</v>
      </c>
      <c r="Y279" s="27">
        <f>INDEX(Schedule!$A$1:$N$2000, MATCH($C279, VAV_Schedule_5_21[[#All],[UNIT TAG]], FALSE), 6)</f>
        <v>210</v>
      </c>
      <c r="Z279" s="27">
        <f>INDEX(Schedule!$A$1:$N$2000, MATCH($C279, VAV_Schedule_5_21[[#All],[UNIT TAG]], FALSE), 6)</f>
        <v>210</v>
      </c>
      <c r="AA279" s="27">
        <v>1000</v>
      </c>
      <c r="AB279" s="27">
        <v>1100</v>
      </c>
      <c r="AC279">
        <v>1400</v>
      </c>
      <c r="AD279" s="29">
        <f>IF(INDEX(Schedule!$A$1:$N$2000, MATCH($C279, VAV_Schedule_5_21[[#All],[UNIT TAG]], FALSE), 7)="-", 0, INDEX(Schedule!$A$1:$N$2000, MATCH($C279, VAV_Schedule_5_21[[#All],[UNIT TAG]], FALSE), 7))</f>
        <v>0</v>
      </c>
      <c r="AE279" t="str">
        <f>"B_01'" &amp; "Flr_0" &amp; INDEX(Joined!$A$3:$M$2000, MATCH($A279, Joined!$I$3:$I$2000, FALSE), 8)</f>
        <v>B_01'Flr_07</v>
      </c>
      <c r="AF279" t="str">
        <f>"R_" &amp; INDEX(Joined!$A$3:$M$2000, MATCH($A279, Joined!$I$3:$I$2000, FALSE), 7)</f>
        <v>R_VAV-7N-12</v>
      </c>
      <c r="AG279" t="str">
        <f>"B_01'" &amp; "Flr_0" &amp; INDEX(Joined!$A$3:$M$2000, MATCH($A279, Joined!$I$3:$I$2000, FALSE), 8)</f>
        <v>B_01'Flr_07</v>
      </c>
      <c r="AH279" t="str">
        <f>INDEX(Joined!$A$3:$M$2000, MATCH($A279, Joined!$I$3:$I$2000, FALSE), 7)</f>
        <v>VAV-7N-12</v>
      </c>
      <c r="AI279" t="s">
        <v>1607</v>
      </c>
    </row>
    <row r="280" spans="1:35" x14ac:dyDescent="0.2">
      <c r="A280" t="s">
        <v>750</v>
      </c>
      <c r="B280" t="str">
        <f>"B_01'" &amp; "Flr_0" &amp; INDEX(Joined!$A$3:$M$2000, MATCH($A280, Joined!$I$3:$I$2000, FALSE), 8)</f>
        <v>B_01'Flr_07</v>
      </c>
      <c r="C280" t="str">
        <f>INDEX(Joined!$A$3:$M$2000, MATCH($A280, Joined!$I$3:$I$2000, FALSE), 7)</f>
        <v>VAV-7N-5</v>
      </c>
      <c r="D280">
        <f>INDEX(Joined!$A$3:$M$2000, MATCH($A280, Joined!$I$3:$I$2000, FALSE), 5)</f>
        <v>151601</v>
      </c>
      <c r="E280" t="str">
        <f>INDEX(Joined!$A$3:$M$2000, MATCH($A280, Joined!$I$3:$I$2000, FALSE), 7)</f>
        <v>VAV-7N-5</v>
      </c>
      <c r="F280" t="s">
        <v>38</v>
      </c>
      <c r="G280" t="str">
        <f>INDEX(Schedule!$Q$2:$R$7, MATCH(ABT!$H280,Schedule!$Q$2:$Q$7, 0), 2)</f>
        <v>15010_DXR_VAV_DXR2M12</v>
      </c>
      <c r="H280">
        <f>INDEX(Joined!$A$3:$M$2000, MATCH($A280, Joined!$I$3:$I$2000, FALSE), 6)</f>
        <v>15010</v>
      </c>
      <c r="I280" t="str">
        <f>INDEX(Joined!$A$3:$M$2000, MATCH($A280, Joined!$I$3:$I$2000, FALSE), 4)</f>
        <v>516</v>
      </c>
      <c r="J280" t="b">
        <v>0</v>
      </c>
      <c r="K280">
        <f>INDEX(Joined!$A$3:$M$2000, MATCH($A280, Joined!$I$3:$I$2000, FALSE), 3)</f>
        <v>1</v>
      </c>
      <c r="L280">
        <v>85</v>
      </c>
      <c r="M280">
        <v>38400</v>
      </c>
      <c r="N280" s="27">
        <f>PI()*(INDEX(Schedule!$A$1:$N$2000, MATCH($C280, VAV_Schedule_5_21[[#All],[UNIT TAG]], FALSE), 4)/2/12)^2</f>
        <v>0.78539816339744828</v>
      </c>
      <c r="O280" s="27">
        <f>INDEX(Schedule!$A$1:$N$2000, MATCH($C280, VAV_Schedule_5_21[[#All],[UNIT TAG]], FALSE), 4)</f>
        <v>12</v>
      </c>
      <c r="P280">
        <v>278.63</v>
      </c>
      <c r="Q280" s="27">
        <f>INDEX(Schedule!$A$1:$N$2000, MATCH($C280, VAV_Schedule_5_21[[#All],[UNIT TAG]], FALSE), 5)</f>
        <v>1200</v>
      </c>
      <c r="R280" s="27">
        <f>INDEX(Schedule!$A$1:$N$2000, MATCH($C280, VAV_Schedule_5_21[[#All],[UNIT TAG]], FALSE), 6)</f>
        <v>240</v>
      </c>
      <c r="S280" s="27">
        <f>INDEX(Schedule!$A$1:$N$2000, MATCH($C280, VAV_Schedule_5_21[[#All],[UNIT TAG]], FALSE), 5)</f>
        <v>1200</v>
      </c>
      <c r="T280" s="27">
        <f>INDEX(Schedule!$A$1:$N$2000, MATCH($C280, VAV_Schedule_5_21[[#All],[UNIT TAG]], FALSE), 6)</f>
        <v>240</v>
      </c>
      <c r="U280" s="27">
        <f>INDEX(Schedule!$A$1:$N$2000, MATCH($C280, VAV_Schedule_5_21[[#All],[UNIT TAG]], FALSE), 5)</f>
        <v>1200</v>
      </c>
      <c r="V280" s="27">
        <f>INDEX(Schedule!$A$1:$N$2000, MATCH($C280, VAV_Schedule_5_21[[#All],[UNIT TAG]], FALSE), 6)</f>
        <v>240</v>
      </c>
      <c r="W280" s="27">
        <f>INDEX(Schedule!$A$1:$N$2000, MATCH($C280, VAV_Schedule_5_21[[#All],[UNIT TAG]], FALSE), 6)</f>
        <v>240</v>
      </c>
      <c r="X280" s="27">
        <f>INDEX(Schedule!$A$1:$N$2000, MATCH($C280, VAV_Schedule_5_21[[#All],[UNIT TAG]], FALSE), 6)</f>
        <v>240</v>
      </c>
      <c r="Y280" s="27">
        <f>INDEX(Schedule!$A$1:$N$2000, MATCH($C280, VAV_Schedule_5_21[[#All],[UNIT TAG]], FALSE), 6)</f>
        <v>240</v>
      </c>
      <c r="Z280" s="27">
        <f>INDEX(Schedule!$A$1:$N$2000, MATCH($C280, VAV_Schedule_5_21[[#All],[UNIT TAG]], FALSE), 6)</f>
        <v>240</v>
      </c>
      <c r="AA280" s="27">
        <v>1000</v>
      </c>
      <c r="AB280" s="27">
        <v>1100</v>
      </c>
      <c r="AC280">
        <v>1400</v>
      </c>
      <c r="AD280" s="29">
        <f>IF(INDEX(Schedule!$A$1:$N$2000, MATCH($C280, VAV_Schedule_5_21[[#All],[UNIT TAG]], FALSE), 7)="-", 0, INDEX(Schedule!$A$1:$N$2000, MATCH($C280, VAV_Schedule_5_21[[#All],[UNIT TAG]], FALSE), 7))</f>
        <v>0</v>
      </c>
      <c r="AE280" t="str">
        <f>"B_01'" &amp; "Flr_0" &amp; INDEX(Joined!$A$3:$M$2000, MATCH($A280, Joined!$I$3:$I$2000, FALSE), 8)</f>
        <v>B_01'Flr_07</v>
      </c>
      <c r="AF280" t="str">
        <f>"R_" &amp; INDEX(Joined!$A$3:$M$2000, MATCH($A280, Joined!$I$3:$I$2000, FALSE), 7)</f>
        <v>R_VAV-7N-5</v>
      </c>
      <c r="AG280" t="str">
        <f>"B_01'" &amp; "Flr_0" &amp; INDEX(Joined!$A$3:$M$2000, MATCH($A280, Joined!$I$3:$I$2000, FALSE), 8)</f>
        <v>B_01'Flr_07</v>
      </c>
      <c r="AH280" t="str">
        <f>INDEX(Joined!$A$3:$M$2000, MATCH($A280, Joined!$I$3:$I$2000, FALSE), 7)</f>
        <v>VAV-7N-5</v>
      </c>
      <c r="AI280" t="s">
        <v>1608</v>
      </c>
    </row>
    <row r="281" spans="1:35" x14ac:dyDescent="0.2">
      <c r="A281" t="s">
        <v>751</v>
      </c>
      <c r="B281" t="str">
        <f>"B_01'" &amp; "Flr_0" &amp; INDEX(Joined!$A$3:$M$2000, MATCH($A281, Joined!$I$3:$I$2000, FALSE), 8)</f>
        <v>B_01'Flr_07</v>
      </c>
      <c r="C281" t="str">
        <f>INDEX(Joined!$A$3:$M$2000, MATCH($A281, Joined!$I$3:$I$2000, FALSE), 7)</f>
        <v>VAV-7N-6</v>
      </c>
      <c r="D281">
        <f>INDEX(Joined!$A$3:$M$2000, MATCH($A281, Joined!$I$3:$I$2000, FALSE), 5)</f>
        <v>151602</v>
      </c>
      <c r="E281" t="str">
        <f>INDEX(Joined!$A$3:$M$2000, MATCH($A281, Joined!$I$3:$I$2000, FALSE), 7)</f>
        <v>VAV-7N-6</v>
      </c>
      <c r="F281" t="s">
        <v>38</v>
      </c>
      <c r="G281" t="str">
        <f>INDEX(Schedule!$Q$2:$R$7, MATCH(ABT!$H281,Schedule!$Q$2:$Q$7, 0), 2)</f>
        <v>15010_DXR_VAV_DXR2M12</v>
      </c>
      <c r="H281">
        <f>INDEX(Joined!$A$3:$M$2000, MATCH($A281, Joined!$I$3:$I$2000, FALSE), 6)</f>
        <v>15010</v>
      </c>
      <c r="I281" t="str">
        <f>INDEX(Joined!$A$3:$M$2000, MATCH($A281, Joined!$I$3:$I$2000, FALSE), 4)</f>
        <v>516</v>
      </c>
      <c r="J281" t="b">
        <v>0</v>
      </c>
      <c r="K281">
        <f>INDEX(Joined!$A$3:$M$2000, MATCH($A281, Joined!$I$3:$I$2000, FALSE), 3)</f>
        <v>2</v>
      </c>
      <c r="L281">
        <v>85</v>
      </c>
      <c r="M281">
        <v>38400</v>
      </c>
      <c r="N281" s="27">
        <f>PI()*(INDEX(Schedule!$A$1:$N$2000, MATCH($C281, VAV_Schedule_5_21[[#All],[UNIT TAG]], FALSE), 4)/2/12)^2</f>
        <v>0.54541539124822802</v>
      </c>
      <c r="O281" s="27">
        <f>INDEX(Schedule!$A$1:$N$2000, MATCH($C281, VAV_Schedule_5_21[[#All],[UNIT TAG]], FALSE), 4)</f>
        <v>10</v>
      </c>
      <c r="P281">
        <v>279.63</v>
      </c>
      <c r="Q281" s="27">
        <f>INDEX(Schedule!$A$1:$N$2000, MATCH($C281, VAV_Schedule_5_21[[#All],[UNIT TAG]], FALSE), 5)</f>
        <v>975</v>
      </c>
      <c r="R281" s="27">
        <f>INDEX(Schedule!$A$1:$N$2000, MATCH($C281, VAV_Schedule_5_21[[#All],[UNIT TAG]], FALSE), 6)</f>
        <v>195</v>
      </c>
      <c r="S281" s="27">
        <f>INDEX(Schedule!$A$1:$N$2000, MATCH($C281, VAV_Schedule_5_21[[#All],[UNIT TAG]], FALSE), 5)</f>
        <v>975</v>
      </c>
      <c r="T281" s="27">
        <f>INDEX(Schedule!$A$1:$N$2000, MATCH($C281, VAV_Schedule_5_21[[#All],[UNIT TAG]], FALSE), 6)</f>
        <v>195</v>
      </c>
      <c r="U281" s="27">
        <f>INDEX(Schedule!$A$1:$N$2000, MATCH($C281, VAV_Schedule_5_21[[#All],[UNIT TAG]], FALSE), 5)</f>
        <v>975</v>
      </c>
      <c r="V281" s="27">
        <f>INDEX(Schedule!$A$1:$N$2000, MATCH($C281, VAV_Schedule_5_21[[#All],[UNIT TAG]], FALSE), 6)</f>
        <v>195</v>
      </c>
      <c r="W281" s="27">
        <f>INDEX(Schedule!$A$1:$N$2000, MATCH($C281, VAV_Schedule_5_21[[#All],[UNIT TAG]], FALSE), 6)</f>
        <v>195</v>
      </c>
      <c r="X281" s="27">
        <f>INDEX(Schedule!$A$1:$N$2000, MATCH($C281, VAV_Schedule_5_21[[#All],[UNIT TAG]], FALSE), 6)</f>
        <v>195</v>
      </c>
      <c r="Y281" s="27">
        <f>INDEX(Schedule!$A$1:$N$2000, MATCH($C281, VAV_Schedule_5_21[[#All],[UNIT TAG]], FALSE), 6)</f>
        <v>195</v>
      </c>
      <c r="Z281" s="27">
        <f>INDEX(Schedule!$A$1:$N$2000, MATCH($C281, VAV_Schedule_5_21[[#All],[UNIT TAG]], FALSE), 6)</f>
        <v>195</v>
      </c>
      <c r="AA281" s="27">
        <v>1000</v>
      </c>
      <c r="AB281" s="27">
        <v>1100</v>
      </c>
      <c r="AC281">
        <v>1400</v>
      </c>
      <c r="AD281" s="29">
        <f>IF(INDEX(Schedule!$A$1:$N$2000, MATCH($C281, VAV_Schedule_5_21[[#All],[UNIT TAG]], FALSE), 7)="-", 0, INDEX(Schedule!$A$1:$N$2000, MATCH($C281, VAV_Schedule_5_21[[#All],[UNIT TAG]], FALSE), 7))</f>
        <v>0</v>
      </c>
      <c r="AE281" t="str">
        <f>"B_01'" &amp; "Flr_0" &amp; INDEX(Joined!$A$3:$M$2000, MATCH($A281, Joined!$I$3:$I$2000, FALSE), 8)</f>
        <v>B_01'Flr_07</v>
      </c>
      <c r="AF281" t="str">
        <f>"R_" &amp; INDEX(Joined!$A$3:$M$2000, MATCH($A281, Joined!$I$3:$I$2000, FALSE), 7)</f>
        <v>R_VAV-7N-6</v>
      </c>
      <c r="AG281" t="str">
        <f>"B_01'" &amp; "Flr_0" &amp; INDEX(Joined!$A$3:$M$2000, MATCH($A281, Joined!$I$3:$I$2000, FALSE), 8)</f>
        <v>B_01'Flr_07</v>
      </c>
      <c r="AH281" t="str">
        <f>INDEX(Joined!$A$3:$M$2000, MATCH($A281, Joined!$I$3:$I$2000, FALSE), 7)</f>
        <v>VAV-7N-6</v>
      </c>
      <c r="AI281" t="s">
        <v>1609</v>
      </c>
    </row>
    <row r="282" spans="1:35" x14ac:dyDescent="0.2">
      <c r="A282" t="s">
        <v>752</v>
      </c>
      <c r="B282" t="str">
        <f>"B_01'" &amp; "Flr_0" &amp; INDEX(Joined!$A$3:$M$2000, MATCH($A282, Joined!$I$3:$I$2000, FALSE), 8)</f>
        <v>B_01'Flr_07</v>
      </c>
      <c r="C282" t="str">
        <f>INDEX(Joined!$A$3:$M$2000, MATCH($A282, Joined!$I$3:$I$2000, FALSE), 7)</f>
        <v>VAV-7N-7</v>
      </c>
      <c r="D282">
        <f>INDEX(Joined!$A$3:$M$2000, MATCH($A282, Joined!$I$3:$I$2000, FALSE), 5)</f>
        <v>151603</v>
      </c>
      <c r="E282" t="str">
        <f>INDEX(Joined!$A$3:$M$2000, MATCH($A282, Joined!$I$3:$I$2000, FALSE), 7)</f>
        <v>VAV-7N-7</v>
      </c>
      <c r="F282" t="s">
        <v>38</v>
      </c>
      <c r="G282" t="str">
        <f>INDEX(Schedule!$Q$2:$R$7, MATCH(ABT!$H282,Schedule!$Q$2:$Q$7, 0), 2)</f>
        <v>15010_DXR_VAV_DXR2M12</v>
      </c>
      <c r="H282">
        <f>INDEX(Joined!$A$3:$M$2000, MATCH($A282, Joined!$I$3:$I$2000, FALSE), 6)</f>
        <v>15010</v>
      </c>
      <c r="I282" t="str">
        <f>INDEX(Joined!$A$3:$M$2000, MATCH($A282, Joined!$I$3:$I$2000, FALSE), 4)</f>
        <v>516</v>
      </c>
      <c r="J282" t="b">
        <v>0</v>
      </c>
      <c r="K282">
        <f>INDEX(Joined!$A$3:$M$2000, MATCH($A282, Joined!$I$3:$I$2000, FALSE), 3)</f>
        <v>3</v>
      </c>
      <c r="L282">
        <v>85</v>
      </c>
      <c r="M282">
        <v>38400</v>
      </c>
      <c r="N282" s="27">
        <f>PI()*(INDEX(Schedule!$A$1:$N$2000, MATCH($C282, VAV_Schedule_5_21[[#All],[UNIT TAG]], FALSE), 4)/2/12)^2</f>
        <v>0.3490658503988659</v>
      </c>
      <c r="O282" s="27">
        <f>INDEX(Schedule!$A$1:$N$2000, MATCH($C282, VAV_Schedule_5_21[[#All],[UNIT TAG]], FALSE), 4)</f>
        <v>8</v>
      </c>
      <c r="P282">
        <v>280.63</v>
      </c>
      <c r="Q282" s="27">
        <f>INDEX(Schedule!$A$1:$N$2000, MATCH($C282, VAV_Schedule_5_21[[#All],[UNIT TAG]], FALSE), 5)</f>
        <v>550</v>
      </c>
      <c r="R282" s="27">
        <f>INDEX(Schedule!$A$1:$N$2000, MATCH($C282, VAV_Schedule_5_21[[#All],[UNIT TAG]], FALSE), 6)</f>
        <v>110</v>
      </c>
      <c r="S282" s="27">
        <f>INDEX(Schedule!$A$1:$N$2000, MATCH($C282, VAV_Schedule_5_21[[#All],[UNIT TAG]], FALSE), 5)</f>
        <v>550</v>
      </c>
      <c r="T282" s="27">
        <f>INDEX(Schedule!$A$1:$N$2000, MATCH($C282, VAV_Schedule_5_21[[#All],[UNIT TAG]], FALSE), 6)</f>
        <v>110</v>
      </c>
      <c r="U282" s="27">
        <f>INDEX(Schedule!$A$1:$N$2000, MATCH($C282, VAV_Schedule_5_21[[#All],[UNIT TAG]], FALSE), 5)</f>
        <v>550</v>
      </c>
      <c r="V282" s="27">
        <f>INDEX(Schedule!$A$1:$N$2000, MATCH($C282, VAV_Schedule_5_21[[#All],[UNIT TAG]], FALSE), 6)</f>
        <v>110</v>
      </c>
      <c r="W282" s="27">
        <f>INDEX(Schedule!$A$1:$N$2000, MATCH($C282, VAV_Schedule_5_21[[#All],[UNIT TAG]], FALSE), 6)</f>
        <v>110</v>
      </c>
      <c r="X282" s="27">
        <f>INDEX(Schedule!$A$1:$N$2000, MATCH($C282, VAV_Schedule_5_21[[#All],[UNIT TAG]], FALSE), 6)</f>
        <v>110</v>
      </c>
      <c r="Y282" s="27">
        <f>INDEX(Schedule!$A$1:$N$2000, MATCH($C282, VAV_Schedule_5_21[[#All],[UNIT TAG]], FALSE), 6)</f>
        <v>110</v>
      </c>
      <c r="Z282" s="27">
        <f>INDEX(Schedule!$A$1:$N$2000, MATCH($C282, VAV_Schedule_5_21[[#All],[UNIT TAG]], FALSE), 6)</f>
        <v>110</v>
      </c>
      <c r="AA282" s="27">
        <v>1000</v>
      </c>
      <c r="AB282" s="27">
        <v>1100</v>
      </c>
      <c r="AC282">
        <v>1400</v>
      </c>
      <c r="AD282" s="29">
        <f>IF(INDEX(Schedule!$A$1:$N$2000, MATCH($C282, VAV_Schedule_5_21[[#All],[UNIT TAG]], FALSE), 7)="-", 0, INDEX(Schedule!$A$1:$N$2000, MATCH($C282, VAV_Schedule_5_21[[#All],[UNIT TAG]], FALSE), 7))</f>
        <v>0</v>
      </c>
      <c r="AE282" t="str">
        <f>"B_01'" &amp; "Flr_0" &amp; INDEX(Joined!$A$3:$M$2000, MATCH($A282, Joined!$I$3:$I$2000, FALSE), 8)</f>
        <v>B_01'Flr_07</v>
      </c>
      <c r="AF282" t="str">
        <f>"R_" &amp; INDEX(Joined!$A$3:$M$2000, MATCH($A282, Joined!$I$3:$I$2000, FALSE), 7)</f>
        <v>R_VAV-7N-7</v>
      </c>
      <c r="AG282" t="str">
        <f>"B_01'" &amp; "Flr_0" &amp; INDEX(Joined!$A$3:$M$2000, MATCH($A282, Joined!$I$3:$I$2000, FALSE), 8)</f>
        <v>B_01'Flr_07</v>
      </c>
      <c r="AH282" t="str">
        <f>INDEX(Joined!$A$3:$M$2000, MATCH($A282, Joined!$I$3:$I$2000, FALSE), 7)</f>
        <v>VAV-7N-7</v>
      </c>
      <c r="AI282" t="s">
        <v>1610</v>
      </c>
    </row>
    <row r="283" spans="1:35" x14ac:dyDescent="0.2">
      <c r="A283" t="s">
        <v>753</v>
      </c>
      <c r="B283" t="str">
        <f>"B_01'" &amp; "Flr_0" &amp; INDEX(Joined!$A$3:$M$2000, MATCH($A283, Joined!$I$3:$I$2000, FALSE), 8)</f>
        <v>B_01'Flr_07</v>
      </c>
      <c r="C283" t="str">
        <f>INDEX(Joined!$A$3:$M$2000, MATCH($A283, Joined!$I$3:$I$2000, FALSE), 7)</f>
        <v>VAV-7N-8</v>
      </c>
      <c r="D283">
        <f>INDEX(Joined!$A$3:$M$2000, MATCH($A283, Joined!$I$3:$I$2000, FALSE), 5)</f>
        <v>151604</v>
      </c>
      <c r="E283" t="str">
        <f>INDEX(Joined!$A$3:$M$2000, MATCH($A283, Joined!$I$3:$I$2000, FALSE), 7)</f>
        <v>VAV-7N-8</v>
      </c>
      <c r="F283" t="s">
        <v>38</v>
      </c>
      <c r="G283" t="str">
        <f>INDEX(Schedule!$Q$2:$R$7, MATCH(ABT!$H283,Schedule!$Q$2:$Q$7, 0), 2)</f>
        <v>15010_DXR_VAV_DXR2M12</v>
      </c>
      <c r="H283">
        <f>INDEX(Joined!$A$3:$M$2000, MATCH($A283, Joined!$I$3:$I$2000, FALSE), 6)</f>
        <v>15010</v>
      </c>
      <c r="I283" t="str">
        <f>INDEX(Joined!$A$3:$M$2000, MATCH($A283, Joined!$I$3:$I$2000, FALSE), 4)</f>
        <v>516</v>
      </c>
      <c r="J283" t="b">
        <v>0</v>
      </c>
      <c r="K283">
        <f>INDEX(Joined!$A$3:$M$2000, MATCH($A283, Joined!$I$3:$I$2000, FALSE), 3)</f>
        <v>4</v>
      </c>
      <c r="L283">
        <v>85</v>
      </c>
      <c r="M283">
        <v>38400</v>
      </c>
      <c r="N283" s="27">
        <f>PI()*(INDEX(Schedule!$A$1:$N$2000, MATCH($C283, VAV_Schedule_5_21[[#All],[UNIT TAG]], FALSE), 4)/2/12)^2</f>
        <v>0.54541539124822802</v>
      </c>
      <c r="O283" s="27">
        <f>INDEX(Schedule!$A$1:$N$2000, MATCH($C283, VAV_Schedule_5_21[[#All],[UNIT TAG]], FALSE), 4)</f>
        <v>10</v>
      </c>
      <c r="P283">
        <v>281.63</v>
      </c>
      <c r="Q283" s="27">
        <f>INDEX(Schedule!$A$1:$N$2000, MATCH($C283, VAV_Schedule_5_21[[#All],[UNIT TAG]], FALSE), 5)</f>
        <v>760</v>
      </c>
      <c r="R283" s="27">
        <f>INDEX(Schedule!$A$1:$N$2000, MATCH($C283, VAV_Schedule_5_21[[#All],[UNIT TAG]], FALSE), 6)</f>
        <v>155</v>
      </c>
      <c r="S283" s="27">
        <f>INDEX(Schedule!$A$1:$N$2000, MATCH($C283, VAV_Schedule_5_21[[#All],[UNIT TAG]], FALSE), 5)</f>
        <v>760</v>
      </c>
      <c r="T283" s="27">
        <f>INDEX(Schedule!$A$1:$N$2000, MATCH($C283, VAV_Schedule_5_21[[#All],[UNIT TAG]], FALSE), 6)</f>
        <v>155</v>
      </c>
      <c r="U283" s="27">
        <f>INDEX(Schedule!$A$1:$N$2000, MATCH($C283, VAV_Schedule_5_21[[#All],[UNIT TAG]], FALSE), 5)</f>
        <v>760</v>
      </c>
      <c r="V283" s="27">
        <f>INDEX(Schedule!$A$1:$N$2000, MATCH($C283, VAV_Schedule_5_21[[#All],[UNIT TAG]], FALSE), 6)</f>
        <v>155</v>
      </c>
      <c r="W283" s="27">
        <f>INDEX(Schedule!$A$1:$N$2000, MATCH($C283, VAV_Schedule_5_21[[#All],[UNIT TAG]], FALSE), 6)</f>
        <v>155</v>
      </c>
      <c r="X283" s="27">
        <f>INDEX(Schedule!$A$1:$N$2000, MATCH($C283, VAV_Schedule_5_21[[#All],[UNIT TAG]], FALSE), 6)</f>
        <v>155</v>
      </c>
      <c r="Y283" s="27">
        <f>INDEX(Schedule!$A$1:$N$2000, MATCH($C283, VAV_Schedule_5_21[[#All],[UNIT TAG]], FALSE), 6)</f>
        <v>155</v>
      </c>
      <c r="Z283" s="27">
        <f>INDEX(Schedule!$A$1:$N$2000, MATCH($C283, VAV_Schedule_5_21[[#All],[UNIT TAG]], FALSE), 6)</f>
        <v>155</v>
      </c>
      <c r="AA283" s="27">
        <v>1000</v>
      </c>
      <c r="AB283" s="27">
        <v>1100</v>
      </c>
      <c r="AC283">
        <v>1400</v>
      </c>
      <c r="AD283" s="29">
        <f>IF(INDEX(Schedule!$A$1:$N$2000, MATCH($C283, VAV_Schedule_5_21[[#All],[UNIT TAG]], FALSE), 7)="-", 0, INDEX(Schedule!$A$1:$N$2000, MATCH($C283, VAV_Schedule_5_21[[#All],[UNIT TAG]], FALSE), 7))</f>
        <v>0</v>
      </c>
      <c r="AE283" t="str">
        <f>"B_01'" &amp; "Flr_0" &amp; INDEX(Joined!$A$3:$M$2000, MATCH($A283, Joined!$I$3:$I$2000, FALSE), 8)</f>
        <v>B_01'Flr_07</v>
      </c>
      <c r="AF283" t="str">
        <f>"R_" &amp; INDEX(Joined!$A$3:$M$2000, MATCH($A283, Joined!$I$3:$I$2000, FALSE), 7)</f>
        <v>R_VAV-7N-8</v>
      </c>
      <c r="AG283" t="str">
        <f>"B_01'" &amp; "Flr_0" &amp; INDEX(Joined!$A$3:$M$2000, MATCH($A283, Joined!$I$3:$I$2000, FALSE), 8)</f>
        <v>B_01'Flr_07</v>
      </c>
      <c r="AH283" t="str">
        <f>INDEX(Joined!$A$3:$M$2000, MATCH($A283, Joined!$I$3:$I$2000, FALSE), 7)</f>
        <v>VAV-7N-8</v>
      </c>
      <c r="AI283" t="s">
        <v>1611</v>
      </c>
    </row>
    <row r="284" spans="1:35" x14ac:dyDescent="0.2">
      <c r="A284" t="s">
        <v>754</v>
      </c>
      <c r="B284" t="str">
        <f>"B_01'" &amp; "Flr_0" &amp; INDEX(Joined!$A$3:$M$2000, MATCH($A284, Joined!$I$3:$I$2000, FALSE), 8)</f>
        <v>B_01'Flr_07</v>
      </c>
      <c r="C284" t="str">
        <f>INDEX(Joined!$A$3:$M$2000, MATCH($A284, Joined!$I$3:$I$2000, FALSE), 7)</f>
        <v>VAV-7N-9</v>
      </c>
      <c r="D284">
        <f>INDEX(Joined!$A$3:$M$2000, MATCH($A284, Joined!$I$3:$I$2000, FALSE), 5)</f>
        <v>151605</v>
      </c>
      <c r="E284" t="str">
        <f>INDEX(Joined!$A$3:$M$2000, MATCH($A284, Joined!$I$3:$I$2000, FALSE), 7)</f>
        <v>VAV-7N-9</v>
      </c>
      <c r="F284" t="s">
        <v>38</v>
      </c>
      <c r="G284" t="str">
        <f>INDEX(Schedule!$Q$2:$R$7, MATCH(ABT!$H284,Schedule!$Q$2:$Q$7, 0), 2)</f>
        <v>15010_DXR_VAV_DXR2M12</v>
      </c>
      <c r="H284">
        <f>INDEX(Joined!$A$3:$M$2000, MATCH($A284, Joined!$I$3:$I$2000, FALSE), 6)</f>
        <v>15010</v>
      </c>
      <c r="I284" t="str">
        <f>INDEX(Joined!$A$3:$M$2000, MATCH($A284, Joined!$I$3:$I$2000, FALSE), 4)</f>
        <v>516</v>
      </c>
      <c r="J284" t="b">
        <v>0</v>
      </c>
      <c r="K284">
        <f>INDEX(Joined!$A$3:$M$2000, MATCH($A284, Joined!$I$3:$I$2000, FALSE), 3)</f>
        <v>5</v>
      </c>
      <c r="L284">
        <v>85</v>
      </c>
      <c r="M284">
        <v>38400</v>
      </c>
      <c r="N284" s="27">
        <f>PI()*(INDEX(Schedule!$A$1:$N$2000, MATCH($C284, VAV_Schedule_5_21[[#All],[UNIT TAG]], FALSE), 4)/2/12)^2</f>
        <v>0.78539816339744828</v>
      </c>
      <c r="O284" s="27">
        <f>INDEX(Schedule!$A$1:$N$2000, MATCH($C284, VAV_Schedule_5_21[[#All],[UNIT TAG]], FALSE), 4)</f>
        <v>12</v>
      </c>
      <c r="P284">
        <v>282.63</v>
      </c>
      <c r="Q284" s="27">
        <f>INDEX(Schedule!$A$1:$N$2000, MATCH($C284, VAV_Schedule_5_21[[#All],[UNIT TAG]], FALSE), 5)</f>
        <v>1270</v>
      </c>
      <c r="R284" s="27">
        <f>INDEX(Schedule!$A$1:$N$2000, MATCH($C284, VAV_Schedule_5_21[[#All],[UNIT TAG]], FALSE), 6)</f>
        <v>255</v>
      </c>
      <c r="S284" s="27">
        <f>INDEX(Schedule!$A$1:$N$2000, MATCH($C284, VAV_Schedule_5_21[[#All],[UNIT TAG]], FALSE), 5)</f>
        <v>1270</v>
      </c>
      <c r="T284" s="27">
        <f>INDEX(Schedule!$A$1:$N$2000, MATCH($C284, VAV_Schedule_5_21[[#All],[UNIT TAG]], FALSE), 6)</f>
        <v>255</v>
      </c>
      <c r="U284" s="27">
        <f>INDEX(Schedule!$A$1:$N$2000, MATCH($C284, VAV_Schedule_5_21[[#All],[UNIT TAG]], FALSE), 5)</f>
        <v>1270</v>
      </c>
      <c r="V284" s="27">
        <f>INDEX(Schedule!$A$1:$N$2000, MATCH($C284, VAV_Schedule_5_21[[#All],[UNIT TAG]], FALSE), 6)</f>
        <v>255</v>
      </c>
      <c r="W284" s="27">
        <f>INDEX(Schedule!$A$1:$N$2000, MATCH($C284, VAV_Schedule_5_21[[#All],[UNIT TAG]], FALSE), 6)</f>
        <v>255</v>
      </c>
      <c r="X284" s="27">
        <f>INDEX(Schedule!$A$1:$N$2000, MATCH($C284, VAV_Schedule_5_21[[#All],[UNIT TAG]], FALSE), 6)</f>
        <v>255</v>
      </c>
      <c r="Y284" s="27">
        <f>INDEX(Schedule!$A$1:$N$2000, MATCH($C284, VAV_Schedule_5_21[[#All],[UNIT TAG]], FALSE), 6)</f>
        <v>255</v>
      </c>
      <c r="Z284" s="27">
        <f>INDEX(Schedule!$A$1:$N$2000, MATCH($C284, VAV_Schedule_5_21[[#All],[UNIT TAG]], FALSE), 6)</f>
        <v>255</v>
      </c>
      <c r="AA284" s="27">
        <v>1000</v>
      </c>
      <c r="AB284" s="27">
        <v>1100</v>
      </c>
      <c r="AC284">
        <v>1400</v>
      </c>
      <c r="AD284" s="29">
        <f>IF(INDEX(Schedule!$A$1:$N$2000, MATCH($C284, VAV_Schedule_5_21[[#All],[UNIT TAG]], FALSE), 7)="-", 0, INDEX(Schedule!$A$1:$N$2000, MATCH($C284, VAV_Schedule_5_21[[#All],[UNIT TAG]], FALSE), 7))</f>
        <v>0</v>
      </c>
      <c r="AE284" t="str">
        <f>"B_01'" &amp; "Flr_0" &amp; INDEX(Joined!$A$3:$M$2000, MATCH($A284, Joined!$I$3:$I$2000, FALSE), 8)</f>
        <v>B_01'Flr_07</v>
      </c>
      <c r="AF284" t="str">
        <f>"R_" &amp; INDEX(Joined!$A$3:$M$2000, MATCH($A284, Joined!$I$3:$I$2000, FALSE), 7)</f>
        <v>R_VAV-7N-9</v>
      </c>
      <c r="AG284" t="str">
        <f>"B_01'" &amp; "Flr_0" &amp; INDEX(Joined!$A$3:$M$2000, MATCH($A284, Joined!$I$3:$I$2000, FALSE), 8)</f>
        <v>B_01'Flr_07</v>
      </c>
      <c r="AH284" t="str">
        <f>INDEX(Joined!$A$3:$M$2000, MATCH($A284, Joined!$I$3:$I$2000, FALSE), 7)</f>
        <v>VAV-7N-9</v>
      </c>
      <c r="AI284" t="s">
        <v>1612</v>
      </c>
    </row>
    <row r="285" spans="1:35" x14ac:dyDescent="0.2">
      <c r="A285" t="s">
        <v>755</v>
      </c>
      <c r="B285" t="str">
        <f>"B_01'" &amp; "Flr_0" &amp; INDEX(Joined!$A$3:$M$2000, MATCH($A285, Joined!$I$3:$I$2000, FALSE), 8)</f>
        <v>B_01'Flr_07</v>
      </c>
      <c r="C285" t="str">
        <f>INDEX(Joined!$A$3:$M$2000, MATCH($A285, Joined!$I$3:$I$2000, FALSE), 7)</f>
        <v>VAV-7N-9A</v>
      </c>
      <c r="D285">
        <f>INDEX(Joined!$A$3:$M$2000, MATCH($A285, Joined!$I$3:$I$2000, FALSE), 5)</f>
        <v>151606</v>
      </c>
      <c r="E285" t="str">
        <f>INDEX(Joined!$A$3:$M$2000, MATCH($A285, Joined!$I$3:$I$2000, FALSE), 7)</f>
        <v>VAV-7N-9A</v>
      </c>
      <c r="F285" t="s">
        <v>38</v>
      </c>
      <c r="G285" t="str">
        <f>INDEX(Schedule!$Q$2:$R$7, MATCH(ABT!$H285,Schedule!$Q$2:$Q$7, 0), 2)</f>
        <v>15010_DXR_VAV_DXR2M12</v>
      </c>
      <c r="H285">
        <f>INDEX(Joined!$A$3:$M$2000, MATCH($A285, Joined!$I$3:$I$2000, FALSE), 6)</f>
        <v>15010</v>
      </c>
      <c r="I285" t="str">
        <f>INDEX(Joined!$A$3:$M$2000, MATCH($A285, Joined!$I$3:$I$2000, FALSE), 4)</f>
        <v>516</v>
      </c>
      <c r="J285" t="b">
        <v>0</v>
      </c>
      <c r="K285">
        <f>INDEX(Joined!$A$3:$M$2000, MATCH($A285, Joined!$I$3:$I$2000, FALSE), 3)</f>
        <v>6</v>
      </c>
      <c r="L285">
        <v>85</v>
      </c>
      <c r="M285">
        <v>38400</v>
      </c>
      <c r="N285" s="27">
        <f>PI()*(INDEX(Schedule!$A$1:$N$2000, MATCH($C285, VAV_Schedule_5_21[[#All],[UNIT TAG]], FALSE), 4)/2/12)^2</f>
        <v>0.3490658503988659</v>
      </c>
      <c r="O285" s="27">
        <f>INDEX(Schedule!$A$1:$N$2000, MATCH($C285, VAV_Schedule_5_21[[#All],[UNIT TAG]], FALSE), 4)</f>
        <v>8</v>
      </c>
      <c r="P285">
        <v>283.63</v>
      </c>
      <c r="Q285" s="27">
        <f>INDEX(Schedule!$A$1:$N$2000, MATCH($C285, VAV_Schedule_5_21[[#All],[UNIT TAG]], FALSE), 5)</f>
        <v>550</v>
      </c>
      <c r="R285" s="27">
        <f>INDEX(Schedule!$A$1:$N$2000, MATCH($C285, VAV_Schedule_5_21[[#All],[UNIT TAG]], FALSE), 6)</f>
        <v>110</v>
      </c>
      <c r="S285" s="27">
        <f>INDEX(Schedule!$A$1:$N$2000, MATCH($C285, VAV_Schedule_5_21[[#All],[UNIT TAG]], FALSE), 5)</f>
        <v>550</v>
      </c>
      <c r="T285" s="27">
        <f>INDEX(Schedule!$A$1:$N$2000, MATCH($C285, VAV_Schedule_5_21[[#All],[UNIT TAG]], FALSE), 6)</f>
        <v>110</v>
      </c>
      <c r="U285" s="27">
        <f>INDEX(Schedule!$A$1:$N$2000, MATCH($C285, VAV_Schedule_5_21[[#All],[UNIT TAG]], FALSE), 5)</f>
        <v>550</v>
      </c>
      <c r="V285" s="27">
        <f>INDEX(Schedule!$A$1:$N$2000, MATCH($C285, VAV_Schedule_5_21[[#All],[UNIT TAG]], FALSE), 6)</f>
        <v>110</v>
      </c>
      <c r="W285" s="27">
        <f>INDEX(Schedule!$A$1:$N$2000, MATCH($C285, VAV_Schedule_5_21[[#All],[UNIT TAG]], FALSE), 6)</f>
        <v>110</v>
      </c>
      <c r="X285" s="27">
        <f>INDEX(Schedule!$A$1:$N$2000, MATCH($C285, VAV_Schedule_5_21[[#All],[UNIT TAG]], FALSE), 6)</f>
        <v>110</v>
      </c>
      <c r="Y285" s="27">
        <f>INDEX(Schedule!$A$1:$N$2000, MATCH($C285, VAV_Schedule_5_21[[#All],[UNIT TAG]], FALSE), 6)</f>
        <v>110</v>
      </c>
      <c r="Z285" s="27">
        <f>INDEX(Schedule!$A$1:$N$2000, MATCH($C285, VAV_Schedule_5_21[[#All],[UNIT TAG]], FALSE), 6)</f>
        <v>110</v>
      </c>
      <c r="AA285" s="27">
        <v>1000</v>
      </c>
      <c r="AB285" s="27">
        <v>1100</v>
      </c>
      <c r="AC285">
        <v>1400</v>
      </c>
      <c r="AD285" s="29">
        <f>IF(INDEX(Schedule!$A$1:$N$2000, MATCH($C285, VAV_Schedule_5_21[[#All],[UNIT TAG]], FALSE), 7)="-", 0, INDEX(Schedule!$A$1:$N$2000, MATCH($C285, VAV_Schedule_5_21[[#All],[UNIT TAG]], FALSE), 7))</f>
        <v>0</v>
      </c>
      <c r="AE285" t="str">
        <f>"B_01'" &amp; "Flr_0" &amp; INDEX(Joined!$A$3:$M$2000, MATCH($A285, Joined!$I$3:$I$2000, FALSE), 8)</f>
        <v>B_01'Flr_07</v>
      </c>
      <c r="AF285" t="str">
        <f>"R_" &amp; INDEX(Joined!$A$3:$M$2000, MATCH($A285, Joined!$I$3:$I$2000, FALSE), 7)</f>
        <v>R_VAV-7N-9A</v>
      </c>
      <c r="AG285" t="str">
        <f>"B_01'" &amp; "Flr_0" &amp; INDEX(Joined!$A$3:$M$2000, MATCH($A285, Joined!$I$3:$I$2000, FALSE), 8)</f>
        <v>B_01'Flr_07</v>
      </c>
      <c r="AH285" t="str">
        <f>INDEX(Joined!$A$3:$M$2000, MATCH($A285, Joined!$I$3:$I$2000, FALSE), 7)</f>
        <v>VAV-7N-9A</v>
      </c>
      <c r="AI285" t="s">
        <v>1613</v>
      </c>
    </row>
    <row r="286" spans="1:35" x14ac:dyDescent="0.2">
      <c r="A286" t="s">
        <v>746</v>
      </c>
      <c r="B286" t="str">
        <f>"B_01'" &amp; "Flr_0" &amp; INDEX(Joined!$A$3:$M$2000, MATCH($A286, Joined!$I$3:$I$2000, FALSE), 8)</f>
        <v>B_01'Flr_07</v>
      </c>
      <c r="C286" t="str">
        <f>INDEX(Joined!$A$3:$M$2000, MATCH($A286, Joined!$I$3:$I$2000, FALSE), 7)</f>
        <v>VAV-7W-1</v>
      </c>
      <c r="D286">
        <f>INDEX(Joined!$A$3:$M$2000, MATCH($A286, Joined!$I$3:$I$2000, FALSE), 5)</f>
        <v>151801</v>
      </c>
      <c r="E286" t="str">
        <f>INDEX(Joined!$A$3:$M$2000, MATCH($A286, Joined!$I$3:$I$2000, FALSE), 7)</f>
        <v>VAV-7W-1</v>
      </c>
      <c r="F286" t="s">
        <v>38</v>
      </c>
      <c r="G286" t="str">
        <f>INDEX(Schedule!$Q$2:$R$7, MATCH(ABT!$H286,Schedule!$Q$2:$Q$7, 0), 2)</f>
        <v>15011_DXR_VAV_DXR2M12</v>
      </c>
      <c r="H286">
        <f>INDEX(Joined!$A$3:$M$2000, MATCH($A286, Joined!$I$3:$I$2000, FALSE), 6)</f>
        <v>15011</v>
      </c>
      <c r="I286" t="str">
        <f>INDEX(Joined!$A$3:$M$2000, MATCH($A286, Joined!$I$3:$I$2000, FALSE), 4)</f>
        <v>518</v>
      </c>
      <c r="J286" t="b">
        <v>0</v>
      </c>
      <c r="K286">
        <f>INDEX(Joined!$A$3:$M$2000, MATCH($A286, Joined!$I$3:$I$2000, FALSE), 3)</f>
        <v>1</v>
      </c>
      <c r="L286">
        <v>85</v>
      </c>
      <c r="M286">
        <v>38400</v>
      </c>
      <c r="N286" s="27">
        <f>PI()*(INDEX(Schedule!$A$1:$N$2000, MATCH($C286, VAV_Schedule_5_21[[#All],[UNIT TAG]], FALSE), 4)/2/12)^2</f>
        <v>0.3490658503988659</v>
      </c>
      <c r="O286" s="27">
        <f>INDEX(Schedule!$A$1:$N$2000, MATCH($C286, VAV_Schedule_5_21[[#All],[UNIT TAG]], FALSE), 4)</f>
        <v>8</v>
      </c>
      <c r="P286">
        <v>284.63</v>
      </c>
      <c r="Q286" s="27">
        <f>INDEX(Schedule!$A$1:$N$2000, MATCH($C286, VAV_Schedule_5_21[[#All],[UNIT TAG]], FALSE), 5)</f>
        <v>640</v>
      </c>
      <c r="R286" s="27">
        <f>INDEX(Schedule!$A$1:$N$2000, MATCH($C286, VAV_Schedule_5_21[[#All],[UNIT TAG]], FALSE), 6)</f>
        <v>130</v>
      </c>
      <c r="S286" s="27">
        <f>INDEX(Schedule!$A$1:$N$2000, MATCH($C286, VAV_Schedule_5_21[[#All],[UNIT TAG]], FALSE), 5)</f>
        <v>640</v>
      </c>
      <c r="T286" s="27">
        <f>INDEX(Schedule!$A$1:$N$2000, MATCH($C286, VAV_Schedule_5_21[[#All],[UNIT TAG]], FALSE), 6)</f>
        <v>130</v>
      </c>
      <c r="U286" s="27">
        <f>INDEX(Schedule!$A$1:$N$2000, MATCH($C286, VAV_Schedule_5_21[[#All],[UNIT TAG]], FALSE), 5)</f>
        <v>640</v>
      </c>
      <c r="V286" s="27">
        <f>INDEX(Schedule!$A$1:$N$2000, MATCH($C286, VAV_Schedule_5_21[[#All],[UNIT TAG]], FALSE), 6)</f>
        <v>130</v>
      </c>
      <c r="W286" s="27">
        <f>INDEX(Schedule!$A$1:$N$2000, MATCH($C286, VAV_Schedule_5_21[[#All],[UNIT TAG]], FALSE), 6)</f>
        <v>130</v>
      </c>
      <c r="X286" s="27">
        <f>INDEX(Schedule!$A$1:$N$2000, MATCH($C286, VAV_Schedule_5_21[[#All],[UNIT TAG]], FALSE), 6)</f>
        <v>130</v>
      </c>
      <c r="Y286" s="27">
        <f>INDEX(Schedule!$A$1:$N$2000, MATCH($C286, VAV_Schedule_5_21[[#All],[UNIT TAG]], FALSE), 6)</f>
        <v>130</v>
      </c>
      <c r="Z286" s="27">
        <f>INDEX(Schedule!$A$1:$N$2000, MATCH($C286, VAV_Schedule_5_21[[#All],[UNIT TAG]], FALSE), 6)</f>
        <v>130</v>
      </c>
      <c r="AA286" s="27">
        <v>1000</v>
      </c>
      <c r="AB286" s="27">
        <v>1100</v>
      </c>
      <c r="AC286">
        <v>1400</v>
      </c>
      <c r="AD286" s="29" t="str">
        <f>IF(INDEX(Schedule!$A$1:$N$2000, MATCH($C286, VAV_Schedule_5_21[[#All],[UNIT TAG]], FALSE), 7)="-", 0, INDEX(Schedule!$A$1:$N$2000, MATCH($C286, VAV_Schedule_5_21[[#All],[UNIT TAG]], FALSE), 7))</f>
        <v>6</v>
      </c>
      <c r="AE286" t="str">
        <f>"B_01'" &amp; "Flr_0" &amp; INDEX(Joined!$A$3:$M$2000, MATCH($A286, Joined!$I$3:$I$2000, FALSE), 8)</f>
        <v>B_01'Flr_07</v>
      </c>
      <c r="AF286" t="str">
        <f>"R_" &amp; INDEX(Joined!$A$3:$M$2000, MATCH($A286, Joined!$I$3:$I$2000, FALSE), 7)</f>
        <v>R_VAV-7W-1</v>
      </c>
      <c r="AG286" t="str">
        <f>"B_01'" &amp; "Flr_0" &amp; INDEX(Joined!$A$3:$M$2000, MATCH($A286, Joined!$I$3:$I$2000, FALSE), 8)</f>
        <v>B_01'Flr_07</v>
      </c>
      <c r="AH286" t="str">
        <f>INDEX(Joined!$A$3:$M$2000, MATCH($A286, Joined!$I$3:$I$2000, FALSE), 7)</f>
        <v>VAV-7W-1</v>
      </c>
      <c r="AI286" t="s">
        <v>1614</v>
      </c>
    </row>
    <row r="287" spans="1:35" x14ac:dyDescent="0.2">
      <c r="A287" t="s">
        <v>747</v>
      </c>
      <c r="B287" t="str">
        <f>"B_01'" &amp; "Flr_0" &amp; INDEX(Joined!$A$3:$M$2000, MATCH($A287, Joined!$I$3:$I$2000, FALSE), 8)</f>
        <v>B_01'Flr_07</v>
      </c>
      <c r="C287" t="str">
        <f>INDEX(Joined!$A$3:$M$2000, MATCH($A287, Joined!$I$3:$I$2000, FALSE), 7)</f>
        <v>VAV-7W-2</v>
      </c>
      <c r="D287">
        <f>INDEX(Joined!$A$3:$M$2000, MATCH($A287, Joined!$I$3:$I$2000, FALSE), 5)</f>
        <v>151802</v>
      </c>
      <c r="E287" t="str">
        <f>INDEX(Joined!$A$3:$M$2000, MATCH($A287, Joined!$I$3:$I$2000, FALSE), 7)</f>
        <v>VAV-7W-2</v>
      </c>
      <c r="F287" t="s">
        <v>38</v>
      </c>
      <c r="G287" t="str">
        <f>INDEX(Schedule!$Q$2:$R$7, MATCH(ABT!$H287,Schedule!$Q$2:$Q$7, 0), 2)</f>
        <v>15011_DXR_VAV_DXR2M12</v>
      </c>
      <c r="H287">
        <f>INDEX(Joined!$A$3:$M$2000, MATCH($A287, Joined!$I$3:$I$2000, FALSE), 6)</f>
        <v>15011</v>
      </c>
      <c r="I287" t="str">
        <f>INDEX(Joined!$A$3:$M$2000, MATCH($A287, Joined!$I$3:$I$2000, FALSE), 4)</f>
        <v>518</v>
      </c>
      <c r="J287" t="b">
        <v>0</v>
      </c>
      <c r="K287">
        <f>INDEX(Joined!$A$3:$M$2000, MATCH($A287, Joined!$I$3:$I$2000, FALSE), 3)</f>
        <v>2</v>
      </c>
      <c r="L287">
        <v>85</v>
      </c>
      <c r="M287">
        <v>38400</v>
      </c>
      <c r="N287" s="27">
        <f>PI()*(INDEX(Schedule!$A$1:$N$2000, MATCH($C287, VAV_Schedule_5_21[[#All],[UNIT TAG]], FALSE), 4)/2/12)^2</f>
        <v>0.3490658503988659</v>
      </c>
      <c r="O287" s="27">
        <f>INDEX(Schedule!$A$1:$N$2000, MATCH($C287, VAV_Schedule_5_21[[#All],[UNIT TAG]], FALSE), 4)</f>
        <v>8</v>
      </c>
      <c r="P287">
        <v>285.63</v>
      </c>
      <c r="Q287" s="27">
        <f>INDEX(Schedule!$A$1:$N$2000, MATCH($C287, VAV_Schedule_5_21[[#All],[UNIT TAG]], FALSE), 5)</f>
        <v>680</v>
      </c>
      <c r="R287" s="27">
        <f>INDEX(Schedule!$A$1:$N$2000, MATCH($C287, VAV_Schedule_5_21[[#All],[UNIT TAG]], FALSE), 6)</f>
        <v>140</v>
      </c>
      <c r="S287" s="27">
        <f>INDEX(Schedule!$A$1:$N$2000, MATCH($C287, VAV_Schedule_5_21[[#All],[UNIT TAG]], FALSE), 5)</f>
        <v>680</v>
      </c>
      <c r="T287" s="27">
        <f>INDEX(Schedule!$A$1:$N$2000, MATCH($C287, VAV_Schedule_5_21[[#All],[UNIT TAG]], FALSE), 6)</f>
        <v>140</v>
      </c>
      <c r="U287" s="27">
        <f>INDEX(Schedule!$A$1:$N$2000, MATCH($C287, VAV_Schedule_5_21[[#All],[UNIT TAG]], FALSE), 5)</f>
        <v>680</v>
      </c>
      <c r="V287" s="27">
        <f>INDEX(Schedule!$A$1:$N$2000, MATCH($C287, VAV_Schedule_5_21[[#All],[UNIT TAG]], FALSE), 6)</f>
        <v>140</v>
      </c>
      <c r="W287" s="27">
        <f>INDEX(Schedule!$A$1:$N$2000, MATCH($C287, VAV_Schedule_5_21[[#All],[UNIT TAG]], FALSE), 6)</f>
        <v>140</v>
      </c>
      <c r="X287" s="27">
        <f>INDEX(Schedule!$A$1:$N$2000, MATCH($C287, VAV_Schedule_5_21[[#All],[UNIT TAG]], FALSE), 6)</f>
        <v>140</v>
      </c>
      <c r="Y287" s="27">
        <f>INDEX(Schedule!$A$1:$N$2000, MATCH($C287, VAV_Schedule_5_21[[#All],[UNIT TAG]], FALSE), 6)</f>
        <v>140</v>
      </c>
      <c r="Z287" s="27">
        <f>INDEX(Schedule!$A$1:$N$2000, MATCH($C287, VAV_Schedule_5_21[[#All],[UNIT TAG]], FALSE), 6)</f>
        <v>140</v>
      </c>
      <c r="AA287" s="27">
        <v>1000</v>
      </c>
      <c r="AB287" s="27">
        <v>1100</v>
      </c>
      <c r="AC287">
        <v>1400</v>
      </c>
      <c r="AD287" s="29" t="str">
        <f>IF(INDEX(Schedule!$A$1:$N$2000, MATCH($C287, VAV_Schedule_5_21[[#All],[UNIT TAG]], FALSE), 7)="-", 0, INDEX(Schedule!$A$1:$N$2000, MATCH($C287, VAV_Schedule_5_21[[#All],[UNIT TAG]], FALSE), 7))</f>
        <v>6</v>
      </c>
      <c r="AE287" t="str">
        <f>"B_01'" &amp; "Flr_0" &amp; INDEX(Joined!$A$3:$M$2000, MATCH($A287, Joined!$I$3:$I$2000, FALSE), 8)</f>
        <v>B_01'Flr_07</v>
      </c>
      <c r="AF287" t="str">
        <f>"R_" &amp; INDEX(Joined!$A$3:$M$2000, MATCH($A287, Joined!$I$3:$I$2000, FALSE), 7)</f>
        <v>R_VAV-7W-2</v>
      </c>
      <c r="AG287" t="str">
        <f>"B_01'" &amp; "Flr_0" &amp; INDEX(Joined!$A$3:$M$2000, MATCH($A287, Joined!$I$3:$I$2000, FALSE), 8)</f>
        <v>B_01'Flr_07</v>
      </c>
      <c r="AH287" t="str">
        <f>INDEX(Joined!$A$3:$M$2000, MATCH($A287, Joined!$I$3:$I$2000, FALSE), 7)</f>
        <v>VAV-7W-2</v>
      </c>
      <c r="AI287" t="s">
        <v>1615</v>
      </c>
    </row>
    <row r="288" spans="1:35" x14ac:dyDescent="0.2">
      <c r="A288" t="s">
        <v>748</v>
      </c>
      <c r="B288" t="str">
        <f>"B_01'" &amp; "Flr_0" &amp; INDEX(Joined!$A$3:$M$2000, MATCH($A288, Joined!$I$3:$I$2000, FALSE), 8)</f>
        <v>B_01'Flr_07</v>
      </c>
      <c r="C288" t="str">
        <f>INDEX(Joined!$A$3:$M$2000, MATCH($A288, Joined!$I$3:$I$2000, FALSE), 7)</f>
        <v>VAV-7W-3</v>
      </c>
      <c r="D288">
        <f>INDEX(Joined!$A$3:$M$2000, MATCH($A288, Joined!$I$3:$I$2000, FALSE), 5)</f>
        <v>151803</v>
      </c>
      <c r="E288" t="str">
        <f>INDEX(Joined!$A$3:$M$2000, MATCH($A288, Joined!$I$3:$I$2000, FALSE), 7)</f>
        <v>VAV-7W-3</v>
      </c>
      <c r="F288" t="s">
        <v>38</v>
      </c>
      <c r="G288" t="str">
        <f>INDEX(Schedule!$Q$2:$R$7, MATCH(ABT!$H288,Schedule!$Q$2:$Q$7, 0), 2)</f>
        <v>15011_DXR_VAV_DXR2M12</v>
      </c>
      <c r="H288">
        <f>INDEX(Joined!$A$3:$M$2000, MATCH($A288, Joined!$I$3:$I$2000, FALSE), 6)</f>
        <v>15011</v>
      </c>
      <c r="I288" t="str">
        <f>INDEX(Joined!$A$3:$M$2000, MATCH($A288, Joined!$I$3:$I$2000, FALSE), 4)</f>
        <v>518</v>
      </c>
      <c r="J288" t="b">
        <v>0</v>
      </c>
      <c r="K288">
        <f>INDEX(Joined!$A$3:$M$2000, MATCH($A288, Joined!$I$3:$I$2000, FALSE), 3)</f>
        <v>3</v>
      </c>
      <c r="L288">
        <v>85</v>
      </c>
      <c r="M288">
        <v>38400</v>
      </c>
      <c r="N288" s="27">
        <f>PI()*(INDEX(Schedule!$A$1:$N$2000, MATCH($C288, VAV_Schedule_5_21[[#All],[UNIT TAG]], FALSE), 4)/2/12)^2</f>
        <v>0.3490658503988659</v>
      </c>
      <c r="O288" s="27">
        <f>INDEX(Schedule!$A$1:$N$2000, MATCH($C288, VAV_Schedule_5_21[[#All],[UNIT TAG]], FALSE), 4)</f>
        <v>8</v>
      </c>
      <c r="P288">
        <v>286.63</v>
      </c>
      <c r="Q288" s="27">
        <f>INDEX(Schedule!$A$1:$N$2000, MATCH($C288, VAV_Schedule_5_21[[#All],[UNIT TAG]], FALSE), 5)</f>
        <v>600</v>
      </c>
      <c r="R288" s="27">
        <f>INDEX(Schedule!$A$1:$N$2000, MATCH($C288, VAV_Schedule_5_21[[#All],[UNIT TAG]], FALSE), 6)</f>
        <v>120</v>
      </c>
      <c r="S288" s="27">
        <f>INDEX(Schedule!$A$1:$N$2000, MATCH($C288, VAV_Schedule_5_21[[#All],[UNIT TAG]], FALSE), 5)</f>
        <v>600</v>
      </c>
      <c r="T288" s="27">
        <f>INDEX(Schedule!$A$1:$N$2000, MATCH($C288, VAV_Schedule_5_21[[#All],[UNIT TAG]], FALSE), 6)</f>
        <v>120</v>
      </c>
      <c r="U288" s="27">
        <f>INDEX(Schedule!$A$1:$N$2000, MATCH($C288, VAV_Schedule_5_21[[#All],[UNIT TAG]], FALSE), 5)</f>
        <v>600</v>
      </c>
      <c r="V288" s="27">
        <f>INDEX(Schedule!$A$1:$N$2000, MATCH($C288, VAV_Schedule_5_21[[#All],[UNIT TAG]], FALSE), 6)</f>
        <v>120</v>
      </c>
      <c r="W288" s="27">
        <f>INDEX(Schedule!$A$1:$N$2000, MATCH($C288, VAV_Schedule_5_21[[#All],[UNIT TAG]], FALSE), 6)</f>
        <v>120</v>
      </c>
      <c r="X288" s="27">
        <f>INDEX(Schedule!$A$1:$N$2000, MATCH($C288, VAV_Schedule_5_21[[#All],[UNIT TAG]], FALSE), 6)</f>
        <v>120</v>
      </c>
      <c r="Y288" s="27">
        <f>INDEX(Schedule!$A$1:$N$2000, MATCH($C288, VAV_Schedule_5_21[[#All],[UNIT TAG]], FALSE), 6)</f>
        <v>120</v>
      </c>
      <c r="Z288" s="27">
        <f>INDEX(Schedule!$A$1:$N$2000, MATCH($C288, VAV_Schedule_5_21[[#All],[UNIT TAG]], FALSE), 6)</f>
        <v>120</v>
      </c>
      <c r="AA288" s="27">
        <v>1000</v>
      </c>
      <c r="AB288" s="27">
        <v>1100</v>
      </c>
      <c r="AC288">
        <v>1400</v>
      </c>
      <c r="AD288" s="29" t="str">
        <f>IF(INDEX(Schedule!$A$1:$N$2000, MATCH($C288, VAV_Schedule_5_21[[#All],[UNIT TAG]], FALSE), 7)="-", 0, INDEX(Schedule!$A$1:$N$2000, MATCH($C288, VAV_Schedule_5_21[[#All],[UNIT TAG]], FALSE), 7))</f>
        <v>6</v>
      </c>
      <c r="AE288" t="str">
        <f>"B_01'" &amp; "Flr_0" &amp; INDEX(Joined!$A$3:$M$2000, MATCH($A288, Joined!$I$3:$I$2000, FALSE), 8)</f>
        <v>B_01'Flr_07</v>
      </c>
      <c r="AF288" t="str">
        <f>"R_" &amp; INDEX(Joined!$A$3:$M$2000, MATCH($A288, Joined!$I$3:$I$2000, FALSE), 7)</f>
        <v>R_VAV-7W-3</v>
      </c>
      <c r="AG288" t="str">
        <f>"B_01'" &amp; "Flr_0" &amp; INDEX(Joined!$A$3:$M$2000, MATCH($A288, Joined!$I$3:$I$2000, FALSE), 8)</f>
        <v>B_01'Flr_07</v>
      </c>
      <c r="AH288" t="str">
        <f>INDEX(Joined!$A$3:$M$2000, MATCH($A288, Joined!$I$3:$I$2000, FALSE), 7)</f>
        <v>VAV-7W-3</v>
      </c>
      <c r="AI288" t="s">
        <v>1616</v>
      </c>
    </row>
    <row r="289" spans="1:35" x14ac:dyDescent="0.2">
      <c r="A289" t="s">
        <v>778</v>
      </c>
      <c r="B289" t="str">
        <f>"B_01'" &amp; "Flr_0" &amp; INDEX(Joined!$A$3:$M$2000, MATCH($A289, Joined!$I$3:$I$2000, FALSE), 8)</f>
        <v>B_01'Flr_07</v>
      </c>
      <c r="C289" t="str">
        <f>INDEX(Joined!$A$3:$M$2000, MATCH($A289, Joined!$I$3:$I$2000, FALSE), 7)</f>
        <v>VAV-7W-32</v>
      </c>
      <c r="D289">
        <f>INDEX(Joined!$A$3:$M$2000, MATCH($A289, Joined!$I$3:$I$2000, FALSE), 5)</f>
        <v>151805</v>
      </c>
      <c r="E289" t="str">
        <f>INDEX(Joined!$A$3:$M$2000, MATCH($A289, Joined!$I$3:$I$2000, FALSE), 7)</f>
        <v>VAV-7W-32</v>
      </c>
      <c r="F289" t="s">
        <v>38</v>
      </c>
      <c r="G289" t="str">
        <f>INDEX(Schedule!$Q$2:$R$7, MATCH(ABT!$H289,Schedule!$Q$2:$Q$7, 0), 2)</f>
        <v>15010_DXR_VAV_DXR2M12</v>
      </c>
      <c r="H289">
        <f>INDEX(Joined!$A$3:$M$2000, MATCH($A289, Joined!$I$3:$I$2000, FALSE), 6)</f>
        <v>15010</v>
      </c>
      <c r="I289" t="str">
        <f>INDEX(Joined!$A$3:$M$2000, MATCH($A289, Joined!$I$3:$I$2000, FALSE), 4)</f>
        <v>518</v>
      </c>
      <c r="J289" t="b">
        <v>0</v>
      </c>
      <c r="K289">
        <f>INDEX(Joined!$A$3:$M$2000, MATCH($A289, Joined!$I$3:$I$2000, FALSE), 3)</f>
        <v>5</v>
      </c>
      <c r="L289">
        <v>85</v>
      </c>
      <c r="M289">
        <v>38400</v>
      </c>
      <c r="N289" s="27">
        <f>PI()*(INDEX(Schedule!$A$1:$N$2000, MATCH($C289, VAV_Schedule_5_21[[#All],[UNIT TAG]], FALSE), 4)/2/12)^2</f>
        <v>0.3490658503988659</v>
      </c>
      <c r="O289" s="27">
        <f>INDEX(Schedule!$A$1:$N$2000, MATCH($C289, VAV_Schedule_5_21[[#All],[UNIT TAG]], FALSE), 4)</f>
        <v>8</v>
      </c>
      <c r="P289">
        <v>287.63</v>
      </c>
      <c r="Q289" s="27">
        <f>INDEX(Schedule!$A$1:$N$2000, MATCH($C289, VAV_Schedule_5_21[[#All],[UNIT TAG]], FALSE), 5)</f>
        <v>560</v>
      </c>
      <c r="R289" s="27">
        <f>INDEX(Schedule!$A$1:$N$2000, MATCH($C289, VAV_Schedule_5_21[[#All],[UNIT TAG]], FALSE), 6)</f>
        <v>115</v>
      </c>
      <c r="S289" s="27">
        <f>INDEX(Schedule!$A$1:$N$2000, MATCH($C289, VAV_Schedule_5_21[[#All],[UNIT TAG]], FALSE), 5)</f>
        <v>560</v>
      </c>
      <c r="T289" s="27">
        <f>INDEX(Schedule!$A$1:$N$2000, MATCH($C289, VAV_Schedule_5_21[[#All],[UNIT TAG]], FALSE), 6)</f>
        <v>115</v>
      </c>
      <c r="U289" s="27">
        <f>INDEX(Schedule!$A$1:$N$2000, MATCH($C289, VAV_Schedule_5_21[[#All],[UNIT TAG]], FALSE), 5)</f>
        <v>560</v>
      </c>
      <c r="V289" s="27">
        <f>INDEX(Schedule!$A$1:$N$2000, MATCH($C289, VAV_Schedule_5_21[[#All],[UNIT TAG]], FALSE), 6)</f>
        <v>115</v>
      </c>
      <c r="W289" s="27">
        <f>INDEX(Schedule!$A$1:$N$2000, MATCH($C289, VAV_Schedule_5_21[[#All],[UNIT TAG]], FALSE), 6)</f>
        <v>115</v>
      </c>
      <c r="X289" s="27">
        <f>INDEX(Schedule!$A$1:$N$2000, MATCH($C289, VAV_Schedule_5_21[[#All],[UNIT TAG]], FALSE), 6)</f>
        <v>115</v>
      </c>
      <c r="Y289" s="27">
        <f>INDEX(Schedule!$A$1:$N$2000, MATCH($C289, VAV_Schedule_5_21[[#All],[UNIT TAG]], FALSE), 6)</f>
        <v>115</v>
      </c>
      <c r="Z289" s="27">
        <f>INDEX(Schedule!$A$1:$N$2000, MATCH($C289, VAV_Schedule_5_21[[#All],[UNIT TAG]], FALSE), 6)</f>
        <v>115</v>
      </c>
      <c r="AA289" s="27">
        <v>1000</v>
      </c>
      <c r="AB289" s="27">
        <v>1100</v>
      </c>
      <c r="AC289">
        <v>1400</v>
      </c>
      <c r="AD289" s="29">
        <f>IF(INDEX(Schedule!$A$1:$N$2000, MATCH($C289, VAV_Schedule_5_21[[#All],[UNIT TAG]], FALSE), 7)="-", 0, INDEX(Schedule!$A$1:$N$2000, MATCH($C289, VAV_Schedule_5_21[[#All],[UNIT TAG]], FALSE), 7))</f>
        <v>0</v>
      </c>
      <c r="AE289" t="str">
        <f>"B_01'" &amp; "Flr_0" &amp; INDEX(Joined!$A$3:$M$2000, MATCH($A289, Joined!$I$3:$I$2000, FALSE), 8)</f>
        <v>B_01'Flr_07</v>
      </c>
      <c r="AF289" t="str">
        <f>"R_" &amp; INDEX(Joined!$A$3:$M$2000, MATCH($A289, Joined!$I$3:$I$2000, FALSE), 7)</f>
        <v>R_VAV-7W-32</v>
      </c>
      <c r="AG289" t="str">
        <f>"B_01'" &amp; "Flr_0" &amp; INDEX(Joined!$A$3:$M$2000, MATCH($A289, Joined!$I$3:$I$2000, FALSE), 8)</f>
        <v>B_01'Flr_07</v>
      </c>
      <c r="AH289" t="str">
        <f>INDEX(Joined!$A$3:$M$2000, MATCH($A289, Joined!$I$3:$I$2000, FALSE), 7)</f>
        <v>VAV-7W-32</v>
      </c>
      <c r="AI289" t="s">
        <v>1617</v>
      </c>
    </row>
    <row r="290" spans="1:35" x14ac:dyDescent="0.2">
      <c r="A290" t="s">
        <v>779</v>
      </c>
      <c r="B290" t="str">
        <f>"B_01'" &amp; "Flr_0" &amp; INDEX(Joined!$A$3:$M$2000, MATCH($A290, Joined!$I$3:$I$2000, FALSE), 8)</f>
        <v>B_01'Flr_07</v>
      </c>
      <c r="C290" t="str">
        <f>INDEX(Joined!$A$3:$M$2000, MATCH($A290, Joined!$I$3:$I$2000, FALSE), 7)</f>
        <v>VAV-7W-33</v>
      </c>
      <c r="D290">
        <f>INDEX(Joined!$A$3:$M$2000, MATCH($A290, Joined!$I$3:$I$2000, FALSE), 5)</f>
        <v>151806</v>
      </c>
      <c r="E290" t="str">
        <f>INDEX(Joined!$A$3:$M$2000, MATCH($A290, Joined!$I$3:$I$2000, FALSE), 7)</f>
        <v>VAV-7W-33</v>
      </c>
      <c r="F290" t="s">
        <v>38</v>
      </c>
      <c r="G290" t="str">
        <f>INDEX(Schedule!$Q$2:$R$7, MATCH(ABT!$H290,Schedule!$Q$2:$Q$7, 0), 2)</f>
        <v>15010_DXR_VAV_DXR2M12</v>
      </c>
      <c r="H290">
        <f>INDEX(Joined!$A$3:$M$2000, MATCH($A290, Joined!$I$3:$I$2000, FALSE), 6)</f>
        <v>15010</v>
      </c>
      <c r="I290" t="str">
        <f>INDEX(Joined!$A$3:$M$2000, MATCH($A290, Joined!$I$3:$I$2000, FALSE), 4)</f>
        <v>518</v>
      </c>
      <c r="J290" t="b">
        <v>0</v>
      </c>
      <c r="K290">
        <f>INDEX(Joined!$A$3:$M$2000, MATCH($A290, Joined!$I$3:$I$2000, FALSE), 3)</f>
        <v>6</v>
      </c>
      <c r="L290">
        <v>85</v>
      </c>
      <c r="M290">
        <v>38400</v>
      </c>
      <c r="N290" s="27">
        <f>PI()*(INDEX(Schedule!$A$1:$N$2000, MATCH($C290, VAV_Schedule_5_21[[#All],[UNIT TAG]], FALSE), 4)/2/12)^2</f>
        <v>0.78539816339744828</v>
      </c>
      <c r="O290" s="27">
        <f>INDEX(Schedule!$A$1:$N$2000, MATCH($C290, VAV_Schedule_5_21[[#All],[UNIT TAG]], FALSE), 4)</f>
        <v>12</v>
      </c>
      <c r="P290">
        <v>288.63</v>
      </c>
      <c r="Q290" s="27">
        <f>INDEX(Schedule!$A$1:$N$2000, MATCH($C290, VAV_Schedule_5_21[[#All],[UNIT TAG]], FALSE), 5)</f>
        <v>1350</v>
      </c>
      <c r="R290" s="27">
        <f>INDEX(Schedule!$A$1:$N$2000, MATCH($C290, VAV_Schedule_5_21[[#All],[UNIT TAG]], FALSE), 6)</f>
        <v>270</v>
      </c>
      <c r="S290" s="27">
        <f>INDEX(Schedule!$A$1:$N$2000, MATCH($C290, VAV_Schedule_5_21[[#All],[UNIT TAG]], FALSE), 5)</f>
        <v>1350</v>
      </c>
      <c r="T290" s="27">
        <f>INDEX(Schedule!$A$1:$N$2000, MATCH($C290, VAV_Schedule_5_21[[#All],[UNIT TAG]], FALSE), 6)</f>
        <v>270</v>
      </c>
      <c r="U290" s="27">
        <f>INDEX(Schedule!$A$1:$N$2000, MATCH($C290, VAV_Schedule_5_21[[#All],[UNIT TAG]], FALSE), 5)</f>
        <v>1350</v>
      </c>
      <c r="V290" s="27">
        <f>INDEX(Schedule!$A$1:$N$2000, MATCH($C290, VAV_Schedule_5_21[[#All],[UNIT TAG]], FALSE), 6)</f>
        <v>270</v>
      </c>
      <c r="W290" s="27">
        <f>INDEX(Schedule!$A$1:$N$2000, MATCH($C290, VAV_Schedule_5_21[[#All],[UNIT TAG]], FALSE), 6)</f>
        <v>270</v>
      </c>
      <c r="X290" s="27">
        <f>INDEX(Schedule!$A$1:$N$2000, MATCH($C290, VAV_Schedule_5_21[[#All],[UNIT TAG]], FALSE), 6)</f>
        <v>270</v>
      </c>
      <c r="Y290" s="27">
        <f>INDEX(Schedule!$A$1:$N$2000, MATCH($C290, VAV_Schedule_5_21[[#All],[UNIT TAG]], FALSE), 6)</f>
        <v>270</v>
      </c>
      <c r="Z290" s="27">
        <f>INDEX(Schedule!$A$1:$N$2000, MATCH($C290, VAV_Schedule_5_21[[#All],[UNIT TAG]], FALSE), 6)</f>
        <v>270</v>
      </c>
      <c r="AA290" s="27">
        <v>1000</v>
      </c>
      <c r="AB290" s="27">
        <v>1100</v>
      </c>
      <c r="AC290">
        <v>1400</v>
      </c>
      <c r="AD290" s="29">
        <f>IF(INDEX(Schedule!$A$1:$N$2000, MATCH($C290, VAV_Schedule_5_21[[#All],[UNIT TAG]], FALSE), 7)="-", 0, INDEX(Schedule!$A$1:$N$2000, MATCH($C290, VAV_Schedule_5_21[[#All],[UNIT TAG]], FALSE), 7))</f>
        <v>0</v>
      </c>
      <c r="AE290" t="str">
        <f>"B_01'" &amp; "Flr_0" &amp; INDEX(Joined!$A$3:$M$2000, MATCH($A290, Joined!$I$3:$I$2000, FALSE), 8)</f>
        <v>B_01'Flr_07</v>
      </c>
      <c r="AF290" t="str">
        <f>"R_" &amp; INDEX(Joined!$A$3:$M$2000, MATCH($A290, Joined!$I$3:$I$2000, FALSE), 7)</f>
        <v>R_VAV-7W-33</v>
      </c>
      <c r="AG290" t="str">
        <f>"B_01'" &amp; "Flr_0" &amp; INDEX(Joined!$A$3:$M$2000, MATCH($A290, Joined!$I$3:$I$2000, FALSE), 8)</f>
        <v>B_01'Flr_07</v>
      </c>
      <c r="AH290" t="str">
        <f>INDEX(Joined!$A$3:$M$2000, MATCH($A290, Joined!$I$3:$I$2000, FALSE), 7)</f>
        <v>VAV-7W-33</v>
      </c>
      <c r="AI290" t="s">
        <v>1618</v>
      </c>
    </row>
    <row r="291" spans="1:35" x14ac:dyDescent="0.2">
      <c r="A291" t="s">
        <v>780</v>
      </c>
      <c r="B291" t="str">
        <f>"B_01'" &amp; "Flr_0" &amp; INDEX(Joined!$A$3:$M$2000, MATCH($A291, Joined!$I$3:$I$2000, FALSE), 8)</f>
        <v>B_01'Flr_07</v>
      </c>
      <c r="C291" t="str">
        <f>INDEX(Joined!$A$3:$M$2000, MATCH($A291, Joined!$I$3:$I$2000, FALSE), 7)</f>
        <v>VAV-7W-34</v>
      </c>
      <c r="D291">
        <f>INDEX(Joined!$A$3:$M$2000, MATCH($A291, Joined!$I$3:$I$2000, FALSE), 5)</f>
        <v>151807</v>
      </c>
      <c r="E291" t="str">
        <f>INDEX(Joined!$A$3:$M$2000, MATCH($A291, Joined!$I$3:$I$2000, FALSE), 7)</f>
        <v>VAV-7W-34</v>
      </c>
      <c r="F291" t="s">
        <v>38</v>
      </c>
      <c r="G291" t="str">
        <f>INDEX(Schedule!$Q$2:$R$7, MATCH(ABT!$H291,Schedule!$Q$2:$Q$7, 0), 2)</f>
        <v>15011_DXR_VAV_DXR2M12</v>
      </c>
      <c r="H291">
        <f>INDEX(Joined!$A$3:$M$2000, MATCH($A291, Joined!$I$3:$I$2000, FALSE), 6)</f>
        <v>15011</v>
      </c>
      <c r="I291" t="str">
        <f>INDEX(Joined!$A$3:$M$2000, MATCH($A291, Joined!$I$3:$I$2000, FALSE), 4)</f>
        <v>518</v>
      </c>
      <c r="J291" t="b">
        <v>0</v>
      </c>
      <c r="K291">
        <f>INDEX(Joined!$A$3:$M$2000, MATCH($A291, Joined!$I$3:$I$2000, FALSE), 3)</f>
        <v>7</v>
      </c>
      <c r="L291">
        <v>85</v>
      </c>
      <c r="M291">
        <v>38400</v>
      </c>
      <c r="N291" s="27">
        <f>PI()*(INDEX(Schedule!$A$1:$N$2000, MATCH($C291, VAV_Schedule_5_21[[#All],[UNIT TAG]], FALSE), 4)/2/12)^2</f>
        <v>0.54541539124822802</v>
      </c>
      <c r="O291" s="27">
        <f>INDEX(Schedule!$A$1:$N$2000, MATCH($C291, VAV_Schedule_5_21[[#All],[UNIT TAG]], FALSE), 4)</f>
        <v>10</v>
      </c>
      <c r="P291">
        <v>289.63</v>
      </c>
      <c r="Q291" s="27">
        <f>INDEX(Schedule!$A$1:$N$2000, MATCH($C291, VAV_Schedule_5_21[[#All],[UNIT TAG]], FALSE), 5)</f>
        <v>800</v>
      </c>
      <c r="R291" s="27">
        <f>INDEX(Schedule!$A$1:$N$2000, MATCH($C291, VAV_Schedule_5_21[[#All],[UNIT TAG]], FALSE), 6)</f>
        <v>160</v>
      </c>
      <c r="S291" s="27">
        <f>INDEX(Schedule!$A$1:$N$2000, MATCH($C291, VAV_Schedule_5_21[[#All],[UNIT TAG]], FALSE), 5)</f>
        <v>800</v>
      </c>
      <c r="T291" s="27">
        <f>INDEX(Schedule!$A$1:$N$2000, MATCH($C291, VAV_Schedule_5_21[[#All],[UNIT TAG]], FALSE), 6)</f>
        <v>160</v>
      </c>
      <c r="U291" s="27">
        <f>INDEX(Schedule!$A$1:$N$2000, MATCH($C291, VAV_Schedule_5_21[[#All],[UNIT TAG]], FALSE), 5)</f>
        <v>800</v>
      </c>
      <c r="V291" s="27">
        <f>INDEX(Schedule!$A$1:$N$2000, MATCH($C291, VAV_Schedule_5_21[[#All],[UNIT TAG]], FALSE), 6)</f>
        <v>160</v>
      </c>
      <c r="W291" s="27">
        <f>INDEX(Schedule!$A$1:$N$2000, MATCH($C291, VAV_Schedule_5_21[[#All],[UNIT TAG]], FALSE), 6)</f>
        <v>160</v>
      </c>
      <c r="X291" s="27">
        <f>INDEX(Schedule!$A$1:$N$2000, MATCH($C291, VAV_Schedule_5_21[[#All],[UNIT TAG]], FALSE), 6)</f>
        <v>160</v>
      </c>
      <c r="Y291" s="27">
        <f>INDEX(Schedule!$A$1:$N$2000, MATCH($C291, VAV_Schedule_5_21[[#All],[UNIT TAG]], FALSE), 6)</f>
        <v>160</v>
      </c>
      <c r="Z291" s="27">
        <f>INDEX(Schedule!$A$1:$N$2000, MATCH($C291, VAV_Schedule_5_21[[#All],[UNIT TAG]], FALSE), 6)</f>
        <v>160</v>
      </c>
      <c r="AA291" s="27">
        <v>1000</v>
      </c>
      <c r="AB291" s="27">
        <v>1100</v>
      </c>
      <c r="AC291">
        <v>1400</v>
      </c>
      <c r="AD291" s="29" t="str">
        <f>IF(INDEX(Schedule!$A$1:$N$2000, MATCH($C291, VAV_Schedule_5_21[[#All],[UNIT TAG]], FALSE), 7)="-", 0, INDEX(Schedule!$A$1:$N$2000, MATCH($C291, VAV_Schedule_5_21[[#All],[UNIT TAG]], FALSE), 7))</f>
        <v>8</v>
      </c>
      <c r="AE291" t="str">
        <f>"B_01'" &amp; "Flr_0" &amp; INDEX(Joined!$A$3:$M$2000, MATCH($A291, Joined!$I$3:$I$2000, FALSE), 8)</f>
        <v>B_01'Flr_07</v>
      </c>
      <c r="AF291" t="str">
        <f>"R_" &amp; INDEX(Joined!$A$3:$M$2000, MATCH($A291, Joined!$I$3:$I$2000, FALSE), 7)</f>
        <v>R_VAV-7W-34</v>
      </c>
      <c r="AG291" t="str">
        <f>"B_01'" &amp; "Flr_0" &amp; INDEX(Joined!$A$3:$M$2000, MATCH($A291, Joined!$I$3:$I$2000, FALSE), 8)</f>
        <v>B_01'Flr_07</v>
      </c>
      <c r="AH291" t="str">
        <f>INDEX(Joined!$A$3:$M$2000, MATCH($A291, Joined!$I$3:$I$2000, FALSE), 7)</f>
        <v>VAV-7W-34</v>
      </c>
      <c r="AI291" t="s">
        <v>1619</v>
      </c>
    </row>
    <row r="292" spans="1:35" x14ac:dyDescent="0.2">
      <c r="A292" t="s">
        <v>781</v>
      </c>
      <c r="B292" t="str">
        <f>"B_01'" &amp; "Flr_0" &amp; INDEX(Joined!$A$3:$M$2000, MATCH($A292, Joined!$I$3:$I$2000, FALSE), 8)</f>
        <v>B_01'Flr_07</v>
      </c>
      <c r="C292" t="str">
        <f>INDEX(Joined!$A$3:$M$2000, MATCH($A292, Joined!$I$3:$I$2000, FALSE), 7)</f>
        <v>VAV-7W-35</v>
      </c>
      <c r="D292">
        <f>INDEX(Joined!$A$3:$M$2000, MATCH($A292, Joined!$I$3:$I$2000, FALSE), 5)</f>
        <v>151808</v>
      </c>
      <c r="E292" t="str">
        <f>INDEX(Joined!$A$3:$M$2000, MATCH($A292, Joined!$I$3:$I$2000, FALSE), 7)</f>
        <v>VAV-7W-35</v>
      </c>
      <c r="F292" t="s">
        <v>38</v>
      </c>
      <c r="G292" t="str">
        <f>INDEX(Schedule!$Q$2:$R$7, MATCH(ABT!$H292,Schedule!$Q$2:$Q$7, 0), 2)</f>
        <v>15011_DXR_VAV_DXR2M12</v>
      </c>
      <c r="H292">
        <f>INDEX(Joined!$A$3:$M$2000, MATCH($A292, Joined!$I$3:$I$2000, FALSE), 6)</f>
        <v>15011</v>
      </c>
      <c r="I292" t="str">
        <f>INDEX(Joined!$A$3:$M$2000, MATCH($A292, Joined!$I$3:$I$2000, FALSE), 4)</f>
        <v>518</v>
      </c>
      <c r="J292" t="b">
        <v>0</v>
      </c>
      <c r="K292">
        <f>INDEX(Joined!$A$3:$M$2000, MATCH($A292, Joined!$I$3:$I$2000, FALSE), 3)</f>
        <v>8</v>
      </c>
      <c r="L292">
        <v>85</v>
      </c>
      <c r="M292">
        <v>38400</v>
      </c>
      <c r="N292" s="27">
        <f>PI()*(INDEX(Schedule!$A$1:$N$2000, MATCH($C292, VAV_Schedule_5_21[[#All],[UNIT TAG]], FALSE), 4)/2/12)^2</f>
        <v>0.3490658503988659</v>
      </c>
      <c r="O292" s="27">
        <f>INDEX(Schedule!$A$1:$N$2000, MATCH($C292, VAV_Schedule_5_21[[#All],[UNIT TAG]], FALSE), 4)</f>
        <v>8</v>
      </c>
      <c r="P292">
        <v>290.63</v>
      </c>
      <c r="Q292" s="27">
        <f>INDEX(Schedule!$A$1:$N$2000, MATCH($C292, VAV_Schedule_5_21[[#All],[UNIT TAG]], FALSE), 5)</f>
        <v>640</v>
      </c>
      <c r="R292" s="27">
        <f>INDEX(Schedule!$A$1:$N$2000, MATCH($C292, VAV_Schedule_5_21[[#All],[UNIT TAG]], FALSE), 6)</f>
        <v>130</v>
      </c>
      <c r="S292" s="27">
        <f>INDEX(Schedule!$A$1:$N$2000, MATCH($C292, VAV_Schedule_5_21[[#All],[UNIT TAG]], FALSE), 5)</f>
        <v>640</v>
      </c>
      <c r="T292" s="27">
        <f>INDEX(Schedule!$A$1:$N$2000, MATCH($C292, VAV_Schedule_5_21[[#All],[UNIT TAG]], FALSE), 6)</f>
        <v>130</v>
      </c>
      <c r="U292" s="27">
        <f>INDEX(Schedule!$A$1:$N$2000, MATCH($C292, VAV_Schedule_5_21[[#All],[UNIT TAG]], FALSE), 5)</f>
        <v>640</v>
      </c>
      <c r="V292" s="27">
        <f>INDEX(Schedule!$A$1:$N$2000, MATCH($C292, VAV_Schedule_5_21[[#All],[UNIT TAG]], FALSE), 6)</f>
        <v>130</v>
      </c>
      <c r="W292" s="27">
        <f>INDEX(Schedule!$A$1:$N$2000, MATCH($C292, VAV_Schedule_5_21[[#All],[UNIT TAG]], FALSE), 6)</f>
        <v>130</v>
      </c>
      <c r="X292" s="27">
        <f>INDEX(Schedule!$A$1:$N$2000, MATCH($C292, VAV_Schedule_5_21[[#All],[UNIT TAG]], FALSE), 6)</f>
        <v>130</v>
      </c>
      <c r="Y292" s="27">
        <f>INDEX(Schedule!$A$1:$N$2000, MATCH($C292, VAV_Schedule_5_21[[#All],[UNIT TAG]], FALSE), 6)</f>
        <v>130</v>
      </c>
      <c r="Z292" s="27">
        <f>INDEX(Schedule!$A$1:$N$2000, MATCH($C292, VAV_Schedule_5_21[[#All],[UNIT TAG]], FALSE), 6)</f>
        <v>130</v>
      </c>
      <c r="AA292" s="27">
        <v>1000</v>
      </c>
      <c r="AB292" s="27">
        <v>1100</v>
      </c>
      <c r="AC292">
        <v>1400</v>
      </c>
      <c r="AD292" s="29" t="str">
        <f>IF(INDEX(Schedule!$A$1:$N$2000, MATCH($C292, VAV_Schedule_5_21[[#All],[UNIT TAG]], FALSE), 7)="-", 0, INDEX(Schedule!$A$1:$N$2000, MATCH($C292, VAV_Schedule_5_21[[#All],[UNIT TAG]], FALSE), 7))</f>
        <v>6</v>
      </c>
      <c r="AE292" t="str">
        <f>"B_01'" &amp; "Flr_0" &amp; INDEX(Joined!$A$3:$M$2000, MATCH($A292, Joined!$I$3:$I$2000, FALSE), 8)</f>
        <v>B_01'Flr_07</v>
      </c>
      <c r="AF292" t="str">
        <f>"R_" &amp; INDEX(Joined!$A$3:$M$2000, MATCH($A292, Joined!$I$3:$I$2000, FALSE), 7)</f>
        <v>R_VAV-7W-35</v>
      </c>
      <c r="AG292" t="str">
        <f>"B_01'" &amp; "Flr_0" &amp; INDEX(Joined!$A$3:$M$2000, MATCH($A292, Joined!$I$3:$I$2000, FALSE), 8)</f>
        <v>B_01'Flr_07</v>
      </c>
      <c r="AH292" t="str">
        <f>INDEX(Joined!$A$3:$M$2000, MATCH($A292, Joined!$I$3:$I$2000, FALSE), 7)</f>
        <v>VAV-7W-35</v>
      </c>
      <c r="AI292" t="s">
        <v>1620</v>
      </c>
    </row>
    <row r="293" spans="1:35" x14ac:dyDescent="0.2">
      <c r="A293" t="s">
        <v>782</v>
      </c>
      <c r="B293" t="str">
        <f>"B_01'" &amp; "Flr_0" &amp; INDEX(Joined!$A$3:$M$2000, MATCH($A293, Joined!$I$3:$I$2000, FALSE), 8)</f>
        <v>B_01'Flr_07</v>
      </c>
      <c r="C293" t="str">
        <f>INDEX(Joined!$A$3:$M$2000, MATCH($A293, Joined!$I$3:$I$2000, FALSE), 7)</f>
        <v>VAV-7W-36</v>
      </c>
      <c r="D293">
        <f>INDEX(Joined!$A$3:$M$2000, MATCH($A293, Joined!$I$3:$I$2000, FALSE), 5)</f>
        <v>151809</v>
      </c>
      <c r="E293" t="str">
        <f>INDEX(Joined!$A$3:$M$2000, MATCH($A293, Joined!$I$3:$I$2000, FALSE), 7)</f>
        <v>VAV-7W-36</v>
      </c>
      <c r="F293" t="s">
        <v>38</v>
      </c>
      <c r="G293" t="str">
        <f>INDEX(Schedule!$Q$2:$R$7, MATCH(ABT!$H293,Schedule!$Q$2:$Q$7, 0), 2)</f>
        <v>15011_DXR_VAV_DXR2M12</v>
      </c>
      <c r="H293">
        <f>INDEX(Joined!$A$3:$M$2000, MATCH($A293, Joined!$I$3:$I$2000, FALSE), 6)</f>
        <v>15011</v>
      </c>
      <c r="I293" t="str">
        <f>INDEX(Joined!$A$3:$M$2000, MATCH($A293, Joined!$I$3:$I$2000, FALSE), 4)</f>
        <v>518</v>
      </c>
      <c r="J293" t="b">
        <v>0</v>
      </c>
      <c r="K293">
        <f>INDEX(Joined!$A$3:$M$2000, MATCH($A293, Joined!$I$3:$I$2000, FALSE), 3)</f>
        <v>9</v>
      </c>
      <c r="L293">
        <v>85</v>
      </c>
      <c r="M293">
        <v>38400</v>
      </c>
      <c r="N293" s="27">
        <f>PI()*(INDEX(Schedule!$A$1:$N$2000, MATCH($C293, VAV_Schedule_5_21[[#All],[UNIT TAG]], FALSE), 4)/2/12)^2</f>
        <v>0.54541539124822802</v>
      </c>
      <c r="O293" s="27">
        <f>INDEX(Schedule!$A$1:$N$2000, MATCH($C293, VAV_Schedule_5_21[[#All],[UNIT TAG]], FALSE), 4)</f>
        <v>10</v>
      </c>
      <c r="P293">
        <v>291.63</v>
      </c>
      <c r="Q293" s="27">
        <f>INDEX(Schedule!$A$1:$N$2000, MATCH($C293, VAV_Schedule_5_21[[#All],[UNIT TAG]], FALSE), 5)</f>
        <v>860</v>
      </c>
      <c r="R293" s="27">
        <f>INDEX(Schedule!$A$1:$N$2000, MATCH($C293, VAV_Schedule_5_21[[#All],[UNIT TAG]], FALSE), 6)</f>
        <v>175</v>
      </c>
      <c r="S293" s="27">
        <f>INDEX(Schedule!$A$1:$N$2000, MATCH($C293, VAV_Schedule_5_21[[#All],[UNIT TAG]], FALSE), 5)</f>
        <v>860</v>
      </c>
      <c r="T293" s="27">
        <f>INDEX(Schedule!$A$1:$N$2000, MATCH($C293, VAV_Schedule_5_21[[#All],[UNIT TAG]], FALSE), 6)</f>
        <v>175</v>
      </c>
      <c r="U293" s="27">
        <f>INDEX(Schedule!$A$1:$N$2000, MATCH($C293, VAV_Schedule_5_21[[#All],[UNIT TAG]], FALSE), 5)</f>
        <v>860</v>
      </c>
      <c r="V293" s="27">
        <f>INDEX(Schedule!$A$1:$N$2000, MATCH($C293, VAV_Schedule_5_21[[#All],[UNIT TAG]], FALSE), 6)</f>
        <v>175</v>
      </c>
      <c r="W293" s="27">
        <f>INDEX(Schedule!$A$1:$N$2000, MATCH($C293, VAV_Schedule_5_21[[#All],[UNIT TAG]], FALSE), 6)</f>
        <v>175</v>
      </c>
      <c r="X293" s="27">
        <f>INDEX(Schedule!$A$1:$N$2000, MATCH($C293, VAV_Schedule_5_21[[#All],[UNIT TAG]], FALSE), 6)</f>
        <v>175</v>
      </c>
      <c r="Y293" s="27">
        <f>INDEX(Schedule!$A$1:$N$2000, MATCH($C293, VAV_Schedule_5_21[[#All],[UNIT TAG]], FALSE), 6)</f>
        <v>175</v>
      </c>
      <c r="Z293" s="27">
        <f>INDEX(Schedule!$A$1:$N$2000, MATCH($C293, VAV_Schedule_5_21[[#All],[UNIT TAG]], FALSE), 6)</f>
        <v>175</v>
      </c>
      <c r="AA293" s="27">
        <v>1000</v>
      </c>
      <c r="AB293" s="27">
        <v>1100</v>
      </c>
      <c r="AC293">
        <v>1400</v>
      </c>
      <c r="AD293" s="29" t="str">
        <f>IF(INDEX(Schedule!$A$1:$N$2000, MATCH($C293, VAV_Schedule_5_21[[#All],[UNIT TAG]], FALSE), 7)="-", 0, INDEX(Schedule!$A$1:$N$2000, MATCH($C293, VAV_Schedule_5_21[[#All],[UNIT TAG]], FALSE), 7))</f>
        <v>6</v>
      </c>
      <c r="AE293" t="str">
        <f>"B_01'" &amp; "Flr_0" &amp; INDEX(Joined!$A$3:$M$2000, MATCH($A293, Joined!$I$3:$I$2000, FALSE), 8)</f>
        <v>B_01'Flr_07</v>
      </c>
      <c r="AF293" t="str">
        <f>"R_" &amp; INDEX(Joined!$A$3:$M$2000, MATCH($A293, Joined!$I$3:$I$2000, FALSE), 7)</f>
        <v>R_VAV-7W-36</v>
      </c>
      <c r="AG293" t="str">
        <f>"B_01'" &amp; "Flr_0" &amp; INDEX(Joined!$A$3:$M$2000, MATCH($A293, Joined!$I$3:$I$2000, FALSE), 8)</f>
        <v>B_01'Flr_07</v>
      </c>
      <c r="AH293" t="str">
        <f>INDEX(Joined!$A$3:$M$2000, MATCH($A293, Joined!$I$3:$I$2000, FALSE), 7)</f>
        <v>VAV-7W-36</v>
      </c>
      <c r="AI293" t="s">
        <v>1621</v>
      </c>
    </row>
    <row r="294" spans="1:35" x14ac:dyDescent="0.2">
      <c r="A294" t="s">
        <v>783</v>
      </c>
      <c r="B294" t="str">
        <f>"B_01'" &amp; "Flr_0" &amp; INDEX(Joined!$A$3:$M$2000, MATCH($A294, Joined!$I$3:$I$2000, FALSE), 8)</f>
        <v>B_01'Flr_07</v>
      </c>
      <c r="C294" t="str">
        <f>INDEX(Joined!$A$3:$M$2000, MATCH($A294, Joined!$I$3:$I$2000, FALSE), 7)</f>
        <v>VAV-7W-37</v>
      </c>
      <c r="D294">
        <f>INDEX(Joined!$A$3:$M$2000, MATCH($A294, Joined!$I$3:$I$2000, FALSE), 5)</f>
        <v>151810</v>
      </c>
      <c r="E294" t="str">
        <f>INDEX(Joined!$A$3:$M$2000, MATCH($A294, Joined!$I$3:$I$2000, FALSE), 7)</f>
        <v>VAV-7W-37</v>
      </c>
      <c r="F294" t="s">
        <v>38</v>
      </c>
      <c r="G294" t="str">
        <f>INDEX(Schedule!$Q$2:$R$7, MATCH(ABT!$H294,Schedule!$Q$2:$Q$7, 0), 2)</f>
        <v>15011_DXR_VAV_DXR2M12</v>
      </c>
      <c r="H294">
        <f>INDEX(Joined!$A$3:$M$2000, MATCH($A294, Joined!$I$3:$I$2000, FALSE), 6)</f>
        <v>15011</v>
      </c>
      <c r="I294" t="str">
        <f>INDEX(Joined!$A$3:$M$2000, MATCH($A294, Joined!$I$3:$I$2000, FALSE), 4)</f>
        <v>518</v>
      </c>
      <c r="J294" t="b">
        <v>0</v>
      </c>
      <c r="K294">
        <f>INDEX(Joined!$A$3:$M$2000, MATCH($A294, Joined!$I$3:$I$2000, FALSE), 3)</f>
        <v>10</v>
      </c>
      <c r="L294">
        <v>85</v>
      </c>
      <c r="M294">
        <v>38400</v>
      </c>
      <c r="N294" s="27">
        <f>PI()*(INDEX(Schedule!$A$1:$N$2000, MATCH($C294, VAV_Schedule_5_21[[#All],[UNIT TAG]], FALSE), 4)/2/12)^2</f>
        <v>0.3490658503988659</v>
      </c>
      <c r="O294" s="27">
        <f>INDEX(Schedule!$A$1:$N$2000, MATCH($C294, VAV_Schedule_5_21[[#All],[UNIT TAG]], FALSE), 4)</f>
        <v>8</v>
      </c>
      <c r="P294">
        <v>292.63</v>
      </c>
      <c r="Q294" s="27">
        <f>INDEX(Schedule!$A$1:$N$2000, MATCH($C294, VAV_Schedule_5_21[[#All],[UNIT TAG]], FALSE), 5)</f>
        <v>700</v>
      </c>
      <c r="R294" s="27">
        <f>INDEX(Schedule!$A$1:$N$2000, MATCH($C294, VAV_Schedule_5_21[[#All],[UNIT TAG]], FALSE), 6)</f>
        <v>140</v>
      </c>
      <c r="S294" s="27">
        <f>INDEX(Schedule!$A$1:$N$2000, MATCH($C294, VAV_Schedule_5_21[[#All],[UNIT TAG]], FALSE), 5)</f>
        <v>700</v>
      </c>
      <c r="T294" s="27">
        <f>INDEX(Schedule!$A$1:$N$2000, MATCH($C294, VAV_Schedule_5_21[[#All],[UNIT TAG]], FALSE), 6)</f>
        <v>140</v>
      </c>
      <c r="U294" s="27">
        <f>INDEX(Schedule!$A$1:$N$2000, MATCH($C294, VAV_Schedule_5_21[[#All],[UNIT TAG]], FALSE), 5)</f>
        <v>700</v>
      </c>
      <c r="V294" s="27">
        <f>INDEX(Schedule!$A$1:$N$2000, MATCH($C294, VAV_Schedule_5_21[[#All],[UNIT TAG]], FALSE), 6)</f>
        <v>140</v>
      </c>
      <c r="W294" s="27">
        <f>INDEX(Schedule!$A$1:$N$2000, MATCH($C294, VAV_Schedule_5_21[[#All],[UNIT TAG]], FALSE), 6)</f>
        <v>140</v>
      </c>
      <c r="X294" s="27">
        <f>INDEX(Schedule!$A$1:$N$2000, MATCH($C294, VAV_Schedule_5_21[[#All],[UNIT TAG]], FALSE), 6)</f>
        <v>140</v>
      </c>
      <c r="Y294" s="27">
        <f>INDEX(Schedule!$A$1:$N$2000, MATCH($C294, VAV_Schedule_5_21[[#All],[UNIT TAG]], FALSE), 6)</f>
        <v>140</v>
      </c>
      <c r="Z294" s="27">
        <f>INDEX(Schedule!$A$1:$N$2000, MATCH($C294, VAV_Schedule_5_21[[#All],[UNIT TAG]], FALSE), 6)</f>
        <v>140</v>
      </c>
      <c r="AA294" s="27">
        <v>1000</v>
      </c>
      <c r="AB294" s="27">
        <v>1100</v>
      </c>
      <c r="AC294">
        <v>1400</v>
      </c>
      <c r="AD294" s="29" t="str">
        <f>IF(INDEX(Schedule!$A$1:$N$2000, MATCH($C294, VAV_Schedule_5_21[[#All],[UNIT TAG]], FALSE), 7)="-", 0, INDEX(Schedule!$A$1:$N$2000, MATCH($C294, VAV_Schedule_5_21[[#All],[UNIT TAG]], FALSE), 7))</f>
        <v>6</v>
      </c>
      <c r="AE294" t="str">
        <f>"B_01'" &amp; "Flr_0" &amp; INDEX(Joined!$A$3:$M$2000, MATCH($A294, Joined!$I$3:$I$2000, FALSE), 8)</f>
        <v>B_01'Flr_07</v>
      </c>
      <c r="AF294" t="str">
        <f>"R_" &amp; INDEX(Joined!$A$3:$M$2000, MATCH($A294, Joined!$I$3:$I$2000, FALSE), 7)</f>
        <v>R_VAV-7W-37</v>
      </c>
      <c r="AG294" t="str">
        <f>"B_01'" &amp; "Flr_0" &amp; INDEX(Joined!$A$3:$M$2000, MATCH($A294, Joined!$I$3:$I$2000, FALSE), 8)</f>
        <v>B_01'Flr_07</v>
      </c>
      <c r="AH294" t="str">
        <f>INDEX(Joined!$A$3:$M$2000, MATCH($A294, Joined!$I$3:$I$2000, FALSE), 7)</f>
        <v>VAV-7W-37</v>
      </c>
      <c r="AI294" t="s">
        <v>1622</v>
      </c>
    </row>
    <row r="295" spans="1:35" x14ac:dyDescent="0.2">
      <c r="A295" t="s">
        <v>784</v>
      </c>
      <c r="B295" t="str">
        <f>"B_01'" &amp; "Flr_0" &amp; INDEX(Joined!$A$3:$M$2000, MATCH($A295, Joined!$I$3:$I$2000, FALSE), 8)</f>
        <v>B_01'Flr_07</v>
      </c>
      <c r="C295" t="str">
        <f>INDEX(Joined!$A$3:$M$2000, MATCH($A295, Joined!$I$3:$I$2000, FALSE), 7)</f>
        <v>VAV-7W-38</v>
      </c>
      <c r="D295">
        <f>INDEX(Joined!$A$3:$M$2000, MATCH($A295, Joined!$I$3:$I$2000, FALSE), 5)</f>
        <v>151811</v>
      </c>
      <c r="E295" t="str">
        <f>INDEX(Joined!$A$3:$M$2000, MATCH($A295, Joined!$I$3:$I$2000, FALSE), 7)</f>
        <v>VAV-7W-38</v>
      </c>
      <c r="F295" t="s">
        <v>38</v>
      </c>
      <c r="G295" t="str">
        <f>INDEX(Schedule!$Q$2:$R$7, MATCH(ABT!$H295,Schedule!$Q$2:$Q$7, 0), 2)</f>
        <v>15010_DXR_VAV_DXR2M12</v>
      </c>
      <c r="H295">
        <f>INDEX(Joined!$A$3:$M$2000, MATCH($A295, Joined!$I$3:$I$2000, FALSE), 6)</f>
        <v>15010</v>
      </c>
      <c r="I295" t="str">
        <f>INDEX(Joined!$A$3:$M$2000, MATCH($A295, Joined!$I$3:$I$2000, FALSE), 4)</f>
        <v>518</v>
      </c>
      <c r="J295" t="b">
        <v>0</v>
      </c>
      <c r="K295">
        <f>INDEX(Joined!$A$3:$M$2000, MATCH($A295, Joined!$I$3:$I$2000, FALSE), 3)</f>
        <v>11</v>
      </c>
      <c r="L295">
        <v>85</v>
      </c>
      <c r="M295">
        <v>38400</v>
      </c>
      <c r="N295" s="27">
        <f>PI()*(INDEX(Schedule!$A$1:$N$2000, MATCH($C295, VAV_Schedule_5_21[[#All],[UNIT TAG]], FALSE), 4)/2/12)^2</f>
        <v>0.78539816339744828</v>
      </c>
      <c r="O295" s="27">
        <f>INDEX(Schedule!$A$1:$N$2000, MATCH($C295, VAV_Schedule_5_21[[#All],[UNIT TAG]], FALSE), 4)</f>
        <v>12</v>
      </c>
      <c r="P295">
        <v>293.63</v>
      </c>
      <c r="Q295" s="27">
        <f>INDEX(Schedule!$A$1:$N$2000, MATCH($C295, VAV_Schedule_5_21[[#All],[UNIT TAG]], FALSE), 5)</f>
        <v>1200</v>
      </c>
      <c r="R295" s="27">
        <f>INDEX(Schedule!$A$1:$N$2000, MATCH($C295, VAV_Schedule_5_21[[#All],[UNIT TAG]], FALSE), 6)</f>
        <v>240</v>
      </c>
      <c r="S295" s="27">
        <f>INDEX(Schedule!$A$1:$N$2000, MATCH($C295, VAV_Schedule_5_21[[#All],[UNIT TAG]], FALSE), 5)</f>
        <v>1200</v>
      </c>
      <c r="T295" s="27">
        <f>INDEX(Schedule!$A$1:$N$2000, MATCH($C295, VAV_Schedule_5_21[[#All],[UNIT TAG]], FALSE), 6)</f>
        <v>240</v>
      </c>
      <c r="U295" s="27">
        <f>INDEX(Schedule!$A$1:$N$2000, MATCH($C295, VAV_Schedule_5_21[[#All],[UNIT TAG]], FALSE), 5)</f>
        <v>1200</v>
      </c>
      <c r="V295" s="27">
        <f>INDEX(Schedule!$A$1:$N$2000, MATCH($C295, VAV_Schedule_5_21[[#All],[UNIT TAG]], FALSE), 6)</f>
        <v>240</v>
      </c>
      <c r="W295" s="27">
        <f>INDEX(Schedule!$A$1:$N$2000, MATCH($C295, VAV_Schedule_5_21[[#All],[UNIT TAG]], FALSE), 6)</f>
        <v>240</v>
      </c>
      <c r="X295" s="27">
        <f>INDEX(Schedule!$A$1:$N$2000, MATCH($C295, VAV_Schedule_5_21[[#All],[UNIT TAG]], FALSE), 6)</f>
        <v>240</v>
      </c>
      <c r="Y295" s="27">
        <f>INDEX(Schedule!$A$1:$N$2000, MATCH($C295, VAV_Schedule_5_21[[#All],[UNIT TAG]], FALSE), 6)</f>
        <v>240</v>
      </c>
      <c r="Z295" s="27">
        <f>INDEX(Schedule!$A$1:$N$2000, MATCH($C295, VAV_Schedule_5_21[[#All],[UNIT TAG]], FALSE), 6)</f>
        <v>240</v>
      </c>
      <c r="AA295" s="27">
        <v>1000</v>
      </c>
      <c r="AB295" s="27">
        <v>1100</v>
      </c>
      <c r="AC295">
        <v>1400</v>
      </c>
      <c r="AD295" s="29">
        <f>IF(INDEX(Schedule!$A$1:$N$2000, MATCH($C295, VAV_Schedule_5_21[[#All],[UNIT TAG]], FALSE), 7)="-", 0, INDEX(Schedule!$A$1:$N$2000, MATCH($C295, VAV_Schedule_5_21[[#All],[UNIT TAG]], FALSE), 7))</f>
        <v>0</v>
      </c>
      <c r="AE295" t="str">
        <f>"B_01'" &amp; "Flr_0" &amp; INDEX(Joined!$A$3:$M$2000, MATCH($A295, Joined!$I$3:$I$2000, FALSE), 8)</f>
        <v>B_01'Flr_07</v>
      </c>
      <c r="AF295" t="str">
        <f>"R_" &amp; INDEX(Joined!$A$3:$M$2000, MATCH($A295, Joined!$I$3:$I$2000, FALSE), 7)</f>
        <v>R_VAV-7W-38</v>
      </c>
      <c r="AG295" t="str">
        <f>"B_01'" &amp; "Flr_0" &amp; INDEX(Joined!$A$3:$M$2000, MATCH($A295, Joined!$I$3:$I$2000, FALSE), 8)</f>
        <v>B_01'Flr_07</v>
      </c>
      <c r="AH295" t="str">
        <f>INDEX(Joined!$A$3:$M$2000, MATCH($A295, Joined!$I$3:$I$2000, FALSE), 7)</f>
        <v>VAV-7W-38</v>
      </c>
      <c r="AI295" t="s">
        <v>1623</v>
      </c>
    </row>
    <row r="296" spans="1:35" x14ac:dyDescent="0.2">
      <c r="A296" t="s">
        <v>785</v>
      </c>
      <c r="B296" t="str">
        <f>"B_01'" &amp; "Flr_0" &amp; INDEX(Joined!$A$3:$M$2000, MATCH($A296, Joined!$I$3:$I$2000, FALSE), 8)</f>
        <v>B_01'Flr_07</v>
      </c>
      <c r="C296" t="str">
        <f>INDEX(Joined!$A$3:$M$2000, MATCH($A296, Joined!$I$3:$I$2000, FALSE), 7)</f>
        <v>VAV-7W-39</v>
      </c>
      <c r="D296">
        <f>INDEX(Joined!$A$3:$M$2000, MATCH($A296, Joined!$I$3:$I$2000, FALSE), 5)</f>
        <v>151812</v>
      </c>
      <c r="E296" t="str">
        <f>INDEX(Joined!$A$3:$M$2000, MATCH($A296, Joined!$I$3:$I$2000, FALSE), 7)</f>
        <v>VAV-7W-39</v>
      </c>
      <c r="F296" t="s">
        <v>38</v>
      </c>
      <c r="G296" t="str">
        <f>INDEX(Schedule!$Q$2:$R$7, MATCH(ABT!$H296,Schedule!$Q$2:$Q$7, 0), 2)</f>
        <v>15010_DXR_VAV_DXR2M12</v>
      </c>
      <c r="H296">
        <f>INDEX(Joined!$A$3:$M$2000, MATCH($A296, Joined!$I$3:$I$2000, FALSE), 6)</f>
        <v>15010</v>
      </c>
      <c r="I296" t="str">
        <f>INDEX(Joined!$A$3:$M$2000, MATCH($A296, Joined!$I$3:$I$2000, FALSE), 4)</f>
        <v>518</v>
      </c>
      <c r="J296" t="b">
        <v>0</v>
      </c>
      <c r="K296">
        <f>INDEX(Joined!$A$3:$M$2000, MATCH($A296, Joined!$I$3:$I$2000, FALSE), 3)</f>
        <v>12</v>
      </c>
      <c r="L296">
        <v>85</v>
      </c>
      <c r="M296">
        <v>38400</v>
      </c>
      <c r="N296" s="27">
        <f>PI()*(INDEX(Schedule!$A$1:$N$2000, MATCH($C296, VAV_Schedule_5_21[[#All],[UNIT TAG]], FALSE), 4)/2/12)^2</f>
        <v>0.54541539124822802</v>
      </c>
      <c r="O296" s="27">
        <f>INDEX(Schedule!$A$1:$N$2000, MATCH($C296, VAV_Schedule_5_21[[#All],[UNIT TAG]], FALSE), 4)</f>
        <v>10</v>
      </c>
      <c r="P296">
        <v>294.63</v>
      </c>
      <c r="Q296" s="27">
        <f>INDEX(Schedule!$A$1:$N$2000, MATCH($C296, VAV_Schedule_5_21[[#All],[UNIT TAG]], FALSE), 5)</f>
        <v>1040</v>
      </c>
      <c r="R296" s="27">
        <f>INDEX(Schedule!$A$1:$N$2000, MATCH($C296, VAV_Schedule_5_21[[#All],[UNIT TAG]], FALSE), 6)</f>
        <v>210</v>
      </c>
      <c r="S296" s="27">
        <f>INDEX(Schedule!$A$1:$N$2000, MATCH($C296, VAV_Schedule_5_21[[#All],[UNIT TAG]], FALSE), 5)</f>
        <v>1040</v>
      </c>
      <c r="T296" s="27">
        <f>INDEX(Schedule!$A$1:$N$2000, MATCH($C296, VAV_Schedule_5_21[[#All],[UNIT TAG]], FALSE), 6)</f>
        <v>210</v>
      </c>
      <c r="U296" s="27">
        <f>INDEX(Schedule!$A$1:$N$2000, MATCH($C296, VAV_Schedule_5_21[[#All],[UNIT TAG]], FALSE), 5)</f>
        <v>1040</v>
      </c>
      <c r="V296" s="27">
        <f>INDEX(Schedule!$A$1:$N$2000, MATCH($C296, VAV_Schedule_5_21[[#All],[UNIT TAG]], FALSE), 6)</f>
        <v>210</v>
      </c>
      <c r="W296" s="27">
        <f>INDEX(Schedule!$A$1:$N$2000, MATCH($C296, VAV_Schedule_5_21[[#All],[UNIT TAG]], FALSE), 6)</f>
        <v>210</v>
      </c>
      <c r="X296" s="27">
        <f>INDEX(Schedule!$A$1:$N$2000, MATCH($C296, VAV_Schedule_5_21[[#All],[UNIT TAG]], FALSE), 6)</f>
        <v>210</v>
      </c>
      <c r="Y296" s="27">
        <f>INDEX(Schedule!$A$1:$N$2000, MATCH($C296, VAV_Schedule_5_21[[#All],[UNIT TAG]], FALSE), 6)</f>
        <v>210</v>
      </c>
      <c r="Z296" s="27">
        <f>INDEX(Schedule!$A$1:$N$2000, MATCH($C296, VAV_Schedule_5_21[[#All],[UNIT TAG]], FALSE), 6)</f>
        <v>210</v>
      </c>
      <c r="AA296" s="27">
        <v>1000</v>
      </c>
      <c r="AB296" s="27">
        <v>1100</v>
      </c>
      <c r="AC296">
        <v>1400</v>
      </c>
      <c r="AD296" s="29">
        <f>IF(INDEX(Schedule!$A$1:$N$2000, MATCH($C296, VAV_Schedule_5_21[[#All],[UNIT TAG]], FALSE), 7)="-", 0, INDEX(Schedule!$A$1:$N$2000, MATCH($C296, VAV_Schedule_5_21[[#All],[UNIT TAG]], FALSE), 7))</f>
        <v>0</v>
      </c>
      <c r="AE296" t="str">
        <f>"B_01'" &amp; "Flr_0" &amp; INDEX(Joined!$A$3:$M$2000, MATCH($A296, Joined!$I$3:$I$2000, FALSE), 8)</f>
        <v>B_01'Flr_07</v>
      </c>
      <c r="AF296" t="str">
        <f>"R_" &amp; INDEX(Joined!$A$3:$M$2000, MATCH($A296, Joined!$I$3:$I$2000, FALSE), 7)</f>
        <v>R_VAV-7W-39</v>
      </c>
      <c r="AG296" t="str">
        <f>"B_01'" &amp; "Flr_0" &amp; INDEX(Joined!$A$3:$M$2000, MATCH($A296, Joined!$I$3:$I$2000, FALSE), 8)</f>
        <v>B_01'Flr_07</v>
      </c>
      <c r="AH296" t="str">
        <f>INDEX(Joined!$A$3:$M$2000, MATCH($A296, Joined!$I$3:$I$2000, FALSE), 7)</f>
        <v>VAV-7W-39</v>
      </c>
      <c r="AI296" t="s">
        <v>1624</v>
      </c>
    </row>
    <row r="297" spans="1:35" x14ac:dyDescent="0.2">
      <c r="A297" t="s">
        <v>749</v>
      </c>
      <c r="B297" t="str">
        <f>"B_01'" &amp; "Flr_0" &amp; INDEX(Joined!$A$3:$M$2000, MATCH($A297, Joined!$I$3:$I$2000, FALSE), 8)</f>
        <v>B_01'Flr_07</v>
      </c>
      <c r="C297" t="str">
        <f>INDEX(Joined!$A$3:$M$2000, MATCH($A297, Joined!$I$3:$I$2000, FALSE), 7)</f>
        <v>VAV-7W-4</v>
      </c>
      <c r="D297">
        <f>INDEX(Joined!$A$3:$M$2000, MATCH($A297, Joined!$I$3:$I$2000, FALSE), 5)</f>
        <v>151804</v>
      </c>
      <c r="E297" t="str">
        <f>INDEX(Joined!$A$3:$M$2000, MATCH($A297, Joined!$I$3:$I$2000, FALSE), 7)</f>
        <v>VAV-7W-4</v>
      </c>
      <c r="F297" t="s">
        <v>38</v>
      </c>
      <c r="G297" t="str">
        <f>INDEX(Schedule!$Q$2:$R$7, MATCH(ABT!$H297,Schedule!$Q$2:$Q$7, 0), 2)</f>
        <v>15011_DXR_VAV_DXR2M12</v>
      </c>
      <c r="H297">
        <f>INDEX(Joined!$A$3:$M$2000, MATCH($A297, Joined!$I$3:$I$2000, FALSE), 6)</f>
        <v>15011</v>
      </c>
      <c r="I297" t="str">
        <f>INDEX(Joined!$A$3:$M$2000, MATCH($A297, Joined!$I$3:$I$2000, FALSE), 4)</f>
        <v>518</v>
      </c>
      <c r="J297" t="b">
        <v>0</v>
      </c>
      <c r="K297">
        <f>INDEX(Joined!$A$3:$M$2000, MATCH($A297, Joined!$I$3:$I$2000, FALSE), 3)</f>
        <v>4</v>
      </c>
      <c r="L297">
        <v>85</v>
      </c>
      <c r="M297">
        <v>38400</v>
      </c>
      <c r="N297" s="27">
        <f>PI()*(INDEX(Schedule!$A$1:$N$2000, MATCH($C297, VAV_Schedule_5_21[[#All],[UNIT TAG]], FALSE), 4)/2/12)^2</f>
        <v>0.54541539124822802</v>
      </c>
      <c r="O297" s="27">
        <f>INDEX(Schedule!$A$1:$N$2000, MATCH($C297, VAV_Schedule_5_21[[#All],[UNIT TAG]], FALSE), 4)</f>
        <v>10</v>
      </c>
      <c r="P297">
        <v>295.63</v>
      </c>
      <c r="Q297" s="27">
        <f>INDEX(Schedule!$A$1:$N$2000, MATCH($C297, VAV_Schedule_5_21[[#All],[UNIT TAG]], FALSE), 5)</f>
        <v>840</v>
      </c>
      <c r="R297" s="27">
        <f>INDEX(Schedule!$A$1:$N$2000, MATCH($C297, VAV_Schedule_5_21[[#All],[UNIT TAG]], FALSE), 6)</f>
        <v>170</v>
      </c>
      <c r="S297" s="27">
        <f>INDEX(Schedule!$A$1:$N$2000, MATCH($C297, VAV_Schedule_5_21[[#All],[UNIT TAG]], FALSE), 5)</f>
        <v>840</v>
      </c>
      <c r="T297" s="27">
        <f>INDEX(Schedule!$A$1:$N$2000, MATCH($C297, VAV_Schedule_5_21[[#All],[UNIT TAG]], FALSE), 6)</f>
        <v>170</v>
      </c>
      <c r="U297" s="27">
        <f>INDEX(Schedule!$A$1:$N$2000, MATCH($C297, VAV_Schedule_5_21[[#All],[UNIT TAG]], FALSE), 5)</f>
        <v>840</v>
      </c>
      <c r="V297" s="27">
        <f>INDEX(Schedule!$A$1:$N$2000, MATCH($C297, VAV_Schedule_5_21[[#All],[UNIT TAG]], FALSE), 6)</f>
        <v>170</v>
      </c>
      <c r="W297" s="27">
        <f>INDEX(Schedule!$A$1:$N$2000, MATCH($C297, VAV_Schedule_5_21[[#All],[UNIT TAG]], FALSE), 6)</f>
        <v>170</v>
      </c>
      <c r="X297" s="27">
        <f>INDEX(Schedule!$A$1:$N$2000, MATCH($C297, VAV_Schedule_5_21[[#All],[UNIT TAG]], FALSE), 6)</f>
        <v>170</v>
      </c>
      <c r="Y297" s="27">
        <f>INDEX(Schedule!$A$1:$N$2000, MATCH($C297, VAV_Schedule_5_21[[#All],[UNIT TAG]], FALSE), 6)</f>
        <v>170</v>
      </c>
      <c r="Z297" s="27">
        <f>INDEX(Schedule!$A$1:$N$2000, MATCH($C297, VAV_Schedule_5_21[[#All],[UNIT TAG]], FALSE), 6)</f>
        <v>170</v>
      </c>
      <c r="AA297" s="27">
        <v>1000</v>
      </c>
      <c r="AB297" s="27">
        <v>1100</v>
      </c>
      <c r="AC297">
        <v>1400</v>
      </c>
      <c r="AD297" s="29" t="str">
        <f>IF(INDEX(Schedule!$A$1:$N$2000, MATCH($C297, VAV_Schedule_5_21[[#All],[UNIT TAG]], FALSE), 7)="-", 0, INDEX(Schedule!$A$1:$N$2000, MATCH($C297, VAV_Schedule_5_21[[#All],[UNIT TAG]], FALSE), 7))</f>
        <v>6</v>
      </c>
      <c r="AE297" t="str">
        <f>"B_01'" &amp; "Flr_0" &amp; INDEX(Joined!$A$3:$M$2000, MATCH($A297, Joined!$I$3:$I$2000, FALSE), 8)</f>
        <v>B_01'Flr_07</v>
      </c>
      <c r="AF297" t="str">
        <f>"R_" &amp; INDEX(Joined!$A$3:$M$2000, MATCH($A297, Joined!$I$3:$I$2000, FALSE), 7)</f>
        <v>R_VAV-7W-4</v>
      </c>
      <c r="AG297" t="str">
        <f>"B_01'" &amp; "Flr_0" &amp; INDEX(Joined!$A$3:$M$2000, MATCH($A297, Joined!$I$3:$I$2000, FALSE), 8)</f>
        <v>B_01'Flr_07</v>
      </c>
      <c r="AH297" t="str">
        <f>INDEX(Joined!$A$3:$M$2000, MATCH($A297, Joined!$I$3:$I$2000, FALSE), 7)</f>
        <v>VAV-7W-4</v>
      </c>
      <c r="AI297" t="s">
        <v>1625</v>
      </c>
    </row>
    <row r="298" spans="1:35" x14ac:dyDescent="0.2">
      <c r="A298" t="s">
        <v>786</v>
      </c>
      <c r="B298" t="str">
        <f>"B_01'" &amp; "Flr_0" &amp; INDEX(Joined!$A$3:$M$2000, MATCH($A298, Joined!$I$3:$I$2000, FALSE), 8)</f>
        <v>B_01'Flr_07</v>
      </c>
      <c r="C298" t="str">
        <f>INDEX(Joined!$A$3:$M$2000, MATCH($A298, Joined!$I$3:$I$2000, FALSE), 7)</f>
        <v>VAV-7W-40</v>
      </c>
      <c r="D298">
        <f>INDEX(Joined!$A$3:$M$2000, MATCH($A298, Joined!$I$3:$I$2000, FALSE), 5)</f>
        <v>151813</v>
      </c>
      <c r="E298" t="str">
        <f>INDEX(Joined!$A$3:$M$2000, MATCH($A298, Joined!$I$3:$I$2000, FALSE), 7)</f>
        <v>VAV-7W-40</v>
      </c>
      <c r="F298" t="s">
        <v>38</v>
      </c>
      <c r="G298" t="str">
        <f>INDEX(Schedule!$Q$2:$R$7, MATCH(ABT!$H298,Schedule!$Q$2:$Q$7, 0), 2)</f>
        <v>15010_DXR_VAV_DXR2M12</v>
      </c>
      <c r="H298">
        <f>INDEX(Joined!$A$3:$M$2000, MATCH($A298, Joined!$I$3:$I$2000, FALSE), 6)</f>
        <v>15010</v>
      </c>
      <c r="I298" t="str">
        <f>INDEX(Joined!$A$3:$M$2000, MATCH($A298, Joined!$I$3:$I$2000, FALSE), 4)</f>
        <v>518</v>
      </c>
      <c r="J298" t="b">
        <v>0</v>
      </c>
      <c r="K298">
        <f>INDEX(Joined!$A$3:$M$2000, MATCH($A298, Joined!$I$3:$I$2000, FALSE), 3)</f>
        <v>13</v>
      </c>
      <c r="L298">
        <v>85</v>
      </c>
      <c r="M298">
        <v>38400</v>
      </c>
      <c r="N298" s="27">
        <f>PI()*(INDEX(Schedule!$A$1:$N$2000, MATCH($C298, VAV_Schedule_5_21[[#All],[UNIT TAG]], FALSE), 4)/2/12)^2</f>
        <v>0.19634954084936207</v>
      </c>
      <c r="O298" s="27">
        <f>INDEX(Schedule!$A$1:$N$2000, MATCH($C298, VAV_Schedule_5_21[[#All],[UNIT TAG]], FALSE), 4)</f>
        <v>6</v>
      </c>
      <c r="P298">
        <v>296.63</v>
      </c>
      <c r="Q298" s="27">
        <f>INDEX(Schedule!$A$1:$N$2000, MATCH($C298, VAV_Schedule_5_21[[#All],[UNIT TAG]], FALSE), 5)</f>
        <v>200</v>
      </c>
      <c r="R298" s="27">
        <f>INDEX(Schedule!$A$1:$N$2000, MATCH($C298, VAV_Schedule_5_21[[#All],[UNIT TAG]], FALSE), 6)</f>
        <v>40</v>
      </c>
      <c r="S298" s="27">
        <f>INDEX(Schedule!$A$1:$N$2000, MATCH($C298, VAV_Schedule_5_21[[#All],[UNIT TAG]], FALSE), 5)</f>
        <v>200</v>
      </c>
      <c r="T298" s="27">
        <f>INDEX(Schedule!$A$1:$N$2000, MATCH($C298, VAV_Schedule_5_21[[#All],[UNIT TAG]], FALSE), 6)</f>
        <v>40</v>
      </c>
      <c r="U298" s="27">
        <f>INDEX(Schedule!$A$1:$N$2000, MATCH($C298, VAV_Schedule_5_21[[#All],[UNIT TAG]], FALSE), 5)</f>
        <v>200</v>
      </c>
      <c r="V298" s="27">
        <f>INDEX(Schedule!$A$1:$N$2000, MATCH($C298, VAV_Schedule_5_21[[#All],[UNIT TAG]], FALSE), 6)</f>
        <v>40</v>
      </c>
      <c r="W298" s="27">
        <f>INDEX(Schedule!$A$1:$N$2000, MATCH($C298, VAV_Schedule_5_21[[#All],[UNIT TAG]], FALSE), 6)</f>
        <v>40</v>
      </c>
      <c r="X298" s="27">
        <f>INDEX(Schedule!$A$1:$N$2000, MATCH($C298, VAV_Schedule_5_21[[#All],[UNIT TAG]], FALSE), 6)</f>
        <v>40</v>
      </c>
      <c r="Y298" s="27">
        <f>INDEX(Schedule!$A$1:$N$2000, MATCH($C298, VAV_Schedule_5_21[[#All],[UNIT TAG]], FALSE), 6)</f>
        <v>40</v>
      </c>
      <c r="Z298" s="27">
        <f>INDEX(Schedule!$A$1:$N$2000, MATCH($C298, VAV_Schedule_5_21[[#All],[UNIT TAG]], FALSE), 6)</f>
        <v>40</v>
      </c>
      <c r="AA298" s="27">
        <v>1000</v>
      </c>
      <c r="AB298" s="27">
        <v>1100</v>
      </c>
      <c r="AC298">
        <v>1400</v>
      </c>
      <c r="AD298" s="29">
        <f>IF(INDEX(Schedule!$A$1:$N$2000, MATCH($C298, VAV_Schedule_5_21[[#All],[UNIT TAG]], FALSE), 7)="-", 0, INDEX(Schedule!$A$1:$N$2000, MATCH($C298, VAV_Schedule_5_21[[#All],[UNIT TAG]], FALSE), 7))</f>
        <v>0</v>
      </c>
      <c r="AE298" t="str">
        <f>"B_01'" &amp; "Flr_0" &amp; INDEX(Joined!$A$3:$M$2000, MATCH($A298, Joined!$I$3:$I$2000, FALSE), 8)</f>
        <v>B_01'Flr_07</v>
      </c>
      <c r="AF298" t="str">
        <f>"R_" &amp; INDEX(Joined!$A$3:$M$2000, MATCH($A298, Joined!$I$3:$I$2000, FALSE), 7)</f>
        <v>R_VAV-7W-40</v>
      </c>
      <c r="AG298" t="str">
        <f>"B_01'" &amp; "Flr_0" &amp; INDEX(Joined!$A$3:$M$2000, MATCH($A298, Joined!$I$3:$I$2000, FALSE), 8)</f>
        <v>B_01'Flr_07</v>
      </c>
      <c r="AH298" t="str">
        <f>INDEX(Joined!$A$3:$M$2000, MATCH($A298, Joined!$I$3:$I$2000, FALSE), 7)</f>
        <v>VAV-7W-40</v>
      </c>
      <c r="AI298" t="s">
        <v>1626</v>
      </c>
    </row>
    <row r="299" spans="1:35" x14ac:dyDescent="0.2">
      <c r="A299" t="s">
        <v>787</v>
      </c>
      <c r="B299" t="str">
        <f>"B_01'" &amp; "Flr_0" &amp; INDEX(Joined!$A$3:$M$2000, MATCH($A299, Joined!$I$3:$I$2000, FALSE), 8)</f>
        <v>B_01'Flr_07</v>
      </c>
      <c r="C299" t="str">
        <f>INDEX(Joined!$A$3:$M$2000, MATCH($A299, Joined!$I$3:$I$2000, FALSE), 7)</f>
        <v>VAV-7W-41</v>
      </c>
      <c r="D299">
        <f>INDEX(Joined!$A$3:$M$2000, MATCH($A299, Joined!$I$3:$I$2000, FALSE), 5)</f>
        <v>151814</v>
      </c>
      <c r="E299" t="str">
        <f>INDEX(Joined!$A$3:$M$2000, MATCH($A299, Joined!$I$3:$I$2000, FALSE), 7)</f>
        <v>VAV-7W-41</v>
      </c>
      <c r="F299" t="s">
        <v>38</v>
      </c>
      <c r="G299" t="str">
        <f>INDEX(Schedule!$Q$2:$R$7, MATCH(ABT!$H299,Schedule!$Q$2:$Q$7, 0), 2)</f>
        <v>15011_DXR_VAV_DXR2M12</v>
      </c>
      <c r="H299">
        <f>INDEX(Joined!$A$3:$M$2000, MATCH($A299, Joined!$I$3:$I$2000, FALSE), 6)</f>
        <v>15011</v>
      </c>
      <c r="I299" t="str">
        <f>INDEX(Joined!$A$3:$M$2000, MATCH($A299, Joined!$I$3:$I$2000, FALSE), 4)</f>
        <v>518</v>
      </c>
      <c r="J299" t="b">
        <v>0</v>
      </c>
      <c r="K299">
        <f>INDEX(Joined!$A$3:$M$2000, MATCH($A299, Joined!$I$3:$I$2000, FALSE), 3)</f>
        <v>14</v>
      </c>
      <c r="L299">
        <v>85</v>
      </c>
      <c r="M299">
        <v>38400</v>
      </c>
      <c r="N299" s="27">
        <f>PI()*(INDEX(Schedule!$A$1:$N$2000, MATCH($C299, VAV_Schedule_5_21[[#All],[UNIT TAG]], FALSE), 4)/2/12)^2</f>
        <v>0.78539816339744828</v>
      </c>
      <c r="O299" s="27">
        <f>INDEX(Schedule!$A$1:$N$2000, MATCH($C299, VAV_Schedule_5_21[[#All],[UNIT TAG]], FALSE), 4)</f>
        <v>12</v>
      </c>
      <c r="P299">
        <v>297.63</v>
      </c>
      <c r="Q299" s="27">
        <f>INDEX(Schedule!$A$1:$N$2000, MATCH($C299, VAV_Schedule_5_21[[#All],[UNIT TAG]], FALSE), 5)</f>
        <v>1220</v>
      </c>
      <c r="R299" s="27">
        <f>INDEX(Schedule!$A$1:$N$2000, MATCH($C299, VAV_Schedule_5_21[[#All],[UNIT TAG]], FALSE), 6)</f>
        <v>245</v>
      </c>
      <c r="S299" s="27">
        <f>INDEX(Schedule!$A$1:$N$2000, MATCH($C299, VAV_Schedule_5_21[[#All],[UNIT TAG]], FALSE), 5)</f>
        <v>1220</v>
      </c>
      <c r="T299" s="27">
        <f>INDEX(Schedule!$A$1:$N$2000, MATCH($C299, VAV_Schedule_5_21[[#All],[UNIT TAG]], FALSE), 6)</f>
        <v>245</v>
      </c>
      <c r="U299" s="27">
        <f>INDEX(Schedule!$A$1:$N$2000, MATCH($C299, VAV_Schedule_5_21[[#All],[UNIT TAG]], FALSE), 5)</f>
        <v>1220</v>
      </c>
      <c r="V299" s="27">
        <f>INDEX(Schedule!$A$1:$N$2000, MATCH($C299, VAV_Schedule_5_21[[#All],[UNIT TAG]], FALSE), 6)</f>
        <v>245</v>
      </c>
      <c r="W299" s="27">
        <f>INDEX(Schedule!$A$1:$N$2000, MATCH($C299, VAV_Schedule_5_21[[#All],[UNIT TAG]], FALSE), 6)</f>
        <v>245</v>
      </c>
      <c r="X299" s="27">
        <f>INDEX(Schedule!$A$1:$N$2000, MATCH($C299, VAV_Schedule_5_21[[#All],[UNIT TAG]], FALSE), 6)</f>
        <v>245</v>
      </c>
      <c r="Y299" s="27">
        <f>INDEX(Schedule!$A$1:$N$2000, MATCH($C299, VAV_Schedule_5_21[[#All],[UNIT TAG]], FALSE), 6)</f>
        <v>245</v>
      </c>
      <c r="Z299" s="27">
        <f>INDEX(Schedule!$A$1:$N$2000, MATCH($C299, VAV_Schedule_5_21[[#All],[UNIT TAG]], FALSE), 6)</f>
        <v>245</v>
      </c>
      <c r="AA299" s="27">
        <v>1000</v>
      </c>
      <c r="AB299" s="27">
        <v>1100</v>
      </c>
      <c r="AC299">
        <v>1400</v>
      </c>
      <c r="AD299" s="29" t="str">
        <f>IF(INDEX(Schedule!$A$1:$N$2000, MATCH($C299, VAV_Schedule_5_21[[#All],[UNIT TAG]], FALSE), 7)="-", 0, INDEX(Schedule!$A$1:$N$2000, MATCH($C299, VAV_Schedule_5_21[[#All],[UNIT TAG]], FALSE), 7))</f>
        <v>7</v>
      </c>
      <c r="AE299" t="str">
        <f>"B_01'" &amp; "Flr_0" &amp; INDEX(Joined!$A$3:$M$2000, MATCH($A299, Joined!$I$3:$I$2000, FALSE), 8)</f>
        <v>B_01'Flr_07</v>
      </c>
      <c r="AF299" t="str">
        <f>"R_" &amp; INDEX(Joined!$A$3:$M$2000, MATCH($A299, Joined!$I$3:$I$2000, FALSE), 7)</f>
        <v>R_VAV-7W-41</v>
      </c>
      <c r="AG299" t="str">
        <f>"B_01'" &amp; "Flr_0" &amp; INDEX(Joined!$A$3:$M$2000, MATCH($A299, Joined!$I$3:$I$2000, FALSE), 8)</f>
        <v>B_01'Flr_07</v>
      </c>
      <c r="AH299" t="str">
        <f>INDEX(Joined!$A$3:$M$2000, MATCH($A299, Joined!$I$3:$I$2000, FALSE), 7)</f>
        <v>VAV-7W-41</v>
      </c>
      <c r="AI299" t="s">
        <v>1627</v>
      </c>
    </row>
    <row r="300" spans="1:35" x14ac:dyDescent="0.2">
      <c r="A300" t="s">
        <v>788</v>
      </c>
      <c r="B300" t="str">
        <f>"B_01'" &amp; "Flr_0" &amp; INDEX(Joined!$A$3:$M$2000, MATCH($A300, Joined!$I$3:$I$2000, FALSE), 8)</f>
        <v>B_01'Flr_07</v>
      </c>
      <c r="C300" t="str">
        <f>INDEX(Joined!$A$3:$M$2000, MATCH($A300, Joined!$I$3:$I$2000, FALSE), 7)</f>
        <v>VAV-7W-42</v>
      </c>
      <c r="D300">
        <f>INDEX(Joined!$A$3:$M$2000, MATCH($A300, Joined!$I$3:$I$2000, FALSE), 5)</f>
        <v>151815</v>
      </c>
      <c r="E300" t="str">
        <f>INDEX(Joined!$A$3:$M$2000, MATCH($A300, Joined!$I$3:$I$2000, FALSE), 7)</f>
        <v>VAV-7W-42</v>
      </c>
      <c r="F300" t="s">
        <v>38</v>
      </c>
      <c r="G300" t="str">
        <f>INDEX(Schedule!$Q$2:$R$7, MATCH(ABT!$H300,Schedule!$Q$2:$Q$7, 0), 2)</f>
        <v>15011_DXR_VAV_DXR2M12</v>
      </c>
      <c r="H300">
        <f>INDEX(Joined!$A$3:$M$2000, MATCH($A300, Joined!$I$3:$I$2000, FALSE), 6)</f>
        <v>15011</v>
      </c>
      <c r="I300" t="str">
        <f>INDEX(Joined!$A$3:$M$2000, MATCH($A300, Joined!$I$3:$I$2000, FALSE), 4)</f>
        <v>518</v>
      </c>
      <c r="J300" t="b">
        <v>0</v>
      </c>
      <c r="K300">
        <f>INDEX(Joined!$A$3:$M$2000, MATCH($A300, Joined!$I$3:$I$2000, FALSE), 3)</f>
        <v>15</v>
      </c>
      <c r="L300">
        <v>85</v>
      </c>
      <c r="M300">
        <v>38400</v>
      </c>
      <c r="N300" s="27">
        <f>PI()*(INDEX(Schedule!$A$1:$N$2000, MATCH($C300, VAV_Schedule_5_21[[#All],[UNIT TAG]], FALSE), 4)/2/12)^2</f>
        <v>0.54541539124822802</v>
      </c>
      <c r="O300" s="27">
        <f>INDEX(Schedule!$A$1:$N$2000, MATCH($C300, VAV_Schedule_5_21[[#All],[UNIT TAG]], FALSE), 4)</f>
        <v>10</v>
      </c>
      <c r="P300">
        <v>298.63</v>
      </c>
      <c r="Q300" s="27">
        <f>INDEX(Schedule!$A$1:$N$2000, MATCH($C300, VAV_Schedule_5_21[[#All],[UNIT TAG]], FALSE), 5)</f>
        <v>940</v>
      </c>
      <c r="R300" s="27">
        <f>INDEX(Schedule!$A$1:$N$2000, MATCH($C300, VAV_Schedule_5_21[[#All],[UNIT TAG]], FALSE), 6)</f>
        <v>190</v>
      </c>
      <c r="S300" s="27">
        <f>INDEX(Schedule!$A$1:$N$2000, MATCH($C300, VAV_Schedule_5_21[[#All],[UNIT TAG]], FALSE), 5)</f>
        <v>940</v>
      </c>
      <c r="T300" s="27">
        <f>INDEX(Schedule!$A$1:$N$2000, MATCH($C300, VAV_Schedule_5_21[[#All],[UNIT TAG]], FALSE), 6)</f>
        <v>190</v>
      </c>
      <c r="U300" s="27">
        <f>INDEX(Schedule!$A$1:$N$2000, MATCH($C300, VAV_Schedule_5_21[[#All],[UNIT TAG]], FALSE), 5)</f>
        <v>940</v>
      </c>
      <c r="V300" s="27">
        <f>INDEX(Schedule!$A$1:$N$2000, MATCH($C300, VAV_Schedule_5_21[[#All],[UNIT TAG]], FALSE), 6)</f>
        <v>190</v>
      </c>
      <c r="W300" s="27">
        <f>INDEX(Schedule!$A$1:$N$2000, MATCH($C300, VAV_Schedule_5_21[[#All],[UNIT TAG]], FALSE), 6)</f>
        <v>190</v>
      </c>
      <c r="X300" s="27">
        <f>INDEX(Schedule!$A$1:$N$2000, MATCH($C300, VAV_Schedule_5_21[[#All],[UNIT TAG]], FALSE), 6)</f>
        <v>190</v>
      </c>
      <c r="Y300" s="27">
        <f>INDEX(Schedule!$A$1:$N$2000, MATCH($C300, VAV_Schedule_5_21[[#All],[UNIT TAG]], FALSE), 6)</f>
        <v>190</v>
      </c>
      <c r="Z300" s="27">
        <f>INDEX(Schedule!$A$1:$N$2000, MATCH($C300, VAV_Schedule_5_21[[#All],[UNIT TAG]], FALSE), 6)</f>
        <v>190</v>
      </c>
      <c r="AA300" s="27">
        <v>1000</v>
      </c>
      <c r="AB300" s="27">
        <v>1100</v>
      </c>
      <c r="AC300">
        <v>1400</v>
      </c>
      <c r="AD300" s="29" t="str">
        <f>IF(INDEX(Schedule!$A$1:$N$2000, MATCH($C300, VAV_Schedule_5_21[[#All],[UNIT TAG]], FALSE), 7)="-", 0, INDEX(Schedule!$A$1:$N$2000, MATCH($C300, VAV_Schedule_5_21[[#All],[UNIT TAG]], FALSE), 7))</f>
        <v>6</v>
      </c>
      <c r="AE300" t="str">
        <f>"B_01'" &amp; "Flr_0" &amp; INDEX(Joined!$A$3:$M$2000, MATCH($A300, Joined!$I$3:$I$2000, FALSE), 8)</f>
        <v>B_01'Flr_07</v>
      </c>
      <c r="AF300" t="str">
        <f>"R_" &amp; INDEX(Joined!$A$3:$M$2000, MATCH($A300, Joined!$I$3:$I$2000, FALSE), 7)</f>
        <v>R_VAV-7W-42</v>
      </c>
      <c r="AG300" t="str">
        <f>"B_01'" &amp; "Flr_0" &amp; INDEX(Joined!$A$3:$M$2000, MATCH($A300, Joined!$I$3:$I$2000, FALSE), 8)</f>
        <v>B_01'Flr_07</v>
      </c>
      <c r="AH300" t="str">
        <f>INDEX(Joined!$A$3:$M$2000, MATCH($A300, Joined!$I$3:$I$2000, FALSE), 7)</f>
        <v>VAV-7W-42</v>
      </c>
      <c r="AI300" t="s">
        <v>1628</v>
      </c>
    </row>
    <row r="301" spans="1:35" x14ac:dyDescent="0.2">
      <c r="A301" t="s">
        <v>789</v>
      </c>
      <c r="B301" t="str">
        <f>"B_01'" &amp; "Flr_0" &amp; INDEX(Joined!$A$3:$M$2000, MATCH($A301, Joined!$I$3:$I$2000, FALSE), 8)</f>
        <v>B_01'Flr_07</v>
      </c>
      <c r="C301" t="str">
        <f>INDEX(Joined!$A$3:$M$2000, MATCH($A301, Joined!$I$3:$I$2000, FALSE), 7)</f>
        <v>VAV-7W-43</v>
      </c>
      <c r="D301">
        <f>INDEX(Joined!$A$3:$M$2000, MATCH($A301, Joined!$I$3:$I$2000, FALSE), 5)</f>
        <v>151816</v>
      </c>
      <c r="E301" t="str">
        <f>INDEX(Joined!$A$3:$M$2000, MATCH($A301, Joined!$I$3:$I$2000, FALSE), 7)</f>
        <v>VAV-7W-43</v>
      </c>
      <c r="F301" t="s">
        <v>38</v>
      </c>
      <c r="G301" t="str">
        <f>INDEX(Schedule!$Q$2:$R$7, MATCH(ABT!$H301,Schedule!$Q$2:$Q$7, 0), 2)</f>
        <v>15011_DXR_VAV_DXR2M12</v>
      </c>
      <c r="H301">
        <f>INDEX(Joined!$A$3:$M$2000, MATCH($A301, Joined!$I$3:$I$2000, FALSE), 6)</f>
        <v>15011</v>
      </c>
      <c r="I301" t="str">
        <f>INDEX(Joined!$A$3:$M$2000, MATCH($A301, Joined!$I$3:$I$2000, FALSE), 4)</f>
        <v>518</v>
      </c>
      <c r="J301" t="b">
        <v>0</v>
      </c>
      <c r="K301">
        <f>INDEX(Joined!$A$3:$M$2000, MATCH($A301, Joined!$I$3:$I$2000, FALSE), 3)</f>
        <v>16</v>
      </c>
      <c r="L301">
        <v>85</v>
      </c>
      <c r="M301">
        <v>38400</v>
      </c>
      <c r="N301" s="27">
        <f>PI()*(INDEX(Schedule!$A$1:$N$2000, MATCH($C301, VAV_Schedule_5_21[[#All],[UNIT TAG]], FALSE), 4)/2/12)^2</f>
        <v>0.78539816339744828</v>
      </c>
      <c r="O301" s="27">
        <f>INDEX(Schedule!$A$1:$N$2000, MATCH($C301, VAV_Schedule_5_21[[#All],[UNIT TAG]], FALSE), 4)</f>
        <v>12</v>
      </c>
      <c r="P301">
        <v>299.63</v>
      </c>
      <c r="Q301" s="27">
        <f>INDEX(Schedule!$A$1:$N$2000, MATCH($C301, VAV_Schedule_5_21[[#All],[UNIT TAG]], FALSE), 5)</f>
        <v>1220</v>
      </c>
      <c r="R301" s="27">
        <f>INDEX(Schedule!$A$1:$N$2000, MATCH($C301, VAV_Schedule_5_21[[#All],[UNIT TAG]], FALSE), 6)</f>
        <v>245</v>
      </c>
      <c r="S301" s="27">
        <f>INDEX(Schedule!$A$1:$N$2000, MATCH($C301, VAV_Schedule_5_21[[#All],[UNIT TAG]], FALSE), 5)</f>
        <v>1220</v>
      </c>
      <c r="T301" s="27">
        <f>INDEX(Schedule!$A$1:$N$2000, MATCH($C301, VAV_Schedule_5_21[[#All],[UNIT TAG]], FALSE), 6)</f>
        <v>245</v>
      </c>
      <c r="U301" s="27">
        <f>INDEX(Schedule!$A$1:$N$2000, MATCH($C301, VAV_Schedule_5_21[[#All],[UNIT TAG]], FALSE), 5)</f>
        <v>1220</v>
      </c>
      <c r="V301" s="27">
        <f>INDEX(Schedule!$A$1:$N$2000, MATCH($C301, VAV_Schedule_5_21[[#All],[UNIT TAG]], FALSE), 6)</f>
        <v>245</v>
      </c>
      <c r="W301" s="27">
        <f>INDEX(Schedule!$A$1:$N$2000, MATCH($C301, VAV_Schedule_5_21[[#All],[UNIT TAG]], FALSE), 6)</f>
        <v>245</v>
      </c>
      <c r="X301" s="27">
        <f>INDEX(Schedule!$A$1:$N$2000, MATCH($C301, VAV_Schedule_5_21[[#All],[UNIT TAG]], FALSE), 6)</f>
        <v>245</v>
      </c>
      <c r="Y301" s="27">
        <f>INDEX(Schedule!$A$1:$N$2000, MATCH($C301, VAV_Schedule_5_21[[#All],[UNIT TAG]], FALSE), 6)</f>
        <v>245</v>
      </c>
      <c r="Z301" s="27">
        <f>INDEX(Schedule!$A$1:$N$2000, MATCH($C301, VAV_Schedule_5_21[[#All],[UNIT TAG]], FALSE), 6)</f>
        <v>245</v>
      </c>
      <c r="AA301" s="27">
        <v>1000</v>
      </c>
      <c r="AB301" s="27">
        <v>1100</v>
      </c>
      <c r="AC301">
        <v>1400</v>
      </c>
      <c r="AD301" s="29" t="str">
        <f>IF(INDEX(Schedule!$A$1:$N$2000, MATCH($C301, VAV_Schedule_5_21[[#All],[UNIT TAG]], FALSE), 7)="-", 0, INDEX(Schedule!$A$1:$N$2000, MATCH($C301, VAV_Schedule_5_21[[#All],[UNIT TAG]], FALSE), 7))</f>
        <v>7</v>
      </c>
      <c r="AE301" t="str">
        <f>"B_01'" &amp; "Flr_0" &amp; INDEX(Joined!$A$3:$M$2000, MATCH($A301, Joined!$I$3:$I$2000, FALSE), 8)</f>
        <v>B_01'Flr_07</v>
      </c>
      <c r="AF301" t="str">
        <f>"R_" &amp; INDEX(Joined!$A$3:$M$2000, MATCH($A301, Joined!$I$3:$I$2000, FALSE), 7)</f>
        <v>R_VAV-7W-43</v>
      </c>
      <c r="AG301" t="str">
        <f>"B_01'" &amp; "Flr_0" &amp; INDEX(Joined!$A$3:$M$2000, MATCH($A301, Joined!$I$3:$I$2000, FALSE), 8)</f>
        <v>B_01'Flr_07</v>
      </c>
      <c r="AH301" t="str">
        <f>INDEX(Joined!$A$3:$M$2000, MATCH($A301, Joined!$I$3:$I$2000, FALSE), 7)</f>
        <v>VAV-7W-43</v>
      </c>
      <c r="AI301" t="s">
        <v>1629</v>
      </c>
    </row>
    <row r="302" spans="1:35" x14ac:dyDescent="0.2">
      <c r="A302" t="s">
        <v>790</v>
      </c>
      <c r="B302" t="str">
        <f>"B_01'" &amp; "Flr_0" &amp; INDEX(Joined!$A$3:$M$2000, MATCH($A302, Joined!$I$3:$I$2000, FALSE), 8)</f>
        <v>B_01'Flr_07</v>
      </c>
      <c r="C302" t="str">
        <f>INDEX(Joined!$A$3:$M$2000, MATCH($A302, Joined!$I$3:$I$2000, FALSE), 7)</f>
        <v>VAV-7W-44</v>
      </c>
      <c r="D302">
        <f>INDEX(Joined!$A$3:$M$2000, MATCH($A302, Joined!$I$3:$I$2000, FALSE), 5)</f>
        <v>151817</v>
      </c>
      <c r="E302" t="str">
        <f>INDEX(Joined!$A$3:$M$2000, MATCH($A302, Joined!$I$3:$I$2000, FALSE), 7)</f>
        <v>VAV-7W-44</v>
      </c>
      <c r="F302" t="s">
        <v>38</v>
      </c>
      <c r="G302" t="str">
        <f>INDEX(Schedule!$Q$2:$R$7, MATCH(ABT!$H302,Schedule!$Q$2:$Q$7, 0), 2)</f>
        <v>15010_DXR_VAV_DXR2M12</v>
      </c>
      <c r="H302">
        <f>INDEX(Joined!$A$3:$M$2000, MATCH($A302, Joined!$I$3:$I$2000, FALSE), 6)</f>
        <v>15010</v>
      </c>
      <c r="I302" t="str">
        <f>INDEX(Joined!$A$3:$M$2000, MATCH($A302, Joined!$I$3:$I$2000, FALSE), 4)</f>
        <v>518</v>
      </c>
      <c r="J302" t="b">
        <v>0</v>
      </c>
      <c r="K302">
        <f>INDEX(Joined!$A$3:$M$2000, MATCH($A302, Joined!$I$3:$I$2000, FALSE), 3)</f>
        <v>17</v>
      </c>
      <c r="L302">
        <v>85</v>
      </c>
      <c r="M302">
        <v>38400</v>
      </c>
      <c r="N302" s="27">
        <f>PI()*(INDEX(Schedule!$A$1:$N$2000, MATCH($C302, VAV_Schedule_5_21[[#All],[UNIT TAG]], FALSE), 4)/2/12)^2</f>
        <v>0.19634954084936207</v>
      </c>
      <c r="O302" s="27">
        <f>INDEX(Schedule!$A$1:$N$2000, MATCH($C302, VAV_Schedule_5_21[[#All],[UNIT TAG]], FALSE), 4)</f>
        <v>6</v>
      </c>
      <c r="P302">
        <v>300.63</v>
      </c>
      <c r="Q302" s="27">
        <f>INDEX(Schedule!$A$1:$N$2000, MATCH($C302, VAV_Schedule_5_21[[#All],[UNIT TAG]], FALSE), 5)</f>
        <v>200</v>
      </c>
      <c r="R302" s="27">
        <f>INDEX(Schedule!$A$1:$N$2000, MATCH($C302, VAV_Schedule_5_21[[#All],[UNIT TAG]], FALSE), 6)</f>
        <v>40</v>
      </c>
      <c r="S302" s="27">
        <f>INDEX(Schedule!$A$1:$N$2000, MATCH($C302, VAV_Schedule_5_21[[#All],[UNIT TAG]], FALSE), 5)</f>
        <v>200</v>
      </c>
      <c r="T302" s="27">
        <f>INDEX(Schedule!$A$1:$N$2000, MATCH($C302, VAV_Schedule_5_21[[#All],[UNIT TAG]], FALSE), 6)</f>
        <v>40</v>
      </c>
      <c r="U302" s="27">
        <f>INDEX(Schedule!$A$1:$N$2000, MATCH($C302, VAV_Schedule_5_21[[#All],[UNIT TAG]], FALSE), 5)</f>
        <v>200</v>
      </c>
      <c r="V302" s="27">
        <f>INDEX(Schedule!$A$1:$N$2000, MATCH($C302, VAV_Schedule_5_21[[#All],[UNIT TAG]], FALSE), 6)</f>
        <v>40</v>
      </c>
      <c r="W302" s="27">
        <f>INDEX(Schedule!$A$1:$N$2000, MATCH($C302, VAV_Schedule_5_21[[#All],[UNIT TAG]], FALSE), 6)</f>
        <v>40</v>
      </c>
      <c r="X302" s="27">
        <f>INDEX(Schedule!$A$1:$N$2000, MATCH($C302, VAV_Schedule_5_21[[#All],[UNIT TAG]], FALSE), 6)</f>
        <v>40</v>
      </c>
      <c r="Y302" s="27">
        <f>INDEX(Schedule!$A$1:$N$2000, MATCH($C302, VAV_Schedule_5_21[[#All],[UNIT TAG]], FALSE), 6)</f>
        <v>40</v>
      </c>
      <c r="Z302" s="27">
        <f>INDEX(Schedule!$A$1:$N$2000, MATCH($C302, VAV_Schedule_5_21[[#All],[UNIT TAG]], FALSE), 6)</f>
        <v>40</v>
      </c>
      <c r="AA302" s="27">
        <v>1000</v>
      </c>
      <c r="AB302" s="27">
        <v>1100</v>
      </c>
      <c r="AC302">
        <v>1400</v>
      </c>
      <c r="AD302" s="29">
        <f>IF(INDEX(Schedule!$A$1:$N$2000, MATCH($C302, VAV_Schedule_5_21[[#All],[UNIT TAG]], FALSE), 7)="-", 0, INDEX(Schedule!$A$1:$N$2000, MATCH($C302, VAV_Schedule_5_21[[#All],[UNIT TAG]], FALSE), 7))</f>
        <v>0</v>
      </c>
      <c r="AE302" t="str">
        <f>"B_01'" &amp; "Flr_0" &amp; INDEX(Joined!$A$3:$M$2000, MATCH($A302, Joined!$I$3:$I$2000, FALSE), 8)</f>
        <v>B_01'Flr_07</v>
      </c>
      <c r="AF302" t="str">
        <f>"R_" &amp; INDEX(Joined!$A$3:$M$2000, MATCH($A302, Joined!$I$3:$I$2000, FALSE), 7)</f>
        <v>R_VAV-7W-44</v>
      </c>
      <c r="AG302" t="str">
        <f>"B_01'" &amp; "Flr_0" &amp; INDEX(Joined!$A$3:$M$2000, MATCH($A302, Joined!$I$3:$I$2000, FALSE), 8)</f>
        <v>B_01'Flr_07</v>
      </c>
      <c r="AH302" t="str">
        <f>INDEX(Joined!$A$3:$M$2000, MATCH($A302, Joined!$I$3:$I$2000, FALSE), 7)</f>
        <v>VAV-7W-44</v>
      </c>
      <c r="AI302" t="s">
        <v>1630</v>
      </c>
    </row>
    <row r="303" spans="1:35" x14ac:dyDescent="0.2">
      <c r="A303" t="s">
        <v>805</v>
      </c>
      <c r="B303" t="str">
        <f>"B_01'" &amp; "Flr_0" &amp; INDEX(Joined!$A$3:$M$2000, MATCH($A303, Joined!$I$3:$I$2000, FALSE), 8)</f>
        <v>B_01'Flr_08</v>
      </c>
      <c r="C303" t="str">
        <f>INDEX(Joined!$A$3:$M$2000, MATCH($A303, Joined!$I$3:$I$2000, FALSE), 7)</f>
        <v>VAV-8E-14</v>
      </c>
      <c r="D303">
        <f>INDEX(Joined!$A$3:$M$2000, MATCH($A303, Joined!$I$3:$I$2000, FALSE), 5)</f>
        <v>152001</v>
      </c>
      <c r="E303" t="str">
        <f>INDEX(Joined!$A$3:$M$2000, MATCH($A303, Joined!$I$3:$I$2000, FALSE), 7)</f>
        <v>VAV-8E-14</v>
      </c>
      <c r="F303" t="s">
        <v>38</v>
      </c>
      <c r="G303" t="str">
        <f>INDEX(Schedule!$Q$2:$R$7, MATCH(ABT!$H303,Schedule!$Q$2:$Q$7, 0), 2)</f>
        <v>15011_DXR_VAV_DXR2M12</v>
      </c>
      <c r="H303">
        <f>INDEX(Joined!$A$3:$M$2000, MATCH($A303, Joined!$I$3:$I$2000, FALSE), 6)</f>
        <v>15011</v>
      </c>
      <c r="I303" t="str">
        <f>INDEX(Joined!$A$3:$M$2000, MATCH($A303, Joined!$I$3:$I$2000, FALSE), 4)</f>
        <v>520</v>
      </c>
      <c r="J303" t="b">
        <v>0</v>
      </c>
      <c r="K303">
        <f>INDEX(Joined!$A$3:$M$2000, MATCH($A303, Joined!$I$3:$I$2000, FALSE), 3)</f>
        <v>1</v>
      </c>
      <c r="L303">
        <v>85</v>
      </c>
      <c r="M303">
        <v>38400</v>
      </c>
      <c r="N303" s="27">
        <f>PI()*(INDEX(Schedule!$A$1:$N$2000, MATCH($C303, VAV_Schedule_5_21[[#All],[UNIT TAG]], FALSE), 4)/2/12)^2</f>
        <v>0.54541539124822802</v>
      </c>
      <c r="O303" s="27">
        <f>INDEX(Schedule!$A$1:$N$2000, MATCH($C303, VAV_Schedule_5_21[[#All],[UNIT TAG]], FALSE), 4)</f>
        <v>10</v>
      </c>
      <c r="P303">
        <v>301.63</v>
      </c>
      <c r="Q303" s="27">
        <f>INDEX(Schedule!$A$1:$N$2000, MATCH($C303, VAV_Schedule_5_21[[#All],[UNIT TAG]], FALSE), 5)</f>
        <v>840</v>
      </c>
      <c r="R303" s="27">
        <f>INDEX(Schedule!$A$1:$N$2000, MATCH($C303, VAV_Schedule_5_21[[#All],[UNIT TAG]], FALSE), 6)</f>
        <v>170</v>
      </c>
      <c r="S303" s="27">
        <f>INDEX(Schedule!$A$1:$N$2000, MATCH($C303, VAV_Schedule_5_21[[#All],[UNIT TAG]], FALSE), 5)</f>
        <v>840</v>
      </c>
      <c r="T303" s="27">
        <f>INDEX(Schedule!$A$1:$N$2000, MATCH($C303, VAV_Schedule_5_21[[#All],[UNIT TAG]], FALSE), 6)</f>
        <v>170</v>
      </c>
      <c r="U303" s="27">
        <f>INDEX(Schedule!$A$1:$N$2000, MATCH($C303, VAV_Schedule_5_21[[#All],[UNIT TAG]], FALSE), 5)</f>
        <v>840</v>
      </c>
      <c r="V303" s="27">
        <f>INDEX(Schedule!$A$1:$N$2000, MATCH($C303, VAV_Schedule_5_21[[#All],[UNIT TAG]], FALSE), 6)</f>
        <v>170</v>
      </c>
      <c r="W303" s="27">
        <f>INDEX(Schedule!$A$1:$N$2000, MATCH($C303, VAV_Schedule_5_21[[#All],[UNIT TAG]], FALSE), 6)</f>
        <v>170</v>
      </c>
      <c r="X303" s="27">
        <f>INDEX(Schedule!$A$1:$N$2000, MATCH($C303, VAV_Schedule_5_21[[#All],[UNIT TAG]], FALSE), 6)</f>
        <v>170</v>
      </c>
      <c r="Y303" s="27">
        <f>INDEX(Schedule!$A$1:$N$2000, MATCH($C303, VAV_Schedule_5_21[[#All],[UNIT TAG]], FALSE), 6)</f>
        <v>170</v>
      </c>
      <c r="Z303" s="27">
        <f>INDEX(Schedule!$A$1:$N$2000, MATCH($C303, VAV_Schedule_5_21[[#All],[UNIT TAG]], FALSE), 6)</f>
        <v>170</v>
      </c>
      <c r="AA303" s="27">
        <v>1000</v>
      </c>
      <c r="AB303" s="27">
        <v>1100</v>
      </c>
      <c r="AC303">
        <v>1400</v>
      </c>
      <c r="AD303" s="29" t="str">
        <f>IF(INDEX(Schedule!$A$1:$N$2000, MATCH($C303, VAV_Schedule_5_21[[#All],[UNIT TAG]], FALSE), 7)="-", 0, INDEX(Schedule!$A$1:$N$2000, MATCH($C303, VAV_Schedule_5_21[[#All],[UNIT TAG]], FALSE), 7))</f>
        <v>6</v>
      </c>
      <c r="AE303" t="str">
        <f>"B_01'" &amp; "Flr_0" &amp; INDEX(Joined!$A$3:$M$2000, MATCH($A303, Joined!$I$3:$I$2000, FALSE), 8)</f>
        <v>B_01'Flr_08</v>
      </c>
      <c r="AF303" t="str">
        <f>"R_" &amp; INDEX(Joined!$A$3:$M$2000, MATCH($A303, Joined!$I$3:$I$2000, FALSE), 7)</f>
        <v>R_VAV-8E-14</v>
      </c>
      <c r="AG303" t="str">
        <f>"B_01'" &amp; "Flr_0" &amp; INDEX(Joined!$A$3:$M$2000, MATCH($A303, Joined!$I$3:$I$2000, FALSE), 8)</f>
        <v>B_01'Flr_08</v>
      </c>
      <c r="AH303" t="str">
        <f>INDEX(Joined!$A$3:$M$2000, MATCH($A303, Joined!$I$3:$I$2000, FALSE), 7)</f>
        <v>VAV-8E-14</v>
      </c>
      <c r="AI303" t="s">
        <v>1631</v>
      </c>
    </row>
    <row r="304" spans="1:35" x14ac:dyDescent="0.2">
      <c r="A304" t="s">
        <v>806</v>
      </c>
      <c r="B304" t="str">
        <f>"B_01'" &amp; "Flr_0" &amp; INDEX(Joined!$A$3:$M$2000, MATCH($A304, Joined!$I$3:$I$2000, FALSE), 8)</f>
        <v>B_01'Flr_08</v>
      </c>
      <c r="C304" t="str">
        <f>INDEX(Joined!$A$3:$M$2000, MATCH($A304, Joined!$I$3:$I$2000, FALSE), 7)</f>
        <v>VAV-8E-15</v>
      </c>
      <c r="D304">
        <f>INDEX(Joined!$A$3:$M$2000, MATCH($A304, Joined!$I$3:$I$2000, FALSE), 5)</f>
        <v>152002</v>
      </c>
      <c r="E304" t="str">
        <f>INDEX(Joined!$A$3:$M$2000, MATCH($A304, Joined!$I$3:$I$2000, FALSE), 7)</f>
        <v>VAV-8E-15</v>
      </c>
      <c r="F304" t="s">
        <v>38</v>
      </c>
      <c r="G304" t="str">
        <f>INDEX(Schedule!$Q$2:$R$7, MATCH(ABT!$H304,Schedule!$Q$2:$Q$7, 0), 2)</f>
        <v>15011_DXR_VAV_DXR2M12</v>
      </c>
      <c r="H304">
        <f>INDEX(Joined!$A$3:$M$2000, MATCH($A304, Joined!$I$3:$I$2000, FALSE), 6)</f>
        <v>15011</v>
      </c>
      <c r="I304" t="str">
        <f>INDEX(Joined!$A$3:$M$2000, MATCH($A304, Joined!$I$3:$I$2000, FALSE), 4)</f>
        <v>520</v>
      </c>
      <c r="J304" t="b">
        <v>0</v>
      </c>
      <c r="K304">
        <f>INDEX(Joined!$A$3:$M$2000, MATCH($A304, Joined!$I$3:$I$2000, FALSE), 3)</f>
        <v>2</v>
      </c>
      <c r="L304">
        <v>85</v>
      </c>
      <c r="M304">
        <v>38400</v>
      </c>
      <c r="N304" s="27">
        <f>PI()*(INDEX(Schedule!$A$1:$N$2000, MATCH($C304, VAV_Schedule_5_21[[#All],[UNIT TAG]], FALSE), 4)/2/12)^2</f>
        <v>0.3490658503988659</v>
      </c>
      <c r="O304" s="27">
        <f>INDEX(Schedule!$A$1:$N$2000, MATCH($C304, VAV_Schedule_5_21[[#All],[UNIT TAG]], FALSE), 4)</f>
        <v>8</v>
      </c>
      <c r="P304">
        <v>302.63</v>
      </c>
      <c r="Q304" s="27">
        <f>INDEX(Schedule!$A$1:$N$2000, MATCH($C304, VAV_Schedule_5_21[[#All],[UNIT TAG]], FALSE), 5)</f>
        <v>640</v>
      </c>
      <c r="R304" s="27">
        <f>INDEX(Schedule!$A$1:$N$2000, MATCH($C304, VAV_Schedule_5_21[[#All],[UNIT TAG]], FALSE), 6)</f>
        <v>130</v>
      </c>
      <c r="S304" s="27">
        <f>INDEX(Schedule!$A$1:$N$2000, MATCH($C304, VAV_Schedule_5_21[[#All],[UNIT TAG]], FALSE), 5)</f>
        <v>640</v>
      </c>
      <c r="T304" s="27">
        <f>INDEX(Schedule!$A$1:$N$2000, MATCH($C304, VAV_Schedule_5_21[[#All],[UNIT TAG]], FALSE), 6)</f>
        <v>130</v>
      </c>
      <c r="U304" s="27">
        <f>INDEX(Schedule!$A$1:$N$2000, MATCH($C304, VAV_Schedule_5_21[[#All],[UNIT TAG]], FALSE), 5)</f>
        <v>640</v>
      </c>
      <c r="V304" s="27">
        <f>INDEX(Schedule!$A$1:$N$2000, MATCH($C304, VAV_Schedule_5_21[[#All],[UNIT TAG]], FALSE), 6)</f>
        <v>130</v>
      </c>
      <c r="W304" s="27">
        <f>INDEX(Schedule!$A$1:$N$2000, MATCH($C304, VAV_Schedule_5_21[[#All],[UNIT TAG]], FALSE), 6)</f>
        <v>130</v>
      </c>
      <c r="X304" s="27">
        <f>INDEX(Schedule!$A$1:$N$2000, MATCH($C304, VAV_Schedule_5_21[[#All],[UNIT TAG]], FALSE), 6)</f>
        <v>130</v>
      </c>
      <c r="Y304" s="27">
        <f>INDEX(Schedule!$A$1:$N$2000, MATCH($C304, VAV_Schedule_5_21[[#All],[UNIT TAG]], FALSE), 6)</f>
        <v>130</v>
      </c>
      <c r="Z304" s="27">
        <f>INDEX(Schedule!$A$1:$N$2000, MATCH($C304, VAV_Schedule_5_21[[#All],[UNIT TAG]], FALSE), 6)</f>
        <v>130</v>
      </c>
      <c r="AA304" s="27">
        <v>1000</v>
      </c>
      <c r="AB304" s="27">
        <v>1100</v>
      </c>
      <c r="AC304">
        <v>1400</v>
      </c>
      <c r="AD304" s="29" t="str">
        <f>IF(INDEX(Schedule!$A$1:$N$2000, MATCH($C304, VAV_Schedule_5_21[[#All],[UNIT TAG]], FALSE), 7)="-", 0, INDEX(Schedule!$A$1:$N$2000, MATCH($C304, VAV_Schedule_5_21[[#All],[UNIT TAG]], FALSE), 7))</f>
        <v>6</v>
      </c>
      <c r="AE304" t="str">
        <f>"B_01'" &amp; "Flr_0" &amp; INDEX(Joined!$A$3:$M$2000, MATCH($A304, Joined!$I$3:$I$2000, FALSE), 8)</f>
        <v>B_01'Flr_08</v>
      </c>
      <c r="AF304" t="str">
        <f>"R_" &amp; INDEX(Joined!$A$3:$M$2000, MATCH($A304, Joined!$I$3:$I$2000, FALSE), 7)</f>
        <v>R_VAV-8E-15</v>
      </c>
      <c r="AG304" t="str">
        <f>"B_01'" &amp; "Flr_0" &amp; INDEX(Joined!$A$3:$M$2000, MATCH($A304, Joined!$I$3:$I$2000, FALSE), 8)</f>
        <v>B_01'Flr_08</v>
      </c>
      <c r="AH304" t="str">
        <f>INDEX(Joined!$A$3:$M$2000, MATCH($A304, Joined!$I$3:$I$2000, FALSE), 7)</f>
        <v>VAV-8E-15</v>
      </c>
      <c r="AI304" t="s">
        <v>1632</v>
      </c>
    </row>
    <row r="305" spans="1:35" x14ac:dyDescent="0.2">
      <c r="A305" t="s">
        <v>807</v>
      </c>
      <c r="B305" t="str">
        <f>"B_01'" &amp; "Flr_0" &amp; INDEX(Joined!$A$3:$M$2000, MATCH($A305, Joined!$I$3:$I$2000, FALSE), 8)</f>
        <v>B_01'Flr_08</v>
      </c>
      <c r="C305" t="str">
        <f>INDEX(Joined!$A$3:$M$2000, MATCH($A305, Joined!$I$3:$I$2000, FALSE), 7)</f>
        <v>VAV-8E-16</v>
      </c>
      <c r="D305">
        <f>INDEX(Joined!$A$3:$M$2000, MATCH($A305, Joined!$I$3:$I$2000, FALSE), 5)</f>
        <v>152003</v>
      </c>
      <c r="E305" t="str">
        <f>INDEX(Joined!$A$3:$M$2000, MATCH($A305, Joined!$I$3:$I$2000, FALSE), 7)</f>
        <v>VAV-8E-16</v>
      </c>
      <c r="F305" t="s">
        <v>38</v>
      </c>
      <c r="G305" t="str">
        <f>INDEX(Schedule!$Q$2:$R$7, MATCH(ABT!$H305,Schedule!$Q$2:$Q$7, 0), 2)</f>
        <v>15011_DXR_VAV_DXR2M12</v>
      </c>
      <c r="H305">
        <f>INDEX(Joined!$A$3:$M$2000, MATCH($A305, Joined!$I$3:$I$2000, FALSE), 6)</f>
        <v>15011</v>
      </c>
      <c r="I305" t="str">
        <f>INDEX(Joined!$A$3:$M$2000, MATCH($A305, Joined!$I$3:$I$2000, FALSE), 4)</f>
        <v>520</v>
      </c>
      <c r="J305" t="b">
        <v>0</v>
      </c>
      <c r="K305">
        <f>INDEX(Joined!$A$3:$M$2000, MATCH($A305, Joined!$I$3:$I$2000, FALSE), 3)</f>
        <v>3</v>
      </c>
      <c r="L305">
        <v>85</v>
      </c>
      <c r="M305">
        <v>38400</v>
      </c>
      <c r="N305" s="27">
        <f>PI()*(INDEX(Schedule!$A$1:$N$2000, MATCH($C305, VAV_Schedule_5_21[[#All],[UNIT TAG]], FALSE), 4)/2/12)^2</f>
        <v>0.3490658503988659</v>
      </c>
      <c r="O305" s="27">
        <f>INDEX(Schedule!$A$1:$N$2000, MATCH($C305, VAV_Schedule_5_21[[#All],[UNIT TAG]], FALSE), 4)</f>
        <v>8</v>
      </c>
      <c r="P305">
        <v>303.63</v>
      </c>
      <c r="Q305" s="27">
        <f>INDEX(Schedule!$A$1:$N$2000, MATCH($C305, VAV_Schedule_5_21[[#All],[UNIT TAG]], FALSE), 5)</f>
        <v>680</v>
      </c>
      <c r="R305" s="27">
        <f>INDEX(Schedule!$A$1:$N$2000, MATCH($C305, VAV_Schedule_5_21[[#All],[UNIT TAG]], FALSE), 6)</f>
        <v>140</v>
      </c>
      <c r="S305" s="27">
        <f>INDEX(Schedule!$A$1:$N$2000, MATCH($C305, VAV_Schedule_5_21[[#All],[UNIT TAG]], FALSE), 5)</f>
        <v>680</v>
      </c>
      <c r="T305" s="27">
        <f>INDEX(Schedule!$A$1:$N$2000, MATCH($C305, VAV_Schedule_5_21[[#All],[UNIT TAG]], FALSE), 6)</f>
        <v>140</v>
      </c>
      <c r="U305" s="27">
        <f>INDEX(Schedule!$A$1:$N$2000, MATCH($C305, VAV_Schedule_5_21[[#All],[UNIT TAG]], FALSE), 5)</f>
        <v>680</v>
      </c>
      <c r="V305" s="27">
        <f>INDEX(Schedule!$A$1:$N$2000, MATCH($C305, VAV_Schedule_5_21[[#All],[UNIT TAG]], FALSE), 6)</f>
        <v>140</v>
      </c>
      <c r="W305" s="27">
        <f>INDEX(Schedule!$A$1:$N$2000, MATCH($C305, VAV_Schedule_5_21[[#All],[UNIT TAG]], FALSE), 6)</f>
        <v>140</v>
      </c>
      <c r="X305" s="27">
        <f>INDEX(Schedule!$A$1:$N$2000, MATCH($C305, VAV_Schedule_5_21[[#All],[UNIT TAG]], FALSE), 6)</f>
        <v>140</v>
      </c>
      <c r="Y305" s="27">
        <f>INDEX(Schedule!$A$1:$N$2000, MATCH($C305, VAV_Schedule_5_21[[#All],[UNIT TAG]], FALSE), 6)</f>
        <v>140</v>
      </c>
      <c r="Z305" s="27">
        <f>INDEX(Schedule!$A$1:$N$2000, MATCH($C305, VAV_Schedule_5_21[[#All],[UNIT TAG]], FALSE), 6)</f>
        <v>140</v>
      </c>
      <c r="AA305" s="27">
        <v>1000</v>
      </c>
      <c r="AB305" s="27">
        <v>1100</v>
      </c>
      <c r="AC305">
        <v>1400</v>
      </c>
      <c r="AD305" s="29" t="str">
        <f>IF(INDEX(Schedule!$A$1:$N$2000, MATCH($C305, VAV_Schedule_5_21[[#All],[UNIT TAG]], FALSE), 7)="-", 0, INDEX(Schedule!$A$1:$N$2000, MATCH($C305, VAV_Schedule_5_21[[#All],[UNIT TAG]], FALSE), 7))</f>
        <v>6</v>
      </c>
      <c r="AE305" t="str">
        <f>"B_01'" &amp; "Flr_0" &amp; INDEX(Joined!$A$3:$M$2000, MATCH($A305, Joined!$I$3:$I$2000, FALSE), 8)</f>
        <v>B_01'Flr_08</v>
      </c>
      <c r="AF305" t="str">
        <f>"R_" &amp; INDEX(Joined!$A$3:$M$2000, MATCH($A305, Joined!$I$3:$I$2000, FALSE), 7)</f>
        <v>R_VAV-8E-16</v>
      </c>
      <c r="AG305" t="str">
        <f>"B_01'" &amp; "Flr_0" &amp; INDEX(Joined!$A$3:$M$2000, MATCH($A305, Joined!$I$3:$I$2000, FALSE), 8)</f>
        <v>B_01'Flr_08</v>
      </c>
      <c r="AH305" t="str">
        <f>INDEX(Joined!$A$3:$M$2000, MATCH($A305, Joined!$I$3:$I$2000, FALSE), 7)</f>
        <v>VAV-8E-16</v>
      </c>
      <c r="AI305" t="s">
        <v>1633</v>
      </c>
    </row>
    <row r="306" spans="1:35" x14ac:dyDescent="0.2">
      <c r="A306" t="s">
        <v>808</v>
      </c>
      <c r="B306" t="str">
        <f>"B_01'" &amp; "Flr_0" &amp; INDEX(Joined!$A$3:$M$2000, MATCH($A306, Joined!$I$3:$I$2000, FALSE), 8)</f>
        <v>B_01'Flr_08</v>
      </c>
      <c r="C306" t="str">
        <f>INDEX(Joined!$A$3:$M$2000, MATCH($A306, Joined!$I$3:$I$2000, FALSE), 7)</f>
        <v>VAV-8E-17</v>
      </c>
      <c r="D306">
        <f>INDEX(Joined!$A$3:$M$2000, MATCH($A306, Joined!$I$3:$I$2000, FALSE), 5)</f>
        <v>152004</v>
      </c>
      <c r="E306" t="str">
        <f>INDEX(Joined!$A$3:$M$2000, MATCH($A306, Joined!$I$3:$I$2000, FALSE), 7)</f>
        <v>VAV-8E-17</v>
      </c>
      <c r="F306" t="s">
        <v>38</v>
      </c>
      <c r="G306" t="str">
        <f>INDEX(Schedule!$Q$2:$R$7, MATCH(ABT!$H306,Schedule!$Q$2:$Q$7, 0), 2)</f>
        <v>15011_DXR_VAV_DXR2M12</v>
      </c>
      <c r="H306">
        <f>INDEX(Joined!$A$3:$M$2000, MATCH($A306, Joined!$I$3:$I$2000, FALSE), 6)</f>
        <v>15011</v>
      </c>
      <c r="I306" t="str">
        <f>INDEX(Joined!$A$3:$M$2000, MATCH($A306, Joined!$I$3:$I$2000, FALSE), 4)</f>
        <v>520</v>
      </c>
      <c r="J306" t="b">
        <v>0</v>
      </c>
      <c r="K306">
        <f>INDEX(Joined!$A$3:$M$2000, MATCH($A306, Joined!$I$3:$I$2000, FALSE), 3)</f>
        <v>4</v>
      </c>
      <c r="L306">
        <v>85</v>
      </c>
      <c r="M306">
        <v>38400</v>
      </c>
      <c r="N306" s="27">
        <f>PI()*(INDEX(Schedule!$A$1:$N$2000, MATCH($C306, VAV_Schedule_5_21[[#All],[UNIT TAG]], FALSE), 4)/2/12)^2</f>
        <v>0.3490658503988659</v>
      </c>
      <c r="O306" s="27">
        <f>INDEX(Schedule!$A$1:$N$2000, MATCH($C306, VAV_Schedule_5_21[[#All],[UNIT TAG]], FALSE), 4)</f>
        <v>8</v>
      </c>
      <c r="P306">
        <v>304.63</v>
      </c>
      <c r="Q306" s="27">
        <f>INDEX(Schedule!$A$1:$N$2000, MATCH($C306, VAV_Schedule_5_21[[#All],[UNIT TAG]], FALSE), 5)</f>
        <v>600</v>
      </c>
      <c r="R306" s="27">
        <f>INDEX(Schedule!$A$1:$N$2000, MATCH($C306, VAV_Schedule_5_21[[#All],[UNIT TAG]], FALSE), 6)</f>
        <v>120</v>
      </c>
      <c r="S306" s="27">
        <f>INDEX(Schedule!$A$1:$N$2000, MATCH($C306, VAV_Schedule_5_21[[#All],[UNIT TAG]], FALSE), 5)</f>
        <v>600</v>
      </c>
      <c r="T306" s="27">
        <f>INDEX(Schedule!$A$1:$N$2000, MATCH($C306, VAV_Schedule_5_21[[#All],[UNIT TAG]], FALSE), 6)</f>
        <v>120</v>
      </c>
      <c r="U306" s="27">
        <f>INDEX(Schedule!$A$1:$N$2000, MATCH($C306, VAV_Schedule_5_21[[#All],[UNIT TAG]], FALSE), 5)</f>
        <v>600</v>
      </c>
      <c r="V306" s="27">
        <f>INDEX(Schedule!$A$1:$N$2000, MATCH($C306, VAV_Schedule_5_21[[#All],[UNIT TAG]], FALSE), 6)</f>
        <v>120</v>
      </c>
      <c r="W306" s="27">
        <f>INDEX(Schedule!$A$1:$N$2000, MATCH($C306, VAV_Schedule_5_21[[#All],[UNIT TAG]], FALSE), 6)</f>
        <v>120</v>
      </c>
      <c r="X306" s="27">
        <f>INDEX(Schedule!$A$1:$N$2000, MATCH($C306, VAV_Schedule_5_21[[#All],[UNIT TAG]], FALSE), 6)</f>
        <v>120</v>
      </c>
      <c r="Y306" s="27">
        <f>INDEX(Schedule!$A$1:$N$2000, MATCH($C306, VAV_Schedule_5_21[[#All],[UNIT TAG]], FALSE), 6)</f>
        <v>120</v>
      </c>
      <c r="Z306" s="27">
        <f>INDEX(Schedule!$A$1:$N$2000, MATCH($C306, VAV_Schedule_5_21[[#All],[UNIT TAG]], FALSE), 6)</f>
        <v>120</v>
      </c>
      <c r="AA306" s="27">
        <v>1000</v>
      </c>
      <c r="AB306" s="27">
        <v>1100</v>
      </c>
      <c r="AC306">
        <v>1400</v>
      </c>
      <c r="AD306" s="29" t="str">
        <f>IF(INDEX(Schedule!$A$1:$N$2000, MATCH($C306, VAV_Schedule_5_21[[#All],[UNIT TAG]], FALSE), 7)="-", 0, INDEX(Schedule!$A$1:$N$2000, MATCH($C306, VAV_Schedule_5_21[[#All],[UNIT TAG]], FALSE), 7))</f>
        <v>6</v>
      </c>
      <c r="AE306" t="str">
        <f>"B_01'" &amp; "Flr_0" &amp; INDEX(Joined!$A$3:$M$2000, MATCH($A306, Joined!$I$3:$I$2000, FALSE), 8)</f>
        <v>B_01'Flr_08</v>
      </c>
      <c r="AF306" t="str">
        <f>"R_" &amp; INDEX(Joined!$A$3:$M$2000, MATCH($A306, Joined!$I$3:$I$2000, FALSE), 7)</f>
        <v>R_VAV-8E-17</v>
      </c>
      <c r="AG306" t="str">
        <f>"B_01'" &amp; "Flr_0" &amp; INDEX(Joined!$A$3:$M$2000, MATCH($A306, Joined!$I$3:$I$2000, FALSE), 8)</f>
        <v>B_01'Flr_08</v>
      </c>
      <c r="AH306" t="str">
        <f>INDEX(Joined!$A$3:$M$2000, MATCH($A306, Joined!$I$3:$I$2000, FALSE), 7)</f>
        <v>VAV-8E-17</v>
      </c>
      <c r="AI306" t="s">
        <v>1634</v>
      </c>
    </row>
    <row r="307" spans="1:35" x14ac:dyDescent="0.2">
      <c r="A307" t="s">
        <v>809</v>
      </c>
      <c r="B307" t="str">
        <f>"B_01'" &amp; "Flr_0" &amp; INDEX(Joined!$A$3:$M$2000, MATCH($A307, Joined!$I$3:$I$2000, FALSE), 8)</f>
        <v>B_01'Flr_08</v>
      </c>
      <c r="C307" t="str">
        <f>INDEX(Joined!$A$3:$M$2000, MATCH($A307, Joined!$I$3:$I$2000, FALSE), 7)</f>
        <v>VAV-8E-18</v>
      </c>
      <c r="D307">
        <f>INDEX(Joined!$A$3:$M$2000, MATCH($A307, Joined!$I$3:$I$2000, FALSE), 5)</f>
        <v>152005</v>
      </c>
      <c r="E307" t="str">
        <f>INDEX(Joined!$A$3:$M$2000, MATCH($A307, Joined!$I$3:$I$2000, FALSE), 7)</f>
        <v>VAV-8E-18</v>
      </c>
      <c r="F307" t="s">
        <v>38</v>
      </c>
      <c r="G307" t="str">
        <f>INDEX(Schedule!$Q$2:$R$7, MATCH(ABT!$H307,Schedule!$Q$2:$Q$7, 0), 2)</f>
        <v>15010_DXR_VAV_DXR2M12</v>
      </c>
      <c r="H307">
        <f>INDEX(Joined!$A$3:$M$2000, MATCH($A307, Joined!$I$3:$I$2000, FALSE), 6)</f>
        <v>15010</v>
      </c>
      <c r="I307" t="str">
        <f>INDEX(Joined!$A$3:$M$2000, MATCH($A307, Joined!$I$3:$I$2000, FALSE), 4)</f>
        <v>520</v>
      </c>
      <c r="J307" t="b">
        <v>0</v>
      </c>
      <c r="K307">
        <f>INDEX(Joined!$A$3:$M$2000, MATCH($A307, Joined!$I$3:$I$2000, FALSE), 3)</f>
        <v>5</v>
      </c>
      <c r="L307">
        <v>85</v>
      </c>
      <c r="M307">
        <v>38400</v>
      </c>
      <c r="N307" s="27">
        <f>PI()*(INDEX(Schedule!$A$1:$N$2000, MATCH($C307, VAV_Schedule_5_21[[#All],[UNIT TAG]], FALSE), 4)/2/12)^2</f>
        <v>0.19634954084936207</v>
      </c>
      <c r="O307" s="27">
        <f>INDEX(Schedule!$A$1:$N$2000, MATCH($C307, VAV_Schedule_5_21[[#All],[UNIT TAG]], FALSE), 4)</f>
        <v>6</v>
      </c>
      <c r="P307">
        <v>305.63</v>
      </c>
      <c r="Q307" s="27">
        <f>INDEX(Schedule!$A$1:$N$2000, MATCH($C307, VAV_Schedule_5_21[[#All],[UNIT TAG]], FALSE), 5)</f>
        <v>200</v>
      </c>
      <c r="R307" s="27">
        <f>INDEX(Schedule!$A$1:$N$2000, MATCH($C307, VAV_Schedule_5_21[[#All],[UNIT TAG]], FALSE), 6)</f>
        <v>40</v>
      </c>
      <c r="S307" s="27">
        <f>INDEX(Schedule!$A$1:$N$2000, MATCH($C307, VAV_Schedule_5_21[[#All],[UNIT TAG]], FALSE), 5)</f>
        <v>200</v>
      </c>
      <c r="T307" s="27">
        <f>INDEX(Schedule!$A$1:$N$2000, MATCH($C307, VAV_Schedule_5_21[[#All],[UNIT TAG]], FALSE), 6)</f>
        <v>40</v>
      </c>
      <c r="U307" s="27">
        <f>INDEX(Schedule!$A$1:$N$2000, MATCH($C307, VAV_Schedule_5_21[[#All],[UNIT TAG]], FALSE), 5)</f>
        <v>200</v>
      </c>
      <c r="V307" s="27">
        <f>INDEX(Schedule!$A$1:$N$2000, MATCH($C307, VAV_Schedule_5_21[[#All],[UNIT TAG]], FALSE), 6)</f>
        <v>40</v>
      </c>
      <c r="W307" s="27">
        <f>INDEX(Schedule!$A$1:$N$2000, MATCH($C307, VAV_Schedule_5_21[[#All],[UNIT TAG]], FALSE), 6)</f>
        <v>40</v>
      </c>
      <c r="X307" s="27">
        <f>INDEX(Schedule!$A$1:$N$2000, MATCH($C307, VAV_Schedule_5_21[[#All],[UNIT TAG]], FALSE), 6)</f>
        <v>40</v>
      </c>
      <c r="Y307" s="27">
        <f>INDEX(Schedule!$A$1:$N$2000, MATCH($C307, VAV_Schedule_5_21[[#All],[UNIT TAG]], FALSE), 6)</f>
        <v>40</v>
      </c>
      <c r="Z307" s="27">
        <f>INDEX(Schedule!$A$1:$N$2000, MATCH($C307, VAV_Schedule_5_21[[#All],[UNIT TAG]], FALSE), 6)</f>
        <v>40</v>
      </c>
      <c r="AA307" s="27">
        <v>1000</v>
      </c>
      <c r="AB307" s="27">
        <v>1100</v>
      </c>
      <c r="AC307">
        <v>1400</v>
      </c>
      <c r="AD307" s="29">
        <f>IF(INDEX(Schedule!$A$1:$N$2000, MATCH($C307, VAV_Schedule_5_21[[#All],[UNIT TAG]], FALSE), 7)="-", 0, INDEX(Schedule!$A$1:$N$2000, MATCH($C307, VAV_Schedule_5_21[[#All],[UNIT TAG]], FALSE), 7))</f>
        <v>0</v>
      </c>
      <c r="AE307" t="str">
        <f>"B_01'" &amp; "Flr_0" &amp; INDEX(Joined!$A$3:$M$2000, MATCH($A307, Joined!$I$3:$I$2000, FALSE), 8)</f>
        <v>B_01'Flr_08</v>
      </c>
      <c r="AF307" t="str">
        <f>"R_" &amp; INDEX(Joined!$A$3:$M$2000, MATCH($A307, Joined!$I$3:$I$2000, FALSE), 7)</f>
        <v>R_VAV-8E-18</v>
      </c>
      <c r="AG307" t="str">
        <f>"B_01'" &amp; "Flr_0" &amp; INDEX(Joined!$A$3:$M$2000, MATCH($A307, Joined!$I$3:$I$2000, FALSE), 8)</f>
        <v>B_01'Flr_08</v>
      </c>
      <c r="AH307" t="str">
        <f>INDEX(Joined!$A$3:$M$2000, MATCH($A307, Joined!$I$3:$I$2000, FALSE), 7)</f>
        <v>VAV-8E-18</v>
      </c>
      <c r="AI307" t="s">
        <v>1635</v>
      </c>
    </row>
    <row r="308" spans="1:35" x14ac:dyDescent="0.2">
      <c r="A308" t="s">
        <v>810</v>
      </c>
      <c r="B308" t="str">
        <f>"B_01'" &amp; "Flr_0" &amp; INDEX(Joined!$A$3:$M$2000, MATCH($A308, Joined!$I$3:$I$2000, FALSE), 8)</f>
        <v>B_01'Flr_08</v>
      </c>
      <c r="C308" t="str">
        <f>INDEX(Joined!$A$3:$M$2000, MATCH($A308, Joined!$I$3:$I$2000, FALSE), 7)</f>
        <v>VAV-8E-19</v>
      </c>
      <c r="D308">
        <f>INDEX(Joined!$A$3:$M$2000, MATCH($A308, Joined!$I$3:$I$2000, FALSE), 5)</f>
        <v>152006</v>
      </c>
      <c r="E308" t="str">
        <f>INDEX(Joined!$A$3:$M$2000, MATCH($A308, Joined!$I$3:$I$2000, FALSE), 7)</f>
        <v>VAV-8E-19</v>
      </c>
      <c r="F308" t="s">
        <v>38</v>
      </c>
      <c r="G308" t="str">
        <f>INDEX(Schedule!$Q$2:$R$7, MATCH(ABT!$H308,Schedule!$Q$2:$Q$7, 0), 2)</f>
        <v>15010_DXR_VAV_DXR2M12</v>
      </c>
      <c r="H308">
        <f>INDEX(Joined!$A$3:$M$2000, MATCH($A308, Joined!$I$3:$I$2000, FALSE), 6)</f>
        <v>15010</v>
      </c>
      <c r="I308" t="str">
        <f>INDEX(Joined!$A$3:$M$2000, MATCH($A308, Joined!$I$3:$I$2000, FALSE), 4)</f>
        <v>520</v>
      </c>
      <c r="J308" t="b">
        <v>0</v>
      </c>
      <c r="K308">
        <f>INDEX(Joined!$A$3:$M$2000, MATCH($A308, Joined!$I$3:$I$2000, FALSE), 3)</f>
        <v>6</v>
      </c>
      <c r="L308">
        <v>85</v>
      </c>
      <c r="M308">
        <v>38400</v>
      </c>
      <c r="N308" s="27">
        <f>PI()*(INDEX(Schedule!$A$1:$N$2000, MATCH($C308, VAV_Schedule_5_21[[#All],[UNIT TAG]], FALSE), 4)/2/12)^2</f>
        <v>0.3490658503988659</v>
      </c>
      <c r="O308" s="27">
        <f>INDEX(Schedule!$A$1:$N$2000, MATCH($C308, VAV_Schedule_5_21[[#All],[UNIT TAG]], FALSE), 4)</f>
        <v>8</v>
      </c>
      <c r="P308">
        <v>306.63</v>
      </c>
      <c r="Q308" s="27">
        <f>INDEX(Schedule!$A$1:$N$2000, MATCH($C308, VAV_Schedule_5_21[[#All],[UNIT TAG]], FALSE), 5)</f>
        <v>700</v>
      </c>
      <c r="R308" s="27">
        <f>INDEX(Schedule!$A$1:$N$2000, MATCH($C308, VAV_Schedule_5_21[[#All],[UNIT TAG]], FALSE), 6)</f>
        <v>140</v>
      </c>
      <c r="S308" s="27">
        <f>INDEX(Schedule!$A$1:$N$2000, MATCH($C308, VAV_Schedule_5_21[[#All],[UNIT TAG]], FALSE), 5)</f>
        <v>700</v>
      </c>
      <c r="T308" s="27">
        <f>INDEX(Schedule!$A$1:$N$2000, MATCH($C308, VAV_Schedule_5_21[[#All],[UNIT TAG]], FALSE), 6)</f>
        <v>140</v>
      </c>
      <c r="U308" s="27">
        <f>INDEX(Schedule!$A$1:$N$2000, MATCH($C308, VAV_Schedule_5_21[[#All],[UNIT TAG]], FALSE), 5)</f>
        <v>700</v>
      </c>
      <c r="V308" s="27">
        <f>INDEX(Schedule!$A$1:$N$2000, MATCH($C308, VAV_Schedule_5_21[[#All],[UNIT TAG]], FALSE), 6)</f>
        <v>140</v>
      </c>
      <c r="W308" s="27">
        <f>INDEX(Schedule!$A$1:$N$2000, MATCH($C308, VAV_Schedule_5_21[[#All],[UNIT TAG]], FALSE), 6)</f>
        <v>140</v>
      </c>
      <c r="X308" s="27">
        <f>INDEX(Schedule!$A$1:$N$2000, MATCH($C308, VAV_Schedule_5_21[[#All],[UNIT TAG]], FALSE), 6)</f>
        <v>140</v>
      </c>
      <c r="Y308" s="27">
        <f>INDEX(Schedule!$A$1:$N$2000, MATCH($C308, VAV_Schedule_5_21[[#All],[UNIT TAG]], FALSE), 6)</f>
        <v>140</v>
      </c>
      <c r="Z308" s="27">
        <f>INDEX(Schedule!$A$1:$N$2000, MATCH($C308, VAV_Schedule_5_21[[#All],[UNIT TAG]], FALSE), 6)</f>
        <v>140</v>
      </c>
      <c r="AA308" s="27">
        <v>1000</v>
      </c>
      <c r="AB308" s="27">
        <v>1100</v>
      </c>
      <c r="AC308">
        <v>1400</v>
      </c>
      <c r="AD308" s="29">
        <f>IF(INDEX(Schedule!$A$1:$N$2000, MATCH($C308, VAV_Schedule_5_21[[#All],[UNIT TAG]], FALSE), 7)="-", 0, INDEX(Schedule!$A$1:$N$2000, MATCH($C308, VAV_Schedule_5_21[[#All],[UNIT TAG]], FALSE), 7))</f>
        <v>0</v>
      </c>
      <c r="AE308" t="str">
        <f>"B_01'" &amp; "Flr_0" &amp; INDEX(Joined!$A$3:$M$2000, MATCH($A308, Joined!$I$3:$I$2000, FALSE), 8)</f>
        <v>B_01'Flr_08</v>
      </c>
      <c r="AF308" t="str">
        <f>"R_" &amp; INDEX(Joined!$A$3:$M$2000, MATCH($A308, Joined!$I$3:$I$2000, FALSE), 7)</f>
        <v>R_VAV-8E-19</v>
      </c>
      <c r="AG308" t="str">
        <f>"B_01'" &amp; "Flr_0" &amp; INDEX(Joined!$A$3:$M$2000, MATCH($A308, Joined!$I$3:$I$2000, FALSE), 8)</f>
        <v>B_01'Flr_08</v>
      </c>
      <c r="AH308" t="str">
        <f>INDEX(Joined!$A$3:$M$2000, MATCH($A308, Joined!$I$3:$I$2000, FALSE), 7)</f>
        <v>VAV-8E-19</v>
      </c>
      <c r="AI308" t="s">
        <v>1636</v>
      </c>
    </row>
    <row r="309" spans="1:35" x14ac:dyDescent="0.2">
      <c r="A309" t="s">
        <v>811</v>
      </c>
      <c r="B309" t="str">
        <f>"B_01'" &amp; "Flr_0" &amp; INDEX(Joined!$A$3:$M$2000, MATCH($A309, Joined!$I$3:$I$2000, FALSE), 8)</f>
        <v>B_01'Flr_08</v>
      </c>
      <c r="C309" t="str">
        <f>INDEX(Joined!$A$3:$M$2000, MATCH($A309, Joined!$I$3:$I$2000, FALSE), 7)</f>
        <v>VAV-8E-20</v>
      </c>
      <c r="D309">
        <f>INDEX(Joined!$A$3:$M$2000, MATCH($A309, Joined!$I$3:$I$2000, FALSE), 5)</f>
        <v>152007</v>
      </c>
      <c r="E309" t="str">
        <f>INDEX(Joined!$A$3:$M$2000, MATCH($A309, Joined!$I$3:$I$2000, FALSE), 7)</f>
        <v>VAV-8E-20</v>
      </c>
      <c r="F309" t="s">
        <v>38</v>
      </c>
      <c r="G309" t="str">
        <f>INDEX(Schedule!$Q$2:$R$7, MATCH(ABT!$H309,Schedule!$Q$2:$Q$7, 0), 2)</f>
        <v>15011_DXR_VAV_DXR2M12</v>
      </c>
      <c r="H309">
        <f>INDEX(Joined!$A$3:$M$2000, MATCH($A309, Joined!$I$3:$I$2000, FALSE), 6)</f>
        <v>15011</v>
      </c>
      <c r="I309" t="str">
        <f>INDEX(Joined!$A$3:$M$2000, MATCH($A309, Joined!$I$3:$I$2000, FALSE), 4)</f>
        <v>520</v>
      </c>
      <c r="J309" t="b">
        <v>0</v>
      </c>
      <c r="K309">
        <f>INDEX(Joined!$A$3:$M$2000, MATCH($A309, Joined!$I$3:$I$2000, FALSE), 3)</f>
        <v>7</v>
      </c>
      <c r="L309">
        <v>85</v>
      </c>
      <c r="M309">
        <v>38400</v>
      </c>
      <c r="N309" s="27">
        <f>PI()*(INDEX(Schedule!$A$1:$N$2000, MATCH($C309, VAV_Schedule_5_21[[#All],[UNIT TAG]], FALSE), 4)/2/12)^2</f>
        <v>0.54541539124822802</v>
      </c>
      <c r="O309" s="27">
        <f>INDEX(Schedule!$A$1:$N$2000, MATCH($C309, VAV_Schedule_5_21[[#All],[UNIT TAG]], FALSE), 4)</f>
        <v>10</v>
      </c>
      <c r="P309">
        <v>307.63</v>
      </c>
      <c r="Q309" s="27">
        <f>INDEX(Schedule!$A$1:$N$2000, MATCH($C309, VAV_Schedule_5_21[[#All],[UNIT TAG]], FALSE), 5)</f>
        <v>1085</v>
      </c>
      <c r="R309" s="27">
        <f>INDEX(Schedule!$A$1:$N$2000, MATCH($C309, VAV_Schedule_5_21[[#All],[UNIT TAG]], FALSE), 6)</f>
        <v>220</v>
      </c>
      <c r="S309" s="27">
        <f>INDEX(Schedule!$A$1:$N$2000, MATCH($C309, VAV_Schedule_5_21[[#All],[UNIT TAG]], FALSE), 5)</f>
        <v>1085</v>
      </c>
      <c r="T309" s="27">
        <f>INDEX(Schedule!$A$1:$N$2000, MATCH($C309, VAV_Schedule_5_21[[#All],[UNIT TAG]], FALSE), 6)</f>
        <v>220</v>
      </c>
      <c r="U309" s="27">
        <f>INDEX(Schedule!$A$1:$N$2000, MATCH($C309, VAV_Schedule_5_21[[#All],[UNIT TAG]], FALSE), 5)</f>
        <v>1085</v>
      </c>
      <c r="V309" s="27">
        <f>INDEX(Schedule!$A$1:$N$2000, MATCH($C309, VAV_Schedule_5_21[[#All],[UNIT TAG]], FALSE), 6)</f>
        <v>220</v>
      </c>
      <c r="W309" s="27">
        <f>INDEX(Schedule!$A$1:$N$2000, MATCH($C309, VAV_Schedule_5_21[[#All],[UNIT TAG]], FALSE), 6)</f>
        <v>220</v>
      </c>
      <c r="X309" s="27">
        <f>INDEX(Schedule!$A$1:$N$2000, MATCH($C309, VAV_Schedule_5_21[[#All],[UNIT TAG]], FALSE), 6)</f>
        <v>220</v>
      </c>
      <c r="Y309" s="27">
        <f>INDEX(Schedule!$A$1:$N$2000, MATCH($C309, VAV_Schedule_5_21[[#All],[UNIT TAG]], FALSE), 6)</f>
        <v>220</v>
      </c>
      <c r="Z309" s="27">
        <f>INDEX(Schedule!$A$1:$N$2000, MATCH($C309, VAV_Schedule_5_21[[#All],[UNIT TAG]], FALSE), 6)</f>
        <v>220</v>
      </c>
      <c r="AA309" s="27">
        <v>1000</v>
      </c>
      <c r="AB309" s="27">
        <v>1100</v>
      </c>
      <c r="AC309">
        <v>1400</v>
      </c>
      <c r="AD309" s="29" t="str">
        <f>IF(INDEX(Schedule!$A$1:$N$2000, MATCH($C309, VAV_Schedule_5_21[[#All],[UNIT TAG]], FALSE), 7)="-", 0, INDEX(Schedule!$A$1:$N$2000, MATCH($C309, VAV_Schedule_5_21[[#All],[UNIT TAG]], FALSE), 7))</f>
        <v>7</v>
      </c>
      <c r="AE309" t="str">
        <f>"B_01'" &amp; "Flr_0" &amp; INDEX(Joined!$A$3:$M$2000, MATCH($A309, Joined!$I$3:$I$2000, FALSE), 8)</f>
        <v>B_01'Flr_08</v>
      </c>
      <c r="AF309" t="str">
        <f>"R_" &amp; INDEX(Joined!$A$3:$M$2000, MATCH($A309, Joined!$I$3:$I$2000, FALSE), 7)</f>
        <v>R_VAV-8E-20</v>
      </c>
      <c r="AG309" t="str">
        <f>"B_01'" &amp; "Flr_0" &amp; INDEX(Joined!$A$3:$M$2000, MATCH($A309, Joined!$I$3:$I$2000, FALSE), 8)</f>
        <v>B_01'Flr_08</v>
      </c>
      <c r="AH309" t="str">
        <f>INDEX(Joined!$A$3:$M$2000, MATCH($A309, Joined!$I$3:$I$2000, FALSE), 7)</f>
        <v>VAV-8E-20</v>
      </c>
      <c r="AI309" t="s">
        <v>1637</v>
      </c>
    </row>
    <row r="310" spans="1:35" x14ac:dyDescent="0.2">
      <c r="A310" t="s">
        <v>812</v>
      </c>
      <c r="B310" t="str">
        <f>"B_01'" &amp; "Flr_0" &amp; INDEX(Joined!$A$3:$M$2000, MATCH($A310, Joined!$I$3:$I$2000, FALSE), 8)</f>
        <v>B_01'Flr_08</v>
      </c>
      <c r="C310" t="str">
        <f>INDEX(Joined!$A$3:$M$2000, MATCH($A310, Joined!$I$3:$I$2000, FALSE), 7)</f>
        <v>VAV-8E-21</v>
      </c>
      <c r="D310">
        <f>INDEX(Joined!$A$3:$M$2000, MATCH($A310, Joined!$I$3:$I$2000, FALSE), 5)</f>
        <v>152008</v>
      </c>
      <c r="E310" t="str">
        <f>INDEX(Joined!$A$3:$M$2000, MATCH($A310, Joined!$I$3:$I$2000, FALSE), 7)</f>
        <v>VAV-8E-21</v>
      </c>
      <c r="F310" t="s">
        <v>38</v>
      </c>
      <c r="G310" t="str">
        <f>INDEX(Schedule!$Q$2:$R$7, MATCH(ABT!$H310,Schedule!$Q$2:$Q$7, 0), 2)</f>
        <v>15011_DXR_VAV_DXR2M12</v>
      </c>
      <c r="H310">
        <f>INDEX(Joined!$A$3:$M$2000, MATCH($A310, Joined!$I$3:$I$2000, FALSE), 6)</f>
        <v>15011</v>
      </c>
      <c r="I310" t="str">
        <f>INDEX(Joined!$A$3:$M$2000, MATCH($A310, Joined!$I$3:$I$2000, FALSE), 4)</f>
        <v>520</v>
      </c>
      <c r="J310" t="b">
        <v>0</v>
      </c>
      <c r="K310">
        <f>INDEX(Joined!$A$3:$M$2000, MATCH($A310, Joined!$I$3:$I$2000, FALSE), 3)</f>
        <v>8</v>
      </c>
      <c r="L310">
        <v>85</v>
      </c>
      <c r="M310">
        <v>38400</v>
      </c>
      <c r="N310" s="27">
        <f>PI()*(INDEX(Schedule!$A$1:$N$2000, MATCH($C310, VAV_Schedule_5_21[[#All],[UNIT TAG]], FALSE), 4)/2/12)^2</f>
        <v>0.54541539124822802</v>
      </c>
      <c r="O310" s="27">
        <f>INDEX(Schedule!$A$1:$N$2000, MATCH($C310, VAV_Schedule_5_21[[#All],[UNIT TAG]], FALSE), 4)</f>
        <v>10</v>
      </c>
      <c r="P310">
        <v>308.63</v>
      </c>
      <c r="Q310" s="27">
        <f>INDEX(Schedule!$A$1:$N$2000, MATCH($C310, VAV_Schedule_5_21[[#All],[UNIT TAG]], FALSE), 5)</f>
        <v>840</v>
      </c>
      <c r="R310" s="27">
        <f>INDEX(Schedule!$A$1:$N$2000, MATCH($C310, VAV_Schedule_5_21[[#All],[UNIT TAG]], FALSE), 6)</f>
        <v>170</v>
      </c>
      <c r="S310" s="27">
        <f>INDEX(Schedule!$A$1:$N$2000, MATCH($C310, VAV_Schedule_5_21[[#All],[UNIT TAG]], FALSE), 5)</f>
        <v>840</v>
      </c>
      <c r="T310" s="27">
        <f>INDEX(Schedule!$A$1:$N$2000, MATCH($C310, VAV_Schedule_5_21[[#All],[UNIT TAG]], FALSE), 6)</f>
        <v>170</v>
      </c>
      <c r="U310" s="27">
        <f>INDEX(Schedule!$A$1:$N$2000, MATCH($C310, VAV_Schedule_5_21[[#All],[UNIT TAG]], FALSE), 5)</f>
        <v>840</v>
      </c>
      <c r="V310" s="27">
        <f>INDEX(Schedule!$A$1:$N$2000, MATCH($C310, VAV_Schedule_5_21[[#All],[UNIT TAG]], FALSE), 6)</f>
        <v>170</v>
      </c>
      <c r="W310" s="27">
        <f>INDEX(Schedule!$A$1:$N$2000, MATCH($C310, VAV_Schedule_5_21[[#All],[UNIT TAG]], FALSE), 6)</f>
        <v>170</v>
      </c>
      <c r="X310" s="27">
        <f>INDEX(Schedule!$A$1:$N$2000, MATCH($C310, VAV_Schedule_5_21[[#All],[UNIT TAG]], FALSE), 6)</f>
        <v>170</v>
      </c>
      <c r="Y310" s="27">
        <f>INDEX(Schedule!$A$1:$N$2000, MATCH($C310, VAV_Schedule_5_21[[#All],[UNIT TAG]], FALSE), 6)</f>
        <v>170</v>
      </c>
      <c r="Z310" s="27">
        <f>INDEX(Schedule!$A$1:$N$2000, MATCH($C310, VAV_Schedule_5_21[[#All],[UNIT TAG]], FALSE), 6)</f>
        <v>170</v>
      </c>
      <c r="AA310" s="27">
        <v>1000</v>
      </c>
      <c r="AB310" s="27">
        <v>1100</v>
      </c>
      <c r="AC310">
        <v>1400</v>
      </c>
      <c r="AD310" s="29" t="str">
        <f>IF(INDEX(Schedule!$A$1:$N$2000, MATCH($C310, VAV_Schedule_5_21[[#All],[UNIT TAG]], FALSE), 7)="-", 0, INDEX(Schedule!$A$1:$N$2000, MATCH($C310, VAV_Schedule_5_21[[#All],[UNIT TAG]], FALSE), 7))</f>
        <v>6</v>
      </c>
      <c r="AE310" t="str">
        <f>"B_01'" &amp; "Flr_0" &amp; INDEX(Joined!$A$3:$M$2000, MATCH($A310, Joined!$I$3:$I$2000, FALSE), 8)</f>
        <v>B_01'Flr_08</v>
      </c>
      <c r="AF310" t="str">
        <f>"R_" &amp; INDEX(Joined!$A$3:$M$2000, MATCH($A310, Joined!$I$3:$I$2000, FALSE), 7)</f>
        <v>R_VAV-8E-21</v>
      </c>
      <c r="AG310" t="str">
        <f>"B_01'" &amp; "Flr_0" &amp; INDEX(Joined!$A$3:$M$2000, MATCH($A310, Joined!$I$3:$I$2000, FALSE), 8)</f>
        <v>B_01'Flr_08</v>
      </c>
      <c r="AH310" t="str">
        <f>INDEX(Joined!$A$3:$M$2000, MATCH($A310, Joined!$I$3:$I$2000, FALSE), 7)</f>
        <v>VAV-8E-21</v>
      </c>
      <c r="AI310" t="s">
        <v>1638</v>
      </c>
    </row>
    <row r="311" spans="1:35" x14ac:dyDescent="0.2">
      <c r="A311" t="s">
        <v>813</v>
      </c>
      <c r="B311" t="str">
        <f>"B_01'" &amp; "Flr_0" &amp; INDEX(Joined!$A$3:$M$2000, MATCH($A311, Joined!$I$3:$I$2000, FALSE), 8)</f>
        <v>B_01'Flr_08</v>
      </c>
      <c r="C311" t="str">
        <f>INDEX(Joined!$A$3:$M$2000, MATCH($A311, Joined!$I$3:$I$2000, FALSE), 7)</f>
        <v>VAV-8E-22</v>
      </c>
      <c r="D311">
        <f>INDEX(Joined!$A$3:$M$2000, MATCH($A311, Joined!$I$3:$I$2000, FALSE), 5)</f>
        <v>152009</v>
      </c>
      <c r="E311" t="str">
        <f>INDEX(Joined!$A$3:$M$2000, MATCH($A311, Joined!$I$3:$I$2000, FALSE), 7)</f>
        <v>VAV-8E-22</v>
      </c>
      <c r="F311" t="s">
        <v>38</v>
      </c>
      <c r="G311" t="str">
        <f>INDEX(Schedule!$Q$2:$R$7, MATCH(ABT!$H311,Schedule!$Q$2:$Q$7, 0), 2)</f>
        <v>15010_DXR_VAV_DXR2M12</v>
      </c>
      <c r="H311">
        <f>INDEX(Joined!$A$3:$M$2000, MATCH($A311, Joined!$I$3:$I$2000, FALSE), 6)</f>
        <v>15010</v>
      </c>
      <c r="I311" t="str">
        <f>INDEX(Joined!$A$3:$M$2000, MATCH($A311, Joined!$I$3:$I$2000, FALSE), 4)</f>
        <v>520</v>
      </c>
      <c r="J311" t="b">
        <v>0</v>
      </c>
      <c r="K311">
        <f>INDEX(Joined!$A$3:$M$2000, MATCH($A311, Joined!$I$3:$I$2000, FALSE), 3)</f>
        <v>9</v>
      </c>
      <c r="L311">
        <v>85</v>
      </c>
      <c r="M311">
        <v>38400</v>
      </c>
      <c r="N311" s="27">
        <f>PI()*(INDEX(Schedule!$A$1:$N$2000, MATCH($C311, VAV_Schedule_5_21[[#All],[UNIT TAG]], FALSE), 4)/2/12)^2</f>
        <v>0.19634954084936207</v>
      </c>
      <c r="O311" s="27">
        <f>INDEX(Schedule!$A$1:$N$2000, MATCH($C311, VAV_Schedule_5_21[[#All],[UNIT TAG]], FALSE), 4)</f>
        <v>6</v>
      </c>
      <c r="P311">
        <v>309.63</v>
      </c>
      <c r="Q311" s="27">
        <f>INDEX(Schedule!$A$1:$N$2000, MATCH($C311, VAV_Schedule_5_21[[#All],[UNIT TAG]], FALSE), 5)</f>
        <v>350</v>
      </c>
      <c r="R311" s="27">
        <f>INDEX(Schedule!$A$1:$N$2000, MATCH($C311, VAV_Schedule_5_21[[#All],[UNIT TAG]], FALSE), 6)</f>
        <v>70</v>
      </c>
      <c r="S311" s="27">
        <f>INDEX(Schedule!$A$1:$N$2000, MATCH($C311, VAV_Schedule_5_21[[#All],[UNIT TAG]], FALSE), 5)</f>
        <v>350</v>
      </c>
      <c r="T311" s="27">
        <f>INDEX(Schedule!$A$1:$N$2000, MATCH($C311, VAV_Schedule_5_21[[#All],[UNIT TAG]], FALSE), 6)</f>
        <v>70</v>
      </c>
      <c r="U311" s="27">
        <f>INDEX(Schedule!$A$1:$N$2000, MATCH($C311, VAV_Schedule_5_21[[#All],[UNIT TAG]], FALSE), 5)</f>
        <v>350</v>
      </c>
      <c r="V311" s="27">
        <f>INDEX(Schedule!$A$1:$N$2000, MATCH($C311, VAV_Schedule_5_21[[#All],[UNIT TAG]], FALSE), 6)</f>
        <v>70</v>
      </c>
      <c r="W311" s="27">
        <f>INDEX(Schedule!$A$1:$N$2000, MATCH($C311, VAV_Schedule_5_21[[#All],[UNIT TAG]], FALSE), 6)</f>
        <v>70</v>
      </c>
      <c r="X311" s="27">
        <f>INDEX(Schedule!$A$1:$N$2000, MATCH($C311, VAV_Schedule_5_21[[#All],[UNIT TAG]], FALSE), 6)</f>
        <v>70</v>
      </c>
      <c r="Y311" s="27">
        <f>INDEX(Schedule!$A$1:$N$2000, MATCH($C311, VAV_Schedule_5_21[[#All],[UNIT TAG]], FALSE), 6)</f>
        <v>70</v>
      </c>
      <c r="Z311" s="27">
        <f>INDEX(Schedule!$A$1:$N$2000, MATCH($C311, VAV_Schedule_5_21[[#All],[UNIT TAG]], FALSE), 6)</f>
        <v>70</v>
      </c>
      <c r="AA311" s="27">
        <v>1000</v>
      </c>
      <c r="AB311" s="27">
        <v>1100</v>
      </c>
      <c r="AC311">
        <v>1400</v>
      </c>
      <c r="AD311" s="29">
        <f>IF(INDEX(Schedule!$A$1:$N$2000, MATCH($C311, VAV_Schedule_5_21[[#All],[UNIT TAG]], FALSE), 7)="-", 0, INDEX(Schedule!$A$1:$N$2000, MATCH($C311, VAV_Schedule_5_21[[#All],[UNIT TAG]], FALSE), 7))</f>
        <v>0</v>
      </c>
      <c r="AE311" t="str">
        <f>"B_01'" &amp; "Flr_0" &amp; INDEX(Joined!$A$3:$M$2000, MATCH($A311, Joined!$I$3:$I$2000, FALSE), 8)</f>
        <v>B_01'Flr_08</v>
      </c>
      <c r="AF311" t="str">
        <f>"R_" &amp; INDEX(Joined!$A$3:$M$2000, MATCH($A311, Joined!$I$3:$I$2000, FALSE), 7)</f>
        <v>R_VAV-8E-22</v>
      </c>
      <c r="AG311" t="str">
        <f>"B_01'" &amp; "Flr_0" &amp; INDEX(Joined!$A$3:$M$2000, MATCH($A311, Joined!$I$3:$I$2000, FALSE), 8)</f>
        <v>B_01'Flr_08</v>
      </c>
      <c r="AH311" t="str">
        <f>INDEX(Joined!$A$3:$M$2000, MATCH($A311, Joined!$I$3:$I$2000, FALSE), 7)</f>
        <v>VAV-8E-22</v>
      </c>
      <c r="AI311" t="s">
        <v>1639</v>
      </c>
    </row>
    <row r="312" spans="1:35" x14ac:dyDescent="0.2">
      <c r="A312" t="s">
        <v>814</v>
      </c>
      <c r="B312" t="str">
        <f>"B_01'" &amp; "Flr_0" &amp; INDEX(Joined!$A$3:$M$2000, MATCH($A312, Joined!$I$3:$I$2000, FALSE), 8)</f>
        <v>B_01'Flr_08</v>
      </c>
      <c r="C312" t="str">
        <f>INDEX(Joined!$A$3:$M$2000, MATCH($A312, Joined!$I$3:$I$2000, FALSE), 7)</f>
        <v>VAV-8E-23</v>
      </c>
      <c r="D312">
        <f>INDEX(Joined!$A$3:$M$2000, MATCH($A312, Joined!$I$3:$I$2000, FALSE), 5)</f>
        <v>152010</v>
      </c>
      <c r="E312" t="str">
        <f>INDEX(Joined!$A$3:$M$2000, MATCH($A312, Joined!$I$3:$I$2000, FALSE), 7)</f>
        <v>VAV-8E-23</v>
      </c>
      <c r="F312" t="s">
        <v>38</v>
      </c>
      <c r="G312" t="str">
        <f>INDEX(Schedule!$Q$2:$R$7, MATCH(ABT!$H312,Schedule!$Q$2:$Q$7, 0), 2)</f>
        <v>15011_DXR_VAV_DXR2M12</v>
      </c>
      <c r="H312">
        <f>INDEX(Joined!$A$3:$M$2000, MATCH($A312, Joined!$I$3:$I$2000, FALSE), 6)</f>
        <v>15011</v>
      </c>
      <c r="I312" t="str">
        <f>INDEX(Joined!$A$3:$M$2000, MATCH($A312, Joined!$I$3:$I$2000, FALSE), 4)</f>
        <v>520</v>
      </c>
      <c r="J312" t="b">
        <v>0</v>
      </c>
      <c r="K312">
        <f>INDEX(Joined!$A$3:$M$2000, MATCH($A312, Joined!$I$3:$I$2000, FALSE), 3)</f>
        <v>10</v>
      </c>
      <c r="L312">
        <v>85</v>
      </c>
      <c r="M312">
        <v>38400</v>
      </c>
      <c r="N312" s="27">
        <f>PI()*(INDEX(Schedule!$A$1:$N$2000, MATCH($C312, VAV_Schedule_5_21[[#All],[UNIT TAG]], FALSE), 4)/2/12)^2</f>
        <v>0.54541539124822802</v>
      </c>
      <c r="O312" s="27">
        <f>INDEX(Schedule!$A$1:$N$2000, MATCH($C312, VAV_Schedule_5_21[[#All],[UNIT TAG]], FALSE), 4)</f>
        <v>10</v>
      </c>
      <c r="P312">
        <v>310.63</v>
      </c>
      <c r="Q312" s="27">
        <f>INDEX(Schedule!$A$1:$N$2000, MATCH($C312, VAV_Schedule_5_21[[#All],[UNIT TAG]], FALSE), 5)</f>
        <v>1050</v>
      </c>
      <c r="R312" s="27">
        <f>INDEX(Schedule!$A$1:$N$2000, MATCH($C312, VAV_Schedule_5_21[[#All],[UNIT TAG]], FALSE), 6)</f>
        <v>210</v>
      </c>
      <c r="S312" s="27">
        <f>INDEX(Schedule!$A$1:$N$2000, MATCH($C312, VAV_Schedule_5_21[[#All],[UNIT TAG]], FALSE), 5)</f>
        <v>1050</v>
      </c>
      <c r="T312" s="27">
        <f>INDEX(Schedule!$A$1:$N$2000, MATCH($C312, VAV_Schedule_5_21[[#All],[UNIT TAG]], FALSE), 6)</f>
        <v>210</v>
      </c>
      <c r="U312" s="27">
        <f>INDEX(Schedule!$A$1:$N$2000, MATCH($C312, VAV_Schedule_5_21[[#All],[UNIT TAG]], FALSE), 5)</f>
        <v>1050</v>
      </c>
      <c r="V312" s="27">
        <f>INDEX(Schedule!$A$1:$N$2000, MATCH($C312, VAV_Schedule_5_21[[#All],[UNIT TAG]], FALSE), 6)</f>
        <v>210</v>
      </c>
      <c r="W312" s="27">
        <f>INDEX(Schedule!$A$1:$N$2000, MATCH($C312, VAV_Schedule_5_21[[#All],[UNIT TAG]], FALSE), 6)</f>
        <v>210</v>
      </c>
      <c r="X312" s="27">
        <f>INDEX(Schedule!$A$1:$N$2000, MATCH($C312, VAV_Schedule_5_21[[#All],[UNIT TAG]], FALSE), 6)</f>
        <v>210</v>
      </c>
      <c r="Y312" s="27">
        <f>INDEX(Schedule!$A$1:$N$2000, MATCH($C312, VAV_Schedule_5_21[[#All],[UNIT TAG]], FALSE), 6)</f>
        <v>210</v>
      </c>
      <c r="Z312" s="27">
        <f>INDEX(Schedule!$A$1:$N$2000, MATCH($C312, VAV_Schedule_5_21[[#All],[UNIT TAG]], FALSE), 6)</f>
        <v>210</v>
      </c>
      <c r="AA312" s="27">
        <v>1000</v>
      </c>
      <c r="AB312" s="27">
        <v>1100</v>
      </c>
      <c r="AC312">
        <v>1400</v>
      </c>
      <c r="AD312" s="29" t="str">
        <f>IF(INDEX(Schedule!$A$1:$N$2000, MATCH($C312, VAV_Schedule_5_21[[#All],[UNIT TAG]], FALSE), 7)="-", 0, INDEX(Schedule!$A$1:$N$2000, MATCH($C312, VAV_Schedule_5_21[[#All],[UNIT TAG]], FALSE), 7))</f>
        <v>7</v>
      </c>
      <c r="AE312" t="str">
        <f>"B_01'" &amp; "Flr_0" &amp; INDEX(Joined!$A$3:$M$2000, MATCH($A312, Joined!$I$3:$I$2000, FALSE), 8)</f>
        <v>B_01'Flr_08</v>
      </c>
      <c r="AF312" t="str">
        <f>"R_" &amp; INDEX(Joined!$A$3:$M$2000, MATCH($A312, Joined!$I$3:$I$2000, FALSE), 7)</f>
        <v>R_VAV-8E-23</v>
      </c>
      <c r="AG312" t="str">
        <f>"B_01'" &amp; "Flr_0" &amp; INDEX(Joined!$A$3:$M$2000, MATCH($A312, Joined!$I$3:$I$2000, FALSE), 8)</f>
        <v>B_01'Flr_08</v>
      </c>
      <c r="AH312" t="str">
        <f>INDEX(Joined!$A$3:$M$2000, MATCH($A312, Joined!$I$3:$I$2000, FALSE), 7)</f>
        <v>VAV-8E-23</v>
      </c>
      <c r="AI312" t="s">
        <v>1640</v>
      </c>
    </row>
    <row r="313" spans="1:35" x14ac:dyDescent="0.2">
      <c r="A313" t="s">
        <v>815</v>
      </c>
      <c r="B313" t="str">
        <f>"B_01'" &amp; "Flr_0" &amp; INDEX(Joined!$A$3:$M$2000, MATCH($A313, Joined!$I$3:$I$2000, FALSE), 8)</f>
        <v>B_01'Flr_08</v>
      </c>
      <c r="C313" t="str">
        <f>INDEX(Joined!$A$3:$M$2000, MATCH($A313, Joined!$I$3:$I$2000, FALSE), 7)</f>
        <v>VAV-8E-24</v>
      </c>
      <c r="D313">
        <f>INDEX(Joined!$A$3:$M$2000, MATCH($A313, Joined!$I$3:$I$2000, FALSE), 5)</f>
        <v>152011</v>
      </c>
      <c r="E313" t="str">
        <f>INDEX(Joined!$A$3:$M$2000, MATCH($A313, Joined!$I$3:$I$2000, FALSE), 7)</f>
        <v>VAV-8E-24</v>
      </c>
      <c r="F313" t="s">
        <v>38</v>
      </c>
      <c r="G313" t="str">
        <f>INDEX(Schedule!$Q$2:$R$7, MATCH(ABT!$H313,Schedule!$Q$2:$Q$7, 0), 2)</f>
        <v>15010_DXR_VAV_DXR2M12</v>
      </c>
      <c r="H313">
        <f>INDEX(Joined!$A$3:$M$2000, MATCH($A313, Joined!$I$3:$I$2000, FALSE), 6)</f>
        <v>15010</v>
      </c>
      <c r="I313" t="str">
        <f>INDEX(Joined!$A$3:$M$2000, MATCH($A313, Joined!$I$3:$I$2000, FALSE), 4)</f>
        <v>520</v>
      </c>
      <c r="J313" t="b">
        <v>0</v>
      </c>
      <c r="K313">
        <f>INDEX(Joined!$A$3:$M$2000, MATCH($A313, Joined!$I$3:$I$2000, FALSE), 3)</f>
        <v>11</v>
      </c>
      <c r="L313">
        <v>85</v>
      </c>
      <c r="M313">
        <v>38400</v>
      </c>
      <c r="N313" s="27">
        <f>PI()*(INDEX(Schedule!$A$1:$N$2000, MATCH($C313, VAV_Schedule_5_21[[#All],[UNIT TAG]], FALSE), 4)/2/12)^2</f>
        <v>0.19634954084936207</v>
      </c>
      <c r="O313" s="27">
        <f>INDEX(Schedule!$A$1:$N$2000, MATCH($C313, VAV_Schedule_5_21[[#All],[UNIT TAG]], FALSE), 4)</f>
        <v>6</v>
      </c>
      <c r="P313">
        <v>311.63</v>
      </c>
      <c r="Q313" s="27">
        <f>INDEX(Schedule!$A$1:$N$2000, MATCH($C313, VAV_Schedule_5_21[[#All],[UNIT TAG]], FALSE), 5)</f>
        <v>200</v>
      </c>
      <c r="R313" s="27">
        <f>INDEX(Schedule!$A$1:$N$2000, MATCH($C313, VAV_Schedule_5_21[[#All],[UNIT TAG]], FALSE), 6)</f>
        <v>40</v>
      </c>
      <c r="S313" s="27">
        <f>INDEX(Schedule!$A$1:$N$2000, MATCH($C313, VAV_Schedule_5_21[[#All],[UNIT TAG]], FALSE), 5)</f>
        <v>200</v>
      </c>
      <c r="T313" s="27">
        <f>INDEX(Schedule!$A$1:$N$2000, MATCH($C313, VAV_Schedule_5_21[[#All],[UNIT TAG]], FALSE), 6)</f>
        <v>40</v>
      </c>
      <c r="U313" s="27">
        <f>INDEX(Schedule!$A$1:$N$2000, MATCH($C313, VAV_Schedule_5_21[[#All],[UNIT TAG]], FALSE), 5)</f>
        <v>200</v>
      </c>
      <c r="V313" s="27">
        <f>INDEX(Schedule!$A$1:$N$2000, MATCH($C313, VAV_Schedule_5_21[[#All],[UNIT TAG]], FALSE), 6)</f>
        <v>40</v>
      </c>
      <c r="W313" s="27">
        <f>INDEX(Schedule!$A$1:$N$2000, MATCH($C313, VAV_Schedule_5_21[[#All],[UNIT TAG]], FALSE), 6)</f>
        <v>40</v>
      </c>
      <c r="X313" s="27">
        <f>INDEX(Schedule!$A$1:$N$2000, MATCH($C313, VAV_Schedule_5_21[[#All],[UNIT TAG]], FALSE), 6)</f>
        <v>40</v>
      </c>
      <c r="Y313" s="27">
        <f>INDEX(Schedule!$A$1:$N$2000, MATCH($C313, VAV_Schedule_5_21[[#All],[UNIT TAG]], FALSE), 6)</f>
        <v>40</v>
      </c>
      <c r="Z313" s="27">
        <f>INDEX(Schedule!$A$1:$N$2000, MATCH($C313, VAV_Schedule_5_21[[#All],[UNIT TAG]], FALSE), 6)</f>
        <v>40</v>
      </c>
      <c r="AA313" s="27">
        <v>1000</v>
      </c>
      <c r="AB313" s="27">
        <v>1100</v>
      </c>
      <c r="AC313">
        <v>1400</v>
      </c>
      <c r="AD313" s="29">
        <f>IF(INDEX(Schedule!$A$1:$N$2000, MATCH($C313, VAV_Schedule_5_21[[#All],[UNIT TAG]], FALSE), 7)="-", 0, INDEX(Schedule!$A$1:$N$2000, MATCH($C313, VAV_Schedule_5_21[[#All],[UNIT TAG]], FALSE), 7))</f>
        <v>0</v>
      </c>
      <c r="AE313" t="str">
        <f>"B_01'" &amp; "Flr_0" &amp; INDEX(Joined!$A$3:$M$2000, MATCH($A313, Joined!$I$3:$I$2000, FALSE), 8)</f>
        <v>B_01'Flr_08</v>
      </c>
      <c r="AF313" t="str">
        <f>"R_" &amp; INDEX(Joined!$A$3:$M$2000, MATCH($A313, Joined!$I$3:$I$2000, FALSE), 7)</f>
        <v>R_VAV-8E-24</v>
      </c>
      <c r="AG313" t="str">
        <f>"B_01'" &amp; "Flr_0" &amp; INDEX(Joined!$A$3:$M$2000, MATCH($A313, Joined!$I$3:$I$2000, FALSE), 8)</f>
        <v>B_01'Flr_08</v>
      </c>
      <c r="AH313" t="str">
        <f>INDEX(Joined!$A$3:$M$2000, MATCH($A313, Joined!$I$3:$I$2000, FALSE), 7)</f>
        <v>VAV-8E-24</v>
      </c>
      <c r="AI313" t="s">
        <v>1641</v>
      </c>
    </row>
    <row r="314" spans="1:35" x14ac:dyDescent="0.2">
      <c r="A314" t="s">
        <v>816</v>
      </c>
      <c r="B314" t="str">
        <f>"B_01'" &amp; "Flr_0" &amp; INDEX(Joined!$A$3:$M$2000, MATCH($A314, Joined!$I$3:$I$2000, FALSE), 8)</f>
        <v>B_01'Flr_08</v>
      </c>
      <c r="C314" t="str">
        <f>INDEX(Joined!$A$3:$M$2000, MATCH($A314, Joined!$I$3:$I$2000, FALSE), 7)</f>
        <v>VAV-8E-25</v>
      </c>
      <c r="D314">
        <f>INDEX(Joined!$A$3:$M$2000, MATCH($A314, Joined!$I$3:$I$2000, FALSE), 5)</f>
        <v>152012</v>
      </c>
      <c r="E314" t="str">
        <f>INDEX(Joined!$A$3:$M$2000, MATCH($A314, Joined!$I$3:$I$2000, FALSE), 7)</f>
        <v>VAV-8E-25</v>
      </c>
      <c r="F314" t="s">
        <v>38</v>
      </c>
      <c r="G314" t="str">
        <f>INDEX(Schedule!$Q$2:$R$7, MATCH(ABT!$H314,Schedule!$Q$2:$Q$7, 0), 2)</f>
        <v>15011_DXR_VAV_DXR2M12</v>
      </c>
      <c r="H314">
        <f>INDEX(Joined!$A$3:$M$2000, MATCH($A314, Joined!$I$3:$I$2000, FALSE), 6)</f>
        <v>15011</v>
      </c>
      <c r="I314" t="str">
        <f>INDEX(Joined!$A$3:$M$2000, MATCH($A314, Joined!$I$3:$I$2000, FALSE), 4)</f>
        <v>520</v>
      </c>
      <c r="J314" t="b">
        <v>0</v>
      </c>
      <c r="K314">
        <f>INDEX(Joined!$A$3:$M$2000, MATCH($A314, Joined!$I$3:$I$2000, FALSE), 3)</f>
        <v>12</v>
      </c>
      <c r="L314">
        <v>85</v>
      </c>
      <c r="M314">
        <v>38400</v>
      </c>
      <c r="N314" s="27">
        <f>PI()*(INDEX(Schedule!$A$1:$N$2000, MATCH($C314, VAV_Schedule_5_21[[#All],[UNIT TAG]], FALSE), 4)/2/12)^2</f>
        <v>0.3490658503988659</v>
      </c>
      <c r="O314" s="27">
        <f>INDEX(Schedule!$A$1:$N$2000, MATCH($C314, VAV_Schedule_5_21[[#All],[UNIT TAG]], FALSE), 4)</f>
        <v>8</v>
      </c>
      <c r="P314">
        <v>312.63</v>
      </c>
      <c r="Q314" s="27">
        <f>INDEX(Schedule!$A$1:$N$2000, MATCH($C314, VAV_Schedule_5_21[[#All],[UNIT TAG]], FALSE), 5)</f>
        <v>640</v>
      </c>
      <c r="R314" s="27">
        <f>INDEX(Schedule!$A$1:$N$2000, MATCH($C314, VAV_Schedule_5_21[[#All],[UNIT TAG]], FALSE), 6)</f>
        <v>130</v>
      </c>
      <c r="S314" s="27">
        <f>INDEX(Schedule!$A$1:$N$2000, MATCH($C314, VAV_Schedule_5_21[[#All],[UNIT TAG]], FALSE), 5)</f>
        <v>640</v>
      </c>
      <c r="T314" s="27">
        <f>INDEX(Schedule!$A$1:$N$2000, MATCH($C314, VAV_Schedule_5_21[[#All],[UNIT TAG]], FALSE), 6)</f>
        <v>130</v>
      </c>
      <c r="U314" s="27">
        <f>INDEX(Schedule!$A$1:$N$2000, MATCH($C314, VAV_Schedule_5_21[[#All],[UNIT TAG]], FALSE), 5)</f>
        <v>640</v>
      </c>
      <c r="V314" s="27">
        <f>INDEX(Schedule!$A$1:$N$2000, MATCH($C314, VAV_Schedule_5_21[[#All],[UNIT TAG]], FALSE), 6)</f>
        <v>130</v>
      </c>
      <c r="W314" s="27">
        <f>INDEX(Schedule!$A$1:$N$2000, MATCH($C314, VAV_Schedule_5_21[[#All],[UNIT TAG]], FALSE), 6)</f>
        <v>130</v>
      </c>
      <c r="X314" s="27">
        <f>INDEX(Schedule!$A$1:$N$2000, MATCH($C314, VAV_Schedule_5_21[[#All],[UNIT TAG]], FALSE), 6)</f>
        <v>130</v>
      </c>
      <c r="Y314" s="27">
        <f>INDEX(Schedule!$A$1:$N$2000, MATCH($C314, VAV_Schedule_5_21[[#All],[UNIT TAG]], FALSE), 6)</f>
        <v>130</v>
      </c>
      <c r="Z314" s="27">
        <f>INDEX(Schedule!$A$1:$N$2000, MATCH($C314, VAV_Schedule_5_21[[#All],[UNIT TAG]], FALSE), 6)</f>
        <v>130</v>
      </c>
      <c r="AA314" s="27">
        <v>1000</v>
      </c>
      <c r="AB314" s="27">
        <v>1100</v>
      </c>
      <c r="AC314">
        <v>1400</v>
      </c>
      <c r="AD314" s="29" t="str">
        <f>IF(INDEX(Schedule!$A$1:$N$2000, MATCH($C314, VAV_Schedule_5_21[[#All],[UNIT TAG]], FALSE), 7)="-", 0, INDEX(Schedule!$A$1:$N$2000, MATCH($C314, VAV_Schedule_5_21[[#All],[UNIT TAG]], FALSE), 7))</f>
        <v>6</v>
      </c>
      <c r="AE314" t="str">
        <f>"B_01'" &amp; "Flr_0" &amp; INDEX(Joined!$A$3:$M$2000, MATCH($A314, Joined!$I$3:$I$2000, FALSE), 8)</f>
        <v>B_01'Flr_08</v>
      </c>
      <c r="AF314" t="str">
        <f>"R_" &amp; INDEX(Joined!$A$3:$M$2000, MATCH($A314, Joined!$I$3:$I$2000, FALSE), 7)</f>
        <v>R_VAV-8E-25</v>
      </c>
      <c r="AG314" t="str">
        <f>"B_01'" &amp; "Flr_0" &amp; INDEX(Joined!$A$3:$M$2000, MATCH($A314, Joined!$I$3:$I$2000, FALSE), 8)</f>
        <v>B_01'Flr_08</v>
      </c>
      <c r="AH314" t="str">
        <f>INDEX(Joined!$A$3:$M$2000, MATCH($A314, Joined!$I$3:$I$2000, FALSE), 7)</f>
        <v>VAV-8E-25</v>
      </c>
      <c r="AI314" t="s">
        <v>1642</v>
      </c>
    </row>
    <row r="315" spans="1:35" x14ac:dyDescent="0.2">
      <c r="A315" t="s">
        <v>817</v>
      </c>
      <c r="B315" t="str">
        <f>"B_01'" &amp; "Flr_0" &amp; INDEX(Joined!$A$3:$M$2000, MATCH($A315, Joined!$I$3:$I$2000, FALSE), 8)</f>
        <v>B_01'Flr_08</v>
      </c>
      <c r="C315" t="str">
        <f>INDEX(Joined!$A$3:$M$2000, MATCH($A315, Joined!$I$3:$I$2000, FALSE), 7)</f>
        <v>VAV-8E-26</v>
      </c>
      <c r="D315">
        <f>INDEX(Joined!$A$3:$M$2000, MATCH($A315, Joined!$I$3:$I$2000, FALSE), 5)</f>
        <v>152013</v>
      </c>
      <c r="E315" t="str">
        <f>INDEX(Joined!$A$3:$M$2000, MATCH($A315, Joined!$I$3:$I$2000, FALSE), 7)</f>
        <v>VAV-8E-26</v>
      </c>
      <c r="F315" t="s">
        <v>38</v>
      </c>
      <c r="G315" t="str">
        <f>INDEX(Schedule!$Q$2:$R$7, MATCH(ABT!$H315,Schedule!$Q$2:$Q$7, 0), 2)</f>
        <v>15011_DXR_VAV_DXR2M12</v>
      </c>
      <c r="H315">
        <f>INDEX(Joined!$A$3:$M$2000, MATCH($A315, Joined!$I$3:$I$2000, FALSE), 6)</f>
        <v>15011</v>
      </c>
      <c r="I315" t="str">
        <f>INDEX(Joined!$A$3:$M$2000, MATCH($A315, Joined!$I$3:$I$2000, FALSE), 4)</f>
        <v>520</v>
      </c>
      <c r="J315" t="b">
        <v>0</v>
      </c>
      <c r="K315">
        <f>INDEX(Joined!$A$3:$M$2000, MATCH($A315, Joined!$I$3:$I$2000, FALSE), 3)</f>
        <v>13</v>
      </c>
      <c r="L315">
        <v>85</v>
      </c>
      <c r="M315">
        <v>38400</v>
      </c>
      <c r="N315" s="27">
        <f>PI()*(INDEX(Schedule!$A$1:$N$2000, MATCH($C315, VAV_Schedule_5_21[[#All],[UNIT TAG]], FALSE), 4)/2/12)^2</f>
        <v>0.54541539124822802</v>
      </c>
      <c r="O315" s="27">
        <f>INDEX(Schedule!$A$1:$N$2000, MATCH($C315, VAV_Schedule_5_21[[#All],[UNIT TAG]], FALSE), 4)</f>
        <v>10</v>
      </c>
      <c r="P315">
        <v>313.63</v>
      </c>
      <c r="Q315" s="27">
        <f>INDEX(Schedule!$A$1:$N$2000, MATCH($C315, VAV_Schedule_5_21[[#All],[UNIT TAG]], FALSE), 5)</f>
        <v>860</v>
      </c>
      <c r="R315" s="27">
        <f>INDEX(Schedule!$A$1:$N$2000, MATCH($C315, VAV_Schedule_5_21[[#All],[UNIT TAG]], FALSE), 6)</f>
        <v>175</v>
      </c>
      <c r="S315" s="27">
        <f>INDEX(Schedule!$A$1:$N$2000, MATCH($C315, VAV_Schedule_5_21[[#All],[UNIT TAG]], FALSE), 5)</f>
        <v>860</v>
      </c>
      <c r="T315" s="27">
        <f>INDEX(Schedule!$A$1:$N$2000, MATCH($C315, VAV_Schedule_5_21[[#All],[UNIT TAG]], FALSE), 6)</f>
        <v>175</v>
      </c>
      <c r="U315" s="27">
        <f>INDEX(Schedule!$A$1:$N$2000, MATCH($C315, VAV_Schedule_5_21[[#All],[UNIT TAG]], FALSE), 5)</f>
        <v>860</v>
      </c>
      <c r="V315" s="27">
        <f>INDEX(Schedule!$A$1:$N$2000, MATCH($C315, VAV_Schedule_5_21[[#All],[UNIT TAG]], FALSE), 6)</f>
        <v>175</v>
      </c>
      <c r="W315" s="27">
        <f>INDEX(Schedule!$A$1:$N$2000, MATCH($C315, VAV_Schedule_5_21[[#All],[UNIT TAG]], FALSE), 6)</f>
        <v>175</v>
      </c>
      <c r="X315" s="27">
        <f>INDEX(Schedule!$A$1:$N$2000, MATCH($C315, VAV_Schedule_5_21[[#All],[UNIT TAG]], FALSE), 6)</f>
        <v>175</v>
      </c>
      <c r="Y315" s="27">
        <f>INDEX(Schedule!$A$1:$N$2000, MATCH($C315, VAV_Schedule_5_21[[#All],[UNIT TAG]], FALSE), 6)</f>
        <v>175</v>
      </c>
      <c r="Z315" s="27">
        <f>INDEX(Schedule!$A$1:$N$2000, MATCH($C315, VAV_Schedule_5_21[[#All],[UNIT TAG]], FALSE), 6)</f>
        <v>175</v>
      </c>
      <c r="AA315" s="27">
        <v>1000</v>
      </c>
      <c r="AB315" s="27">
        <v>1100</v>
      </c>
      <c r="AC315">
        <v>1400</v>
      </c>
      <c r="AD315" s="29" t="str">
        <f>IF(INDEX(Schedule!$A$1:$N$2000, MATCH($C315, VAV_Schedule_5_21[[#All],[UNIT TAG]], FALSE), 7)="-", 0, INDEX(Schedule!$A$1:$N$2000, MATCH($C315, VAV_Schedule_5_21[[#All],[UNIT TAG]], FALSE), 7))</f>
        <v>6</v>
      </c>
      <c r="AE315" t="str">
        <f>"B_01'" &amp; "Flr_0" &amp; INDEX(Joined!$A$3:$M$2000, MATCH($A315, Joined!$I$3:$I$2000, FALSE), 8)</f>
        <v>B_01'Flr_08</v>
      </c>
      <c r="AF315" t="str">
        <f>"R_" &amp; INDEX(Joined!$A$3:$M$2000, MATCH($A315, Joined!$I$3:$I$2000, FALSE), 7)</f>
        <v>R_VAV-8E-26</v>
      </c>
      <c r="AG315" t="str">
        <f>"B_01'" &amp; "Flr_0" &amp; INDEX(Joined!$A$3:$M$2000, MATCH($A315, Joined!$I$3:$I$2000, FALSE), 8)</f>
        <v>B_01'Flr_08</v>
      </c>
      <c r="AH315" t="str">
        <f>INDEX(Joined!$A$3:$M$2000, MATCH($A315, Joined!$I$3:$I$2000, FALSE), 7)</f>
        <v>VAV-8E-26</v>
      </c>
      <c r="AI315" t="s">
        <v>1643</v>
      </c>
    </row>
    <row r="316" spans="1:35" x14ac:dyDescent="0.2">
      <c r="A316" t="s">
        <v>818</v>
      </c>
      <c r="B316" t="str">
        <f>"B_01'" &amp; "Flr_0" &amp; INDEX(Joined!$A$3:$M$2000, MATCH($A316, Joined!$I$3:$I$2000, FALSE), 8)</f>
        <v>B_01'Flr_08</v>
      </c>
      <c r="C316" t="str">
        <f>INDEX(Joined!$A$3:$M$2000, MATCH($A316, Joined!$I$3:$I$2000, FALSE), 7)</f>
        <v>VAV-8E-27</v>
      </c>
      <c r="D316">
        <f>INDEX(Joined!$A$3:$M$2000, MATCH($A316, Joined!$I$3:$I$2000, FALSE), 5)</f>
        <v>152014</v>
      </c>
      <c r="E316" t="str">
        <f>INDEX(Joined!$A$3:$M$2000, MATCH($A316, Joined!$I$3:$I$2000, FALSE), 7)</f>
        <v>VAV-8E-27</v>
      </c>
      <c r="F316" t="s">
        <v>38</v>
      </c>
      <c r="G316" t="str">
        <f>INDEX(Schedule!$Q$2:$R$7, MATCH(ABT!$H316,Schedule!$Q$2:$Q$7, 0), 2)</f>
        <v>15011_DXR_VAV_DXR2M12</v>
      </c>
      <c r="H316">
        <f>INDEX(Joined!$A$3:$M$2000, MATCH($A316, Joined!$I$3:$I$2000, FALSE), 6)</f>
        <v>15011</v>
      </c>
      <c r="I316" t="str">
        <f>INDEX(Joined!$A$3:$M$2000, MATCH($A316, Joined!$I$3:$I$2000, FALSE), 4)</f>
        <v>520</v>
      </c>
      <c r="J316" t="b">
        <v>0</v>
      </c>
      <c r="K316">
        <f>INDEX(Joined!$A$3:$M$2000, MATCH($A316, Joined!$I$3:$I$2000, FALSE), 3)</f>
        <v>14</v>
      </c>
      <c r="L316">
        <v>85</v>
      </c>
      <c r="M316">
        <v>38400</v>
      </c>
      <c r="N316" s="27">
        <f>PI()*(INDEX(Schedule!$A$1:$N$2000, MATCH($C316, VAV_Schedule_5_21[[#All],[UNIT TAG]], FALSE), 4)/2/12)^2</f>
        <v>0.3490658503988659</v>
      </c>
      <c r="O316" s="27">
        <f>INDEX(Schedule!$A$1:$N$2000, MATCH($C316, VAV_Schedule_5_21[[#All],[UNIT TAG]], FALSE), 4)</f>
        <v>8</v>
      </c>
      <c r="P316">
        <v>314.63</v>
      </c>
      <c r="Q316" s="27">
        <f>INDEX(Schedule!$A$1:$N$2000, MATCH($C316, VAV_Schedule_5_21[[#All],[UNIT TAG]], FALSE), 5)</f>
        <v>690</v>
      </c>
      <c r="R316" s="27">
        <f>INDEX(Schedule!$A$1:$N$2000, MATCH($C316, VAV_Schedule_5_21[[#All],[UNIT TAG]], FALSE), 6)</f>
        <v>140</v>
      </c>
      <c r="S316" s="27">
        <f>INDEX(Schedule!$A$1:$N$2000, MATCH($C316, VAV_Schedule_5_21[[#All],[UNIT TAG]], FALSE), 5)</f>
        <v>690</v>
      </c>
      <c r="T316" s="27">
        <f>INDEX(Schedule!$A$1:$N$2000, MATCH($C316, VAV_Schedule_5_21[[#All],[UNIT TAG]], FALSE), 6)</f>
        <v>140</v>
      </c>
      <c r="U316" s="27">
        <f>INDEX(Schedule!$A$1:$N$2000, MATCH($C316, VAV_Schedule_5_21[[#All],[UNIT TAG]], FALSE), 5)</f>
        <v>690</v>
      </c>
      <c r="V316" s="27">
        <f>INDEX(Schedule!$A$1:$N$2000, MATCH($C316, VAV_Schedule_5_21[[#All],[UNIT TAG]], FALSE), 6)</f>
        <v>140</v>
      </c>
      <c r="W316" s="27">
        <f>INDEX(Schedule!$A$1:$N$2000, MATCH($C316, VAV_Schedule_5_21[[#All],[UNIT TAG]], FALSE), 6)</f>
        <v>140</v>
      </c>
      <c r="X316" s="27">
        <f>INDEX(Schedule!$A$1:$N$2000, MATCH($C316, VAV_Schedule_5_21[[#All],[UNIT TAG]], FALSE), 6)</f>
        <v>140</v>
      </c>
      <c r="Y316" s="27">
        <f>INDEX(Schedule!$A$1:$N$2000, MATCH($C316, VAV_Schedule_5_21[[#All],[UNIT TAG]], FALSE), 6)</f>
        <v>140</v>
      </c>
      <c r="Z316" s="27">
        <f>INDEX(Schedule!$A$1:$N$2000, MATCH($C316, VAV_Schedule_5_21[[#All],[UNIT TAG]], FALSE), 6)</f>
        <v>140</v>
      </c>
      <c r="AA316" s="27">
        <v>1000</v>
      </c>
      <c r="AB316" s="27">
        <v>1100</v>
      </c>
      <c r="AC316">
        <v>1400</v>
      </c>
      <c r="AD316" s="29" t="str">
        <f>IF(INDEX(Schedule!$A$1:$N$2000, MATCH($C316, VAV_Schedule_5_21[[#All],[UNIT TAG]], FALSE), 7)="-", 0, INDEX(Schedule!$A$1:$N$2000, MATCH($C316, VAV_Schedule_5_21[[#All],[UNIT TAG]], FALSE), 7))</f>
        <v>6</v>
      </c>
      <c r="AE316" t="str">
        <f>"B_01'" &amp; "Flr_0" &amp; INDEX(Joined!$A$3:$M$2000, MATCH($A316, Joined!$I$3:$I$2000, FALSE), 8)</f>
        <v>B_01'Flr_08</v>
      </c>
      <c r="AF316" t="str">
        <f>"R_" &amp; INDEX(Joined!$A$3:$M$2000, MATCH($A316, Joined!$I$3:$I$2000, FALSE), 7)</f>
        <v>R_VAV-8E-27</v>
      </c>
      <c r="AG316" t="str">
        <f>"B_01'" &amp; "Flr_0" &amp; INDEX(Joined!$A$3:$M$2000, MATCH($A316, Joined!$I$3:$I$2000, FALSE), 8)</f>
        <v>B_01'Flr_08</v>
      </c>
      <c r="AH316" t="str">
        <f>INDEX(Joined!$A$3:$M$2000, MATCH($A316, Joined!$I$3:$I$2000, FALSE), 7)</f>
        <v>VAV-8E-27</v>
      </c>
      <c r="AI316" t="s">
        <v>1644</v>
      </c>
    </row>
    <row r="317" spans="1:35" x14ac:dyDescent="0.2">
      <c r="A317" t="s">
        <v>819</v>
      </c>
      <c r="B317" t="str">
        <f>"B_01'" &amp; "Flr_0" &amp; INDEX(Joined!$A$3:$M$2000, MATCH($A317, Joined!$I$3:$I$2000, FALSE), 8)</f>
        <v>B_01'Flr_08</v>
      </c>
      <c r="C317" t="str">
        <f>INDEX(Joined!$A$3:$M$2000, MATCH($A317, Joined!$I$3:$I$2000, FALSE), 7)</f>
        <v>VAV-8E-28</v>
      </c>
      <c r="D317">
        <f>INDEX(Joined!$A$3:$M$2000, MATCH($A317, Joined!$I$3:$I$2000, FALSE), 5)</f>
        <v>152015</v>
      </c>
      <c r="E317" t="str">
        <f>INDEX(Joined!$A$3:$M$2000, MATCH($A317, Joined!$I$3:$I$2000, FALSE), 7)</f>
        <v>VAV-8E-28</v>
      </c>
      <c r="F317" t="s">
        <v>38</v>
      </c>
      <c r="G317" t="str">
        <f>INDEX(Schedule!$Q$2:$R$7, MATCH(ABT!$H317,Schedule!$Q$2:$Q$7, 0), 2)</f>
        <v>15010_DXR_VAV_DXR2M12</v>
      </c>
      <c r="H317">
        <f>INDEX(Joined!$A$3:$M$2000, MATCH($A317, Joined!$I$3:$I$2000, FALSE), 6)</f>
        <v>15010</v>
      </c>
      <c r="I317" t="str">
        <f>INDEX(Joined!$A$3:$M$2000, MATCH($A317, Joined!$I$3:$I$2000, FALSE), 4)</f>
        <v>520</v>
      </c>
      <c r="J317" t="b">
        <v>0</v>
      </c>
      <c r="K317">
        <f>INDEX(Joined!$A$3:$M$2000, MATCH($A317, Joined!$I$3:$I$2000, FALSE), 3)</f>
        <v>15</v>
      </c>
      <c r="L317">
        <v>85</v>
      </c>
      <c r="M317">
        <v>38400</v>
      </c>
      <c r="N317" s="27">
        <f>PI()*(INDEX(Schedule!$A$1:$N$2000, MATCH($C317, VAV_Schedule_5_21[[#All],[UNIT TAG]], FALSE), 4)/2/12)^2</f>
        <v>0.78539816339744828</v>
      </c>
      <c r="O317" s="27">
        <f>INDEX(Schedule!$A$1:$N$2000, MATCH($C317, VAV_Schedule_5_21[[#All],[UNIT TAG]], FALSE), 4)</f>
        <v>12</v>
      </c>
      <c r="P317">
        <v>315.63</v>
      </c>
      <c r="Q317" s="27">
        <f>INDEX(Schedule!$A$1:$N$2000, MATCH($C317, VAV_Schedule_5_21[[#All],[UNIT TAG]], FALSE), 5)</f>
        <v>1310</v>
      </c>
      <c r="R317" s="27">
        <f>INDEX(Schedule!$A$1:$N$2000, MATCH($C317, VAV_Schedule_5_21[[#All],[UNIT TAG]], FALSE), 6)</f>
        <v>265</v>
      </c>
      <c r="S317" s="27">
        <f>INDEX(Schedule!$A$1:$N$2000, MATCH($C317, VAV_Schedule_5_21[[#All],[UNIT TAG]], FALSE), 5)</f>
        <v>1310</v>
      </c>
      <c r="T317" s="27">
        <f>INDEX(Schedule!$A$1:$N$2000, MATCH($C317, VAV_Schedule_5_21[[#All],[UNIT TAG]], FALSE), 6)</f>
        <v>265</v>
      </c>
      <c r="U317" s="27">
        <f>INDEX(Schedule!$A$1:$N$2000, MATCH($C317, VAV_Schedule_5_21[[#All],[UNIT TAG]], FALSE), 5)</f>
        <v>1310</v>
      </c>
      <c r="V317" s="27">
        <f>INDEX(Schedule!$A$1:$N$2000, MATCH($C317, VAV_Schedule_5_21[[#All],[UNIT TAG]], FALSE), 6)</f>
        <v>265</v>
      </c>
      <c r="W317" s="27">
        <f>INDEX(Schedule!$A$1:$N$2000, MATCH($C317, VAV_Schedule_5_21[[#All],[UNIT TAG]], FALSE), 6)</f>
        <v>265</v>
      </c>
      <c r="X317" s="27">
        <f>INDEX(Schedule!$A$1:$N$2000, MATCH($C317, VAV_Schedule_5_21[[#All],[UNIT TAG]], FALSE), 6)</f>
        <v>265</v>
      </c>
      <c r="Y317" s="27">
        <f>INDEX(Schedule!$A$1:$N$2000, MATCH($C317, VAV_Schedule_5_21[[#All],[UNIT TAG]], FALSE), 6)</f>
        <v>265</v>
      </c>
      <c r="Z317" s="27">
        <f>INDEX(Schedule!$A$1:$N$2000, MATCH($C317, VAV_Schedule_5_21[[#All],[UNIT TAG]], FALSE), 6)</f>
        <v>265</v>
      </c>
      <c r="AA317" s="27">
        <v>1000</v>
      </c>
      <c r="AB317" s="27">
        <v>1100</v>
      </c>
      <c r="AC317">
        <v>1400</v>
      </c>
      <c r="AD317" s="29">
        <f>IF(INDEX(Schedule!$A$1:$N$2000, MATCH($C317, VAV_Schedule_5_21[[#All],[UNIT TAG]], FALSE), 7)="-", 0, INDEX(Schedule!$A$1:$N$2000, MATCH($C317, VAV_Schedule_5_21[[#All],[UNIT TAG]], FALSE), 7))</f>
        <v>0</v>
      </c>
      <c r="AE317" t="str">
        <f>"B_01'" &amp; "Flr_0" &amp; INDEX(Joined!$A$3:$M$2000, MATCH($A317, Joined!$I$3:$I$2000, FALSE), 8)</f>
        <v>B_01'Flr_08</v>
      </c>
      <c r="AF317" t="str">
        <f>"R_" &amp; INDEX(Joined!$A$3:$M$2000, MATCH($A317, Joined!$I$3:$I$2000, FALSE), 7)</f>
        <v>R_VAV-8E-28</v>
      </c>
      <c r="AG317" t="str">
        <f>"B_01'" &amp; "Flr_0" &amp; INDEX(Joined!$A$3:$M$2000, MATCH($A317, Joined!$I$3:$I$2000, FALSE), 8)</f>
        <v>B_01'Flr_08</v>
      </c>
      <c r="AH317" t="str">
        <f>INDEX(Joined!$A$3:$M$2000, MATCH($A317, Joined!$I$3:$I$2000, FALSE), 7)</f>
        <v>VAV-8E-28</v>
      </c>
      <c r="AI317" t="s">
        <v>1645</v>
      </c>
    </row>
    <row r="318" spans="1:35" x14ac:dyDescent="0.2">
      <c r="A318" t="s">
        <v>820</v>
      </c>
      <c r="B318" t="str">
        <f>"B_01'" &amp; "Flr_0" &amp; INDEX(Joined!$A$3:$M$2000, MATCH($A318, Joined!$I$3:$I$2000, FALSE), 8)</f>
        <v>B_01'Flr_08</v>
      </c>
      <c r="C318" t="str">
        <f>INDEX(Joined!$A$3:$M$2000, MATCH($A318, Joined!$I$3:$I$2000, FALSE), 7)</f>
        <v>VAV-8E-29</v>
      </c>
      <c r="D318">
        <f>INDEX(Joined!$A$3:$M$2000, MATCH($A318, Joined!$I$3:$I$2000, FALSE), 5)</f>
        <v>152016</v>
      </c>
      <c r="E318" t="str">
        <f>INDEX(Joined!$A$3:$M$2000, MATCH($A318, Joined!$I$3:$I$2000, FALSE), 7)</f>
        <v>VAV-8E-29</v>
      </c>
      <c r="F318" t="s">
        <v>38</v>
      </c>
      <c r="G318" t="str">
        <f>INDEX(Schedule!$Q$2:$R$7, MATCH(ABT!$H318,Schedule!$Q$2:$Q$7, 0), 2)</f>
        <v>15010_DXR_VAV_DXR2M12</v>
      </c>
      <c r="H318">
        <f>INDEX(Joined!$A$3:$M$2000, MATCH($A318, Joined!$I$3:$I$2000, FALSE), 6)</f>
        <v>15010</v>
      </c>
      <c r="I318" t="str">
        <f>INDEX(Joined!$A$3:$M$2000, MATCH($A318, Joined!$I$3:$I$2000, FALSE), 4)</f>
        <v>520</v>
      </c>
      <c r="J318" t="b">
        <v>0</v>
      </c>
      <c r="K318">
        <f>INDEX(Joined!$A$3:$M$2000, MATCH($A318, Joined!$I$3:$I$2000, FALSE), 3)</f>
        <v>16</v>
      </c>
      <c r="L318">
        <v>85</v>
      </c>
      <c r="M318">
        <v>38400</v>
      </c>
      <c r="N318" s="27">
        <f>PI()*(INDEX(Schedule!$A$1:$N$2000, MATCH($C318, VAV_Schedule_5_21[[#All],[UNIT TAG]], FALSE), 4)/2/12)^2</f>
        <v>0.54541539124822802</v>
      </c>
      <c r="O318" s="27">
        <f>INDEX(Schedule!$A$1:$N$2000, MATCH($C318, VAV_Schedule_5_21[[#All],[UNIT TAG]], FALSE), 4)</f>
        <v>10</v>
      </c>
      <c r="P318">
        <v>316.63</v>
      </c>
      <c r="Q318" s="27">
        <f>INDEX(Schedule!$A$1:$N$2000, MATCH($C318, VAV_Schedule_5_21[[#All],[UNIT TAG]], FALSE), 5)</f>
        <v>925</v>
      </c>
      <c r="R318" s="27">
        <f>INDEX(Schedule!$A$1:$N$2000, MATCH($C318, VAV_Schedule_5_21[[#All],[UNIT TAG]], FALSE), 6)</f>
        <v>0</v>
      </c>
      <c r="S318" s="27">
        <f>INDEX(Schedule!$A$1:$N$2000, MATCH($C318, VAV_Schedule_5_21[[#All],[UNIT TAG]], FALSE), 5)</f>
        <v>925</v>
      </c>
      <c r="T318" s="27">
        <f>INDEX(Schedule!$A$1:$N$2000, MATCH($C318, VAV_Schedule_5_21[[#All],[UNIT TAG]], FALSE), 6)</f>
        <v>0</v>
      </c>
      <c r="U318" s="27">
        <f>INDEX(Schedule!$A$1:$N$2000, MATCH($C318, VAV_Schedule_5_21[[#All],[UNIT TAG]], FALSE), 5)</f>
        <v>925</v>
      </c>
      <c r="V318" s="27">
        <f>INDEX(Schedule!$A$1:$N$2000, MATCH($C318, VAV_Schedule_5_21[[#All],[UNIT TAG]], FALSE), 6)</f>
        <v>0</v>
      </c>
      <c r="W318" s="27">
        <f>INDEX(Schedule!$A$1:$N$2000, MATCH($C318, VAV_Schedule_5_21[[#All],[UNIT TAG]], FALSE), 6)</f>
        <v>0</v>
      </c>
      <c r="X318" s="27">
        <f>INDEX(Schedule!$A$1:$N$2000, MATCH($C318, VAV_Schedule_5_21[[#All],[UNIT TAG]], FALSE), 6)</f>
        <v>0</v>
      </c>
      <c r="Y318" s="27">
        <f>INDEX(Schedule!$A$1:$N$2000, MATCH($C318, VAV_Schedule_5_21[[#All],[UNIT TAG]], FALSE), 6)</f>
        <v>0</v>
      </c>
      <c r="Z318" s="27">
        <f>INDEX(Schedule!$A$1:$N$2000, MATCH($C318, VAV_Schedule_5_21[[#All],[UNIT TAG]], FALSE), 6)</f>
        <v>0</v>
      </c>
      <c r="AA318" s="27">
        <v>1000</v>
      </c>
      <c r="AB318" s="27">
        <v>1100</v>
      </c>
      <c r="AC318">
        <v>1400</v>
      </c>
      <c r="AD318" s="29">
        <f>IF(INDEX(Schedule!$A$1:$N$2000, MATCH($C318, VAV_Schedule_5_21[[#All],[UNIT TAG]], FALSE), 7)="-", 0, INDEX(Schedule!$A$1:$N$2000, MATCH($C318, VAV_Schedule_5_21[[#All],[UNIT TAG]], FALSE), 7))</f>
        <v>0</v>
      </c>
      <c r="AE318" t="str">
        <f>"B_01'" &amp; "Flr_0" &amp; INDEX(Joined!$A$3:$M$2000, MATCH($A318, Joined!$I$3:$I$2000, FALSE), 8)</f>
        <v>B_01'Flr_08</v>
      </c>
      <c r="AF318" t="str">
        <f>"R_" &amp; INDEX(Joined!$A$3:$M$2000, MATCH($A318, Joined!$I$3:$I$2000, FALSE), 7)</f>
        <v>R_VAV-8E-29</v>
      </c>
      <c r="AG318" t="str">
        <f>"B_01'" &amp; "Flr_0" &amp; INDEX(Joined!$A$3:$M$2000, MATCH($A318, Joined!$I$3:$I$2000, FALSE), 8)</f>
        <v>B_01'Flr_08</v>
      </c>
      <c r="AH318" t="str">
        <f>INDEX(Joined!$A$3:$M$2000, MATCH($A318, Joined!$I$3:$I$2000, FALSE), 7)</f>
        <v>VAV-8E-29</v>
      </c>
      <c r="AI318" t="s">
        <v>1646</v>
      </c>
    </row>
    <row r="319" spans="1:35" x14ac:dyDescent="0.2">
      <c r="A319" t="s">
        <v>821</v>
      </c>
      <c r="B319" t="str">
        <f>"B_01'" &amp; "Flr_0" &amp; INDEX(Joined!$A$3:$M$2000, MATCH($A319, Joined!$I$3:$I$2000, FALSE), 8)</f>
        <v>B_01'Flr_08</v>
      </c>
      <c r="C319" t="str">
        <f>INDEX(Joined!$A$3:$M$2000, MATCH($A319, Joined!$I$3:$I$2000, FALSE), 7)</f>
        <v>VAV-8E-30</v>
      </c>
      <c r="D319">
        <f>INDEX(Joined!$A$3:$M$2000, MATCH($A319, Joined!$I$3:$I$2000, FALSE), 5)</f>
        <v>152017</v>
      </c>
      <c r="E319" t="str">
        <f>INDEX(Joined!$A$3:$M$2000, MATCH($A319, Joined!$I$3:$I$2000, FALSE), 7)</f>
        <v>VAV-8E-30</v>
      </c>
      <c r="F319" t="s">
        <v>38</v>
      </c>
      <c r="G319" t="str">
        <f>INDEX(Schedule!$Q$2:$R$7, MATCH(ABT!$H319,Schedule!$Q$2:$Q$7, 0), 2)</f>
        <v>15010_DXR_VAV_DXR2M12</v>
      </c>
      <c r="H319">
        <f>INDEX(Joined!$A$3:$M$2000, MATCH($A319, Joined!$I$3:$I$2000, FALSE), 6)</f>
        <v>15010</v>
      </c>
      <c r="I319" t="str">
        <f>INDEX(Joined!$A$3:$M$2000, MATCH($A319, Joined!$I$3:$I$2000, FALSE), 4)</f>
        <v>520</v>
      </c>
      <c r="J319" t="b">
        <v>0</v>
      </c>
      <c r="K319">
        <f>INDEX(Joined!$A$3:$M$2000, MATCH($A319, Joined!$I$3:$I$2000, FALSE), 3)</f>
        <v>17</v>
      </c>
      <c r="L319">
        <v>85</v>
      </c>
      <c r="M319">
        <v>38400</v>
      </c>
      <c r="N319" s="27">
        <f>PI()*(INDEX(Schedule!$A$1:$N$2000, MATCH($C319, VAV_Schedule_5_21[[#All],[UNIT TAG]], FALSE), 4)/2/12)^2</f>
        <v>0.78539816339744828</v>
      </c>
      <c r="O319" s="27">
        <f>INDEX(Schedule!$A$1:$N$2000, MATCH($C319, VAV_Schedule_5_21[[#All],[UNIT TAG]], FALSE), 4)</f>
        <v>12</v>
      </c>
      <c r="P319">
        <v>317.63</v>
      </c>
      <c r="Q319" s="27">
        <f>INDEX(Schedule!$A$1:$N$2000, MATCH($C319, VAV_Schedule_5_21[[#All],[UNIT TAG]], FALSE), 5)</f>
        <v>1510</v>
      </c>
      <c r="R319" s="27">
        <f>INDEX(Schedule!$A$1:$N$2000, MATCH($C319, VAV_Schedule_5_21[[#All],[UNIT TAG]], FALSE), 6)</f>
        <v>305</v>
      </c>
      <c r="S319" s="27">
        <f>INDEX(Schedule!$A$1:$N$2000, MATCH($C319, VAV_Schedule_5_21[[#All],[UNIT TAG]], FALSE), 5)</f>
        <v>1510</v>
      </c>
      <c r="T319" s="27">
        <f>INDEX(Schedule!$A$1:$N$2000, MATCH($C319, VAV_Schedule_5_21[[#All],[UNIT TAG]], FALSE), 6)</f>
        <v>305</v>
      </c>
      <c r="U319" s="27">
        <f>INDEX(Schedule!$A$1:$N$2000, MATCH($C319, VAV_Schedule_5_21[[#All],[UNIT TAG]], FALSE), 5)</f>
        <v>1510</v>
      </c>
      <c r="V319" s="27">
        <f>INDEX(Schedule!$A$1:$N$2000, MATCH($C319, VAV_Schedule_5_21[[#All],[UNIT TAG]], FALSE), 6)</f>
        <v>305</v>
      </c>
      <c r="W319" s="27">
        <f>INDEX(Schedule!$A$1:$N$2000, MATCH($C319, VAV_Schedule_5_21[[#All],[UNIT TAG]], FALSE), 6)</f>
        <v>305</v>
      </c>
      <c r="X319" s="27">
        <f>INDEX(Schedule!$A$1:$N$2000, MATCH($C319, VAV_Schedule_5_21[[#All],[UNIT TAG]], FALSE), 6)</f>
        <v>305</v>
      </c>
      <c r="Y319" s="27">
        <f>INDEX(Schedule!$A$1:$N$2000, MATCH($C319, VAV_Schedule_5_21[[#All],[UNIT TAG]], FALSE), 6)</f>
        <v>305</v>
      </c>
      <c r="Z319" s="27">
        <f>INDEX(Schedule!$A$1:$N$2000, MATCH($C319, VAV_Schedule_5_21[[#All],[UNIT TAG]], FALSE), 6)</f>
        <v>305</v>
      </c>
      <c r="AA319" s="27">
        <v>1000</v>
      </c>
      <c r="AB319" s="27">
        <v>1100</v>
      </c>
      <c r="AC319">
        <v>1400</v>
      </c>
      <c r="AD319" s="29">
        <f>IF(INDEX(Schedule!$A$1:$N$2000, MATCH($C319, VAV_Schedule_5_21[[#All],[UNIT TAG]], FALSE), 7)="-", 0, INDEX(Schedule!$A$1:$N$2000, MATCH($C319, VAV_Schedule_5_21[[#All],[UNIT TAG]], FALSE), 7))</f>
        <v>0</v>
      </c>
      <c r="AE319" t="str">
        <f>"B_01'" &amp; "Flr_0" &amp; INDEX(Joined!$A$3:$M$2000, MATCH($A319, Joined!$I$3:$I$2000, FALSE), 8)</f>
        <v>B_01'Flr_08</v>
      </c>
      <c r="AF319" t="str">
        <f>"R_" &amp; INDEX(Joined!$A$3:$M$2000, MATCH($A319, Joined!$I$3:$I$2000, FALSE), 7)</f>
        <v>R_VAV-8E-30</v>
      </c>
      <c r="AG319" t="str">
        <f>"B_01'" &amp; "Flr_0" &amp; INDEX(Joined!$A$3:$M$2000, MATCH($A319, Joined!$I$3:$I$2000, FALSE), 8)</f>
        <v>B_01'Flr_08</v>
      </c>
      <c r="AH319" t="str">
        <f>INDEX(Joined!$A$3:$M$2000, MATCH($A319, Joined!$I$3:$I$2000, FALSE), 7)</f>
        <v>VAV-8E-30</v>
      </c>
      <c r="AI319" t="s">
        <v>1647</v>
      </c>
    </row>
    <row r="320" spans="1:35" x14ac:dyDescent="0.2">
      <c r="A320" t="s">
        <v>822</v>
      </c>
      <c r="B320" t="str">
        <f>"B_01'" &amp; "Flr_0" &amp; INDEX(Joined!$A$3:$M$2000, MATCH($A320, Joined!$I$3:$I$2000, FALSE), 8)</f>
        <v>B_01'Flr_08</v>
      </c>
      <c r="C320" t="str">
        <f>INDEX(Joined!$A$3:$M$2000, MATCH($A320, Joined!$I$3:$I$2000, FALSE), 7)</f>
        <v>VAV-8E-31</v>
      </c>
      <c r="D320">
        <f>INDEX(Joined!$A$3:$M$2000, MATCH($A320, Joined!$I$3:$I$2000, FALSE), 5)</f>
        <v>152018</v>
      </c>
      <c r="E320" t="str">
        <f>INDEX(Joined!$A$3:$M$2000, MATCH($A320, Joined!$I$3:$I$2000, FALSE), 7)</f>
        <v>VAV-8E-31</v>
      </c>
      <c r="F320" t="s">
        <v>38</v>
      </c>
      <c r="G320" t="str">
        <f>INDEX(Schedule!$Q$2:$R$7, MATCH(ABT!$H320,Schedule!$Q$2:$Q$7, 0), 2)</f>
        <v>15011_DXR_VAV_DXR2M12</v>
      </c>
      <c r="H320">
        <f>INDEX(Joined!$A$3:$M$2000, MATCH($A320, Joined!$I$3:$I$2000, FALSE), 6)</f>
        <v>15011</v>
      </c>
      <c r="I320" t="str">
        <f>INDEX(Joined!$A$3:$M$2000, MATCH($A320, Joined!$I$3:$I$2000, FALSE), 4)</f>
        <v>520</v>
      </c>
      <c r="J320" t="b">
        <v>0</v>
      </c>
      <c r="K320">
        <f>INDEX(Joined!$A$3:$M$2000, MATCH($A320, Joined!$I$3:$I$2000, FALSE), 3)</f>
        <v>18</v>
      </c>
      <c r="L320">
        <v>85</v>
      </c>
      <c r="M320">
        <v>38400</v>
      </c>
      <c r="N320" s="27">
        <f>PI()*(INDEX(Schedule!$A$1:$N$2000, MATCH($C320, VAV_Schedule_5_21[[#All],[UNIT TAG]], FALSE), 4)/2/12)^2</f>
        <v>0.54541539124822802</v>
      </c>
      <c r="O320" s="27">
        <f>INDEX(Schedule!$A$1:$N$2000, MATCH($C320, VAV_Schedule_5_21[[#All],[UNIT TAG]], FALSE), 4)</f>
        <v>10</v>
      </c>
      <c r="P320">
        <v>318.63</v>
      </c>
      <c r="Q320" s="27">
        <f>INDEX(Schedule!$A$1:$N$2000, MATCH($C320, VAV_Schedule_5_21[[#All],[UNIT TAG]], FALSE), 5)</f>
        <v>800</v>
      </c>
      <c r="R320" s="27">
        <f>INDEX(Schedule!$A$1:$N$2000, MATCH($C320, VAV_Schedule_5_21[[#All],[UNIT TAG]], FALSE), 6)</f>
        <v>160</v>
      </c>
      <c r="S320" s="27">
        <f>INDEX(Schedule!$A$1:$N$2000, MATCH($C320, VAV_Schedule_5_21[[#All],[UNIT TAG]], FALSE), 5)</f>
        <v>800</v>
      </c>
      <c r="T320" s="27">
        <f>INDEX(Schedule!$A$1:$N$2000, MATCH($C320, VAV_Schedule_5_21[[#All],[UNIT TAG]], FALSE), 6)</f>
        <v>160</v>
      </c>
      <c r="U320" s="27">
        <f>INDEX(Schedule!$A$1:$N$2000, MATCH($C320, VAV_Schedule_5_21[[#All],[UNIT TAG]], FALSE), 5)</f>
        <v>800</v>
      </c>
      <c r="V320" s="27">
        <f>INDEX(Schedule!$A$1:$N$2000, MATCH($C320, VAV_Schedule_5_21[[#All],[UNIT TAG]], FALSE), 6)</f>
        <v>160</v>
      </c>
      <c r="W320" s="27">
        <f>INDEX(Schedule!$A$1:$N$2000, MATCH($C320, VAV_Schedule_5_21[[#All],[UNIT TAG]], FALSE), 6)</f>
        <v>160</v>
      </c>
      <c r="X320" s="27">
        <f>INDEX(Schedule!$A$1:$N$2000, MATCH($C320, VAV_Schedule_5_21[[#All],[UNIT TAG]], FALSE), 6)</f>
        <v>160</v>
      </c>
      <c r="Y320" s="27">
        <f>INDEX(Schedule!$A$1:$N$2000, MATCH($C320, VAV_Schedule_5_21[[#All],[UNIT TAG]], FALSE), 6)</f>
        <v>160</v>
      </c>
      <c r="Z320" s="27">
        <f>INDEX(Schedule!$A$1:$N$2000, MATCH($C320, VAV_Schedule_5_21[[#All],[UNIT TAG]], FALSE), 6)</f>
        <v>160</v>
      </c>
      <c r="AA320" s="27">
        <v>1000</v>
      </c>
      <c r="AB320" s="27">
        <v>1100</v>
      </c>
      <c r="AC320">
        <v>1400</v>
      </c>
      <c r="AD320" s="29" t="str">
        <f>IF(INDEX(Schedule!$A$1:$N$2000, MATCH($C320, VAV_Schedule_5_21[[#All],[UNIT TAG]], FALSE), 7)="-", 0, INDEX(Schedule!$A$1:$N$2000, MATCH($C320, VAV_Schedule_5_21[[#All],[UNIT TAG]], FALSE), 7))</f>
        <v>8</v>
      </c>
      <c r="AE320" t="str">
        <f>"B_01'" &amp; "Flr_0" &amp; INDEX(Joined!$A$3:$M$2000, MATCH($A320, Joined!$I$3:$I$2000, FALSE), 8)</f>
        <v>B_01'Flr_08</v>
      </c>
      <c r="AF320" t="str">
        <f>"R_" &amp; INDEX(Joined!$A$3:$M$2000, MATCH($A320, Joined!$I$3:$I$2000, FALSE), 7)</f>
        <v>R_VAV-8E-31</v>
      </c>
      <c r="AG320" t="str">
        <f>"B_01'" &amp; "Flr_0" &amp; INDEX(Joined!$A$3:$M$2000, MATCH($A320, Joined!$I$3:$I$2000, FALSE), 8)</f>
        <v>B_01'Flr_08</v>
      </c>
      <c r="AH320" t="str">
        <f>INDEX(Joined!$A$3:$M$2000, MATCH($A320, Joined!$I$3:$I$2000, FALSE), 7)</f>
        <v>VAV-8E-31</v>
      </c>
      <c r="AI320" t="s">
        <v>1648</v>
      </c>
    </row>
    <row r="321" spans="1:35" x14ac:dyDescent="0.2">
      <c r="A321" t="s">
        <v>823</v>
      </c>
      <c r="B321" t="str">
        <f>"B_01'" &amp; "Flr_0" &amp; INDEX(Joined!$A$3:$M$2000, MATCH($A321, Joined!$I$3:$I$2000, FALSE), 8)</f>
        <v>B_01'Flr_08</v>
      </c>
      <c r="C321" t="str">
        <f>INDEX(Joined!$A$3:$M$2000, MATCH($A321, Joined!$I$3:$I$2000, FALSE), 7)</f>
        <v>VAV-8E-32</v>
      </c>
      <c r="D321">
        <f>INDEX(Joined!$A$3:$M$2000, MATCH($A321, Joined!$I$3:$I$2000, FALSE), 5)</f>
        <v>152019</v>
      </c>
      <c r="E321" t="str">
        <f>INDEX(Joined!$A$3:$M$2000, MATCH($A321, Joined!$I$3:$I$2000, FALSE), 7)</f>
        <v>VAV-8E-32</v>
      </c>
      <c r="F321" t="s">
        <v>38</v>
      </c>
      <c r="G321" t="str">
        <f>INDEX(Schedule!$Q$2:$R$7, MATCH(ABT!$H321,Schedule!$Q$2:$Q$7, 0), 2)</f>
        <v>15011_DXR_VAV_DXR2M12</v>
      </c>
      <c r="H321">
        <f>INDEX(Joined!$A$3:$M$2000, MATCH($A321, Joined!$I$3:$I$2000, FALSE), 6)</f>
        <v>15011</v>
      </c>
      <c r="I321" t="str">
        <f>INDEX(Joined!$A$3:$M$2000, MATCH($A321, Joined!$I$3:$I$2000, FALSE), 4)</f>
        <v>520</v>
      </c>
      <c r="J321" t="b">
        <v>0</v>
      </c>
      <c r="K321">
        <f>INDEX(Joined!$A$3:$M$2000, MATCH($A321, Joined!$I$3:$I$2000, FALSE), 3)</f>
        <v>19</v>
      </c>
      <c r="L321">
        <v>85</v>
      </c>
      <c r="M321">
        <v>38400</v>
      </c>
      <c r="N321" s="27">
        <f>PI()*(INDEX(Schedule!$A$1:$N$2000, MATCH($C321, VAV_Schedule_5_21[[#All],[UNIT TAG]], FALSE), 4)/2/12)^2</f>
        <v>0.78539816339744828</v>
      </c>
      <c r="O321" s="27">
        <f>INDEX(Schedule!$A$1:$N$2000, MATCH($C321, VAV_Schedule_5_21[[#All],[UNIT TAG]], FALSE), 4)</f>
        <v>12</v>
      </c>
      <c r="P321">
        <v>319.63</v>
      </c>
      <c r="Q321" s="27">
        <f>INDEX(Schedule!$A$1:$N$2000, MATCH($C321, VAV_Schedule_5_21[[#All],[UNIT TAG]], FALSE), 5)</f>
        <v>1400</v>
      </c>
      <c r="R321" s="27">
        <f>INDEX(Schedule!$A$1:$N$2000, MATCH($C321, VAV_Schedule_5_21[[#All],[UNIT TAG]], FALSE), 6)</f>
        <v>280</v>
      </c>
      <c r="S321" s="27">
        <f>INDEX(Schedule!$A$1:$N$2000, MATCH($C321, VAV_Schedule_5_21[[#All],[UNIT TAG]], FALSE), 5)</f>
        <v>1400</v>
      </c>
      <c r="T321" s="27">
        <f>INDEX(Schedule!$A$1:$N$2000, MATCH($C321, VAV_Schedule_5_21[[#All],[UNIT TAG]], FALSE), 6)</f>
        <v>280</v>
      </c>
      <c r="U321" s="27">
        <f>INDEX(Schedule!$A$1:$N$2000, MATCH($C321, VAV_Schedule_5_21[[#All],[UNIT TAG]], FALSE), 5)</f>
        <v>1400</v>
      </c>
      <c r="V321" s="27">
        <f>INDEX(Schedule!$A$1:$N$2000, MATCH($C321, VAV_Schedule_5_21[[#All],[UNIT TAG]], FALSE), 6)</f>
        <v>280</v>
      </c>
      <c r="W321" s="27">
        <f>INDEX(Schedule!$A$1:$N$2000, MATCH($C321, VAV_Schedule_5_21[[#All],[UNIT TAG]], FALSE), 6)</f>
        <v>280</v>
      </c>
      <c r="X321" s="27">
        <f>INDEX(Schedule!$A$1:$N$2000, MATCH($C321, VAV_Schedule_5_21[[#All],[UNIT TAG]], FALSE), 6)</f>
        <v>280</v>
      </c>
      <c r="Y321" s="27">
        <f>INDEX(Schedule!$A$1:$N$2000, MATCH($C321, VAV_Schedule_5_21[[#All],[UNIT TAG]], FALSE), 6)</f>
        <v>280</v>
      </c>
      <c r="Z321" s="27">
        <f>INDEX(Schedule!$A$1:$N$2000, MATCH($C321, VAV_Schedule_5_21[[#All],[UNIT TAG]], FALSE), 6)</f>
        <v>280</v>
      </c>
      <c r="AA321" s="27">
        <v>1000</v>
      </c>
      <c r="AB321" s="27">
        <v>1100</v>
      </c>
      <c r="AC321">
        <v>1400</v>
      </c>
      <c r="AD321" s="29" t="str">
        <f>IF(INDEX(Schedule!$A$1:$N$2000, MATCH($C321, VAV_Schedule_5_21[[#All],[UNIT TAG]], FALSE), 7)="-", 0, INDEX(Schedule!$A$1:$N$2000, MATCH($C321, VAV_Schedule_5_21[[#All],[UNIT TAG]], FALSE), 7))</f>
        <v>8</v>
      </c>
      <c r="AE321" t="str">
        <f>"B_01'" &amp; "Flr_0" &amp; INDEX(Joined!$A$3:$M$2000, MATCH($A321, Joined!$I$3:$I$2000, FALSE), 8)</f>
        <v>B_01'Flr_08</v>
      </c>
      <c r="AF321" t="str">
        <f>"R_" &amp; INDEX(Joined!$A$3:$M$2000, MATCH($A321, Joined!$I$3:$I$2000, FALSE), 7)</f>
        <v>R_VAV-8E-32</v>
      </c>
      <c r="AG321" t="str">
        <f>"B_01'" &amp; "Flr_0" &amp; INDEX(Joined!$A$3:$M$2000, MATCH($A321, Joined!$I$3:$I$2000, FALSE), 8)</f>
        <v>B_01'Flr_08</v>
      </c>
      <c r="AH321" t="str">
        <f>INDEX(Joined!$A$3:$M$2000, MATCH($A321, Joined!$I$3:$I$2000, FALSE), 7)</f>
        <v>VAV-8E-32</v>
      </c>
      <c r="AI321" t="s">
        <v>1649</v>
      </c>
    </row>
    <row r="322" spans="1:35" x14ac:dyDescent="0.2">
      <c r="A322" t="s">
        <v>801</v>
      </c>
      <c r="B322" t="str">
        <f>"B_01'" &amp; "Flr_0" &amp; INDEX(Joined!$A$3:$M$2000, MATCH($A322, Joined!$I$3:$I$2000, FALSE), 8)</f>
        <v>B_01'Flr_08</v>
      </c>
      <c r="C322" t="str">
        <f>INDEX(Joined!$A$3:$M$2000, MATCH($A322, Joined!$I$3:$I$2000, FALSE), 7)</f>
        <v>VAV-8N-10</v>
      </c>
      <c r="D322">
        <f>INDEX(Joined!$A$3:$M$2000, MATCH($A322, Joined!$I$3:$I$2000, FALSE), 5)</f>
        <v>151907</v>
      </c>
      <c r="E322" t="str">
        <f>INDEX(Joined!$A$3:$M$2000, MATCH($A322, Joined!$I$3:$I$2000, FALSE), 7)</f>
        <v>VAV-8N-10</v>
      </c>
      <c r="F322" t="s">
        <v>38</v>
      </c>
      <c r="G322" t="str">
        <f>INDEX(Schedule!$Q$2:$R$7, MATCH(ABT!$H322,Schedule!$Q$2:$Q$7, 0), 2)</f>
        <v>15010_DXR_VAV_DXR2M12</v>
      </c>
      <c r="H322">
        <f>INDEX(Joined!$A$3:$M$2000, MATCH($A322, Joined!$I$3:$I$2000, FALSE), 6)</f>
        <v>15010</v>
      </c>
      <c r="I322" t="str">
        <f>INDEX(Joined!$A$3:$M$2000, MATCH($A322, Joined!$I$3:$I$2000, FALSE), 4)</f>
        <v>519</v>
      </c>
      <c r="J322" t="b">
        <v>0</v>
      </c>
      <c r="K322">
        <f>INDEX(Joined!$A$3:$M$2000, MATCH($A322, Joined!$I$3:$I$2000, FALSE), 3)</f>
        <v>7</v>
      </c>
      <c r="L322">
        <v>85</v>
      </c>
      <c r="M322">
        <v>38400</v>
      </c>
      <c r="N322" s="27">
        <f>PI()*(INDEX(Schedule!$A$1:$N$2000, MATCH($C322, VAV_Schedule_5_21[[#All],[UNIT TAG]], FALSE), 4)/2/12)^2</f>
        <v>0.78539816339744828</v>
      </c>
      <c r="O322" s="27">
        <f>INDEX(Schedule!$A$1:$N$2000, MATCH($C322, VAV_Schedule_5_21[[#All],[UNIT TAG]], FALSE), 4)</f>
        <v>12</v>
      </c>
      <c r="P322">
        <v>320.63</v>
      </c>
      <c r="Q322" s="27">
        <f>INDEX(Schedule!$A$1:$N$2000, MATCH($C322, VAV_Schedule_5_21[[#All],[UNIT TAG]], FALSE), 5)</f>
        <v>1280</v>
      </c>
      <c r="R322" s="27">
        <f>INDEX(Schedule!$A$1:$N$2000, MATCH($C322, VAV_Schedule_5_21[[#All],[UNIT TAG]], FALSE), 6)</f>
        <v>260</v>
      </c>
      <c r="S322" s="27">
        <f>INDEX(Schedule!$A$1:$N$2000, MATCH($C322, VAV_Schedule_5_21[[#All],[UNIT TAG]], FALSE), 5)</f>
        <v>1280</v>
      </c>
      <c r="T322" s="27">
        <f>INDEX(Schedule!$A$1:$N$2000, MATCH($C322, VAV_Schedule_5_21[[#All],[UNIT TAG]], FALSE), 6)</f>
        <v>260</v>
      </c>
      <c r="U322" s="27">
        <f>INDEX(Schedule!$A$1:$N$2000, MATCH($C322, VAV_Schedule_5_21[[#All],[UNIT TAG]], FALSE), 5)</f>
        <v>1280</v>
      </c>
      <c r="V322" s="27">
        <f>INDEX(Schedule!$A$1:$N$2000, MATCH($C322, VAV_Schedule_5_21[[#All],[UNIT TAG]], FALSE), 6)</f>
        <v>260</v>
      </c>
      <c r="W322" s="27">
        <f>INDEX(Schedule!$A$1:$N$2000, MATCH($C322, VAV_Schedule_5_21[[#All],[UNIT TAG]], FALSE), 6)</f>
        <v>260</v>
      </c>
      <c r="X322" s="27">
        <f>INDEX(Schedule!$A$1:$N$2000, MATCH($C322, VAV_Schedule_5_21[[#All],[UNIT TAG]], FALSE), 6)</f>
        <v>260</v>
      </c>
      <c r="Y322" s="27">
        <f>INDEX(Schedule!$A$1:$N$2000, MATCH($C322, VAV_Schedule_5_21[[#All],[UNIT TAG]], FALSE), 6)</f>
        <v>260</v>
      </c>
      <c r="Z322" s="27">
        <f>INDEX(Schedule!$A$1:$N$2000, MATCH($C322, VAV_Schedule_5_21[[#All],[UNIT TAG]], FALSE), 6)</f>
        <v>260</v>
      </c>
      <c r="AA322" s="27">
        <v>1000</v>
      </c>
      <c r="AB322" s="27">
        <v>1100</v>
      </c>
      <c r="AC322">
        <v>1400</v>
      </c>
      <c r="AD322" s="29">
        <f>IF(INDEX(Schedule!$A$1:$N$2000, MATCH($C322, VAV_Schedule_5_21[[#All],[UNIT TAG]], FALSE), 7)="-", 0, INDEX(Schedule!$A$1:$N$2000, MATCH($C322, VAV_Schedule_5_21[[#All],[UNIT TAG]], FALSE), 7))</f>
        <v>0</v>
      </c>
      <c r="AE322" t="str">
        <f>"B_01'" &amp; "Flr_0" &amp; INDEX(Joined!$A$3:$M$2000, MATCH($A322, Joined!$I$3:$I$2000, FALSE), 8)</f>
        <v>B_01'Flr_08</v>
      </c>
      <c r="AF322" t="str">
        <f>"R_" &amp; INDEX(Joined!$A$3:$M$2000, MATCH($A322, Joined!$I$3:$I$2000, FALSE), 7)</f>
        <v>R_VAV-8N-10</v>
      </c>
      <c r="AG322" t="str">
        <f>"B_01'" &amp; "Flr_0" &amp; INDEX(Joined!$A$3:$M$2000, MATCH($A322, Joined!$I$3:$I$2000, FALSE), 8)</f>
        <v>B_01'Flr_08</v>
      </c>
      <c r="AH322" t="str">
        <f>INDEX(Joined!$A$3:$M$2000, MATCH($A322, Joined!$I$3:$I$2000, FALSE), 7)</f>
        <v>VAV-8N-10</v>
      </c>
      <c r="AI322" t="s">
        <v>1650</v>
      </c>
    </row>
    <row r="323" spans="1:35" x14ac:dyDescent="0.2">
      <c r="A323" t="s">
        <v>802</v>
      </c>
      <c r="B323" t="str">
        <f>"B_01'" &amp; "Flr_0" &amp; INDEX(Joined!$A$3:$M$2000, MATCH($A323, Joined!$I$3:$I$2000, FALSE), 8)</f>
        <v>B_01'Flr_08</v>
      </c>
      <c r="C323" t="str">
        <f>INDEX(Joined!$A$3:$M$2000, MATCH($A323, Joined!$I$3:$I$2000, FALSE), 7)</f>
        <v>VAV-8N-11</v>
      </c>
      <c r="D323">
        <f>INDEX(Joined!$A$3:$M$2000, MATCH($A323, Joined!$I$3:$I$2000, FALSE), 5)</f>
        <v>151908</v>
      </c>
      <c r="E323" t="str">
        <f>INDEX(Joined!$A$3:$M$2000, MATCH($A323, Joined!$I$3:$I$2000, FALSE), 7)</f>
        <v>VAV-8N-11</v>
      </c>
      <c r="F323" t="s">
        <v>38</v>
      </c>
      <c r="G323" t="str">
        <f>INDEX(Schedule!$Q$2:$R$7, MATCH(ABT!$H323,Schedule!$Q$2:$Q$7, 0), 2)</f>
        <v>15010_DXR_VAV_DXR2M12</v>
      </c>
      <c r="H323">
        <f>INDEX(Joined!$A$3:$M$2000, MATCH($A323, Joined!$I$3:$I$2000, FALSE), 6)</f>
        <v>15010</v>
      </c>
      <c r="I323" t="str">
        <f>INDEX(Joined!$A$3:$M$2000, MATCH($A323, Joined!$I$3:$I$2000, FALSE), 4)</f>
        <v>519</v>
      </c>
      <c r="J323" t="b">
        <v>0</v>
      </c>
      <c r="K323">
        <f>INDEX(Joined!$A$3:$M$2000, MATCH($A323, Joined!$I$3:$I$2000, FALSE), 3)</f>
        <v>8</v>
      </c>
      <c r="L323">
        <v>85</v>
      </c>
      <c r="M323">
        <v>38400</v>
      </c>
      <c r="N323" s="27">
        <f>PI()*(INDEX(Schedule!$A$1:$N$2000, MATCH($C323, VAV_Schedule_5_21[[#All],[UNIT TAG]], FALSE), 4)/2/12)^2</f>
        <v>0.3490658503988659</v>
      </c>
      <c r="O323" s="27">
        <f>INDEX(Schedule!$A$1:$N$2000, MATCH($C323, VAV_Schedule_5_21[[#All],[UNIT TAG]], FALSE), 4)</f>
        <v>8</v>
      </c>
      <c r="P323">
        <v>321.63</v>
      </c>
      <c r="Q323" s="27">
        <f>INDEX(Schedule!$A$1:$N$2000, MATCH($C323, VAV_Schedule_5_21[[#All],[UNIT TAG]], FALSE), 5)</f>
        <v>445</v>
      </c>
      <c r="R323" s="27">
        <f>INDEX(Schedule!$A$1:$N$2000, MATCH($C323, VAV_Schedule_5_21[[#All],[UNIT TAG]], FALSE), 6)</f>
        <v>90</v>
      </c>
      <c r="S323" s="27">
        <f>INDEX(Schedule!$A$1:$N$2000, MATCH($C323, VAV_Schedule_5_21[[#All],[UNIT TAG]], FALSE), 5)</f>
        <v>445</v>
      </c>
      <c r="T323" s="27">
        <f>INDEX(Schedule!$A$1:$N$2000, MATCH($C323, VAV_Schedule_5_21[[#All],[UNIT TAG]], FALSE), 6)</f>
        <v>90</v>
      </c>
      <c r="U323" s="27">
        <f>INDEX(Schedule!$A$1:$N$2000, MATCH($C323, VAV_Schedule_5_21[[#All],[UNIT TAG]], FALSE), 5)</f>
        <v>445</v>
      </c>
      <c r="V323" s="27">
        <f>INDEX(Schedule!$A$1:$N$2000, MATCH($C323, VAV_Schedule_5_21[[#All],[UNIT TAG]], FALSE), 6)</f>
        <v>90</v>
      </c>
      <c r="W323" s="27">
        <f>INDEX(Schedule!$A$1:$N$2000, MATCH($C323, VAV_Schedule_5_21[[#All],[UNIT TAG]], FALSE), 6)</f>
        <v>90</v>
      </c>
      <c r="X323" s="27">
        <f>INDEX(Schedule!$A$1:$N$2000, MATCH($C323, VAV_Schedule_5_21[[#All],[UNIT TAG]], FALSE), 6)</f>
        <v>90</v>
      </c>
      <c r="Y323" s="27">
        <f>INDEX(Schedule!$A$1:$N$2000, MATCH($C323, VAV_Schedule_5_21[[#All],[UNIT TAG]], FALSE), 6)</f>
        <v>90</v>
      </c>
      <c r="Z323" s="27">
        <f>INDEX(Schedule!$A$1:$N$2000, MATCH($C323, VAV_Schedule_5_21[[#All],[UNIT TAG]], FALSE), 6)</f>
        <v>90</v>
      </c>
      <c r="AA323" s="27">
        <v>1000</v>
      </c>
      <c r="AB323" s="27">
        <v>1100</v>
      </c>
      <c r="AC323">
        <v>1400</v>
      </c>
      <c r="AD323" s="29">
        <f>IF(INDEX(Schedule!$A$1:$N$2000, MATCH($C323, VAV_Schedule_5_21[[#All],[UNIT TAG]], FALSE), 7)="-", 0, INDEX(Schedule!$A$1:$N$2000, MATCH($C323, VAV_Schedule_5_21[[#All],[UNIT TAG]], FALSE), 7))</f>
        <v>0</v>
      </c>
      <c r="AE323" t="str">
        <f>"B_01'" &amp; "Flr_0" &amp; INDEX(Joined!$A$3:$M$2000, MATCH($A323, Joined!$I$3:$I$2000, FALSE), 8)</f>
        <v>B_01'Flr_08</v>
      </c>
      <c r="AF323" t="str">
        <f>"R_" &amp; INDEX(Joined!$A$3:$M$2000, MATCH($A323, Joined!$I$3:$I$2000, FALSE), 7)</f>
        <v>R_VAV-8N-11</v>
      </c>
      <c r="AG323" t="str">
        <f>"B_01'" &amp; "Flr_0" &amp; INDEX(Joined!$A$3:$M$2000, MATCH($A323, Joined!$I$3:$I$2000, FALSE), 8)</f>
        <v>B_01'Flr_08</v>
      </c>
      <c r="AH323" t="str">
        <f>INDEX(Joined!$A$3:$M$2000, MATCH($A323, Joined!$I$3:$I$2000, FALSE), 7)</f>
        <v>VAV-8N-11</v>
      </c>
      <c r="AI323" t="s">
        <v>1651</v>
      </c>
    </row>
    <row r="324" spans="1:35" x14ac:dyDescent="0.2">
      <c r="A324" t="s">
        <v>803</v>
      </c>
      <c r="B324" t="str">
        <f>"B_01'" &amp; "Flr_0" &amp; INDEX(Joined!$A$3:$M$2000, MATCH($A324, Joined!$I$3:$I$2000, FALSE), 8)</f>
        <v>B_01'Flr_08</v>
      </c>
      <c r="C324" t="str">
        <f>INDEX(Joined!$A$3:$M$2000, MATCH($A324, Joined!$I$3:$I$2000, FALSE), 7)</f>
        <v>VAV-8N-12</v>
      </c>
      <c r="D324">
        <f>INDEX(Joined!$A$3:$M$2000, MATCH($A324, Joined!$I$3:$I$2000, FALSE), 5)</f>
        <v>151909</v>
      </c>
      <c r="E324" t="str">
        <f>INDEX(Joined!$A$3:$M$2000, MATCH($A324, Joined!$I$3:$I$2000, FALSE), 7)</f>
        <v>VAV-8N-12</v>
      </c>
      <c r="F324" t="s">
        <v>38</v>
      </c>
      <c r="G324" t="str">
        <f>INDEX(Schedule!$Q$2:$R$7, MATCH(ABT!$H324,Schedule!$Q$2:$Q$7, 0), 2)</f>
        <v>15010_DXR_VAV_DXR2M12</v>
      </c>
      <c r="H324">
        <f>INDEX(Joined!$A$3:$M$2000, MATCH($A324, Joined!$I$3:$I$2000, FALSE), 6)</f>
        <v>15010</v>
      </c>
      <c r="I324" t="str">
        <f>INDEX(Joined!$A$3:$M$2000, MATCH($A324, Joined!$I$3:$I$2000, FALSE), 4)</f>
        <v>519</v>
      </c>
      <c r="J324" t="b">
        <v>0</v>
      </c>
      <c r="K324">
        <f>INDEX(Joined!$A$3:$M$2000, MATCH($A324, Joined!$I$3:$I$2000, FALSE), 3)</f>
        <v>9</v>
      </c>
      <c r="L324">
        <v>85</v>
      </c>
      <c r="M324">
        <v>38400</v>
      </c>
      <c r="N324" s="27">
        <f>PI()*(INDEX(Schedule!$A$1:$N$2000, MATCH($C324, VAV_Schedule_5_21[[#All],[UNIT TAG]], FALSE), 4)/2/12)^2</f>
        <v>0.78539816339744828</v>
      </c>
      <c r="O324" s="27">
        <f>INDEX(Schedule!$A$1:$N$2000, MATCH($C324, VAV_Schedule_5_21[[#All],[UNIT TAG]], FALSE), 4)</f>
        <v>12</v>
      </c>
      <c r="P324">
        <v>322.63</v>
      </c>
      <c r="Q324" s="27">
        <f>INDEX(Schedule!$A$1:$N$2000, MATCH($C324, VAV_Schedule_5_21[[#All],[UNIT TAG]], FALSE), 5)</f>
        <v>1385</v>
      </c>
      <c r="R324" s="27">
        <f>INDEX(Schedule!$A$1:$N$2000, MATCH($C324, VAV_Schedule_5_21[[#All],[UNIT TAG]], FALSE), 6)</f>
        <v>280</v>
      </c>
      <c r="S324" s="27">
        <f>INDEX(Schedule!$A$1:$N$2000, MATCH($C324, VAV_Schedule_5_21[[#All],[UNIT TAG]], FALSE), 5)</f>
        <v>1385</v>
      </c>
      <c r="T324" s="27">
        <f>INDEX(Schedule!$A$1:$N$2000, MATCH($C324, VAV_Schedule_5_21[[#All],[UNIT TAG]], FALSE), 6)</f>
        <v>280</v>
      </c>
      <c r="U324" s="27">
        <f>INDEX(Schedule!$A$1:$N$2000, MATCH($C324, VAV_Schedule_5_21[[#All],[UNIT TAG]], FALSE), 5)</f>
        <v>1385</v>
      </c>
      <c r="V324" s="27">
        <f>INDEX(Schedule!$A$1:$N$2000, MATCH($C324, VAV_Schedule_5_21[[#All],[UNIT TAG]], FALSE), 6)</f>
        <v>280</v>
      </c>
      <c r="W324" s="27">
        <f>INDEX(Schedule!$A$1:$N$2000, MATCH($C324, VAV_Schedule_5_21[[#All],[UNIT TAG]], FALSE), 6)</f>
        <v>280</v>
      </c>
      <c r="X324" s="27">
        <f>INDEX(Schedule!$A$1:$N$2000, MATCH($C324, VAV_Schedule_5_21[[#All],[UNIT TAG]], FALSE), 6)</f>
        <v>280</v>
      </c>
      <c r="Y324" s="27">
        <f>INDEX(Schedule!$A$1:$N$2000, MATCH($C324, VAV_Schedule_5_21[[#All],[UNIT TAG]], FALSE), 6)</f>
        <v>280</v>
      </c>
      <c r="Z324" s="27">
        <f>INDEX(Schedule!$A$1:$N$2000, MATCH($C324, VAV_Schedule_5_21[[#All],[UNIT TAG]], FALSE), 6)</f>
        <v>280</v>
      </c>
      <c r="AA324" s="27">
        <v>1000</v>
      </c>
      <c r="AB324" s="27">
        <v>1100</v>
      </c>
      <c r="AC324">
        <v>1400</v>
      </c>
      <c r="AD324" s="29">
        <f>IF(INDEX(Schedule!$A$1:$N$2000, MATCH($C324, VAV_Schedule_5_21[[#All],[UNIT TAG]], FALSE), 7)="-", 0, INDEX(Schedule!$A$1:$N$2000, MATCH($C324, VAV_Schedule_5_21[[#All],[UNIT TAG]], FALSE), 7))</f>
        <v>0</v>
      </c>
      <c r="AE324" t="str">
        <f>"B_01'" &amp; "Flr_0" &amp; INDEX(Joined!$A$3:$M$2000, MATCH($A324, Joined!$I$3:$I$2000, FALSE), 8)</f>
        <v>B_01'Flr_08</v>
      </c>
      <c r="AF324" t="str">
        <f>"R_" &amp; INDEX(Joined!$A$3:$M$2000, MATCH($A324, Joined!$I$3:$I$2000, FALSE), 7)</f>
        <v>R_VAV-8N-12</v>
      </c>
      <c r="AG324" t="str">
        <f>"B_01'" &amp; "Flr_0" &amp; INDEX(Joined!$A$3:$M$2000, MATCH($A324, Joined!$I$3:$I$2000, FALSE), 8)</f>
        <v>B_01'Flr_08</v>
      </c>
      <c r="AH324" t="str">
        <f>INDEX(Joined!$A$3:$M$2000, MATCH($A324, Joined!$I$3:$I$2000, FALSE), 7)</f>
        <v>VAV-8N-12</v>
      </c>
      <c r="AI324" t="s">
        <v>1652</v>
      </c>
    </row>
    <row r="325" spans="1:35" x14ac:dyDescent="0.2">
      <c r="A325" t="s">
        <v>804</v>
      </c>
      <c r="B325" t="str">
        <f>"B_01'" &amp; "Flr_0" &amp; INDEX(Joined!$A$3:$M$2000, MATCH($A325, Joined!$I$3:$I$2000, FALSE), 8)</f>
        <v>B_01'Flr_08</v>
      </c>
      <c r="C325" t="str">
        <f>INDEX(Joined!$A$3:$M$2000, MATCH($A325, Joined!$I$3:$I$2000, FALSE), 7)</f>
        <v>VAV-8N-13</v>
      </c>
      <c r="D325">
        <f>INDEX(Joined!$A$3:$M$2000, MATCH($A325, Joined!$I$3:$I$2000, FALSE), 5)</f>
        <v>151910</v>
      </c>
      <c r="E325" t="str">
        <f>INDEX(Joined!$A$3:$M$2000, MATCH($A325, Joined!$I$3:$I$2000, FALSE), 7)</f>
        <v>VAV-8N-13</v>
      </c>
      <c r="F325" t="s">
        <v>38</v>
      </c>
      <c r="G325" t="str">
        <f>INDEX(Schedule!$Q$2:$R$7, MATCH(ABT!$H325,Schedule!$Q$2:$Q$7, 0), 2)</f>
        <v>15010_DXR_VAV_DXR2M12</v>
      </c>
      <c r="H325">
        <f>INDEX(Joined!$A$3:$M$2000, MATCH($A325, Joined!$I$3:$I$2000, FALSE), 6)</f>
        <v>15010</v>
      </c>
      <c r="I325" t="str">
        <f>INDEX(Joined!$A$3:$M$2000, MATCH($A325, Joined!$I$3:$I$2000, FALSE), 4)</f>
        <v>519</v>
      </c>
      <c r="J325" t="b">
        <v>0</v>
      </c>
      <c r="K325">
        <f>INDEX(Joined!$A$3:$M$2000, MATCH($A325, Joined!$I$3:$I$2000, FALSE), 3)</f>
        <v>10</v>
      </c>
      <c r="L325">
        <v>85</v>
      </c>
      <c r="M325">
        <v>38400</v>
      </c>
      <c r="N325" s="27">
        <f>PI()*(INDEX(Schedule!$A$1:$N$2000, MATCH($C325, VAV_Schedule_5_21[[#All],[UNIT TAG]], FALSE), 4)/2/12)^2</f>
        <v>0.54541539124822802</v>
      </c>
      <c r="O325" s="27">
        <f>INDEX(Schedule!$A$1:$N$2000, MATCH($C325, VAV_Schedule_5_21[[#All],[UNIT TAG]], FALSE), 4)</f>
        <v>10</v>
      </c>
      <c r="P325">
        <v>323.63</v>
      </c>
      <c r="Q325" s="27">
        <f>INDEX(Schedule!$A$1:$N$2000, MATCH($C325, VAV_Schedule_5_21[[#All],[UNIT TAG]], FALSE), 5)</f>
        <v>1025</v>
      </c>
      <c r="R325" s="27">
        <f>INDEX(Schedule!$A$1:$N$2000, MATCH($C325, VAV_Schedule_5_21[[#All],[UNIT TAG]], FALSE), 6)</f>
        <v>205</v>
      </c>
      <c r="S325" s="27">
        <f>INDEX(Schedule!$A$1:$N$2000, MATCH($C325, VAV_Schedule_5_21[[#All],[UNIT TAG]], FALSE), 5)</f>
        <v>1025</v>
      </c>
      <c r="T325" s="27">
        <f>INDEX(Schedule!$A$1:$N$2000, MATCH($C325, VAV_Schedule_5_21[[#All],[UNIT TAG]], FALSE), 6)</f>
        <v>205</v>
      </c>
      <c r="U325" s="27">
        <f>INDEX(Schedule!$A$1:$N$2000, MATCH($C325, VAV_Schedule_5_21[[#All],[UNIT TAG]], FALSE), 5)</f>
        <v>1025</v>
      </c>
      <c r="V325" s="27">
        <f>INDEX(Schedule!$A$1:$N$2000, MATCH($C325, VAV_Schedule_5_21[[#All],[UNIT TAG]], FALSE), 6)</f>
        <v>205</v>
      </c>
      <c r="W325" s="27">
        <f>INDEX(Schedule!$A$1:$N$2000, MATCH($C325, VAV_Schedule_5_21[[#All],[UNIT TAG]], FALSE), 6)</f>
        <v>205</v>
      </c>
      <c r="X325" s="27">
        <f>INDEX(Schedule!$A$1:$N$2000, MATCH($C325, VAV_Schedule_5_21[[#All],[UNIT TAG]], FALSE), 6)</f>
        <v>205</v>
      </c>
      <c r="Y325" s="27">
        <f>INDEX(Schedule!$A$1:$N$2000, MATCH($C325, VAV_Schedule_5_21[[#All],[UNIT TAG]], FALSE), 6)</f>
        <v>205</v>
      </c>
      <c r="Z325" s="27">
        <f>INDEX(Schedule!$A$1:$N$2000, MATCH($C325, VAV_Schedule_5_21[[#All],[UNIT TAG]], FALSE), 6)</f>
        <v>205</v>
      </c>
      <c r="AA325" s="27">
        <v>1000</v>
      </c>
      <c r="AB325" s="27">
        <v>1100</v>
      </c>
      <c r="AC325">
        <v>1400</v>
      </c>
      <c r="AD325" s="29">
        <f>IF(INDEX(Schedule!$A$1:$N$2000, MATCH($C325, VAV_Schedule_5_21[[#All],[UNIT TAG]], FALSE), 7)="-", 0, INDEX(Schedule!$A$1:$N$2000, MATCH($C325, VAV_Schedule_5_21[[#All],[UNIT TAG]], FALSE), 7))</f>
        <v>0</v>
      </c>
      <c r="AE325" t="str">
        <f>"B_01'" &amp; "Flr_0" &amp; INDEX(Joined!$A$3:$M$2000, MATCH($A325, Joined!$I$3:$I$2000, FALSE), 8)</f>
        <v>B_01'Flr_08</v>
      </c>
      <c r="AF325" t="str">
        <f>"R_" &amp; INDEX(Joined!$A$3:$M$2000, MATCH($A325, Joined!$I$3:$I$2000, FALSE), 7)</f>
        <v>R_VAV-8N-13</v>
      </c>
      <c r="AG325" t="str">
        <f>"B_01'" &amp; "Flr_0" &amp; INDEX(Joined!$A$3:$M$2000, MATCH($A325, Joined!$I$3:$I$2000, FALSE), 8)</f>
        <v>B_01'Flr_08</v>
      </c>
      <c r="AH325" t="str">
        <f>INDEX(Joined!$A$3:$M$2000, MATCH($A325, Joined!$I$3:$I$2000, FALSE), 7)</f>
        <v>VAV-8N-13</v>
      </c>
      <c r="AI325" t="s">
        <v>1653</v>
      </c>
    </row>
    <row r="326" spans="1:35" x14ac:dyDescent="0.2">
      <c r="A326" t="s">
        <v>795</v>
      </c>
      <c r="B326" t="str">
        <f>"B_01'" &amp; "Flr_0" &amp; INDEX(Joined!$A$3:$M$2000, MATCH($A326, Joined!$I$3:$I$2000, FALSE), 8)</f>
        <v>B_01'Flr_08</v>
      </c>
      <c r="C326" t="str">
        <f>INDEX(Joined!$A$3:$M$2000, MATCH($A326, Joined!$I$3:$I$2000, FALSE), 7)</f>
        <v>VAV-8N-5</v>
      </c>
      <c r="D326">
        <f>INDEX(Joined!$A$3:$M$2000, MATCH($A326, Joined!$I$3:$I$2000, FALSE), 5)</f>
        <v>151901</v>
      </c>
      <c r="E326" t="str">
        <f>INDEX(Joined!$A$3:$M$2000, MATCH($A326, Joined!$I$3:$I$2000, FALSE), 7)</f>
        <v>VAV-8N-5</v>
      </c>
      <c r="F326" t="s">
        <v>38</v>
      </c>
      <c r="G326" t="str">
        <f>INDEX(Schedule!$Q$2:$R$7, MATCH(ABT!$H326,Schedule!$Q$2:$Q$7, 0), 2)</f>
        <v>15010_DXR_VAV_DXR2M12</v>
      </c>
      <c r="H326">
        <f>INDEX(Joined!$A$3:$M$2000, MATCH($A326, Joined!$I$3:$I$2000, FALSE), 6)</f>
        <v>15010</v>
      </c>
      <c r="I326" t="str">
        <f>INDEX(Joined!$A$3:$M$2000, MATCH($A326, Joined!$I$3:$I$2000, FALSE), 4)</f>
        <v>519</v>
      </c>
      <c r="J326" t="b">
        <v>0</v>
      </c>
      <c r="K326">
        <f>INDEX(Joined!$A$3:$M$2000, MATCH($A326, Joined!$I$3:$I$2000, FALSE), 3)</f>
        <v>1</v>
      </c>
      <c r="L326">
        <v>85</v>
      </c>
      <c r="M326">
        <v>38400</v>
      </c>
      <c r="N326" s="27">
        <f>PI()*(INDEX(Schedule!$A$1:$N$2000, MATCH($C326, VAV_Schedule_5_21[[#All],[UNIT TAG]], FALSE), 4)/2/12)^2</f>
        <v>0.78539816339744828</v>
      </c>
      <c r="O326" s="27">
        <f>INDEX(Schedule!$A$1:$N$2000, MATCH($C326, VAV_Schedule_5_21[[#All],[UNIT TAG]], FALSE), 4)</f>
        <v>12</v>
      </c>
      <c r="P326">
        <v>324.63</v>
      </c>
      <c r="Q326" s="27">
        <f>INDEX(Schedule!$A$1:$N$2000, MATCH($C326, VAV_Schedule_5_21[[#All],[UNIT TAG]], FALSE), 5)</f>
        <v>1330</v>
      </c>
      <c r="R326" s="27">
        <f>INDEX(Schedule!$A$1:$N$2000, MATCH($C326, VAV_Schedule_5_21[[#All],[UNIT TAG]], FALSE), 6)</f>
        <v>270</v>
      </c>
      <c r="S326" s="27">
        <f>INDEX(Schedule!$A$1:$N$2000, MATCH($C326, VAV_Schedule_5_21[[#All],[UNIT TAG]], FALSE), 5)</f>
        <v>1330</v>
      </c>
      <c r="T326" s="27">
        <f>INDEX(Schedule!$A$1:$N$2000, MATCH($C326, VAV_Schedule_5_21[[#All],[UNIT TAG]], FALSE), 6)</f>
        <v>270</v>
      </c>
      <c r="U326" s="27">
        <f>INDEX(Schedule!$A$1:$N$2000, MATCH($C326, VAV_Schedule_5_21[[#All],[UNIT TAG]], FALSE), 5)</f>
        <v>1330</v>
      </c>
      <c r="V326" s="27">
        <f>INDEX(Schedule!$A$1:$N$2000, MATCH($C326, VAV_Schedule_5_21[[#All],[UNIT TAG]], FALSE), 6)</f>
        <v>270</v>
      </c>
      <c r="W326" s="27">
        <f>INDEX(Schedule!$A$1:$N$2000, MATCH($C326, VAV_Schedule_5_21[[#All],[UNIT TAG]], FALSE), 6)</f>
        <v>270</v>
      </c>
      <c r="X326" s="27">
        <f>INDEX(Schedule!$A$1:$N$2000, MATCH($C326, VAV_Schedule_5_21[[#All],[UNIT TAG]], FALSE), 6)</f>
        <v>270</v>
      </c>
      <c r="Y326" s="27">
        <f>INDEX(Schedule!$A$1:$N$2000, MATCH($C326, VAV_Schedule_5_21[[#All],[UNIT TAG]], FALSE), 6)</f>
        <v>270</v>
      </c>
      <c r="Z326" s="27">
        <f>INDEX(Schedule!$A$1:$N$2000, MATCH($C326, VAV_Schedule_5_21[[#All],[UNIT TAG]], FALSE), 6)</f>
        <v>270</v>
      </c>
      <c r="AA326" s="27">
        <v>1000</v>
      </c>
      <c r="AB326" s="27">
        <v>1100</v>
      </c>
      <c r="AC326">
        <v>1400</v>
      </c>
      <c r="AD326" s="29">
        <f>IF(INDEX(Schedule!$A$1:$N$2000, MATCH($C326, VAV_Schedule_5_21[[#All],[UNIT TAG]], FALSE), 7)="-", 0, INDEX(Schedule!$A$1:$N$2000, MATCH($C326, VAV_Schedule_5_21[[#All],[UNIT TAG]], FALSE), 7))</f>
        <v>0</v>
      </c>
      <c r="AE326" t="str">
        <f>"B_01'" &amp; "Flr_0" &amp; INDEX(Joined!$A$3:$M$2000, MATCH($A326, Joined!$I$3:$I$2000, FALSE), 8)</f>
        <v>B_01'Flr_08</v>
      </c>
      <c r="AF326" t="str">
        <f>"R_" &amp; INDEX(Joined!$A$3:$M$2000, MATCH($A326, Joined!$I$3:$I$2000, FALSE), 7)</f>
        <v>R_VAV-8N-5</v>
      </c>
      <c r="AG326" t="str">
        <f>"B_01'" &amp; "Flr_0" &amp; INDEX(Joined!$A$3:$M$2000, MATCH($A326, Joined!$I$3:$I$2000, FALSE), 8)</f>
        <v>B_01'Flr_08</v>
      </c>
      <c r="AH326" t="str">
        <f>INDEX(Joined!$A$3:$M$2000, MATCH($A326, Joined!$I$3:$I$2000, FALSE), 7)</f>
        <v>VAV-8N-5</v>
      </c>
      <c r="AI326" t="s">
        <v>1654</v>
      </c>
    </row>
    <row r="327" spans="1:35" x14ac:dyDescent="0.2">
      <c r="A327" t="s">
        <v>796</v>
      </c>
      <c r="B327" t="str">
        <f>"B_01'" &amp; "Flr_0" &amp; INDEX(Joined!$A$3:$M$2000, MATCH($A327, Joined!$I$3:$I$2000, FALSE), 8)</f>
        <v>B_01'Flr_08</v>
      </c>
      <c r="C327" t="str">
        <f>INDEX(Joined!$A$3:$M$2000, MATCH($A327, Joined!$I$3:$I$2000, FALSE), 7)</f>
        <v>VAV-8N-6</v>
      </c>
      <c r="D327">
        <f>INDEX(Joined!$A$3:$M$2000, MATCH($A327, Joined!$I$3:$I$2000, FALSE), 5)</f>
        <v>151902</v>
      </c>
      <c r="E327" t="str">
        <f>INDEX(Joined!$A$3:$M$2000, MATCH($A327, Joined!$I$3:$I$2000, FALSE), 7)</f>
        <v>VAV-8N-6</v>
      </c>
      <c r="F327" t="s">
        <v>38</v>
      </c>
      <c r="G327" t="str">
        <f>INDEX(Schedule!$Q$2:$R$7, MATCH(ABT!$H327,Schedule!$Q$2:$Q$7, 0), 2)</f>
        <v>15010_DXR_VAV_DXR2M12</v>
      </c>
      <c r="H327">
        <f>INDEX(Joined!$A$3:$M$2000, MATCH($A327, Joined!$I$3:$I$2000, FALSE), 6)</f>
        <v>15010</v>
      </c>
      <c r="I327" t="str">
        <f>INDEX(Joined!$A$3:$M$2000, MATCH($A327, Joined!$I$3:$I$2000, FALSE), 4)</f>
        <v>519</v>
      </c>
      <c r="J327" t="b">
        <v>0</v>
      </c>
      <c r="K327">
        <f>INDEX(Joined!$A$3:$M$2000, MATCH($A327, Joined!$I$3:$I$2000, FALSE), 3)</f>
        <v>2</v>
      </c>
      <c r="L327">
        <v>85</v>
      </c>
      <c r="M327">
        <v>38400</v>
      </c>
      <c r="N327" s="27">
        <f>PI()*(INDEX(Schedule!$A$1:$N$2000, MATCH($C327, VAV_Schedule_5_21[[#All],[UNIT TAG]], FALSE), 4)/2/12)^2</f>
        <v>0.54541539124822802</v>
      </c>
      <c r="O327" s="27">
        <f>INDEX(Schedule!$A$1:$N$2000, MATCH($C327, VAV_Schedule_5_21[[#All],[UNIT TAG]], FALSE), 4)</f>
        <v>10</v>
      </c>
      <c r="P327">
        <v>325.63</v>
      </c>
      <c r="Q327" s="27">
        <f>INDEX(Schedule!$A$1:$N$2000, MATCH($C327, VAV_Schedule_5_21[[#All],[UNIT TAG]], FALSE), 5)</f>
        <v>975</v>
      </c>
      <c r="R327" s="27">
        <f>INDEX(Schedule!$A$1:$N$2000, MATCH($C327, VAV_Schedule_5_21[[#All],[UNIT TAG]], FALSE), 6)</f>
        <v>195</v>
      </c>
      <c r="S327" s="27">
        <f>INDEX(Schedule!$A$1:$N$2000, MATCH($C327, VAV_Schedule_5_21[[#All],[UNIT TAG]], FALSE), 5)</f>
        <v>975</v>
      </c>
      <c r="T327" s="27">
        <f>INDEX(Schedule!$A$1:$N$2000, MATCH($C327, VAV_Schedule_5_21[[#All],[UNIT TAG]], FALSE), 6)</f>
        <v>195</v>
      </c>
      <c r="U327" s="27">
        <f>INDEX(Schedule!$A$1:$N$2000, MATCH($C327, VAV_Schedule_5_21[[#All],[UNIT TAG]], FALSE), 5)</f>
        <v>975</v>
      </c>
      <c r="V327" s="27">
        <f>INDEX(Schedule!$A$1:$N$2000, MATCH($C327, VAV_Schedule_5_21[[#All],[UNIT TAG]], FALSE), 6)</f>
        <v>195</v>
      </c>
      <c r="W327" s="27">
        <f>INDEX(Schedule!$A$1:$N$2000, MATCH($C327, VAV_Schedule_5_21[[#All],[UNIT TAG]], FALSE), 6)</f>
        <v>195</v>
      </c>
      <c r="X327" s="27">
        <f>INDEX(Schedule!$A$1:$N$2000, MATCH($C327, VAV_Schedule_5_21[[#All],[UNIT TAG]], FALSE), 6)</f>
        <v>195</v>
      </c>
      <c r="Y327" s="27">
        <f>INDEX(Schedule!$A$1:$N$2000, MATCH($C327, VAV_Schedule_5_21[[#All],[UNIT TAG]], FALSE), 6)</f>
        <v>195</v>
      </c>
      <c r="Z327" s="27">
        <f>INDEX(Schedule!$A$1:$N$2000, MATCH($C327, VAV_Schedule_5_21[[#All],[UNIT TAG]], FALSE), 6)</f>
        <v>195</v>
      </c>
      <c r="AA327" s="27">
        <v>1000</v>
      </c>
      <c r="AB327" s="27">
        <v>1100</v>
      </c>
      <c r="AC327">
        <v>1400</v>
      </c>
      <c r="AD327" s="29">
        <f>IF(INDEX(Schedule!$A$1:$N$2000, MATCH($C327, VAV_Schedule_5_21[[#All],[UNIT TAG]], FALSE), 7)="-", 0, INDEX(Schedule!$A$1:$N$2000, MATCH($C327, VAV_Schedule_5_21[[#All],[UNIT TAG]], FALSE), 7))</f>
        <v>0</v>
      </c>
      <c r="AE327" t="str">
        <f>"B_01'" &amp; "Flr_0" &amp; INDEX(Joined!$A$3:$M$2000, MATCH($A327, Joined!$I$3:$I$2000, FALSE), 8)</f>
        <v>B_01'Flr_08</v>
      </c>
      <c r="AF327" t="str">
        <f>"R_" &amp; INDEX(Joined!$A$3:$M$2000, MATCH($A327, Joined!$I$3:$I$2000, FALSE), 7)</f>
        <v>R_VAV-8N-6</v>
      </c>
      <c r="AG327" t="str">
        <f>"B_01'" &amp; "Flr_0" &amp; INDEX(Joined!$A$3:$M$2000, MATCH($A327, Joined!$I$3:$I$2000, FALSE), 8)</f>
        <v>B_01'Flr_08</v>
      </c>
      <c r="AH327" t="str">
        <f>INDEX(Joined!$A$3:$M$2000, MATCH($A327, Joined!$I$3:$I$2000, FALSE), 7)</f>
        <v>VAV-8N-6</v>
      </c>
      <c r="AI327" t="s">
        <v>1655</v>
      </c>
    </row>
    <row r="328" spans="1:35" x14ac:dyDescent="0.2">
      <c r="A328" t="s">
        <v>797</v>
      </c>
      <c r="B328" t="str">
        <f>"B_01'" &amp; "Flr_0" &amp; INDEX(Joined!$A$3:$M$2000, MATCH($A328, Joined!$I$3:$I$2000, FALSE), 8)</f>
        <v>B_01'Flr_08</v>
      </c>
      <c r="C328" t="str">
        <f>INDEX(Joined!$A$3:$M$2000, MATCH($A328, Joined!$I$3:$I$2000, FALSE), 7)</f>
        <v>VAV-8N-7</v>
      </c>
      <c r="D328">
        <f>INDEX(Joined!$A$3:$M$2000, MATCH($A328, Joined!$I$3:$I$2000, FALSE), 5)</f>
        <v>151903</v>
      </c>
      <c r="E328" t="str">
        <f>INDEX(Joined!$A$3:$M$2000, MATCH($A328, Joined!$I$3:$I$2000, FALSE), 7)</f>
        <v>VAV-8N-7</v>
      </c>
      <c r="F328" t="s">
        <v>38</v>
      </c>
      <c r="G328" t="str">
        <f>INDEX(Schedule!$Q$2:$R$7, MATCH(ABT!$H328,Schedule!$Q$2:$Q$7, 0), 2)</f>
        <v>15010_DXR_VAV_DXR2M12</v>
      </c>
      <c r="H328">
        <f>INDEX(Joined!$A$3:$M$2000, MATCH($A328, Joined!$I$3:$I$2000, FALSE), 6)</f>
        <v>15010</v>
      </c>
      <c r="I328" t="str">
        <f>INDEX(Joined!$A$3:$M$2000, MATCH($A328, Joined!$I$3:$I$2000, FALSE), 4)</f>
        <v>519</v>
      </c>
      <c r="J328" t="b">
        <v>0</v>
      </c>
      <c r="K328">
        <f>INDEX(Joined!$A$3:$M$2000, MATCH($A328, Joined!$I$3:$I$2000, FALSE), 3)</f>
        <v>3</v>
      </c>
      <c r="L328">
        <v>85</v>
      </c>
      <c r="M328">
        <v>38400</v>
      </c>
      <c r="N328" s="27">
        <f>PI()*(INDEX(Schedule!$A$1:$N$2000, MATCH($C328, VAV_Schedule_5_21[[#All],[UNIT TAG]], FALSE), 4)/2/12)^2</f>
        <v>0.54541539124822802</v>
      </c>
      <c r="O328" s="27">
        <f>INDEX(Schedule!$A$1:$N$2000, MATCH($C328, VAV_Schedule_5_21[[#All],[UNIT TAG]], FALSE), 4)</f>
        <v>10</v>
      </c>
      <c r="P328">
        <v>326.63</v>
      </c>
      <c r="Q328" s="27">
        <f>INDEX(Schedule!$A$1:$N$2000, MATCH($C328, VAV_Schedule_5_21[[#All],[UNIT TAG]], FALSE), 5)</f>
        <v>760</v>
      </c>
      <c r="R328" s="27">
        <f>INDEX(Schedule!$A$1:$N$2000, MATCH($C328, VAV_Schedule_5_21[[#All],[UNIT TAG]], FALSE), 6)</f>
        <v>155</v>
      </c>
      <c r="S328" s="27">
        <f>INDEX(Schedule!$A$1:$N$2000, MATCH($C328, VAV_Schedule_5_21[[#All],[UNIT TAG]], FALSE), 5)</f>
        <v>760</v>
      </c>
      <c r="T328" s="27">
        <f>INDEX(Schedule!$A$1:$N$2000, MATCH($C328, VAV_Schedule_5_21[[#All],[UNIT TAG]], FALSE), 6)</f>
        <v>155</v>
      </c>
      <c r="U328" s="27">
        <f>INDEX(Schedule!$A$1:$N$2000, MATCH($C328, VAV_Schedule_5_21[[#All],[UNIT TAG]], FALSE), 5)</f>
        <v>760</v>
      </c>
      <c r="V328" s="27">
        <f>INDEX(Schedule!$A$1:$N$2000, MATCH($C328, VAV_Schedule_5_21[[#All],[UNIT TAG]], FALSE), 6)</f>
        <v>155</v>
      </c>
      <c r="W328" s="27">
        <f>INDEX(Schedule!$A$1:$N$2000, MATCH($C328, VAV_Schedule_5_21[[#All],[UNIT TAG]], FALSE), 6)</f>
        <v>155</v>
      </c>
      <c r="X328" s="27">
        <f>INDEX(Schedule!$A$1:$N$2000, MATCH($C328, VAV_Schedule_5_21[[#All],[UNIT TAG]], FALSE), 6)</f>
        <v>155</v>
      </c>
      <c r="Y328" s="27">
        <f>INDEX(Schedule!$A$1:$N$2000, MATCH($C328, VAV_Schedule_5_21[[#All],[UNIT TAG]], FALSE), 6)</f>
        <v>155</v>
      </c>
      <c r="Z328" s="27">
        <f>INDEX(Schedule!$A$1:$N$2000, MATCH($C328, VAV_Schedule_5_21[[#All],[UNIT TAG]], FALSE), 6)</f>
        <v>155</v>
      </c>
      <c r="AA328" s="27">
        <v>1000</v>
      </c>
      <c r="AB328" s="27">
        <v>1100</v>
      </c>
      <c r="AC328">
        <v>1400</v>
      </c>
      <c r="AD328" s="29">
        <f>IF(INDEX(Schedule!$A$1:$N$2000, MATCH($C328, VAV_Schedule_5_21[[#All],[UNIT TAG]], FALSE), 7)="-", 0, INDEX(Schedule!$A$1:$N$2000, MATCH($C328, VAV_Schedule_5_21[[#All],[UNIT TAG]], FALSE), 7))</f>
        <v>0</v>
      </c>
      <c r="AE328" t="str">
        <f>"B_01'" &amp; "Flr_0" &amp; INDEX(Joined!$A$3:$M$2000, MATCH($A328, Joined!$I$3:$I$2000, FALSE), 8)</f>
        <v>B_01'Flr_08</v>
      </c>
      <c r="AF328" t="str">
        <f>"R_" &amp; INDEX(Joined!$A$3:$M$2000, MATCH($A328, Joined!$I$3:$I$2000, FALSE), 7)</f>
        <v>R_VAV-8N-7</v>
      </c>
      <c r="AG328" t="str">
        <f>"B_01'" &amp; "Flr_0" &amp; INDEX(Joined!$A$3:$M$2000, MATCH($A328, Joined!$I$3:$I$2000, FALSE), 8)</f>
        <v>B_01'Flr_08</v>
      </c>
      <c r="AH328" t="str">
        <f>INDEX(Joined!$A$3:$M$2000, MATCH($A328, Joined!$I$3:$I$2000, FALSE), 7)</f>
        <v>VAV-8N-7</v>
      </c>
      <c r="AI328" t="s">
        <v>1656</v>
      </c>
    </row>
    <row r="329" spans="1:35" x14ac:dyDescent="0.2">
      <c r="A329" t="s">
        <v>798</v>
      </c>
      <c r="B329" t="str">
        <f>"B_01'" &amp; "Flr_0" &amp; INDEX(Joined!$A$3:$M$2000, MATCH($A329, Joined!$I$3:$I$2000, FALSE), 8)</f>
        <v>B_01'Flr_08</v>
      </c>
      <c r="C329" t="str">
        <f>INDEX(Joined!$A$3:$M$2000, MATCH($A329, Joined!$I$3:$I$2000, FALSE), 7)</f>
        <v>VAV-8N-8</v>
      </c>
      <c r="D329">
        <f>INDEX(Joined!$A$3:$M$2000, MATCH($A329, Joined!$I$3:$I$2000, FALSE), 5)</f>
        <v>151904</v>
      </c>
      <c r="E329" t="str">
        <f>INDEX(Joined!$A$3:$M$2000, MATCH($A329, Joined!$I$3:$I$2000, FALSE), 7)</f>
        <v>VAV-8N-8</v>
      </c>
      <c r="F329" t="s">
        <v>38</v>
      </c>
      <c r="G329" t="str">
        <f>INDEX(Schedule!$Q$2:$R$7, MATCH(ABT!$H329,Schedule!$Q$2:$Q$7, 0), 2)</f>
        <v>15010_DXR_VAV_DXR2M12</v>
      </c>
      <c r="H329">
        <f>INDEX(Joined!$A$3:$M$2000, MATCH($A329, Joined!$I$3:$I$2000, FALSE), 6)</f>
        <v>15010</v>
      </c>
      <c r="I329" t="str">
        <f>INDEX(Joined!$A$3:$M$2000, MATCH($A329, Joined!$I$3:$I$2000, FALSE), 4)</f>
        <v>519</v>
      </c>
      <c r="J329" t="b">
        <v>0</v>
      </c>
      <c r="K329">
        <f>INDEX(Joined!$A$3:$M$2000, MATCH($A329, Joined!$I$3:$I$2000, FALSE), 3)</f>
        <v>4</v>
      </c>
      <c r="L329">
        <v>85</v>
      </c>
      <c r="M329">
        <v>38400</v>
      </c>
      <c r="N329" s="27">
        <f>PI()*(INDEX(Schedule!$A$1:$N$2000, MATCH($C329, VAV_Schedule_5_21[[#All],[UNIT TAG]], FALSE), 4)/2/12)^2</f>
        <v>0.3490658503988659</v>
      </c>
      <c r="O329" s="27">
        <f>INDEX(Schedule!$A$1:$N$2000, MATCH($C329, VAV_Schedule_5_21[[#All],[UNIT TAG]], FALSE), 4)</f>
        <v>8</v>
      </c>
      <c r="P329">
        <v>327.63</v>
      </c>
      <c r="Q329" s="27">
        <f>INDEX(Schedule!$A$1:$N$2000, MATCH($C329, VAV_Schedule_5_21[[#All],[UNIT TAG]], FALSE), 5)</f>
        <v>600</v>
      </c>
      <c r="R329" s="27">
        <f>INDEX(Schedule!$A$1:$N$2000, MATCH($C329, VAV_Schedule_5_21[[#All],[UNIT TAG]], FALSE), 6)</f>
        <v>120</v>
      </c>
      <c r="S329" s="27">
        <f>INDEX(Schedule!$A$1:$N$2000, MATCH($C329, VAV_Schedule_5_21[[#All],[UNIT TAG]], FALSE), 5)</f>
        <v>600</v>
      </c>
      <c r="T329" s="27">
        <f>INDEX(Schedule!$A$1:$N$2000, MATCH($C329, VAV_Schedule_5_21[[#All],[UNIT TAG]], FALSE), 6)</f>
        <v>120</v>
      </c>
      <c r="U329" s="27">
        <f>INDEX(Schedule!$A$1:$N$2000, MATCH($C329, VAV_Schedule_5_21[[#All],[UNIT TAG]], FALSE), 5)</f>
        <v>600</v>
      </c>
      <c r="V329" s="27">
        <f>INDEX(Schedule!$A$1:$N$2000, MATCH($C329, VAV_Schedule_5_21[[#All],[UNIT TAG]], FALSE), 6)</f>
        <v>120</v>
      </c>
      <c r="W329" s="27">
        <f>INDEX(Schedule!$A$1:$N$2000, MATCH($C329, VAV_Schedule_5_21[[#All],[UNIT TAG]], FALSE), 6)</f>
        <v>120</v>
      </c>
      <c r="X329" s="27">
        <f>INDEX(Schedule!$A$1:$N$2000, MATCH($C329, VAV_Schedule_5_21[[#All],[UNIT TAG]], FALSE), 6)</f>
        <v>120</v>
      </c>
      <c r="Y329" s="27">
        <f>INDEX(Schedule!$A$1:$N$2000, MATCH($C329, VAV_Schedule_5_21[[#All],[UNIT TAG]], FALSE), 6)</f>
        <v>120</v>
      </c>
      <c r="Z329" s="27">
        <f>INDEX(Schedule!$A$1:$N$2000, MATCH($C329, VAV_Schedule_5_21[[#All],[UNIT TAG]], FALSE), 6)</f>
        <v>120</v>
      </c>
      <c r="AA329" s="27">
        <v>1000</v>
      </c>
      <c r="AB329" s="27">
        <v>1100</v>
      </c>
      <c r="AC329">
        <v>1400</v>
      </c>
      <c r="AD329" s="29">
        <f>IF(INDEX(Schedule!$A$1:$N$2000, MATCH($C329, VAV_Schedule_5_21[[#All],[UNIT TAG]], FALSE), 7)="-", 0, INDEX(Schedule!$A$1:$N$2000, MATCH($C329, VAV_Schedule_5_21[[#All],[UNIT TAG]], FALSE), 7))</f>
        <v>0</v>
      </c>
      <c r="AE329" t="str">
        <f>"B_01'" &amp; "Flr_0" &amp; INDEX(Joined!$A$3:$M$2000, MATCH($A329, Joined!$I$3:$I$2000, FALSE), 8)</f>
        <v>B_01'Flr_08</v>
      </c>
      <c r="AF329" t="str">
        <f>"R_" &amp; INDEX(Joined!$A$3:$M$2000, MATCH($A329, Joined!$I$3:$I$2000, FALSE), 7)</f>
        <v>R_VAV-8N-8</v>
      </c>
      <c r="AG329" t="str">
        <f>"B_01'" &amp; "Flr_0" &amp; INDEX(Joined!$A$3:$M$2000, MATCH($A329, Joined!$I$3:$I$2000, FALSE), 8)</f>
        <v>B_01'Flr_08</v>
      </c>
      <c r="AH329" t="str">
        <f>INDEX(Joined!$A$3:$M$2000, MATCH($A329, Joined!$I$3:$I$2000, FALSE), 7)</f>
        <v>VAV-8N-8</v>
      </c>
      <c r="AI329" t="s">
        <v>1657</v>
      </c>
    </row>
    <row r="330" spans="1:35" x14ac:dyDescent="0.2">
      <c r="A330" t="s">
        <v>799</v>
      </c>
      <c r="B330" t="str">
        <f>"B_01'" &amp; "Flr_0" &amp; INDEX(Joined!$A$3:$M$2000, MATCH($A330, Joined!$I$3:$I$2000, FALSE), 8)</f>
        <v>B_01'Flr_08</v>
      </c>
      <c r="C330" t="str">
        <f>INDEX(Joined!$A$3:$M$2000, MATCH($A330, Joined!$I$3:$I$2000, FALSE), 7)</f>
        <v>VAV-8N-9</v>
      </c>
      <c r="D330">
        <f>INDEX(Joined!$A$3:$M$2000, MATCH($A330, Joined!$I$3:$I$2000, FALSE), 5)</f>
        <v>151905</v>
      </c>
      <c r="E330" t="str">
        <f>INDEX(Joined!$A$3:$M$2000, MATCH($A330, Joined!$I$3:$I$2000, FALSE), 7)</f>
        <v>VAV-8N-9</v>
      </c>
      <c r="F330" t="s">
        <v>38</v>
      </c>
      <c r="G330" t="str">
        <f>INDEX(Schedule!$Q$2:$R$7, MATCH(ABT!$H330,Schedule!$Q$2:$Q$7, 0), 2)</f>
        <v>15010_DXR_VAV_DXR2M12</v>
      </c>
      <c r="H330">
        <f>INDEX(Joined!$A$3:$M$2000, MATCH($A330, Joined!$I$3:$I$2000, FALSE), 6)</f>
        <v>15010</v>
      </c>
      <c r="I330" t="str">
        <f>INDEX(Joined!$A$3:$M$2000, MATCH($A330, Joined!$I$3:$I$2000, FALSE), 4)</f>
        <v>519</v>
      </c>
      <c r="J330" t="b">
        <v>0</v>
      </c>
      <c r="K330">
        <f>INDEX(Joined!$A$3:$M$2000, MATCH($A330, Joined!$I$3:$I$2000, FALSE), 3)</f>
        <v>5</v>
      </c>
      <c r="L330">
        <v>85</v>
      </c>
      <c r="M330">
        <v>38400</v>
      </c>
      <c r="N330" s="27">
        <f>PI()*(INDEX(Schedule!$A$1:$N$2000, MATCH($C330, VAV_Schedule_5_21[[#All],[UNIT TAG]], FALSE), 4)/2/12)^2</f>
        <v>0.78539816339744828</v>
      </c>
      <c r="O330" s="27">
        <f>INDEX(Schedule!$A$1:$N$2000, MATCH($C330, VAV_Schedule_5_21[[#All],[UNIT TAG]], FALSE), 4)</f>
        <v>12</v>
      </c>
      <c r="P330">
        <v>328.63</v>
      </c>
      <c r="Q330" s="27">
        <f>INDEX(Schedule!$A$1:$N$2000, MATCH($C330, VAV_Schedule_5_21[[#All],[UNIT TAG]], FALSE), 5)</f>
        <v>1200</v>
      </c>
      <c r="R330" s="27">
        <f>INDEX(Schedule!$A$1:$N$2000, MATCH($C330, VAV_Schedule_5_21[[#All],[UNIT TAG]], FALSE), 6)</f>
        <v>240</v>
      </c>
      <c r="S330" s="27">
        <f>INDEX(Schedule!$A$1:$N$2000, MATCH($C330, VAV_Schedule_5_21[[#All],[UNIT TAG]], FALSE), 5)</f>
        <v>1200</v>
      </c>
      <c r="T330" s="27">
        <f>INDEX(Schedule!$A$1:$N$2000, MATCH($C330, VAV_Schedule_5_21[[#All],[UNIT TAG]], FALSE), 6)</f>
        <v>240</v>
      </c>
      <c r="U330" s="27">
        <f>INDEX(Schedule!$A$1:$N$2000, MATCH($C330, VAV_Schedule_5_21[[#All],[UNIT TAG]], FALSE), 5)</f>
        <v>1200</v>
      </c>
      <c r="V330" s="27">
        <f>INDEX(Schedule!$A$1:$N$2000, MATCH($C330, VAV_Schedule_5_21[[#All],[UNIT TAG]], FALSE), 6)</f>
        <v>240</v>
      </c>
      <c r="W330" s="27">
        <f>INDEX(Schedule!$A$1:$N$2000, MATCH($C330, VAV_Schedule_5_21[[#All],[UNIT TAG]], FALSE), 6)</f>
        <v>240</v>
      </c>
      <c r="X330" s="27">
        <f>INDEX(Schedule!$A$1:$N$2000, MATCH($C330, VAV_Schedule_5_21[[#All],[UNIT TAG]], FALSE), 6)</f>
        <v>240</v>
      </c>
      <c r="Y330" s="27">
        <f>INDEX(Schedule!$A$1:$N$2000, MATCH($C330, VAV_Schedule_5_21[[#All],[UNIT TAG]], FALSE), 6)</f>
        <v>240</v>
      </c>
      <c r="Z330" s="27">
        <f>INDEX(Schedule!$A$1:$N$2000, MATCH($C330, VAV_Schedule_5_21[[#All],[UNIT TAG]], FALSE), 6)</f>
        <v>240</v>
      </c>
      <c r="AA330" s="27">
        <v>1000</v>
      </c>
      <c r="AB330" s="27">
        <v>1100</v>
      </c>
      <c r="AC330">
        <v>1400</v>
      </c>
      <c r="AD330" s="29">
        <f>IF(INDEX(Schedule!$A$1:$N$2000, MATCH($C330, VAV_Schedule_5_21[[#All],[UNIT TAG]], FALSE), 7)="-", 0, INDEX(Schedule!$A$1:$N$2000, MATCH($C330, VAV_Schedule_5_21[[#All],[UNIT TAG]], FALSE), 7))</f>
        <v>0</v>
      </c>
      <c r="AE330" t="str">
        <f>"B_01'" &amp; "Flr_0" &amp; INDEX(Joined!$A$3:$M$2000, MATCH($A330, Joined!$I$3:$I$2000, FALSE), 8)</f>
        <v>B_01'Flr_08</v>
      </c>
      <c r="AF330" t="str">
        <f>"R_" &amp; INDEX(Joined!$A$3:$M$2000, MATCH($A330, Joined!$I$3:$I$2000, FALSE), 7)</f>
        <v>R_VAV-8N-9</v>
      </c>
      <c r="AG330" t="str">
        <f>"B_01'" &amp; "Flr_0" &amp; INDEX(Joined!$A$3:$M$2000, MATCH($A330, Joined!$I$3:$I$2000, FALSE), 8)</f>
        <v>B_01'Flr_08</v>
      </c>
      <c r="AH330" t="str">
        <f>INDEX(Joined!$A$3:$M$2000, MATCH($A330, Joined!$I$3:$I$2000, FALSE), 7)</f>
        <v>VAV-8N-9</v>
      </c>
      <c r="AI330" t="s">
        <v>1658</v>
      </c>
    </row>
    <row r="331" spans="1:35" x14ac:dyDescent="0.2">
      <c r="A331" t="s">
        <v>800</v>
      </c>
      <c r="B331" t="str">
        <f>"B_01'" &amp; "Flr_0" &amp; INDEX(Joined!$A$3:$M$2000, MATCH($A331, Joined!$I$3:$I$2000, FALSE), 8)</f>
        <v>B_01'Flr_08</v>
      </c>
      <c r="C331" t="str">
        <f>INDEX(Joined!$A$3:$M$2000, MATCH($A331, Joined!$I$3:$I$2000, FALSE), 7)</f>
        <v>VAV-8N-9A</v>
      </c>
      <c r="D331">
        <f>INDEX(Joined!$A$3:$M$2000, MATCH($A331, Joined!$I$3:$I$2000, FALSE), 5)</f>
        <v>151906</v>
      </c>
      <c r="E331" t="str">
        <f>INDEX(Joined!$A$3:$M$2000, MATCH($A331, Joined!$I$3:$I$2000, FALSE), 7)</f>
        <v>VAV-8N-9A</v>
      </c>
      <c r="F331" t="s">
        <v>38</v>
      </c>
      <c r="G331" t="str">
        <f>INDEX(Schedule!$Q$2:$R$7, MATCH(ABT!$H331,Schedule!$Q$2:$Q$7, 0), 2)</f>
        <v>15010_DXR_VAV_DXR2M12</v>
      </c>
      <c r="H331">
        <f>INDEX(Joined!$A$3:$M$2000, MATCH($A331, Joined!$I$3:$I$2000, FALSE), 6)</f>
        <v>15010</v>
      </c>
      <c r="I331" t="str">
        <f>INDEX(Joined!$A$3:$M$2000, MATCH($A331, Joined!$I$3:$I$2000, FALSE), 4)</f>
        <v>519</v>
      </c>
      <c r="J331" t="b">
        <v>0</v>
      </c>
      <c r="K331">
        <f>INDEX(Joined!$A$3:$M$2000, MATCH($A331, Joined!$I$3:$I$2000, FALSE), 3)</f>
        <v>6</v>
      </c>
      <c r="L331">
        <v>85</v>
      </c>
      <c r="M331">
        <v>38400</v>
      </c>
      <c r="N331" s="27">
        <f>PI()*(INDEX(Schedule!$A$1:$N$2000, MATCH($C331, VAV_Schedule_5_21[[#All],[UNIT TAG]], FALSE), 4)/2/12)^2</f>
        <v>0.3490658503988659</v>
      </c>
      <c r="O331" s="27">
        <f>INDEX(Schedule!$A$1:$N$2000, MATCH($C331, VAV_Schedule_5_21[[#All],[UNIT TAG]], FALSE), 4)</f>
        <v>8</v>
      </c>
      <c r="P331">
        <v>329.63</v>
      </c>
      <c r="Q331" s="27">
        <f>INDEX(Schedule!$A$1:$N$2000, MATCH($C331, VAV_Schedule_5_21[[#All],[UNIT TAG]], FALSE), 5)</f>
        <v>550</v>
      </c>
      <c r="R331" s="27">
        <f>INDEX(Schedule!$A$1:$N$2000, MATCH($C331, VAV_Schedule_5_21[[#All],[UNIT TAG]], FALSE), 6)</f>
        <v>110</v>
      </c>
      <c r="S331" s="27">
        <f>INDEX(Schedule!$A$1:$N$2000, MATCH($C331, VAV_Schedule_5_21[[#All],[UNIT TAG]], FALSE), 5)</f>
        <v>550</v>
      </c>
      <c r="T331" s="27">
        <f>INDEX(Schedule!$A$1:$N$2000, MATCH($C331, VAV_Schedule_5_21[[#All],[UNIT TAG]], FALSE), 6)</f>
        <v>110</v>
      </c>
      <c r="U331" s="27">
        <f>INDEX(Schedule!$A$1:$N$2000, MATCH($C331, VAV_Schedule_5_21[[#All],[UNIT TAG]], FALSE), 5)</f>
        <v>550</v>
      </c>
      <c r="V331" s="27">
        <f>INDEX(Schedule!$A$1:$N$2000, MATCH($C331, VAV_Schedule_5_21[[#All],[UNIT TAG]], FALSE), 6)</f>
        <v>110</v>
      </c>
      <c r="W331" s="27">
        <f>INDEX(Schedule!$A$1:$N$2000, MATCH($C331, VAV_Schedule_5_21[[#All],[UNIT TAG]], FALSE), 6)</f>
        <v>110</v>
      </c>
      <c r="X331" s="27">
        <f>INDEX(Schedule!$A$1:$N$2000, MATCH($C331, VAV_Schedule_5_21[[#All],[UNIT TAG]], FALSE), 6)</f>
        <v>110</v>
      </c>
      <c r="Y331" s="27">
        <f>INDEX(Schedule!$A$1:$N$2000, MATCH($C331, VAV_Schedule_5_21[[#All],[UNIT TAG]], FALSE), 6)</f>
        <v>110</v>
      </c>
      <c r="Z331" s="27">
        <f>INDEX(Schedule!$A$1:$N$2000, MATCH($C331, VAV_Schedule_5_21[[#All],[UNIT TAG]], FALSE), 6)</f>
        <v>110</v>
      </c>
      <c r="AA331" s="27">
        <v>1000</v>
      </c>
      <c r="AB331" s="27">
        <v>1100</v>
      </c>
      <c r="AC331">
        <v>1400</v>
      </c>
      <c r="AD331" s="29">
        <f>IF(INDEX(Schedule!$A$1:$N$2000, MATCH($C331, VAV_Schedule_5_21[[#All],[UNIT TAG]], FALSE), 7)="-", 0, INDEX(Schedule!$A$1:$N$2000, MATCH($C331, VAV_Schedule_5_21[[#All],[UNIT TAG]], FALSE), 7))</f>
        <v>0</v>
      </c>
      <c r="AE331" t="str">
        <f>"B_01'" &amp; "Flr_0" &amp; INDEX(Joined!$A$3:$M$2000, MATCH($A331, Joined!$I$3:$I$2000, FALSE), 8)</f>
        <v>B_01'Flr_08</v>
      </c>
      <c r="AF331" t="str">
        <f>"R_" &amp; INDEX(Joined!$A$3:$M$2000, MATCH($A331, Joined!$I$3:$I$2000, FALSE), 7)</f>
        <v>R_VAV-8N-9A</v>
      </c>
      <c r="AG331" t="str">
        <f>"B_01'" &amp; "Flr_0" &amp; INDEX(Joined!$A$3:$M$2000, MATCH($A331, Joined!$I$3:$I$2000, FALSE), 8)</f>
        <v>B_01'Flr_08</v>
      </c>
      <c r="AH331" t="str">
        <f>INDEX(Joined!$A$3:$M$2000, MATCH($A331, Joined!$I$3:$I$2000, FALSE), 7)</f>
        <v>VAV-8N-9A</v>
      </c>
      <c r="AI331" t="s">
        <v>1659</v>
      </c>
    </row>
    <row r="332" spans="1:35" x14ac:dyDescent="0.2">
      <c r="A332" t="s">
        <v>791</v>
      </c>
      <c r="B332" t="str">
        <f>"B_01'" &amp; "Flr_0" &amp; INDEX(Joined!$A$3:$M$2000, MATCH($A332, Joined!$I$3:$I$2000, FALSE), 8)</f>
        <v>B_01'Flr_08</v>
      </c>
      <c r="C332" t="str">
        <f>INDEX(Joined!$A$3:$M$2000, MATCH($A332, Joined!$I$3:$I$2000, FALSE), 7)</f>
        <v>VAV-8W-1</v>
      </c>
      <c r="D332">
        <f>INDEX(Joined!$A$3:$M$2000, MATCH($A332, Joined!$I$3:$I$2000, FALSE), 5)</f>
        <v>152101</v>
      </c>
      <c r="E332" t="str">
        <f>INDEX(Joined!$A$3:$M$2000, MATCH($A332, Joined!$I$3:$I$2000, FALSE), 7)</f>
        <v>VAV-8W-1</v>
      </c>
      <c r="F332" t="s">
        <v>38</v>
      </c>
      <c r="G332" t="str">
        <f>INDEX(Schedule!$Q$2:$R$7, MATCH(ABT!$H332,Schedule!$Q$2:$Q$7, 0), 2)</f>
        <v>15011_DXR_VAV_DXR2M12</v>
      </c>
      <c r="H332">
        <f>INDEX(Joined!$A$3:$M$2000, MATCH($A332, Joined!$I$3:$I$2000, FALSE), 6)</f>
        <v>15011</v>
      </c>
      <c r="I332" t="str">
        <f>INDEX(Joined!$A$3:$M$2000, MATCH($A332, Joined!$I$3:$I$2000, FALSE), 4)</f>
        <v>521</v>
      </c>
      <c r="J332" t="b">
        <v>0</v>
      </c>
      <c r="K332">
        <f>INDEX(Joined!$A$3:$M$2000, MATCH($A332, Joined!$I$3:$I$2000, FALSE), 3)</f>
        <v>1</v>
      </c>
      <c r="L332">
        <v>85</v>
      </c>
      <c r="M332">
        <v>38400</v>
      </c>
      <c r="N332" s="27">
        <f>PI()*(INDEX(Schedule!$A$1:$N$2000, MATCH($C332, VAV_Schedule_5_21[[#All],[UNIT TAG]], FALSE), 4)/2/12)^2</f>
        <v>0.3490658503988659</v>
      </c>
      <c r="O332" s="27">
        <f>INDEX(Schedule!$A$1:$N$2000, MATCH($C332, VAV_Schedule_5_21[[#All],[UNIT TAG]], FALSE), 4)</f>
        <v>8</v>
      </c>
      <c r="P332">
        <v>330.63</v>
      </c>
      <c r="Q332" s="27">
        <f>INDEX(Schedule!$A$1:$N$2000, MATCH($C332, VAV_Schedule_5_21[[#All],[UNIT TAG]], FALSE), 5)</f>
        <v>640</v>
      </c>
      <c r="R332" s="27">
        <f>INDEX(Schedule!$A$1:$N$2000, MATCH($C332, VAV_Schedule_5_21[[#All],[UNIT TAG]], FALSE), 6)</f>
        <v>130</v>
      </c>
      <c r="S332" s="27">
        <f>INDEX(Schedule!$A$1:$N$2000, MATCH($C332, VAV_Schedule_5_21[[#All],[UNIT TAG]], FALSE), 5)</f>
        <v>640</v>
      </c>
      <c r="T332" s="27">
        <f>INDEX(Schedule!$A$1:$N$2000, MATCH($C332, VAV_Schedule_5_21[[#All],[UNIT TAG]], FALSE), 6)</f>
        <v>130</v>
      </c>
      <c r="U332" s="27">
        <f>INDEX(Schedule!$A$1:$N$2000, MATCH($C332, VAV_Schedule_5_21[[#All],[UNIT TAG]], FALSE), 5)</f>
        <v>640</v>
      </c>
      <c r="V332" s="27">
        <f>INDEX(Schedule!$A$1:$N$2000, MATCH($C332, VAV_Schedule_5_21[[#All],[UNIT TAG]], FALSE), 6)</f>
        <v>130</v>
      </c>
      <c r="W332" s="27">
        <f>INDEX(Schedule!$A$1:$N$2000, MATCH($C332, VAV_Schedule_5_21[[#All],[UNIT TAG]], FALSE), 6)</f>
        <v>130</v>
      </c>
      <c r="X332" s="27">
        <f>INDEX(Schedule!$A$1:$N$2000, MATCH($C332, VAV_Schedule_5_21[[#All],[UNIT TAG]], FALSE), 6)</f>
        <v>130</v>
      </c>
      <c r="Y332" s="27">
        <f>INDEX(Schedule!$A$1:$N$2000, MATCH($C332, VAV_Schedule_5_21[[#All],[UNIT TAG]], FALSE), 6)</f>
        <v>130</v>
      </c>
      <c r="Z332" s="27">
        <f>INDEX(Schedule!$A$1:$N$2000, MATCH($C332, VAV_Schedule_5_21[[#All],[UNIT TAG]], FALSE), 6)</f>
        <v>130</v>
      </c>
      <c r="AA332" s="27">
        <v>1000</v>
      </c>
      <c r="AB332" s="27">
        <v>1100</v>
      </c>
      <c r="AC332">
        <v>1400</v>
      </c>
      <c r="AD332" s="29" t="str">
        <f>IF(INDEX(Schedule!$A$1:$N$2000, MATCH($C332, VAV_Schedule_5_21[[#All],[UNIT TAG]], FALSE), 7)="-", 0, INDEX(Schedule!$A$1:$N$2000, MATCH($C332, VAV_Schedule_5_21[[#All],[UNIT TAG]], FALSE), 7))</f>
        <v>6</v>
      </c>
      <c r="AE332" t="str">
        <f>"B_01'" &amp; "Flr_0" &amp; INDEX(Joined!$A$3:$M$2000, MATCH($A332, Joined!$I$3:$I$2000, FALSE), 8)</f>
        <v>B_01'Flr_08</v>
      </c>
      <c r="AF332" t="str">
        <f>"R_" &amp; INDEX(Joined!$A$3:$M$2000, MATCH($A332, Joined!$I$3:$I$2000, FALSE), 7)</f>
        <v>R_VAV-8W-1</v>
      </c>
      <c r="AG332" t="str">
        <f>"B_01'" &amp; "Flr_0" &amp; INDEX(Joined!$A$3:$M$2000, MATCH($A332, Joined!$I$3:$I$2000, FALSE), 8)</f>
        <v>B_01'Flr_08</v>
      </c>
      <c r="AH332" t="str">
        <f>INDEX(Joined!$A$3:$M$2000, MATCH($A332, Joined!$I$3:$I$2000, FALSE), 7)</f>
        <v>VAV-8W-1</v>
      </c>
      <c r="AI332" t="s">
        <v>1660</v>
      </c>
    </row>
    <row r="333" spans="1:35" x14ac:dyDescent="0.2">
      <c r="A333" t="s">
        <v>792</v>
      </c>
      <c r="B333" t="str">
        <f>"B_01'" &amp; "Flr_0" &amp; INDEX(Joined!$A$3:$M$2000, MATCH($A333, Joined!$I$3:$I$2000, FALSE), 8)</f>
        <v>B_01'Flr_08</v>
      </c>
      <c r="C333" t="str">
        <f>INDEX(Joined!$A$3:$M$2000, MATCH($A333, Joined!$I$3:$I$2000, FALSE), 7)</f>
        <v>VAV-8W-2</v>
      </c>
      <c r="D333">
        <f>INDEX(Joined!$A$3:$M$2000, MATCH($A333, Joined!$I$3:$I$2000, FALSE), 5)</f>
        <v>152102</v>
      </c>
      <c r="E333" t="str">
        <f>INDEX(Joined!$A$3:$M$2000, MATCH($A333, Joined!$I$3:$I$2000, FALSE), 7)</f>
        <v>VAV-8W-2</v>
      </c>
      <c r="F333" t="s">
        <v>38</v>
      </c>
      <c r="G333" t="str">
        <f>INDEX(Schedule!$Q$2:$R$7, MATCH(ABT!$H333,Schedule!$Q$2:$Q$7, 0), 2)</f>
        <v>15011_DXR_VAV_DXR2M12</v>
      </c>
      <c r="H333">
        <f>INDEX(Joined!$A$3:$M$2000, MATCH($A333, Joined!$I$3:$I$2000, FALSE), 6)</f>
        <v>15011</v>
      </c>
      <c r="I333" t="str">
        <f>INDEX(Joined!$A$3:$M$2000, MATCH($A333, Joined!$I$3:$I$2000, FALSE), 4)</f>
        <v>521</v>
      </c>
      <c r="J333" t="b">
        <v>0</v>
      </c>
      <c r="K333">
        <f>INDEX(Joined!$A$3:$M$2000, MATCH($A333, Joined!$I$3:$I$2000, FALSE), 3)</f>
        <v>2</v>
      </c>
      <c r="L333">
        <v>85</v>
      </c>
      <c r="M333">
        <v>38400</v>
      </c>
      <c r="N333" s="27">
        <f>PI()*(INDEX(Schedule!$A$1:$N$2000, MATCH($C333, VAV_Schedule_5_21[[#All],[UNIT TAG]], FALSE), 4)/2/12)^2</f>
        <v>0.3490658503988659</v>
      </c>
      <c r="O333" s="27">
        <f>INDEX(Schedule!$A$1:$N$2000, MATCH($C333, VAV_Schedule_5_21[[#All],[UNIT TAG]], FALSE), 4)</f>
        <v>8</v>
      </c>
      <c r="P333">
        <v>331.63</v>
      </c>
      <c r="Q333" s="27">
        <f>INDEX(Schedule!$A$1:$N$2000, MATCH($C333, VAV_Schedule_5_21[[#All],[UNIT TAG]], FALSE), 5)</f>
        <v>680</v>
      </c>
      <c r="R333" s="27">
        <f>INDEX(Schedule!$A$1:$N$2000, MATCH($C333, VAV_Schedule_5_21[[#All],[UNIT TAG]], FALSE), 6)</f>
        <v>140</v>
      </c>
      <c r="S333" s="27">
        <f>INDEX(Schedule!$A$1:$N$2000, MATCH($C333, VAV_Schedule_5_21[[#All],[UNIT TAG]], FALSE), 5)</f>
        <v>680</v>
      </c>
      <c r="T333" s="27">
        <f>INDEX(Schedule!$A$1:$N$2000, MATCH($C333, VAV_Schedule_5_21[[#All],[UNIT TAG]], FALSE), 6)</f>
        <v>140</v>
      </c>
      <c r="U333" s="27">
        <f>INDEX(Schedule!$A$1:$N$2000, MATCH($C333, VAV_Schedule_5_21[[#All],[UNIT TAG]], FALSE), 5)</f>
        <v>680</v>
      </c>
      <c r="V333" s="27">
        <f>INDEX(Schedule!$A$1:$N$2000, MATCH($C333, VAV_Schedule_5_21[[#All],[UNIT TAG]], FALSE), 6)</f>
        <v>140</v>
      </c>
      <c r="W333" s="27">
        <f>INDEX(Schedule!$A$1:$N$2000, MATCH($C333, VAV_Schedule_5_21[[#All],[UNIT TAG]], FALSE), 6)</f>
        <v>140</v>
      </c>
      <c r="X333" s="27">
        <f>INDEX(Schedule!$A$1:$N$2000, MATCH($C333, VAV_Schedule_5_21[[#All],[UNIT TAG]], FALSE), 6)</f>
        <v>140</v>
      </c>
      <c r="Y333" s="27">
        <f>INDEX(Schedule!$A$1:$N$2000, MATCH($C333, VAV_Schedule_5_21[[#All],[UNIT TAG]], FALSE), 6)</f>
        <v>140</v>
      </c>
      <c r="Z333" s="27">
        <f>INDEX(Schedule!$A$1:$N$2000, MATCH($C333, VAV_Schedule_5_21[[#All],[UNIT TAG]], FALSE), 6)</f>
        <v>140</v>
      </c>
      <c r="AA333" s="27">
        <v>1000</v>
      </c>
      <c r="AB333" s="27">
        <v>1100</v>
      </c>
      <c r="AC333">
        <v>1400</v>
      </c>
      <c r="AD333" s="29" t="str">
        <f>IF(INDEX(Schedule!$A$1:$N$2000, MATCH($C333, VAV_Schedule_5_21[[#All],[UNIT TAG]], FALSE), 7)="-", 0, INDEX(Schedule!$A$1:$N$2000, MATCH($C333, VAV_Schedule_5_21[[#All],[UNIT TAG]], FALSE), 7))</f>
        <v>6</v>
      </c>
      <c r="AE333" t="str">
        <f>"B_01'" &amp; "Flr_0" &amp; INDEX(Joined!$A$3:$M$2000, MATCH($A333, Joined!$I$3:$I$2000, FALSE), 8)</f>
        <v>B_01'Flr_08</v>
      </c>
      <c r="AF333" t="str">
        <f>"R_" &amp; INDEX(Joined!$A$3:$M$2000, MATCH($A333, Joined!$I$3:$I$2000, FALSE), 7)</f>
        <v>R_VAV-8W-2</v>
      </c>
      <c r="AG333" t="str">
        <f>"B_01'" &amp; "Flr_0" &amp; INDEX(Joined!$A$3:$M$2000, MATCH($A333, Joined!$I$3:$I$2000, FALSE), 8)</f>
        <v>B_01'Flr_08</v>
      </c>
      <c r="AH333" t="str">
        <f>INDEX(Joined!$A$3:$M$2000, MATCH($A333, Joined!$I$3:$I$2000, FALSE), 7)</f>
        <v>VAV-8W-2</v>
      </c>
      <c r="AI333" t="s">
        <v>1661</v>
      </c>
    </row>
    <row r="334" spans="1:35" x14ac:dyDescent="0.2">
      <c r="A334" t="s">
        <v>793</v>
      </c>
      <c r="B334" t="str">
        <f>"B_01'" &amp; "Flr_0" &amp; INDEX(Joined!$A$3:$M$2000, MATCH($A334, Joined!$I$3:$I$2000, FALSE), 8)</f>
        <v>B_01'Flr_08</v>
      </c>
      <c r="C334" t="str">
        <f>INDEX(Joined!$A$3:$M$2000, MATCH($A334, Joined!$I$3:$I$2000, FALSE), 7)</f>
        <v>VAV-8W-3</v>
      </c>
      <c r="D334">
        <f>INDEX(Joined!$A$3:$M$2000, MATCH($A334, Joined!$I$3:$I$2000, FALSE), 5)</f>
        <v>152103</v>
      </c>
      <c r="E334" t="str">
        <f>INDEX(Joined!$A$3:$M$2000, MATCH($A334, Joined!$I$3:$I$2000, FALSE), 7)</f>
        <v>VAV-8W-3</v>
      </c>
      <c r="F334" t="s">
        <v>38</v>
      </c>
      <c r="G334" t="str">
        <f>INDEX(Schedule!$Q$2:$R$7, MATCH(ABT!$H334,Schedule!$Q$2:$Q$7, 0), 2)</f>
        <v>15011_DXR_VAV_DXR2M12</v>
      </c>
      <c r="H334">
        <f>INDEX(Joined!$A$3:$M$2000, MATCH($A334, Joined!$I$3:$I$2000, FALSE), 6)</f>
        <v>15011</v>
      </c>
      <c r="I334" t="str">
        <f>INDEX(Joined!$A$3:$M$2000, MATCH($A334, Joined!$I$3:$I$2000, FALSE), 4)</f>
        <v>521</v>
      </c>
      <c r="J334" t="b">
        <v>0</v>
      </c>
      <c r="K334">
        <f>INDEX(Joined!$A$3:$M$2000, MATCH($A334, Joined!$I$3:$I$2000, FALSE), 3)</f>
        <v>3</v>
      </c>
      <c r="L334">
        <v>85</v>
      </c>
      <c r="M334">
        <v>38400</v>
      </c>
      <c r="N334" s="27">
        <f>PI()*(INDEX(Schedule!$A$1:$N$2000, MATCH($C334, VAV_Schedule_5_21[[#All],[UNIT TAG]], FALSE), 4)/2/12)^2</f>
        <v>0.3490658503988659</v>
      </c>
      <c r="O334" s="27">
        <f>INDEX(Schedule!$A$1:$N$2000, MATCH($C334, VAV_Schedule_5_21[[#All],[UNIT TAG]], FALSE), 4)</f>
        <v>8</v>
      </c>
      <c r="P334">
        <v>332.63</v>
      </c>
      <c r="Q334" s="27">
        <f>INDEX(Schedule!$A$1:$N$2000, MATCH($C334, VAV_Schedule_5_21[[#All],[UNIT TAG]], FALSE), 5)</f>
        <v>600</v>
      </c>
      <c r="R334" s="27">
        <f>INDEX(Schedule!$A$1:$N$2000, MATCH($C334, VAV_Schedule_5_21[[#All],[UNIT TAG]], FALSE), 6)</f>
        <v>120</v>
      </c>
      <c r="S334" s="27">
        <f>INDEX(Schedule!$A$1:$N$2000, MATCH($C334, VAV_Schedule_5_21[[#All],[UNIT TAG]], FALSE), 5)</f>
        <v>600</v>
      </c>
      <c r="T334" s="27">
        <f>INDEX(Schedule!$A$1:$N$2000, MATCH($C334, VAV_Schedule_5_21[[#All],[UNIT TAG]], FALSE), 6)</f>
        <v>120</v>
      </c>
      <c r="U334" s="27">
        <f>INDEX(Schedule!$A$1:$N$2000, MATCH($C334, VAV_Schedule_5_21[[#All],[UNIT TAG]], FALSE), 5)</f>
        <v>600</v>
      </c>
      <c r="V334" s="27">
        <f>INDEX(Schedule!$A$1:$N$2000, MATCH($C334, VAV_Schedule_5_21[[#All],[UNIT TAG]], FALSE), 6)</f>
        <v>120</v>
      </c>
      <c r="W334" s="27">
        <f>INDEX(Schedule!$A$1:$N$2000, MATCH($C334, VAV_Schedule_5_21[[#All],[UNIT TAG]], FALSE), 6)</f>
        <v>120</v>
      </c>
      <c r="X334" s="27">
        <f>INDEX(Schedule!$A$1:$N$2000, MATCH($C334, VAV_Schedule_5_21[[#All],[UNIT TAG]], FALSE), 6)</f>
        <v>120</v>
      </c>
      <c r="Y334" s="27">
        <f>INDEX(Schedule!$A$1:$N$2000, MATCH($C334, VAV_Schedule_5_21[[#All],[UNIT TAG]], FALSE), 6)</f>
        <v>120</v>
      </c>
      <c r="Z334" s="27">
        <f>INDEX(Schedule!$A$1:$N$2000, MATCH($C334, VAV_Schedule_5_21[[#All],[UNIT TAG]], FALSE), 6)</f>
        <v>120</v>
      </c>
      <c r="AA334" s="27">
        <v>1000</v>
      </c>
      <c r="AB334" s="27">
        <v>1100</v>
      </c>
      <c r="AC334">
        <v>1400</v>
      </c>
      <c r="AD334" s="29" t="str">
        <f>IF(INDEX(Schedule!$A$1:$N$2000, MATCH($C334, VAV_Schedule_5_21[[#All],[UNIT TAG]], FALSE), 7)="-", 0, INDEX(Schedule!$A$1:$N$2000, MATCH($C334, VAV_Schedule_5_21[[#All],[UNIT TAG]], FALSE), 7))</f>
        <v>6</v>
      </c>
      <c r="AE334" t="str">
        <f>"B_01'" &amp; "Flr_0" &amp; INDEX(Joined!$A$3:$M$2000, MATCH($A334, Joined!$I$3:$I$2000, FALSE), 8)</f>
        <v>B_01'Flr_08</v>
      </c>
      <c r="AF334" t="str">
        <f>"R_" &amp; INDEX(Joined!$A$3:$M$2000, MATCH($A334, Joined!$I$3:$I$2000, FALSE), 7)</f>
        <v>R_VAV-8W-3</v>
      </c>
      <c r="AG334" t="str">
        <f>"B_01'" &amp; "Flr_0" &amp; INDEX(Joined!$A$3:$M$2000, MATCH($A334, Joined!$I$3:$I$2000, FALSE), 8)</f>
        <v>B_01'Flr_08</v>
      </c>
      <c r="AH334" t="str">
        <f>INDEX(Joined!$A$3:$M$2000, MATCH($A334, Joined!$I$3:$I$2000, FALSE), 7)</f>
        <v>VAV-8W-3</v>
      </c>
      <c r="AI334" t="s">
        <v>1662</v>
      </c>
    </row>
    <row r="335" spans="1:35" x14ac:dyDescent="0.2">
      <c r="A335" t="s">
        <v>824</v>
      </c>
      <c r="B335" t="str">
        <f>"B_01'" &amp; "Flr_0" &amp; INDEX(Joined!$A$3:$M$2000, MATCH($A335, Joined!$I$3:$I$2000, FALSE), 8)</f>
        <v>B_01'Flr_08</v>
      </c>
      <c r="C335" t="str">
        <f>INDEX(Joined!$A$3:$M$2000, MATCH($A335, Joined!$I$3:$I$2000, FALSE), 7)</f>
        <v>VAV-8W-33</v>
      </c>
      <c r="D335">
        <f>INDEX(Joined!$A$3:$M$2000, MATCH($A335, Joined!$I$3:$I$2000, FALSE), 5)</f>
        <v>152105</v>
      </c>
      <c r="E335" t="str">
        <f>INDEX(Joined!$A$3:$M$2000, MATCH($A335, Joined!$I$3:$I$2000, FALSE), 7)</f>
        <v>VAV-8W-33</v>
      </c>
      <c r="F335" t="s">
        <v>38</v>
      </c>
      <c r="G335" t="str">
        <f>INDEX(Schedule!$Q$2:$R$7, MATCH(ABT!$H335,Schedule!$Q$2:$Q$7, 0), 2)</f>
        <v>15010_DXR_VAV_DXR2M12</v>
      </c>
      <c r="H335">
        <f>INDEX(Joined!$A$3:$M$2000, MATCH($A335, Joined!$I$3:$I$2000, FALSE), 6)</f>
        <v>15010</v>
      </c>
      <c r="I335" t="str">
        <f>INDEX(Joined!$A$3:$M$2000, MATCH($A335, Joined!$I$3:$I$2000, FALSE), 4)</f>
        <v>521</v>
      </c>
      <c r="J335" t="b">
        <v>0</v>
      </c>
      <c r="K335">
        <f>INDEX(Joined!$A$3:$M$2000, MATCH($A335, Joined!$I$3:$I$2000, FALSE), 3)</f>
        <v>5</v>
      </c>
      <c r="L335">
        <v>85</v>
      </c>
      <c r="M335">
        <v>38400</v>
      </c>
      <c r="N335" s="27">
        <f>PI()*(INDEX(Schedule!$A$1:$N$2000, MATCH($C335, VAV_Schedule_5_21[[#All],[UNIT TAG]], FALSE), 4)/2/12)^2</f>
        <v>0.3490658503988659</v>
      </c>
      <c r="O335" s="27">
        <f>INDEX(Schedule!$A$1:$N$2000, MATCH($C335, VAV_Schedule_5_21[[#All],[UNIT TAG]], FALSE), 4)</f>
        <v>8</v>
      </c>
      <c r="P335">
        <v>333.63</v>
      </c>
      <c r="Q335" s="27">
        <f>INDEX(Schedule!$A$1:$N$2000, MATCH($C335, VAV_Schedule_5_21[[#All],[UNIT TAG]], FALSE), 5)</f>
        <v>560</v>
      </c>
      <c r="R335" s="27">
        <f>INDEX(Schedule!$A$1:$N$2000, MATCH($C335, VAV_Schedule_5_21[[#All],[UNIT TAG]], FALSE), 6)</f>
        <v>115</v>
      </c>
      <c r="S335" s="27">
        <f>INDEX(Schedule!$A$1:$N$2000, MATCH($C335, VAV_Schedule_5_21[[#All],[UNIT TAG]], FALSE), 5)</f>
        <v>560</v>
      </c>
      <c r="T335" s="27">
        <f>INDEX(Schedule!$A$1:$N$2000, MATCH($C335, VAV_Schedule_5_21[[#All],[UNIT TAG]], FALSE), 6)</f>
        <v>115</v>
      </c>
      <c r="U335" s="27">
        <f>INDEX(Schedule!$A$1:$N$2000, MATCH($C335, VAV_Schedule_5_21[[#All],[UNIT TAG]], FALSE), 5)</f>
        <v>560</v>
      </c>
      <c r="V335" s="27">
        <f>INDEX(Schedule!$A$1:$N$2000, MATCH($C335, VAV_Schedule_5_21[[#All],[UNIT TAG]], FALSE), 6)</f>
        <v>115</v>
      </c>
      <c r="W335" s="27">
        <f>INDEX(Schedule!$A$1:$N$2000, MATCH($C335, VAV_Schedule_5_21[[#All],[UNIT TAG]], FALSE), 6)</f>
        <v>115</v>
      </c>
      <c r="X335" s="27">
        <f>INDEX(Schedule!$A$1:$N$2000, MATCH($C335, VAV_Schedule_5_21[[#All],[UNIT TAG]], FALSE), 6)</f>
        <v>115</v>
      </c>
      <c r="Y335" s="27">
        <f>INDEX(Schedule!$A$1:$N$2000, MATCH($C335, VAV_Schedule_5_21[[#All],[UNIT TAG]], FALSE), 6)</f>
        <v>115</v>
      </c>
      <c r="Z335" s="27">
        <f>INDEX(Schedule!$A$1:$N$2000, MATCH($C335, VAV_Schedule_5_21[[#All],[UNIT TAG]], FALSE), 6)</f>
        <v>115</v>
      </c>
      <c r="AA335" s="27">
        <v>1000</v>
      </c>
      <c r="AB335" s="27">
        <v>1100</v>
      </c>
      <c r="AC335">
        <v>1400</v>
      </c>
      <c r="AD335" s="29">
        <f>IF(INDEX(Schedule!$A$1:$N$2000, MATCH($C335, VAV_Schedule_5_21[[#All],[UNIT TAG]], FALSE), 7)="-", 0, INDEX(Schedule!$A$1:$N$2000, MATCH($C335, VAV_Schedule_5_21[[#All],[UNIT TAG]], FALSE), 7))</f>
        <v>0</v>
      </c>
      <c r="AE335" t="str">
        <f>"B_01'" &amp; "Flr_0" &amp; INDEX(Joined!$A$3:$M$2000, MATCH($A335, Joined!$I$3:$I$2000, FALSE), 8)</f>
        <v>B_01'Flr_08</v>
      </c>
      <c r="AF335" t="str">
        <f>"R_" &amp; INDEX(Joined!$A$3:$M$2000, MATCH($A335, Joined!$I$3:$I$2000, FALSE), 7)</f>
        <v>R_VAV-8W-33</v>
      </c>
      <c r="AG335" t="str">
        <f>"B_01'" &amp; "Flr_0" &amp; INDEX(Joined!$A$3:$M$2000, MATCH($A335, Joined!$I$3:$I$2000, FALSE), 8)</f>
        <v>B_01'Flr_08</v>
      </c>
      <c r="AH335" t="str">
        <f>INDEX(Joined!$A$3:$M$2000, MATCH($A335, Joined!$I$3:$I$2000, FALSE), 7)</f>
        <v>VAV-8W-33</v>
      </c>
      <c r="AI335" t="s">
        <v>1663</v>
      </c>
    </row>
    <row r="336" spans="1:35" x14ac:dyDescent="0.2">
      <c r="A336" t="s">
        <v>825</v>
      </c>
      <c r="B336" t="str">
        <f>"B_01'" &amp; "Flr_0" &amp; INDEX(Joined!$A$3:$M$2000, MATCH($A336, Joined!$I$3:$I$2000, FALSE), 8)</f>
        <v>B_01'Flr_08</v>
      </c>
      <c r="C336" t="str">
        <f>INDEX(Joined!$A$3:$M$2000, MATCH($A336, Joined!$I$3:$I$2000, FALSE), 7)</f>
        <v>VAV-8W-34</v>
      </c>
      <c r="D336">
        <f>INDEX(Joined!$A$3:$M$2000, MATCH($A336, Joined!$I$3:$I$2000, FALSE), 5)</f>
        <v>152106</v>
      </c>
      <c r="E336" t="str">
        <f>INDEX(Joined!$A$3:$M$2000, MATCH($A336, Joined!$I$3:$I$2000, FALSE), 7)</f>
        <v>VAV-8W-34</v>
      </c>
      <c r="F336" t="s">
        <v>38</v>
      </c>
      <c r="G336" t="str">
        <f>INDEX(Schedule!$Q$2:$R$7, MATCH(ABT!$H336,Schedule!$Q$2:$Q$7, 0), 2)</f>
        <v>15010_DXR_VAV_DXR2M12</v>
      </c>
      <c r="H336">
        <f>INDEX(Joined!$A$3:$M$2000, MATCH($A336, Joined!$I$3:$I$2000, FALSE), 6)</f>
        <v>15010</v>
      </c>
      <c r="I336" t="str">
        <f>INDEX(Joined!$A$3:$M$2000, MATCH($A336, Joined!$I$3:$I$2000, FALSE), 4)</f>
        <v>521</v>
      </c>
      <c r="J336" t="b">
        <v>0</v>
      </c>
      <c r="K336">
        <f>INDEX(Joined!$A$3:$M$2000, MATCH($A336, Joined!$I$3:$I$2000, FALSE), 3)</f>
        <v>6</v>
      </c>
      <c r="L336">
        <v>85</v>
      </c>
      <c r="M336">
        <v>38400</v>
      </c>
      <c r="N336" s="27">
        <f>PI()*(INDEX(Schedule!$A$1:$N$2000, MATCH($C336, VAV_Schedule_5_21[[#All],[UNIT TAG]], FALSE), 4)/2/12)^2</f>
        <v>0.54541539124822802</v>
      </c>
      <c r="O336" s="27">
        <f>INDEX(Schedule!$A$1:$N$2000, MATCH($C336, VAV_Schedule_5_21[[#All],[UNIT TAG]], FALSE), 4)</f>
        <v>10</v>
      </c>
      <c r="P336">
        <v>334.63</v>
      </c>
      <c r="Q336" s="27">
        <f>INDEX(Schedule!$A$1:$N$2000, MATCH($C336, VAV_Schedule_5_21[[#All],[UNIT TAG]], FALSE), 5)</f>
        <v>1030</v>
      </c>
      <c r="R336" s="27">
        <f>INDEX(Schedule!$A$1:$N$2000, MATCH($C336, VAV_Schedule_5_21[[#All],[UNIT TAG]], FALSE), 6)</f>
        <v>210</v>
      </c>
      <c r="S336" s="27">
        <f>INDEX(Schedule!$A$1:$N$2000, MATCH($C336, VAV_Schedule_5_21[[#All],[UNIT TAG]], FALSE), 5)</f>
        <v>1030</v>
      </c>
      <c r="T336" s="27">
        <f>INDEX(Schedule!$A$1:$N$2000, MATCH($C336, VAV_Schedule_5_21[[#All],[UNIT TAG]], FALSE), 6)</f>
        <v>210</v>
      </c>
      <c r="U336" s="27">
        <f>INDEX(Schedule!$A$1:$N$2000, MATCH($C336, VAV_Schedule_5_21[[#All],[UNIT TAG]], FALSE), 5)</f>
        <v>1030</v>
      </c>
      <c r="V336" s="27">
        <f>INDEX(Schedule!$A$1:$N$2000, MATCH($C336, VAV_Schedule_5_21[[#All],[UNIT TAG]], FALSE), 6)</f>
        <v>210</v>
      </c>
      <c r="W336" s="27">
        <f>INDEX(Schedule!$A$1:$N$2000, MATCH($C336, VAV_Schedule_5_21[[#All],[UNIT TAG]], FALSE), 6)</f>
        <v>210</v>
      </c>
      <c r="X336" s="27">
        <f>INDEX(Schedule!$A$1:$N$2000, MATCH($C336, VAV_Schedule_5_21[[#All],[UNIT TAG]], FALSE), 6)</f>
        <v>210</v>
      </c>
      <c r="Y336" s="27">
        <f>INDEX(Schedule!$A$1:$N$2000, MATCH($C336, VAV_Schedule_5_21[[#All],[UNIT TAG]], FALSE), 6)</f>
        <v>210</v>
      </c>
      <c r="Z336" s="27">
        <f>INDEX(Schedule!$A$1:$N$2000, MATCH($C336, VAV_Schedule_5_21[[#All],[UNIT TAG]], FALSE), 6)</f>
        <v>210</v>
      </c>
      <c r="AA336" s="27">
        <v>1000</v>
      </c>
      <c r="AB336" s="27">
        <v>1100</v>
      </c>
      <c r="AC336">
        <v>1400</v>
      </c>
      <c r="AD336" s="29">
        <f>IF(INDEX(Schedule!$A$1:$N$2000, MATCH($C336, VAV_Schedule_5_21[[#All],[UNIT TAG]], FALSE), 7)="-", 0, INDEX(Schedule!$A$1:$N$2000, MATCH($C336, VAV_Schedule_5_21[[#All],[UNIT TAG]], FALSE), 7))</f>
        <v>0</v>
      </c>
      <c r="AE336" t="str">
        <f>"B_01'" &amp; "Flr_0" &amp; INDEX(Joined!$A$3:$M$2000, MATCH($A336, Joined!$I$3:$I$2000, FALSE), 8)</f>
        <v>B_01'Flr_08</v>
      </c>
      <c r="AF336" t="str">
        <f>"R_" &amp; INDEX(Joined!$A$3:$M$2000, MATCH($A336, Joined!$I$3:$I$2000, FALSE), 7)</f>
        <v>R_VAV-8W-34</v>
      </c>
      <c r="AG336" t="str">
        <f>"B_01'" &amp; "Flr_0" &amp; INDEX(Joined!$A$3:$M$2000, MATCH($A336, Joined!$I$3:$I$2000, FALSE), 8)</f>
        <v>B_01'Flr_08</v>
      </c>
      <c r="AH336" t="str">
        <f>INDEX(Joined!$A$3:$M$2000, MATCH($A336, Joined!$I$3:$I$2000, FALSE), 7)</f>
        <v>VAV-8W-34</v>
      </c>
      <c r="AI336" t="s">
        <v>1664</v>
      </c>
    </row>
    <row r="337" spans="1:35" x14ac:dyDescent="0.2">
      <c r="A337" t="s">
        <v>826</v>
      </c>
      <c r="B337" t="str">
        <f>"B_01'" &amp; "Flr_0" &amp; INDEX(Joined!$A$3:$M$2000, MATCH($A337, Joined!$I$3:$I$2000, FALSE), 8)</f>
        <v>B_01'Flr_08</v>
      </c>
      <c r="C337" t="str">
        <f>INDEX(Joined!$A$3:$M$2000, MATCH($A337, Joined!$I$3:$I$2000, FALSE), 7)</f>
        <v>VAV-8W-35</v>
      </c>
      <c r="D337">
        <f>INDEX(Joined!$A$3:$M$2000, MATCH($A337, Joined!$I$3:$I$2000, FALSE), 5)</f>
        <v>152107</v>
      </c>
      <c r="E337" t="str">
        <f>INDEX(Joined!$A$3:$M$2000, MATCH($A337, Joined!$I$3:$I$2000, FALSE), 7)</f>
        <v>VAV-8W-35</v>
      </c>
      <c r="F337" t="s">
        <v>38</v>
      </c>
      <c r="G337" t="str">
        <f>INDEX(Schedule!$Q$2:$R$7, MATCH(ABT!$H337,Schedule!$Q$2:$Q$7, 0), 2)</f>
        <v>15011_DXR_VAV_DXR2M12</v>
      </c>
      <c r="H337">
        <f>INDEX(Joined!$A$3:$M$2000, MATCH($A337, Joined!$I$3:$I$2000, FALSE), 6)</f>
        <v>15011</v>
      </c>
      <c r="I337" t="str">
        <f>INDEX(Joined!$A$3:$M$2000, MATCH($A337, Joined!$I$3:$I$2000, FALSE), 4)</f>
        <v>521</v>
      </c>
      <c r="J337" t="b">
        <v>0</v>
      </c>
      <c r="K337">
        <f>INDEX(Joined!$A$3:$M$2000, MATCH($A337, Joined!$I$3:$I$2000, FALSE), 3)</f>
        <v>7</v>
      </c>
      <c r="L337">
        <v>85</v>
      </c>
      <c r="M337">
        <v>38400</v>
      </c>
      <c r="N337" s="27">
        <f>PI()*(INDEX(Schedule!$A$1:$N$2000, MATCH($C337, VAV_Schedule_5_21[[#All],[UNIT TAG]], FALSE), 4)/2/12)^2</f>
        <v>0.54541539124822802</v>
      </c>
      <c r="O337" s="27">
        <f>INDEX(Schedule!$A$1:$N$2000, MATCH($C337, VAV_Schedule_5_21[[#All],[UNIT TAG]], FALSE), 4)</f>
        <v>10</v>
      </c>
      <c r="P337">
        <v>335.63</v>
      </c>
      <c r="Q337" s="27">
        <f>INDEX(Schedule!$A$1:$N$2000, MATCH($C337, VAV_Schedule_5_21[[#All],[UNIT TAG]], FALSE), 5)</f>
        <v>800</v>
      </c>
      <c r="R337" s="27">
        <f>INDEX(Schedule!$A$1:$N$2000, MATCH($C337, VAV_Schedule_5_21[[#All],[UNIT TAG]], FALSE), 6)</f>
        <v>160</v>
      </c>
      <c r="S337" s="27">
        <f>INDEX(Schedule!$A$1:$N$2000, MATCH($C337, VAV_Schedule_5_21[[#All],[UNIT TAG]], FALSE), 5)</f>
        <v>800</v>
      </c>
      <c r="T337" s="27">
        <f>INDEX(Schedule!$A$1:$N$2000, MATCH($C337, VAV_Schedule_5_21[[#All],[UNIT TAG]], FALSE), 6)</f>
        <v>160</v>
      </c>
      <c r="U337" s="27">
        <f>INDEX(Schedule!$A$1:$N$2000, MATCH($C337, VAV_Schedule_5_21[[#All],[UNIT TAG]], FALSE), 5)</f>
        <v>800</v>
      </c>
      <c r="V337" s="27">
        <f>INDEX(Schedule!$A$1:$N$2000, MATCH($C337, VAV_Schedule_5_21[[#All],[UNIT TAG]], FALSE), 6)</f>
        <v>160</v>
      </c>
      <c r="W337" s="27">
        <f>INDEX(Schedule!$A$1:$N$2000, MATCH($C337, VAV_Schedule_5_21[[#All],[UNIT TAG]], FALSE), 6)</f>
        <v>160</v>
      </c>
      <c r="X337" s="27">
        <f>INDEX(Schedule!$A$1:$N$2000, MATCH($C337, VAV_Schedule_5_21[[#All],[UNIT TAG]], FALSE), 6)</f>
        <v>160</v>
      </c>
      <c r="Y337" s="27">
        <f>INDEX(Schedule!$A$1:$N$2000, MATCH($C337, VAV_Schedule_5_21[[#All],[UNIT TAG]], FALSE), 6)</f>
        <v>160</v>
      </c>
      <c r="Z337" s="27">
        <f>INDEX(Schedule!$A$1:$N$2000, MATCH($C337, VAV_Schedule_5_21[[#All],[UNIT TAG]], FALSE), 6)</f>
        <v>160</v>
      </c>
      <c r="AA337" s="27">
        <v>1000</v>
      </c>
      <c r="AB337" s="27">
        <v>1100</v>
      </c>
      <c r="AC337">
        <v>1400</v>
      </c>
      <c r="AD337" s="29" t="str">
        <f>IF(INDEX(Schedule!$A$1:$N$2000, MATCH($C337, VAV_Schedule_5_21[[#All],[UNIT TAG]], FALSE), 7)="-", 0, INDEX(Schedule!$A$1:$N$2000, MATCH($C337, VAV_Schedule_5_21[[#All],[UNIT TAG]], FALSE), 7))</f>
        <v>8</v>
      </c>
      <c r="AE337" t="str">
        <f>"B_01'" &amp; "Flr_0" &amp; INDEX(Joined!$A$3:$M$2000, MATCH($A337, Joined!$I$3:$I$2000, FALSE), 8)</f>
        <v>B_01'Flr_08</v>
      </c>
      <c r="AF337" t="str">
        <f>"R_" &amp; INDEX(Joined!$A$3:$M$2000, MATCH($A337, Joined!$I$3:$I$2000, FALSE), 7)</f>
        <v>R_VAV-8W-35</v>
      </c>
      <c r="AG337" t="str">
        <f>"B_01'" &amp; "Flr_0" &amp; INDEX(Joined!$A$3:$M$2000, MATCH($A337, Joined!$I$3:$I$2000, FALSE), 8)</f>
        <v>B_01'Flr_08</v>
      </c>
      <c r="AH337" t="str">
        <f>INDEX(Joined!$A$3:$M$2000, MATCH($A337, Joined!$I$3:$I$2000, FALSE), 7)</f>
        <v>VAV-8W-35</v>
      </c>
      <c r="AI337" t="s">
        <v>1665</v>
      </c>
    </row>
    <row r="338" spans="1:35" x14ac:dyDescent="0.2">
      <c r="A338" t="s">
        <v>827</v>
      </c>
      <c r="B338" t="str">
        <f>"B_01'" &amp; "Flr_0" &amp; INDEX(Joined!$A$3:$M$2000, MATCH($A338, Joined!$I$3:$I$2000, FALSE), 8)</f>
        <v>B_01'Flr_08</v>
      </c>
      <c r="C338" t="str">
        <f>INDEX(Joined!$A$3:$M$2000, MATCH($A338, Joined!$I$3:$I$2000, FALSE), 7)</f>
        <v>VAV-8W-36</v>
      </c>
      <c r="D338">
        <f>INDEX(Joined!$A$3:$M$2000, MATCH($A338, Joined!$I$3:$I$2000, FALSE), 5)</f>
        <v>152108</v>
      </c>
      <c r="E338" t="str">
        <f>INDEX(Joined!$A$3:$M$2000, MATCH($A338, Joined!$I$3:$I$2000, FALSE), 7)</f>
        <v>VAV-8W-36</v>
      </c>
      <c r="F338" t="s">
        <v>38</v>
      </c>
      <c r="G338" t="str">
        <f>INDEX(Schedule!$Q$2:$R$7, MATCH(ABT!$H338,Schedule!$Q$2:$Q$7, 0), 2)</f>
        <v>15011_DXR_VAV_DXR2M12</v>
      </c>
      <c r="H338">
        <f>INDEX(Joined!$A$3:$M$2000, MATCH($A338, Joined!$I$3:$I$2000, FALSE), 6)</f>
        <v>15011</v>
      </c>
      <c r="I338" t="str">
        <f>INDEX(Joined!$A$3:$M$2000, MATCH($A338, Joined!$I$3:$I$2000, FALSE), 4)</f>
        <v>521</v>
      </c>
      <c r="J338" t="b">
        <v>0</v>
      </c>
      <c r="K338">
        <f>INDEX(Joined!$A$3:$M$2000, MATCH($A338, Joined!$I$3:$I$2000, FALSE), 3)</f>
        <v>8</v>
      </c>
      <c r="L338">
        <v>85</v>
      </c>
      <c r="M338">
        <v>38400</v>
      </c>
      <c r="N338" s="27">
        <f>PI()*(INDEX(Schedule!$A$1:$N$2000, MATCH($C338, VAV_Schedule_5_21[[#All],[UNIT TAG]], FALSE), 4)/2/12)^2</f>
        <v>0.3490658503988659</v>
      </c>
      <c r="O338" s="27">
        <f>INDEX(Schedule!$A$1:$N$2000, MATCH($C338, VAV_Schedule_5_21[[#All],[UNIT TAG]], FALSE), 4)</f>
        <v>8</v>
      </c>
      <c r="P338">
        <v>336.63</v>
      </c>
      <c r="Q338" s="27">
        <f>INDEX(Schedule!$A$1:$N$2000, MATCH($C338, VAV_Schedule_5_21[[#All],[UNIT TAG]], FALSE), 5)</f>
        <v>640</v>
      </c>
      <c r="R338" s="27">
        <f>INDEX(Schedule!$A$1:$N$2000, MATCH($C338, VAV_Schedule_5_21[[#All],[UNIT TAG]], FALSE), 6)</f>
        <v>130</v>
      </c>
      <c r="S338" s="27">
        <f>INDEX(Schedule!$A$1:$N$2000, MATCH($C338, VAV_Schedule_5_21[[#All],[UNIT TAG]], FALSE), 5)</f>
        <v>640</v>
      </c>
      <c r="T338" s="27">
        <f>INDEX(Schedule!$A$1:$N$2000, MATCH($C338, VAV_Schedule_5_21[[#All],[UNIT TAG]], FALSE), 6)</f>
        <v>130</v>
      </c>
      <c r="U338" s="27">
        <f>INDEX(Schedule!$A$1:$N$2000, MATCH($C338, VAV_Schedule_5_21[[#All],[UNIT TAG]], FALSE), 5)</f>
        <v>640</v>
      </c>
      <c r="V338" s="27">
        <f>INDEX(Schedule!$A$1:$N$2000, MATCH($C338, VAV_Schedule_5_21[[#All],[UNIT TAG]], FALSE), 6)</f>
        <v>130</v>
      </c>
      <c r="W338" s="27">
        <f>INDEX(Schedule!$A$1:$N$2000, MATCH($C338, VAV_Schedule_5_21[[#All],[UNIT TAG]], FALSE), 6)</f>
        <v>130</v>
      </c>
      <c r="X338" s="27">
        <f>INDEX(Schedule!$A$1:$N$2000, MATCH($C338, VAV_Schedule_5_21[[#All],[UNIT TAG]], FALSE), 6)</f>
        <v>130</v>
      </c>
      <c r="Y338" s="27">
        <f>INDEX(Schedule!$A$1:$N$2000, MATCH($C338, VAV_Schedule_5_21[[#All],[UNIT TAG]], FALSE), 6)</f>
        <v>130</v>
      </c>
      <c r="Z338" s="27">
        <f>INDEX(Schedule!$A$1:$N$2000, MATCH($C338, VAV_Schedule_5_21[[#All],[UNIT TAG]], FALSE), 6)</f>
        <v>130</v>
      </c>
      <c r="AA338" s="27">
        <v>1000</v>
      </c>
      <c r="AB338" s="27">
        <v>1100</v>
      </c>
      <c r="AC338">
        <v>1400</v>
      </c>
      <c r="AD338" s="29" t="str">
        <f>IF(INDEX(Schedule!$A$1:$N$2000, MATCH($C338, VAV_Schedule_5_21[[#All],[UNIT TAG]], FALSE), 7)="-", 0, INDEX(Schedule!$A$1:$N$2000, MATCH($C338, VAV_Schedule_5_21[[#All],[UNIT TAG]], FALSE), 7))</f>
        <v>6</v>
      </c>
      <c r="AE338" t="str">
        <f>"B_01'" &amp; "Flr_0" &amp; INDEX(Joined!$A$3:$M$2000, MATCH($A338, Joined!$I$3:$I$2000, FALSE), 8)</f>
        <v>B_01'Flr_08</v>
      </c>
      <c r="AF338" t="str">
        <f>"R_" &amp; INDEX(Joined!$A$3:$M$2000, MATCH($A338, Joined!$I$3:$I$2000, FALSE), 7)</f>
        <v>R_VAV-8W-36</v>
      </c>
      <c r="AG338" t="str">
        <f>"B_01'" &amp; "Flr_0" &amp; INDEX(Joined!$A$3:$M$2000, MATCH($A338, Joined!$I$3:$I$2000, FALSE), 8)</f>
        <v>B_01'Flr_08</v>
      </c>
      <c r="AH338" t="str">
        <f>INDEX(Joined!$A$3:$M$2000, MATCH($A338, Joined!$I$3:$I$2000, FALSE), 7)</f>
        <v>VAV-8W-36</v>
      </c>
      <c r="AI338" t="s">
        <v>1666</v>
      </c>
    </row>
    <row r="339" spans="1:35" x14ac:dyDescent="0.2">
      <c r="A339" t="s">
        <v>828</v>
      </c>
      <c r="B339" t="str">
        <f>"B_01'" &amp; "Flr_0" &amp; INDEX(Joined!$A$3:$M$2000, MATCH($A339, Joined!$I$3:$I$2000, FALSE), 8)</f>
        <v>B_01'Flr_08</v>
      </c>
      <c r="C339" t="str">
        <f>INDEX(Joined!$A$3:$M$2000, MATCH($A339, Joined!$I$3:$I$2000, FALSE), 7)</f>
        <v>VAV-8W-37</v>
      </c>
      <c r="D339">
        <f>INDEX(Joined!$A$3:$M$2000, MATCH($A339, Joined!$I$3:$I$2000, FALSE), 5)</f>
        <v>152109</v>
      </c>
      <c r="E339" t="str">
        <f>INDEX(Joined!$A$3:$M$2000, MATCH($A339, Joined!$I$3:$I$2000, FALSE), 7)</f>
        <v>VAV-8W-37</v>
      </c>
      <c r="F339" t="s">
        <v>38</v>
      </c>
      <c r="G339" t="str">
        <f>INDEX(Schedule!$Q$2:$R$7, MATCH(ABT!$H339,Schedule!$Q$2:$Q$7, 0), 2)</f>
        <v>15011_DXR_VAV_DXR2M12</v>
      </c>
      <c r="H339">
        <f>INDEX(Joined!$A$3:$M$2000, MATCH($A339, Joined!$I$3:$I$2000, FALSE), 6)</f>
        <v>15011</v>
      </c>
      <c r="I339" t="str">
        <f>INDEX(Joined!$A$3:$M$2000, MATCH($A339, Joined!$I$3:$I$2000, FALSE), 4)</f>
        <v>521</v>
      </c>
      <c r="J339" t="b">
        <v>0</v>
      </c>
      <c r="K339">
        <f>INDEX(Joined!$A$3:$M$2000, MATCH($A339, Joined!$I$3:$I$2000, FALSE), 3)</f>
        <v>9</v>
      </c>
      <c r="L339">
        <v>85</v>
      </c>
      <c r="M339">
        <v>38400</v>
      </c>
      <c r="N339" s="27">
        <f>PI()*(INDEX(Schedule!$A$1:$N$2000, MATCH($C339, VAV_Schedule_5_21[[#All],[UNIT TAG]], FALSE), 4)/2/12)^2</f>
        <v>0.54541539124822802</v>
      </c>
      <c r="O339" s="27">
        <f>INDEX(Schedule!$A$1:$N$2000, MATCH($C339, VAV_Schedule_5_21[[#All],[UNIT TAG]], FALSE), 4)</f>
        <v>10</v>
      </c>
      <c r="P339">
        <v>337.63</v>
      </c>
      <c r="Q339" s="27">
        <f>INDEX(Schedule!$A$1:$N$2000, MATCH($C339, VAV_Schedule_5_21[[#All],[UNIT TAG]], FALSE), 5)</f>
        <v>860</v>
      </c>
      <c r="R339" s="27">
        <f>INDEX(Schedule!$A$1:$N$2000, MATCH($C339, VAV_Schedule_5_21[[#All],[UNIT TAG]], FALSE), 6)</f>
        <v>175</v>
      </c>
      <c r="S339" s="27">
        <f>INDEX(Schedule!$A$1:$N$2000, MATCH($C339, VAV_Schedule_5_21[[#All],[UNIT TAG]], FALSE), 5)</f>
        <v>860</v>
      </c>
      <c r="T339" s="27">
        <f>INDEX(Schedule!$A$1:$N$2000, MATCH($C339, VAV_Schedule_5_21[[#All],[UNIT TAG]], FALSE), 6)</f>
        <v>175</v>
      </c>
      <c r="U339" s="27">
        <f>INDEX(Schedule!$A$1:$N$2000, MATCH($C339, VAV_Schedule_5_21[[#All],[UNIT TAG]], FALSE), 5)</f>
        <v>860</v>
      </c>
      <c r="V339" s="27">
        <f>INDEX(Schedule!$A$1:$N$2000, MATCH($C339, VAV_Schedule_5_21[[#All],[UNIT TAG]], FALSE), 6)</f>
        <v>175</v>
      </c>
      <c r="W339" s="27">
        <f>INDEX(Schedule!$A$1:$N$2000, MATCH($C339, VAV_Schedule_5_21[[#All],[UNIT TAG]], FALSE), 6)</f>
        <v>175</v>
      </c>
      <c r="X339" s="27">
        <f>INDEX(Schedule!$A$1:$N$2000, MATCH($C339, VAV_Schedule_5_21[[#All],[UNIT TAG]], FALSE), 6)</f>
        <v>175</v>
      </c>
      <c r="Y339" s="27">
        <f>INDEX(Schedule!$A$1:$N$2000, MATCH($C339, VAV_Schedule_5_21[[#All],[UNIT TAG]], FALSE), 6)</f>
        <v>175</v>
      </c>
      <c r="Z339" s="27">
        <f>INDEX(Schedule!$A$1:$N$2000, MATCH($C339, VAV_Schedule_5_21[[#All],[UNIT TAG]], FALSE), 6)</f>
        <v>175</v>
      </c>
      <c r="AA339" s="27">
        <v>1000</v>
      </c>
      <c r="AB339" s="27">
        <v>1100</v>
      </c>
      <c r="AC339">
        <v>1400</v>
      </c>
      <c r="AD339" s="29" t="str">
        <f>IF(INDEX(Schedule!$A$1:$N$2000, MATCH($C339, VAV_Schedule_5_21[[#All],[UNIT TAG]], FALSE), 7)="-", 0, INDEX(Schedule!$A$1:$N$2000, MATCH($C339, VAV_Schedule_5_21[[#All],[UNIT TAG]], FALSE), 7))</f>
        <v>6</v>
      </c>
      <c r="AE339" t="str">
        <f>"B_01'" &amp; "Flr_0" &amp; INDEX(Joined!$A$3:$M$2000, MATCH($A339, Joined!$I$3:$I$2000, FALSE), 8)</f>
        <v>B_01'Flr_08</v>
      </c>
      <c r="AF339" t="str">
        <f>"R_" &amp; INDEX(Joined!$A$3:$M$2000, MATCH($A339, Joined!$I$3:$I$2000, FALSE), 7)</f>
        <v>R_VAV-8W-37</v>
      </c>
      <c r="AG339" t="str">
        <f>"B_01'" &amp; "Flr_0" &amp; INDEX(Joined!$A$3:$M$2000, MATCH($A339, Joined!$I$3:$I$2000, FALSE), 8)</f>
        <v>B_01'Flr_08</v>
      </c>
      <c r="AH339" t="str">
        <f>INDEX(Joined!$A$3:$M$2000, MATCH($A339, Joined!$I$3:$I$2000, FALSE), 7)</f>
        <v>VAV-8W-37</v>
      </c>
      <c r="AI339" t="s">
        <v>1667</v>
      </c>
    </row>
    <row r="340" spans="1:35" x14ac:dyDescent="0.2">
      <c r="A340" t="s">
        <v>829</v>
      </c>
      <c r="B340" t="str">
        <f>"B_01'" &amp; "Flr_0" &amp; INDEX(Joined!$A$3:$M$2000, MATCH($A340, Joined!$I$3:$I$2000, FALSE), 8)</f>
        <v>B_01'Flr_08</v>
      </c>
      <c r="C340" t="str">
        <f>INDEX(Joined!$A$3:$M$2000, MATCH($A340, Joined!$I$3:$I$2000, FALSE), 7)</f>
        <v>VAV-8W-38</v>
      </c>
      <c r="D340">
        <f>INDEX(Joined!$A$3:$M$2000, MATCH($A340, Joined!$I$3:$I$2000, FALSE), 5)</f>
        <v>152110</v>
      </c>
      <c r="E340" t="str">
        <f>INDEX(Joined!$A$3:$M$2000, MATCH($A340, Joined!$I$3:$I$2000, FALSE), 7)</f>
        <v>VAV-8W-38</v>
      </c>
      <c r="F340" t="s">
        <v>38</v>
      </c>
      <c r="G340" t="str">
        <f>INDEX(Schedule!$Q$2:$R$7, MATCH(ABT!$H340,Schedule!$Q$2:$Q$7, 0), 2)</f>
        <v>15011_DXR_VAV_DXR2M12</v>
      </c>
      <c r="H340">
        <f>INDEX(Joined!$A$3:$M$2000, MATCH($A340, Joined!$I$3:$I$2000, FALSE), 6)</f>
        <v>15011</v>
      </c>
      <c r="I340" t="str">
        <f>INDEX(Joined!$A$3:$M$2000, MATCH($A340, Joined!$I$3:$I$2000, FALSE), 4)</f>
        <v>521</v>
      </c>
      <c r="J340" t="b">
        <v>0</v>
      </c>
      <c r="K340">
        <f>INDEX(Joined!$A$3:$M$2000, MATCH($A340, Joined!$I$3:$I$2000, FALSE), 3)</f>
        <v>10</v>
      </c>
      <c r="L340">
        <v>85</v>
      </c>
      <c r="M340">
        <v>38400</v>
      </c>
      <c r="N340" s="27">
        <f>PI()*(INDEX(Schedule!$A$1:$N$2000, MATCH($C340, VAV_Schedule_5_21[[#All],[UNIT TAG]], FALSE), 4)/2/12)^2</f>
        <v>0.3490658503988659</v>
      </c>
      <c r="O340" s="27">
        <f>INDEX(Schedule!$A$1:$N$2000, MATCH($C340, VAV_Schedule_5_21[[#All],[UNIT TAG]], FALSE), 4)</f>
        <v>8</v>
      </c>
      <c r="P340">
        <v>338.63</v>
      </c>
      <c r="Q340" s="27">
        <f>INDEX(Schedule!$A$1:$N$2000, MATCH($C340, VAV_Schedule_5_21[[#All],[UNIT TAG]], FALSE), 5)</f>
        <v>700</v>
      </c>
      <c r="R340" s="27">
        <f>INDEX(Schedule!$A$1:$N$2000, MATCH($C340, VAV_Schedule_5_21[[#All],[UNIT TAG]], FALSE), 6)</f>
        <v>140</v>
      </c>
      <c r="S340" s="27">
        <f>INDEX(Schedule!$A$1:$N$2000, MATCH($C340, VAV_Schedule_5_21[[#All],[UNIT TAG]], FALSE), 5)</f>
        <v>700</v>
      </c>
      <c r="T340" s="27">
        <f>INDEX(Schedule!$A$1:$N$2000, MATCH($C340, VAV_Schedule_5_21[[#All],[UNIT TAG]], FALSE), 6)</f>
        <v>140</v>
      </c>
      <c r="U340" s="27">
        <f>INDEX(Schedule!$A$1:$N$2000, MATCH($C340, VAV_Schedule_5_21[[#All],[UNIT TAG]], FALSE), 5)</f>
        <v>700</v>
      </c>
      <c r="V340" s="27">
        <f>INDEX(Schedule!$A$1:$N$2000, MATCH($C340, VAV_Schedule_5_21[[#All],[UNIT TAG]], FALSE), 6)</f>
        <v>140</v>
      </c>
      <c r="W340" s="27">
        <f>INDEX(Schedule!$A$1:$N$2000, MATCH($C340, VAV_Schedule_5_21[[#All],[UNIT TAG]], FALSE), 6)</f>
        <v>140</v>
      </c>
      <c r="X340" s="27">
        <f>INDEX(Schedule!$A$1:$N$2000, MATCH($C340, VAV_Schedule_5_21[[#All],[UNIT TAG]], FALSE), 6)</f>
        <v>140</v>
      </c>
      <c r="Y340" s="27">
        <f>INDEX(Schedule!$A$1:$N$2000, MATCH($C340, VAV_Schedule_5_21[[#All],[UNIT TAG]], FALSE), 6)</f>
        <v>140</v>
      </c>
      <c r="Z340" s="27">
        <f>INDEX(Schedule!$A$1:$N$2000, MATCH($C340, VAV_Schedule_5_21[[#All],[UNIT TAG]], FALSE), 6)</f>
        <v>140</v>
      </c>
      <c r="AA340" s="27">
        <v>1000</v>
      </c>
      <c r="AB340" s="27">
        <v>1100</v>
      </c>
      <c r="AC340">
        <v>1400</v>
      </c>
      <c r="AD340" s="29" t="str">
        <f>IF(INDEX(Schedule!$A$1:$N$2000, MATCH($C340, VAV_Schedule_5_21[[#All],[UNIT TAG]], FALSE), 7)="-", 0, INDEX(Schedule!$A$1:$N$2000, MATCH($C340, VAV_Schedule_5_21[[#All],[UNIT TAG]], FALSE), 7))</f>
        <v>6</v>
      </c>
      <c r="AE340" t="str">
        <f>"B_01'" &amp; "Flr_0" &amp; INDEX(Joined!$A$3:$M$2000, MATCH($A340, Joined!$I$3:$I$2000, FALSE), 8)</f>
        <v>B_01'Flr_08</v>
      </c>
      <c r="AF340" t="str">
        <f>"R_" &amp; INDEX(Joined!$A$3:$M$2000, MATCH($A340, Joined!$I$3:$I$2000, FALSE), 7)</f>
        <v>R_VAV-8W-38</v>
      </c>
      <c r="AG340" t="str">
        <f>"B_01'" &amp; "Flr_0" &amp; INDEX(Joined!$A$3:$M$2000, MATCH($A340, Joined!$I$3:$I$2000, FALSE), 8)</f>
        <v>B_01'Flr_08</v>
      </c>
      <c r="AH340" t="str">
        <f>INDEX(Joined!$A$3:$M$2000, MATCH($A340, Joined!$I$3:$I$2000, FALSE), 7)</f>
        <v>VAV-8W-38</v>
      </c>
      <c r="AI340" t="s">
        <v>1668</v>
      </c>
    </row>
    <row r="341" spans="1:35" x14ac:dyDescent="0.2">
      <c r="A341" t="s">
        <v>830</v>
      </c>
      <c r="B341" t="str">
        <f>"B_01'" &amp; "Flr_0" &amp; INDEX(Joined!$A$3:$M$2000, MATCH($A341, Joined!$I$3:$I$2000, FALSE), 8)</f>
        <v>B_01'Flr_08</v>
      </c>
      <c r="C341" t="str">
        <f>INDEX(Joined!$A$3:$M$2000, MATCH($A341, Joined!$I$3:$I$2000, FALSE), 7)</f>
        <v>VAV-8W-39</v>
      </c>
      <c r="D341">
        <f>INDEX(Joined!$A$3:$M$2000, MATCH($A341, Joined!$I$3:$I$2000, FALSE), 5)</f>
        <v>152111</v>
      </c>
      <c r="E341" t="str">
        <f>INDEX(Joined!$A$3:$M$2000, MATCH($A341, Joined!$I$3:$I$2000, FALSE), 7)</f>
        <v>VAV-8W-39</v>
      </c>
      <c r="F341" t="s">
        <v>38</v>
      </c>
      <c r="G341" t="str">
        <f>INDEX(Schedule!$Q$2:$R$7, MATCH(ABT!$H341,Schedule!$Q$2:$Q$7, 0), 2)</f>
        <v>15010_DXR_VAV_DXR2M12</v>
      </c>
      <c r="H341">
        <f>INDEX(Joined!$A$3:$M$2000, MATCH($A341, Joined!$I$3:$I$2000, FALSE), 6)</f>
        <v>15010</v>
      </c>
      <c r="I341" t="str">
        <f>INDEX(Joined!$A$3:$M$2000, MATCH($A341, Joined!$I$3:$I$2000, FALSE), 4)</f>
        <v>521</v>
      </c>
      <c r="J341" t="b">
        <v>0</v>
      </c>
      <c r="K341">
        <f>INDEX(Joined!$A$3:$M$2000, MATCH($A341, Joined!$I$3:$I$2000, FALSE), 3)</f>
        <v>11</v>
      </c>
      <c r="L341">
        <v>85</v>
      </c>
      <c r="M341">
        <v>38400</v>
      </c>
      <c r="N341" s="27">
        <f>PI()*(INDEX(Schedule!$A$1:$N$2000, MATCH($C341, VAV_Schedule_5_21[[#All],[UNIT TAG]], FALSE), 4)/2/12)^2</f>
        <v>0.78539816339744828</v>
      </c>
      <c r="O341" s="27">
        <f>INDEX(Schedule!$A$1:$N$2000, MATCH($C341, VAV_Schedule_5_21[[#All],[UNIT TAG]], FALSE), 4)</f>
        <v>12</v>
      </c>
      <c r="P341">
        <v>339.63</v>
      </c>
      <c r="Q341" s="27">
        <f>INDEX(Schedule!$A$1:$N$2000, MATCH($C341, VAV_Schedule_5_21[[#All],[UNIT TAG]], FALSE), 5)</f>
        <v>1140</v>
      </c>
      <c r="R341" s="27">
        <f>INDEX(Schedule!$A$1:$N$2000, MATCH($C341, VAV_Schedule_5_21[[#All],[UNIT TAG]], FALSE), 6)</f>
        <v>230</v>
      </c>
      <c r="S341" s="27">
        <f>INDEX(Schedule!$A$1:$N$2000, MATCH($C341, VAV_Schedule_5_21[[#All],[UNIT TAG]], FALSE), 5)</f>
        <v>1140</v>
      </c>
      <c r="T341" s="27">
        <f>INDEX(Schedule!$A$1:$N$2000, MATCH($C341, VAV_Schedule_5_21[[#All],[UNIT TAG]], FALSE), 6)</f>
        <v>230</v>
      </c>
      <c r="U341" s="27">
        <f>INDEX(Schedule!$A$1:$N$2000, MATCH($C341, VAV_Schedule_5_21[[#All],[UNIT TAG]], FALSE), 5)</f>
        <v>1140</v>
      </c>
      <c r="V341" s="27">
        <f>INDEX(Schedule!$A$1:$N$2000, MATCH($C341, VAV_Schedule_5_21[[#All],[UNIT TAG]], FALSE), 6)</f>
        <v>230</v>
      </c>
      <c r="W341" s="27">
        <f>INDEX(Schedule!$A$1:$N$2000, MATCH($C341, VAV_Schedule_5_21[[#All],[UNIT TAG]], FALSE), 6)</f>
        <v>230</v>
      </c>
      <c r="X341" s="27">
        <f>INDEX(Schedule!$A$1:$N$2000, MATCH($C341, VAV_Schedule_5_21[[#All],[UNIT TAG]], FALSE), 6)</f>
        <v>230</v>
      </c>
      <c r="Y341" s="27">
        <f>INDEX(Schedule!$A$1:$N$2000, MATCH($C341, VAV_Schedule_5_21[[#All],[UNIT TAG]], FALSE), 6)</f>
        <v>230</v>
      </c>
      <c r="Z341" s="27">
        <f>INDEX(Schedule!$A$1:$N$2000, MATCH($C341, VAV_Schedule_5_21[[#All],[UNIT TAG]], FALSE), 6)</f>
        <v>230</v>
      </c>
      <c r="AA341" s="27">
        <v>1000</v>
      </c>
      <c r="AB341" s="27">
        <v>1100</v>
      </c>
      <c r="AC341">
        <v>1400</v>
      </c>
      <c r="AD341" s="29">
        <f>IF(INDEX(Schedule!$A$1:$N$2000, MATCH($C341, VAV_Schedule_5_21[[#All],[UNIT TAG]], FALSE), 7)="-", 0, INDEX(Schedule!$A$1:$N$2000, MATCH($C341, VAV_Schedule_5_21[[#All],[UNIT TAG]], FALSE), 7))</f>
        <v>0</v>
      </c>
      <c r="AE341" t="str">
        <f>"B_01'" &amp; "Flr_0" &amp; INDEX(Joined!$A$3:$M$2000, MATCH($A341, Joined!$I$3:$I$2000, FALSE), 8)</f>
        <v>B_01'Flr_08</v>
      </c>
      <c r="AF341" t="str">
        <f>"R_" &amp; INDEX(Joined!$A$3:$M$2000, MATCH($A341, Joined!$I$3:$I$2000, FALSE), 7)</f>
        <v>R_VAV-8W-39</v>
      </c>
      <c r="AG341" t="str">
        <f>"B_01'" &amp; "Flr_0" &amp; INDEX(Joined!$A$3:$M$2000, MATCH($A341, Joined!$I$3:$I$2000, FALSE), 8)</f>
        <v>B_01'Flr_08</v>
      </c>
      <c r="AH341" t="str">
        <f>INDEX(Joined!$A$3:$M$2000, MATCH($A341, Joined!$I$3:$I$2000, FALSE), 7)</f>
        <v>VAV-8W-39</v>
      </c>
      <c r="AI341" t="s">
        <v>1669</v>
      </c>
    </row>
    <row r="342" spans="1:35" x14ac:dyDescent="0.2">
      <c r="A342" t="s">
        <v>794</v>
      </c>
      <c r="B342" t="str">
        <f>"B_01'" &amp; "Flr_0" &amp; INDEX(Joined!$A$3:$M$2000, MATCH($A342, Joined!$I$3:$I$2000, FALSE), 8)</f>
        <v>B_01'Flr_08</v>
      </c>
      <c r="C342" t="str">
        <f>INDEX(Joined!$A$3:$M$2000, MATCH($A342, Joined!$I$3:$I$2000, FALSE), 7)</f>
        <v>VAV-8W-4</v>
      </c>
      <c r="D342">
        <f>INDEX(Joined!$A$3:$M$2000, MATCH($A342, Joined!$I$3:$I$2000, FALSE), 5)</f>
        <v>152104</v>
      </c>
      <c r="E342" t="str">
        <f>INDEX(Joined!$A$3:$M$2000, MATCH($A342, Joined!$I$3:$I$2000, FALSE), 7)</f>
        <v>VAV-8W-4</v>
      </c>
      <c r="F342" t="s">
        <v>38</v>
      </c>
      <c r="G342" t="str">
        <f>INDEX(Schedule!$Q$2:$R$7, MATCH(ABT!$H342,Schedule!$Q$2:$Q$7, 0), 2)</f>
        <v>15011_DXR_VAV_DXR2M12</v>
      </c>
      <c r="H342">
        <f>INDEX(Joined!$A$3:$M$2000, MATCH($A342, Joined!$I$3:$I$2000, FALSE), 6)</f>
        <v>15011</v>
      </c>
      <c r="I342" t="str">
        <f>INDEX(Joined!$A$3:$M$2000, MATCH($A342, Joined!$I$3:$I$2000, FALSE), 4)</f>
        <v>521</v>
      </c>
      <c r="J342" t="b">
        <v>0</v>
      </c>
      <c r="K342">
        <f>INDEX(Joined!$A$3:$M$2000, MATCH($A342, Joined!$I$3:$I$2000, FALSE), 3)</f>
        <v>4</v>
      </c>
      <c r="L342">
        <v>85</v>
      </c>
      <c r="M342">
        <v>38400</v>
      </c>
      <c r="N342" s="27">
        <f>PI()*(INDEX(Schedule!$A$1:$N$2000, MATCH($C342, VAV_Schedule_5_21[[#All],[UNIT TAG]], FALSE), 4)/2/12)^2</f>
        <v>0.54541539124822802</v>
      </c>
      <c r="O342" s="27">
        <f>INDEX(Schedule!$A$1:$N$2000, MATCH($C342, VAV_Schedule_5_21[[#All],[UNIT TAG]], FALSE), 4)</f>
        <v>10</v>
      </c>
      <c r="P342">
        <v>340.63</v>
      </c>
      <c r="Q342" s="27">
        <f>INDEX(Schedule!$A$1:$N$2000, MATCH($C342, VAV_Schedule_5_21[[#All],[UNIT TAG]], FALSE), 5)</f>
        <v>840</v>
      </c>
      <c r="R342" s="27">
        <f>INDEX(Schedule!$A$1:$N$2000, MATCH($C342, VAV_Schedule_5_21[[#All],[UNIT TAG]], FALSE), 6)</f>
        <v>170</v>
      </c>
      <c r="S342" s="27">
        <f>INDEX(Schedule!$A$1:$N$2000, MATCH($C342, VAV_Schedule_5_21[[#All],[UNIT TAG]], FALSE), 5)</f>
        <v>840</v>
      </c>
      <c r="T342" s="27">
        <f>INDEX(Schedule!$A$1:$N$2000, MATCH($C342, VAV_Schedule_5_21[[#All],[UNIT TAG]], FALSE), 6)</f>
        <v>170</v>
      </c>
      <c r="U342" s="27">
        <f>INDEX(Schedule!$A$1:$N$2000, MATCH($C342, VAV_Schedule_5_21[[#All],[UNIT TAG]], FALSE), 5)</f>
        <v>840</v>
      </c>
      <c r="V342" s="27">
        <f>INDEX(Schedule!$A$1:$N$2000, MATCH($C342, VAV_Schedule_5_21[[#All],[UNIT TAG]], FALSE), 6)</f>
        <v>170</v>
      </c>
      <c r="W342" s="27">
        <f>INDEX(Schedule!$A$1:$N$2000, MATCH($C342, VAV_Schedule_5_21[[#All],[UNIT TAG]], FALSE), 6)</f>
        <v>170</v>
      </c>
      <c r="X342" s="27">
        <f>INDEX(Schedule!$A$1:$N$2000, MATCH($C342, VAV_Schedule_5_21[[#All],[UNIT TAG]], FALSE), 6)</f>
        <v>170</v>
      </c>
      <c r="Y342" s="27">
        <f>INDEX(Schedule!$A$1:$N$2000, MATCH($C342, VAV_Schedule_5_21[[#All],[UNIT TAG]], FALSE), 6)</f>
        <v>170</v>
      </c>
      <c r="Z342" s="27">
        <f>INDEX(Schedule!$A$1:$N$2000, MATCH($C342, VAV_Schedule_5_21[[#All],[UNIT TAG]], FALSE), 6)</f>
        <v>170</v>
      </c>
      <c r="AA342" s="27">
        <v>1000</v>
      </c>
      <c r="AB342" s="27">
        <v>1100</v>
      </c>
      <c r="AC342">
        <v>1400</v>
      </c>
      <c r="AD342" s="29" t="str">
        <f>IF(INDEX(Schedule!$A$1:$N$2000, MATCH($C342, VAV_Schedule_5_21[[#All],[UNIT TAG]], FALSE), 7)="-", 0, INDEX(Schedule!$A$1:$N$2000, MATCH($C342, VAV_Schedule_5_21[[#All],[UNIT TAG]], FALSE), 7))</f>
        <v>6</v>
      </c>
      <c r="AE342" t="str">
        <f>"B_01'" &amp; "Flr_0" &amp; INDEX(Joined!$A$3:$M$2000, MATCH($A342, Joined!$I$3:$I$2000, FALSE), 8)</f>
        <v>B_01'Flr_08</v>
      </c>
      <c r="AF342" t="str">
        <f>"R_" &amp; INDEX(Joined!$A$3:$M$2000, MATCH($A342, Joined!$I$3:$I$2000, FALSE), 7)</f>
        <v>R_VAV-8W-4</v>
      </c>
      <c r="AG342" t="str">
        <f>"B_01'" &amp; "Flr_0" &amp; INDEX(Joined!$A$3:$M$2000, MATCH($A342, Joined!$I$3:$I$2000, FALSE), 8)</f>
        <v>B_01'Flr_08</v>
      </c>
      <c r="AH342" t="str">
        <f>INDEX(Joined!$A$3:$M$2000, MATCH($A342, Joined!$I$3:$I$2000, FALSE), 7)</f>
        <v>VAV-8W-4</v>
      </c>
      <c r="AI342" t="s">
        <v>1670</v>
      </c>
    </row>
    <row r="343" spans="1:35" x14ac:dyDescent="0.2">
      <c r="A343" t="s">
        <v>831</v>
      </c>
      <c r="B343" t="str">
        <f>"B_01'" &amp; "Flr_0" &amp; INDEX(Joined!$A$3:$M$2000, MATCH($A343, Joined!$I$3:$I$2000, FALSE), 8)</f>
        <v>B_01'Flr_08</v>
      </c>
      <c r="C343" t="str">
        <f>INDEX(Joined!$A$3:$M$2000, MATCH($A343, Joined!$I$3:$I$2000, FALSE), 7)</f>
        <v>VAV-8W-40</v>
      </c>
      <c r="D343">
        <f>INDEX(Joined!$A$3:$M$2000, MATCH($A343, Joined!$I$3:$I$2000, FALSE), 5)</f>
        <v>152112</v>
      </c>
      <c r="E343" t="str">
        <f>INDEX(Joined!$A$3:$M$2000, MATCH($A343, Joined!$I$3:$I$2000, FALSE), 7)</f>
        <v>VAV-8W-40</v>
      </c>
      <c r="F343" t="s">
        <v>38</v>
      </c>
      <c r="G343" t="str">
        <f>INDEX(Schedule!$Q$2:$R$7, MATCH(ABT!$H343,Schedule!$Q$2:$Q$7, 0), 2)</f>
        <v>15010_DXR_VAV_DXR2M12</v>
      </c>
      <c r="H343">
        <f>INDEX(Joined!$A$3:$M$2000, MATCH($A343, Joined!$I$3:$I$2000, FALSE), 6)</f>
        <v>15010</v>
      </c>
      <c r="I343" t="str">
        <f>INDEX(Joined!$A$3:$M$2000, MATCH($A343, Joined!$I$3:$I$2000, FALSE), 4)</f>
        <v>521</v>
      </c>
      <c r="J343" t="b">
        <v>0</v>
      </c>
      <c r="K343">
        <f>INDEX(Joined!$A$3:$M$2000, MATCH($A343, Joined!$I$3:$I$2000, FALSE), 3)</f>
        <v>12</v>
      </c>
      <c r="L343">
        <v>85</v>
      </c>
      <c r="M343">
        <v>38400</v>
      </c>
      <c r="N343" s="27">
        <f>PI()*(INDEX(Schedule!$A$1:$N$2000, MATCH($C343, VAV_Schedule_5_21[[#All],[UNIT TAG]], FALSE), 4)/2/12)^2</f>
        <v>0.54541539124822802</v>
      </c>
      <c r="O343" s="27">
        <f>INDEX(Schedule!$A$1:$N$2000, MATCH($C343, VAV_Schedule_5_21[[#All],[UNIT TAG]], FALSE), 4)</f>
        <v>10</v>
      </c>
      <c r="P343">
        <v>341.63</v>
      </c>
      <c r="Q343" s="27">
        <f>INDEX(Schedule!$A$1:$N$2000, MATCH($C343, VAV_Schedule_5_21[[#All],[UNIT TAG]], FALSE), 5)</f>
        <v>1040</v>
      </c>
      <c r="R343" s="27">
        <f>INDEX(Schedule!$A$1:$N$2000, MATCH($C343, VAV_Schedule_5_21[[#All],[UNIT TAG]], FALSE), 6)</f>
        <v>210</v>
      </c>
      <c r="S343" s="27">
        <f>INDEX(Schedule!$A$1:$N$2000, MATCH($C343, VAV_Schedule_5_21[[#All],[UNIT TAG]], FALSE), 5)</f>
        <v>1040</v>
      </c>
      <c r="T343" s="27">
        <f>INDEX(Schedule!$A$1:$N$2000, MATCH($C343, VAV_Schedule_5_21[[#All],[UNIT TAG]], FALSE), 6)</f>
        <v>210</v>
      </c>
      <c r="U343" s="27">
        <f>INDEX(Schedule!$A$1:$N$2000, MATCH($C343, VAV_Schedule_5_21[[#All],[UNIT TAG]], FALSE), 5)</f>
        <v>1040</v>
      </c>
      <c r="V343" s="27">
        <f>INDEX(Schedule!$A$1:$N$2000, MATCH($C343, VAV_Schedule_5_21[[#All],[UNIT TAG]], FALSE), 6)</f>
        <v>210</v>
      </c>
      <c r="W343" s="27">
        <f>INDEX(Schedule!$A$1:$N$2000, MATCH($C343, VAV_Schedule_5_21[[#All],[UNIT TAG]], FALSE), 6)</f>
        <v>210</v>
      </c>
      <c r="X343" s="27">
        <f>INDEX(Schedule!$A$1:$N$2000, MATCH($C343, VAV_Schedule_5_21[[#All],[UNIT TAG]], FALSE), 6)</f>
        <v>210</v>
      </c>
      <c r="Y343" s="27">
        <f>INDEX(Schedule!$A$1:$N$2000, MATCH($C343, VAV_Schedule_5_21[[#All],[UNIT TAG]], FALSE), 6)</f>
        <v>210</v>
      </c>
      <c r="Z343" s="27">
        <f>INDEX(Schedule!$A$1:$N$2000, MATCH($C343, VAV_Schedule_5_21[[#All],[UNIT TAG]], FALSE), 6)</f>
        <v>210</v>
      </c>
      <c r="AA343" s="27">
        <v>1000</v>
      </c>
      <c r="AB343" s="27">
        <v>1100</v>
      </c>
      <c r="AC343">
        <v>1400</v>
      </c>
      <c r="AD343" s="29">
        <f>IF(INDEX(Schedule!$A$1:$N$2000, MATCH($C343, VAV_Schedule_5_21[[#All],[UNIT TAG]], FALSE), 7)="-", 0, INDEX(Schedule!$A$1:$N$2000, MATCH($C343, VAV_Schedule_5_21[[#All],[UNIT TAG]], FALSE), 7))</f>
        <v>0</v>
      </c>
      <c r="AE343" t="str">
        <f>"B_01'" &amp; "Flr_0" &amp; INDEX(Joined!$A$3:$M$2000, MATCH($A343, Joined!$I$3:$I$2000, FALSE), 8)</f>
        <v>B_01'Flr_08</v>
      </c>
      <c r="AF343" t="str">
        <f>"R_" &amp; INDEX(Joined!$A$3:$M$2000, MATCH($A343, Joined!$I$3:$I$2000, FALSE), 7)</f>
        <v>R_VAV-8W-40</v>
      </c>
      <c r="AG343" t="str">
        <f>"B_01'" &amp; "Flr_0" &amp; INDEX(Joined!$A$3:$M$2000, MATCH($A343, Joined!$I$3:$I$2000, FALSE), 8)</f>
        <v>B_01'Flr_08</v>
      </c>
      <c r="AH343" t="str">
        <f>INDEX(Joined!$A$3:$M$2000, MATCH($A343, Joined!$I$3:$I$2000, FALSE), 7)</f>
        <v>VAV-8W-40</v>
      </c>
      <c r="AI343" t="s">
        <v>1671</v>
      </c>
    </row>
    <row r="344" spans="1:35" x14ac:dyDescent="0.2">
      <c r="A344" t="s">
        <v>832</v>
      </c>
      <c r="B344" t="str">
        <f>"B_01'" &amp; "Flr_0" &amp; INDEX(Joined!$A$3:$M$2000, MATCH($A344, Joined!$I$3:$I$2000, FALSE), 8)</f>
        <v>B_01'Flr_08</v>
      </c>
      <c r="C344" t="str">
        <f>INDEX(Joined!$A$3:$M$2000, MATCH($A344, Joined!$I$3:$I$2000, FALSE), 7)</f>
        <v>VAV-8W-41</v>
      </c>
      <c r="D344">
        <f>INDEX(Joined!$A$3:$M$2000, MATCH($A344, Joined!$I$3:$I$2000, FALSE), 5)</f>
        <v>152113</v>
      </c>
      <c r="E344" t="str">
        <f>INDEX(Joined!$A$3:$M$2000, MATCH($A344, Joined!$I$3:$I$2000, FALSE), 7)</f>
        <v>VAV-8W-41</v>
      </c>
      <c r="F344" t="s">
        <v>38</v>
      </c>
      <c r="G344" t="str">
        <f>INDEX(Schedule!$Q$2:$R$7, MATCH(ABT!$H344,Schedule!$Q$2:$Q$7, 0), 2)</f>
        <v>15010_DXR_VAV_DXR2M12</v>
      </c>
      <c r="H344">
        <f>INDEX(Joined!$A$3:$M$2000, MATCH($A344, Joined!$I$3:$I$2000, FALSE), 6)</f>
        <v>15010</v>
      </c>
      <c r="I344" t="str">
        <f>INDEX(Joined!$A$3:$M$2000, MATCH($A344, Joined!$I$3:$I$2000, FALSE), 4)</f>
        <v>521</v>
      </c>
      <c r="J344" t="b">
        <v>0</v>
      </c>
      <c r="K344">
        <f>INDEX(Joined!$A$3:$M$2000, MATCH($A344, Joined!$I$3:$I$2000, FALSE), 3)</f>
        <v>13</v>
      </c>
      <c r="L344">
        <v>85</v>
      </c>
      <c r="M344">
        <v>38400</v>
      </c>
      <c r="N344" s="27">
        <f>PI()*(INDEX(Schedule!$A$1:$N$2000, MATCH($C344, VAV_Schedule_5_21[[#All],[UNIT TAG]], FALSE), 4)/2/12)^2</f>
        <v>0.19634954084936207</v>
      </c>
      <c r="O344" s="27">
        <f>INDEX(Schedule!$A$1:$N$2000, MATCH($C344, VAV_Schedule_5_21[[#All],[UNIT TAG]], FALSE), 4)</f>
        <v>6</v>
      </c>
      <c r="P344">
        <v>342.63</v>
      </c>
      <c r="Q344" s="27">
        <f>INDEX(Schedule!$A$1:$N$2000, MATCH($C344, VAV_Schedule_5_21[[#All],[UNIT TAG]], FALSE), 5)</f>
        <v>200</v>
      </c>
      <c r="R344" s="27">
        <f>INDEX(Schedule!$A$1:$N$2000, MATCH($C344, VAV_Schedule_5_21[[#All],[UNIT TAG]], FALSE), 6)</f>
        <v>40</v>
      </c>
      <c r="S344" s="27">
        <f>INDEX(Schedule!$A$1:$N$2000, MATCH($C344, VAV_Schedule_5_21[[#All],[UNIT TAG]], FALSE), 5)</f>
        <v>200</v>
      </c>
      <c r="T344" s="27">
        <f>INDEX(Schedule!$A$1:$N$2000, MATCH($C344, VAV_Schedule_5_21[[#All],[UNIT TAG]], FALSE), 6)</f>
        <v>40</v>
      </c>
      <c r="U344" s="27">
        <f>INDEX(Schedule!$A$1:$N$2000, MATCH($C344, VAV_Schedule_5_21[[#All],[UNIT TAG]], FALSE), 5)</f>
        <v>200</v>
      </c>
      <c r="V344" s="27">
        <f>INDEX(Schedule!$A$1:$N$2000, MATCH($C344, VAV_Schedule_5_21[[#All],[UNIT TAG]], FALSE), 6)</f>
        <v>40</v>
      </c>
      <c r="W344" s="27">
        <f>INDEX(Schedule!$A$1:$N$2000, MATCH($C344, VAV_Schedule_5_21[[#All],[UNIT TAG]], FALSE), 6)</f>
        <v>40</v>
      </c>
      <c r="X344" s="27">
        <f>INDEX(Schedule!$A$1:$N$2000, MATCH($C344, VAV_Schedule_5_21[[#All],[UNIT TAG]], FALSE), 6)</f>
        <v>40</v>
      </c>
      <c r="Y344" s="27">
        <f>INDEX(Schedule!$A$1:$N$2000, MATCH($C344, VAV_Schedule_5_21[[#All],[UNIT TAG]], FALSE), 6)</f>
        <v>40</v>
      </c>
      <c r="Z344" s="27">
        <f>INDEX(Schedule!$A$1:$N$2000, MATCH($C344, VAV_Schedule_5_21[[#All],[UNIT TAG]], FALSE), 6)</f>
        <v>40</v>
      </c>
      <c r="AA344" s="27">
        <v>1000</v>
      </c>
      <c r="AB344" s="27">
        <v>1100</v>
      </c>
      <c r="AC344">
        <v>1400</v>
      </c>
      <c r="AD344" s="29">
        <f>IF(INDEX(Schedule!$A$1:$N$2000, MATCH($C344, VAV_Schedule_5_21[[#All],[UNIT TAG]], FALSE), 7)="-", 0, INDEX(Schedule!$A$1:$N$2000, MATCH($C344, VAV_Schedule_5_21[[#All],[UNIT TAG]], FALSE), 7))</f>
        <v>0</v>
      </c>
      <c r="AE344" t="str">
        <f>"B_01'" &amp; "Flr_0" &amp; INDEX(Joined!$A$3:$M$2000, MATCH($A344, Joined!$I$3:$I$2000, FALSE), 8)</f>
        <v>B_01'Flr_08</v>
      </c>
      <c r="AF344" t="str">
        <f>"R_" &amp; INDEX(Joined!$A$3:$M$2000, MATCH($A344, Joined!$I$3:$I$2000, FALSE), 7)</f>
        <v>R_VAV-8W-41</v>
      </c>
      <c r="AG344" t="str">
        <f>"B_01'" &amp; "Flr_0" &amp; INDEX(Joined!$A$3:$M$2000, MATCH($A344, Joined!$I$3:$I$2000, FALSE), 8)</f>
        <v>B_01'Flr_08</v>
      </c>
      <c r="AH344" t="str">
        <f>INDEX(Joined!$A$3:$M$2000, MATCH($A344, Joined!$I$3:$I$2000, FALSE), 7)</f>
        <v>VAV-8W-41</v>
      </c>
      <c r="AI344" t="s">
        <v>1672</v>
      </c>
    </row>
    <row r="345" spans="1:35" x14ac:dyDescent="0.2">
      <c r="A345" t="s">
        <v>833</v>
      </c>
      <c r="B345" t="str">
        <f>"B_01'" &amp; "Flr_0" &amp; INDEX(Joined!$A$3:$M$2000, MATCH($A345, Joined!$I$3:$I$2000, FALSE), 8)</f>
        <v>B_01'Flr_08</v>
      </c>
      <c r="C345" t="str">
        <f>INDEX(Joined!$A$3:$M$2000, MATCH($A345, Joined!$I$3:$I$2000, FALSE), 7)</f>
        <v>VAV-8W-42</v>
      </c>
      <c r="D345">
        <f>INDEX(Joined!$A$3:$M$2000, MATCH($A345, Joined!$I$3:$I$2000, FALSE), 5)</f>
        <v>152114</v>
      </c>
      <c r="E345" t="str">
        <f>INDEX(Joined!$A$3:$M$2000, MATCH($A345, Joined!$I$3:$I$2000, FALSE), 7)</f>
        <v>VAV-8W-42</v>
      </c>
      <c r="F345" t="s">
        <v>38</v>
      </c>
      <c r="G345" t="str">
        <f>INDEX(Schedule!$Q$2:$R$7, MATCH(ABT!$H345,Schedule!$Q$2:$Q$7, 0), 2)</f>
        <v>15011_DXR_VAV_DXR2M12</v>
      </c>
      <c r="H345">
        <f>INDEX(Joined!$A$3:$M$2000, MATCH($A345, Joined!$I$3:$I$2000, FALSE), 6)</f>
        <v>15011</v>
      </c>
      <c r="I345" t="str">
        <f>INDEX(Joined!$A$3:$M$2000, MATCH($A345, Joined!$I$3:$I$2000, FALSE), 4)</f>
        <v>521</v>
      </c>
      <c r="J345" t="b">
        <v>0</v>
      </c>
      <c r="K345">
        <f>INDEX(Joined!$A$3:$M$2000, MATCH($A345, Joined!$I$3:$I$2000, FALSE), 3)</f>
        <v>14</v>
      </c>
      <c r="L345">
        <v>85</v>
      </c>
      <c r="M345">
        <v>38400</v>
      </c>
      <c r="N345" s="27">
        <f>PI()*(INDEX(Schedule!$A$1:$N$2000, MATCH($C345, VAV_Schedule_5_21[[#All],[UNIT TAG]], FALSE), 4)/2/12)^2</f>
        <v>0.78539816339744828</v>
      </c>
      <c r="O345" s="27">
        <f>INDEX(Schedule!$A$1:$N$2000, MATCH($C345, VAV_Schedule_5_21[[#All],[UNIT TAG]], FALSE), 4)</f>
        <v>12</v>
      </c>
      <c r="P345">
        <v>343.63</v>
      </c>
      <c r="Q345" s="27">
        <f>INDEX(Schedule!$A$1:$N$2000, MATCH($C345, VAV_Schedule_5_21[[#All],[UNIT TAG]], FALSE), 5)</f>
        <v>1220</v>
      </c>
      <c r="R345" s="27">
        <f>INDEX(Schedule!$A$1:$N$2000, MATCH($C345, VAV_Schedule_5_21[[#All],[UNIT TAG]], FALSE), 6)</f>
        <v>245</v>
      </c>
      <c r="S345" s="27">
        <f>INDEX(Schedule!$A$1:$N$2000, MATCH($C345, VAV_Schedule_5_21[[#All],[UNIT TAG]], FALSE), 5)</f>
        <v>1220</v>
      </c>
      <c r="T345" s="27">
        <f>INDEX(Schedule!$A$1:$N$2000, MATCH($C345, VAV_Schedule_5_21[[#All],[UNIT TAG]], FALSE), 6)</f>
        <v>245</v>
      </c>
      <c r="U345" s="27">
        <f>INDEX(Schedule!$A$1:$N$2000, MATCH($C345, VAV_Schedule_5_21[[#All],[UNIT TAG]], FALSE), 5)</f>
        <v>1220</v>
      </c>
      <c r="V345" s="27">
        <f>INDEX(Schedule!$A$1:$N$2000, MATCH($C345, VAV_Schedule_5_21[[#All],[UNIT TAG]], FALSE), 6)</f>
        <v>245</v>
      </c>
      <c r="W345" s="27">
        <f>INDEX(Schedule!$A$1:$N$2000, MATCH($C345, VAV_Schedule_5_21[[#All],[UNIT TAG]], FALSE), 6)</f>
        <v>245</v>
      </c>
      <c r="X345" s="27">
        <f>INDEX(Schedule!$A$1:$N$2000, MATCH($C345, VAV_Schedule_5_21[[#All],[UNIT TAG]], FALSE), 6)</f>
        <v>245</v>
      </c>
      <c r="Y345" s="27">
        <f>INDEX(Schedule!$A$1:$N$2000, MATCH($C345, VAV_Schedule_5_21[[#All],[UNIT TAG]], FALSE), 6)</f>
        <v>245</v>
      </c>
      <c r="Z345" s="27">
        <f>INDEX(Schedule!$A$1:$N$2000, MATCH($C345, VAV_Schedule_5_21[[#All],[UNIT TAG]], FALSE), 6)</f>
        <v>245</v>
      </c>
      <c r="AA345" s="27">
        <v>1000</v>
      </c>
      <c r="AB345" s="27">
        <v>1100</v>
      </c>
      <c r="AC345">
        <v>1400</v>
      </c>
      <c r="AD345" s="29" t="str">
        <f>IF(INDEX(Schedule!$A$1:$N$2000, MATCH($C345, VAV_Schedule_5_21[[#All],[UNIT TAG]], FALSE), 7)="-", 0, INDEX(Schedule!$A$1:$N$2000, MATCH($C345, VAV_Schedule_5_21[[#All],[UNIT TAG]], FALSE), 7))</f>
        <v>7</v>
      </c>
      <c r="AE345" t="str">
        <f>"B_01'" &amp; "Flr_0" &amp; INDEX(Joined!$A$3:$M$2000, MATCH($A345, Joined!$I$3:$I$2000, FALSE), 8)</f>
        <v>B_01'Flr_08</v>
      </c>
      <c r="AF345" t="str">
        <f>"R_" &amp; INDEX(Joined!$A$3:$M$2000, MATCH($A345, Joined!$I$3:$I$2000, FALSE), 7)</f>
        <v>R_VAV-8W-42</v>
      </c>
      <c r="AG345" t="str">
        <f>"B_01'" &amp; "Flr_0" &amp; INDEX(Joined!$A$3:$M$2000, MATCH($A345, Joined!$I$3:$I$2000, FALSE), 8)</f>
        <v>B_01'Flr_08</v>
      </c>
      <c r="AH345" t="str">
        <f>INDEX(Joined!$A$3:$M$2000, MATCH($A345, Joined!$I$3:$I$2000, FALSE), 7)</f>
        <v>VAV-8W-42</v>
      </c>
      <c r="AI345" t="s">
        <v>1673</v>
      </c>
    </row>
    <row r="346" spans="1:35" x14ac:dyDescent="0.2">
      <c r="A346" t="s">
        <v>834</v>
      </c>
      <c r="B346" t="str">
        <f>"B_01'" &amp; "Flr_0" &amp; INDEX(Joined!$A$3:$M$2000, MATCH($A346, Joined!$I$3:$I$2000, FALSE), 8)</f>
        <v>B_01'Flr_08</v>
      </c>
      <c r="C346" t="str">
        <f>INDEX(Joined!$A$3:$M$2000, MATCH($A346, Joined!$I$3:$I$2000, FALSE), 7)</f>
        <v>VAV-8W-43</v>
      </c>
      <c r="D346">
        <f>INDEX(Joined!$A$3:$M$2000, MATCH($A346, Joined!$I$3:$I$2000, FALSE), 5)</f>
        <v>152115</v>
      </c>
      <c r="E346" t="str">
        <f>INDEX(Joined!$A$3:$M$2000, MATCH($A346, Joined!$I$3:$I$2000, FALSE), 7)</f>
        <v>VAV-8W-43</v>
      </c>
      <c r="F346" t="s">
        <v>38</v>
      </c>
      <c r="G346" t="str">
        <f>INDEX(Schedule!$Q$2:$R$7, MATCH(ABT!$H346,Schedule!$Q$2:$Q$7, 0), 2)</f>
        <v>15011_DXR_VAV_DXR2M12</v>
      </c>
      <c r="H346">
        <f>INDEX(Joined!$A$3:$M$2000, MATCH($A346, Joined!$I$3:$I$2000, FALSE), 6)</f>
        <v>15011</v>
      </c>
      <c r="I346" t="str">
        <f>INDEX(Joined!$A$3:$M$2000, MATCH($A346, Joined!$I$3:$I$2000, FALSE), 4)</f>
        <v>521</v>
      </c>
      <c r="J346" t="b">
        <v>0</v>
      </c>
      <c r="K346">
        <f>INDEX(Joined!$A$3:$M$2000, MATCH($A346, Joined!$I$3:$I$2000, FALSE), 3)</f>
        <v>15</v>
      </c>
      <c r="L346">
        <v>85</v>
      </c>
      <c r="M346">
        <v>38400</v>
      </c>
      <c r="N346" s="27">
        <f>PI()*(INDEX(Schedule!$A$1:$N$2000, MATCH($C346, VAV_Schedule_5_21[[#All],[UNIT TAG]], FALSE), 4)/2/12)^2</f>
        <v>0.54541539124822802</v>
      </c>
      <c r="O346" s="27">
        <f>INDEX(Schedule!$A$1:$N$2000, MATCH($C346, VAV_Schedule_5_21[[#All],[UNIT TAG]], FALSE), 4)</f>
        <v>10</v>
      </c>
      <c r="P346">
        <v>344.63</v>
      </c>
      <c r="Q346" s="27">
        <f>INDEX(Schedule!$A$1:$N$2000, MATCH($C346, VAV_Schedule_5_21[[#All],[UNIT TAG]], FALSE), 5)</f>
        <v>960</v>
      </c>
      <c r="R346" s="27">
        <f>INDEX(Schedule!$A$1:$N$2000, MATCH($C346, VAV_Schedule_5_21[[#All],[UNIT TAG]], FALSE), 6)</f>
        <v>195</v>
      </c>
      <c r="S346" s="27">
        <f>INDEX(Schedule!$A$1:$N$2000, MATCH($C346, VAV_Schedule_5_21[[#All],[UNIT TAG]], FALSE), 5)</f>
        <v>960</v>
      </c>
      <c r="T346" s="27">
        <f>INDEX(Schedule!$A$1:$N$2000, MATCH($C346, VAV_Schedule_5_21[[#All],[UNIT TAG]], FALSE), 6)</f>
        <v>195</v>
      </c>
      <c r="U346" s="27">
        <f>INDEX(Schedule!$A$1:$N$2000, MATCH($C346, VAV_Schedule_5_21[[#All],[UNIT TAG]], FALSE), 5)</f>
        <v>960</v>
      </c>
      <c r="V346" s="27">
        <f>INDEX(Schedule!$A$1:$N$2000, MATCH($C346, VAV_Schedule_5_21[[#All],[UNIT TAG]], FALSE), 6)</f>
        <v>195</v>
      </c>
      <c r="W346" s="27">
        <f>INDEX(Schedule!$A$1:$N$2000, MATCH($C346, VAV_Schedule_5_21[[#All],[UNIT TAG]], FALSE), 6)</f>
        <v>195</v>
      </c>
      <c r="X346" s="27">
        <f>INDEX(Schedule!$A$1:$N$2000, MATCH($C346, VAV_Schedule_5_21[[#All],[UNIT TAG]], FALSE), 6)</f>
        <v>195</v>
      </c>
      <c r="Y346" s="27">
        <f>INDEX(Schedule!$A$1:$N$2000, MATCH($C346, VAV_Schedule_5_21[[#All],[UNIT TAG]], FALSE), 6)</f>
        <v>195</v>
      </c>
      <c r="Z346" s="27">
        <f>INDEX(Schedule!$A$1:$N$2000, MATCH($C346, VAV_Schedule_5_21[[#All],[UNIT TAG]], FALSE), 6)</f>
        <v>195</v>
      </c>
      <c r="AA346" s="27">
        <v>1000</v>
      </c>
      <c r="AB346" s="27">
        <v>1100</v>
      </c>
      <c r="AC346">
        <v>1400</v>
      </c>
      <c r="AD346" s="29" t="str">
        <f>IF(INDEX(Schedule!$A$1:$N$2000, MATCH($C346, VAV_Schedule_5_21[[#All],[UNIT TAG]], FALSE), 7)="-", 0, INDEX(Schedule!$A$1:$N$2000, MATCH($C346, VAV_Schedule_5_21[[#All],[UNIT TAG]], FALSE), 7))</f>
        <v>6</v>
      </c>
      <c r="AE346" t="str">
        <f>"B_01'" &amp; "Flr_0" &amp; INDEX(Joined!$A$3:$M$2000, MATCH($A346, Joined!$I$3:$I$2000, FALSE), 8)</f>
        <v>B_01'Flr_08</v>
      </c>
      <c r="AF346" t="str">
        <f>"R_" &amp; INDEX(Joined!$A$3:$M$2000, MATCH($A346, Joined!$I$3:$I$2000, FALSE), 7)</f>
        <v>R_VAV-8W-43</v>
      </c>
      <c r="AG346" t="str">
        <f>"B_01'" &amp; "Flr_0" &amp; INDEX(Joined!$A$3:$M$2000, MATCH($A346, Joined!$I$3:$I$2000, FALSE), 8)</f>
        <v>B_01'Flr_08</v>
      </c>
      <c r="AH346" t="str">
        <f>INDEX(Joined!$A$3:$M$2000, MATCH($A346, Joined!$I$3:$I$2000, FALSE), 7)</f>
        <v>VAV-8W-43</v>
      </c>
      <c r="AI346" t="s">
        <v>1674</v>
      </c>
    </row>
    <row r="347" spans="1:35" x14ac:dyDescent="0.2">
      <c r="A347" t="s">
        <v>835</v>
      </c>
      <c r="B347" t="str">
        <f>"B_01'" &amp; "Flr_0" &amp; INDEX(Joined!$A$3:$M$2000, MATCH($A347, Joined!$I$3:$I$2000, FALSE), 8)</f>
        <v>B_01'Flr_08</v>
      </c>
      <c r="C347" t="str">
        <f>INDEX(Joined!$A$3:$M$2000, MATCH($A347, Joined!$I$3:$I$2000, FALSE), 7)</f>
        <v>VAV-8W-44</v>
      </c>
      <c r="D347">
        <f>INDEX(Joined!$A$3:$M$2000, MATCH($A347, Joined!$I$3:$I$2000, FALSE), 5)</f>
        <v>152116</v>
      </c>
      <c r="E347" t="str">
        <f>INDEX(Joined!$A$3:$M$2000, MATCH($A347, Joined!$I$3:$I$2000, FALSE), 7)</f>
        <v>VAV-8W-44</v>
      </c>
      <c r="F347" t="s">
        <v>38</v>
      </c>
      <c r="G347" t="str">
        <f>INDEX(Schedule!$Q$2:$R$7, MATCH(ABT!$H347,Schedule!$Q$2:$Q$7, 0), 2)</f>
        <v>15011_DXR_VAV_DXR2M12</v>
      </c>
      <c r="H347">
        <f>INDEX(Joined!$A$3:$M$2000, MATCH($A347, Joined!$I$3:$I$2000, FALSE), 6)</f>
        <v>15011</v>
      </c>
      <c r="I347" t="str">
        <f>INDEX(Joined!$A$3:$M$2000, MATCH($A347, Joined!$I$3:$I$2000, FALSE), 4)</f>
        <v>521</v>
      </c>
      <c r="J347" t="b">
        <v>0</v>
      </c>
      <c r="K347">
        <f>INDEX(Joined!$A$3:$M$2000, MATCH($A347, Joined!$I$3:$I$2000, FALSE), 3)</f>
        <v>16</v>
      </c>
      <c r="L347">
        <v>85</v>
      </c>
      <c r="M347">
        <v>38400</v>
      </c>
      <c r="N347" s="27">
        <f>PI()*(INDEX(Schedule!$A$1:$N$2000, MATCH($C347, VAV_Schedule_5_21[[#All],[UNIT TAG]], FALSE), 4)/2/12)^2</f>
        <v>0.78539816339744828</v>
      </c>
      <c r="O347" s="27">
        <f>INDEX(Schedule!$A$1:$N$2000, MATCH($C347, VAV_Schedule_5_21[[#All],[UNIT TAG]], FALSE), 4)</f>
        <v>12</v>
      </c>
      <c r="P347">
        <v>345.63</v>
      </c>
      <c r="Q347" s="27">
        <f>INDEX(Schedule!$A$1:$N$2000, MATCH($C347, VAV_Schedule_5_21[[#All],[UNIT TAG]], FALSE), 5)</f>
        <v>1220</v>
      </c>
      <c r="R347" s="27">
        <f>INDEX(Schedule!$A$1:$N$2000, MATCH($C347, VAV_Schedule_5_21[[#All],[UNIT TAG]], FALSE), 6)</f>
        <v>245</v>
      </c>
      <c r="S347" s="27">
        <f>INDEX(Schedule!$A$1:$N$2000, MATCH($C347, VAV_Schedule_5_21[[#All],[UNIT TAG]], FALSE), 5)</f>
        <v>1220</v>
      </c>
      <c r="T347" s="27">
        <f>INDEX(Schedule!$A$1:$N$2000, MATCH($C347, VAV_Schedule_5_21[[#All],[UNIT TAG]], FALSE), 6)</f>
        <v>245</v>
      </c>
      <c r="U347" s="27">
        <f>INDEX(Schedule!$A$1:$N$2000, MATCH($C347, VAV_Schedule_5_21[[#All],[UNIT TAG]], FALSE), 5)</f>
        <v>1220</v>
      </c>
      <c r="V347" s="27">
        <f>INDEX(Schedule!$A$1:$N$2000, MATCH($C347, VAV_Schedule_5_21[[#All],[UNIT TAG]], FALSE), 6)</f>
        <v>245</v>
      </c>
      <c r="W347" s="27">
        <f>INDEX(Schedule!$A$1:$N$2000, MATCH($C347, VAV_Schedule_5_21[[#All],[UNIT TAG]], FALSE), 6)</f>
        <v>245</v>
      </c>
      <c r="X347" s="27">
        <f>INDEX(Schedule!$A$1:$N$2000, MATCH($C347, VAV_Schedule_5_21[[#All],[UNIT TAG]], FALSE), 6)</f>
        <v>245</v>
      </c>
      <c r="Y347" s="27">
        <f>INDEX(Schedule!$A$1:$N$2000, MATCH($C347, VAV_Schedule_5_21[[#All],[UNIT TAG]], FALSE), 6)</f>
        <v>245</v>
      </c>
      <c r="Z347" s="27">
        <f>INDEX(Schedule!$A$1:$N$2000, MATCH($C347, VAV_Schedule_5_21[[#All],[UNIT TAG]], FALSE), 6)</f>
        <v>245</v>
      </c>
      <c r="AA347" s="27">
        <v>1000</v>
      </c>
      <c r="AB347" s="27">
        <v>1100</v>
      </c>
      <c r="AC347">
        <v>1400</v>
      </c>
      <c r="AD347" s="29" t="str">
        <f>IF(INDEX(Schedule!$A$1:$N$2000, MATCH($C347, VAV_Schedule_5_21[[#All],[UNIT TAG]], FALSE), 7)="-", 0, INDEX(Schedule!$A$1:$N$2000, MATCH($C347, VAV_Schedule_5_21[[#All],[UNIT TAG]], FALSE), 7))</f>
        <v>7</v>
      </c>
      <c r="AE347" t="str">
        <f>"B_01'" &amp; "Flr_0" &amp; INDEX(Joined!$A$3:$M$2000, MATCH($A347, Joined!$I$3:$I$2000, FALSE), 8)</f>
        <v>B_01'Flr_08</v>
      </c>
      <c r="AF347" t="str">
        <f>"R_" &amp; INDEX(Joined!$A$3:$M$2000, MATCH($A347, Joined!$I$3:$I$2000, FALSE), 7)</f>
        <v>R_VAV-8W-44</v>
      </c>
      <c r="AG347" t="str">
        <f>"B_01'" &amp; "Flr_0" &amp; INDEX(Joined!$A$3:$M$2000, MATCH($A347, Joined!$I$3:$I$2000, FALSE), 8)</f>
        <v>B_01'Flr_08</v>
      </c>
      <c r="AH347" t="str">
        <f>INDEX(Joined!$A$3:$M$2000, MATCH($A347, Joined!$I$3:$I$2000, FALSE), 7)</f>
        <v>VAV-8W-44</v>
      </c>
      <c r="AI347" t="s">
        <v>1675</v>
      </c>
    </row>
    <row r="348" spans="1:35" x14ac:dyDescent="0.2">
      <c r="A348" t="s">
        <v>836</v>
      </c>
      <c r="B348" t="str">
        <f>"B_01'" &amp; "Flr_0" &amp; INDEX(Joined!$A$3:$M$2000, MATCH($A348, Joined!$I$3:$I$2000, FALSE), 8)</f>
        <v>B_01'Flr_08</v>
      </c>
      <c r="C348" t="str">
        <f>INDEX(Joined!$A$3:$M$2000, MATCH($A348, Joined!$I$3:$I$2000, FALSE), 7)</f>
        <v>VAV-8W-45</v>
      </c>
      <c r="D348">
        <f>INDEX(Joined!$A$3:$M$2000, MATCH($A348, Joined!$I$3:$I$2000, FALSE), 5)</f>
        <v>152117</v>
      </c>
      <c r="E348" t="str">
        <f>INDEX(Joined!$A$3:$M$2000, MATCH($A348, Joined!$I$3:$I$2000, FALSE), 7)</f>
        <v>VAV-8W-45</v>
      </c>
      <c r="F348" t="s">
        <v>38</v>
      </c>
      <c r="G348" t="str">
        <f>INDEX(Schedule!$Q$2:$R$7, MATCH(ABT!$H348,Schedule!$Q$2:$Q$7, 0), 2)</f>
        <v>15010_DXR_VAV_DXR2M12</v>
      </c>
      <c r="H348">
        <f>INDEX(Joined!$A$3:$M$2000, MATCH($A348, Joined!$I$3:$I$2000, FALSE), 6)</f>
        <v>15010</v>
      </c>
      <c r="I348" t="str">
        <f>INDEX(Joined!$A$3:$M$2000, MATCH($A348, Joined!$I$3:$I$2000, FALSE), 4)</f>
        <v>521</v>
      </c>
      <c r="J348" t="b">
        <v>0</v>
      </c>
      <c r="K348">
        <f>INDEX(Joined!$A$3:$M$2000, MATCH($A348, Joined!$I$3:$I$2000, FALSE), 3)</f>
        <v>17</v>
      </c>
      <c r="L348">
        <v>85</v>
      </c>
      <c r="M348">
        <v>38400</v>
      </c>
      <c r="N348" s="27">
        <f>PI()*(INDEX(Schedule!$A$1:$N$2000, MATCH($C348, VAV_Schedule_5_21[[#All],[UNIT TAG]], FALSE), 4)/2/12)^2</f>
        <v>0.19634954084936207</v>
      </c>
      <c r="O348" s="27">
        <f>INDEX(Schedule!$A$1:$N$2000, MATCH($C348, VAV_Schedule_5_21[[#All],[UNIT TAG]], FALSE), 4)</f>
        <v>6</v>
      </c>
      <c r="P348">
        <v>346.63</v>
      </c>
      <c r="Q348" s="27">
        <f>INDEX(Schedule!$A$1:$N$2000, MATCH($C348, VAV_Schedule_5_21[[#All],[UNIT TAG]], FALSE), 5)</f>
        <v>200</v>
      </c>
      <c r="R348" s="27">
        <f>INDEX(Schedule!$A$1:$N$2000, MATCH($C348, VAV_Schedule_5_21[[#All],[UNIT TAG]], FALSE), 6)</f>
        <v>40</v>
      </c>
      <c r="S348" s="27">
        <f>INDEX(Schedule!$A$1:$N$2000, MATCH($C348, VAV_Schedule_5_21[[#All],[UNIT TAG]], FALSE), 5)</f>
        <v>200</v>
      </c>
      <c r="T348" s="27">
        <f>INDEX(Schedule!$A$1:$N$2000, MATCH($C348, VAV_Schedule_5_21[[#All],[UNIT TAG]], FALSE), 6)</f>
        <v>40</v>
      </c>
      <c r="U348" s="27">
        <f>INDEX(Schedule!$A$1:$N$2000, MATCH($C348, VAV_Schedule_5_21[[#All],[UNIT TAG]], FALSE), 5)</f>
        <v>200</v>
      </c>
      <c r="V348" s="27">
        <f>INDEX(Schedule!$A$1:$N$2000, MATCH($C348, VAV_Schedule_5_21[[#All],[UNIT TAG]], FALSE), 6)</f>
        <v>40</v>
      </c>
      <c r="W348" s="27">
        <f>INDEX(Schedule!$A$1:$N$2000, MATCH($C348, VAV_Schedule_5_21[[#All],[UNIT TAG]], FALSE), 6)</f>
        <v>40</v>
      </c>
      <c r="X348" s="27">
        <f>INDEX(Schedule!$A$1:$N$2000, MATCH($C348, VAV_Schedule_5_21[[#All],[UNIT TAG]], FALSE), 6)</f>
        <v>40</v>
      </c>
      <c r="Y348" s="27">
        <f>INDEX(Schedule!$A$1:$N$2000, MATCH($C348, VAV_Schedule_5_21[[#All],[UNIT TAG]], FALSE), 6)</f>
        <v>40</v>
      </c>
      <c r="Z348" s="27">
        <f>INDEX(Schedule!$A$1:$N$2000, MATCH($C348, VAV_Schedule_5_21[[#All],[UNIT TAG]], FALSE), 6)</f>
        <v>40</v>
      </c>
      <c r="AA348" s="27">
        <v>1000</v>
      </c>
      <c r="AB348" s="27">
        <v>1100</v>
      </c>
      <c r="AC348">
        <v>1400</v>
      </c>
      <c r="AD348" s="29">
        <f>IF(INDEX(Schedule!$A$1:$N$2000, MATCH($C348, VAV_Schedule_5_21[[#All],[UNIT TAG]], FALSE), 7)="-", 0, INDEX(Schedule!$A$1:$N$2000, MATCH($C348, VAV_Schedule_5_21[[#All],[UNIT TAG]], FALSE), 7))</f>
        <v>0</v>
      </c>
      <c r="AE348" t="str">
        <f>"B_01'" &amp; "Flr_0" &amp; INDEX(Joined!$A$3:$M$2000, MATCH($A348, Joined!$I$3:$I$2000, FALSE), 8)</f>
        <v>B_01'Flr_08</v>
      </c>
      <c r="AF348" t="str">
        <f>"R_" &amp; INDEX(Joined!$A$3:$M$2000, MATCH($A348, Joined!$I$3:$I$2000, FALSE), 7)</f>
        <v>R_VAV-8W-45</v>
      </c>
      <c r="AG348" t="str">
        <f>"B_01'" &amp; "Flr_0" &amp; INDEX(Joined!$A$3:$M$2000, MATCH($A348, Joined!$I$3:$I$2000, FALSE), 8)</f>
        <v>B_01'Flr_08</v>
      </c>
      <c r="AH348" t="str">
        <f>INDEX(Joined!$A$3:$M$2000, MATCH($A348, Joined!$I$3:$I$2000, FALSE), 7)</f>
        <v>VAV-8W-45</v>
      </c>
      <c r="AI348" t="s">
        <v>1676</v>
      </c>
    </row>
    <row r="349" spans="1:35" x14ac:dyDescent="0.2">
      <c r="A349" t="s">
        <v>1210</v>
      </c>
      <c r="B349" t="str">
        <f>"B_01'" &amp; "Flr_0" &amp; INDEX(Joined!$A$3:$M$2000, MATCH($A349, Joined!$I$3:$I$2000, FALSE), 8)</f>
        <v>B_01'Flr_09</v>
      </c>
      <c r="C349" t="str">
        <f>INDEX(Joined!$A$3:$M$2000, MATCH($A349, Joined!$I$3:$I$2000, FALSE), 7)</f>
        <v>VAV-9W-1</v>
      </c>
      <c r="D349">
        <f>INDEX(Joined!$A$3:$M$2000, MATCH($A349, Joined!$I$3:$I$2000, FALSE), 5)</f>
        <v>152401</v>
      </c>
      <c r="E349" t="str">
        <f>INDEX(Joined!$A$3:$M$2000, MATCH($A349, Joined!$I$3:$I$2000, FALSE), 7)</f>
        <v>VAV-9W-1</v>
      </c>
      <c r="F349" t="s">
        <v>38</v>
      </c>
      <c r="G349" t="str">
        <f>INDEX(Schedule!$Q$2:$R$7, MATCH(ABT!$H349,Schedule!$Q$2:$Q$7, 0), 2)</f>
        <v>15011_DXR_VAV_DXR2M12</v>
      </c>
      <c r="H349">
        <f>INDEX(Joined!$A$3:$M$2000, MATCH($A349, Joined!$I$3:$I$2000, FALSE), 6)</f>
        <v>15011</v>
      </c>
      <c r="I349" t="str">
        <f>INDEX(Joined!$A$3:$M$2000, MATCH($A349, Joined!$I$3:$I$2000, FALSE), 4)</f>
        <v>524</v>
      </c>
      <c r="J349" t="b">
        <v>0</v>
      </c>
      <c r="K349">
        <f>INDEX(Joined!$A$3:$M$2000, MATCH($A349, Joined!$I$3:$I$2000, FALSE), 3)</f>
        <v>1</v>
      </c>
      <c r="L349">
        <v>85</v>
      </c>
      <c r="M349">
        <v>38400</v>
      </c>
      <c r="N349" s="27">
        <f>PI()*(INDEX(Schedule!$A$1:$N$2000, MATCH($C349, VAV_Schedule_5_21[[#All],[UNIT TAG]], FALSE), 4)/2/12)^2</f>
        <v>0.3490658503988659</v>
      </c>
      <c r="O349" s="27">
        <f>INDEX(Schedule!$A$1:$N$2000, MATCH($C349, VAV_Schedule_5_21[[#All],[UNIT TAG]], FALSE), 4)</f>
        <v>8</v>
      </c>
      <c r="P349">
        <v>347.63</v>
      </c>
      <c r="Q349" s="27">
        <f>INDEX(Schedule!$A$1:$N$2000, MATCH($C349, VAV_Schedule_5_21[[#All],[UNIT TAG]], FALSE), 5)</f>
        <v>640</v>
      </c>
      <c r="R349" s="27">
        <f>INDEX(Schedule!$A$1:$N$2000, MATCH($C349, VAV_Schedule_5_21[[#All],[UNIT TAG]], FALSE), 6)</f>
        <v>100</v>
      </c>
      <c r="S349" s="27">
        <f>INDEX(Schedule!$A$1:$N$2000, MATCH($C349, VAV_Schedule_5_21[[#All],[UNIT TAG]], FALSE), 5)</f>
        <v>640</v>
      </c>
      <c r="T349" s="27">
        <f>INDEX(Schedule!$A$1:$N$2000, MATCH($C349, VAV_Schedule_5_21[[#All],[UNIT TAG]], FALSE), 6)</f>
        <v>100</v>
      </c>
      <c r="U349" s="27">
        <f>INDEX(Schedule!$A$1:$N$2000, MATCH($C349, VAV_Schedule_5_21[[#All],[UNIT TAG]], FALSE), 5)</f>
        <v>640</v>
      </c>
      <c r="V349" s="27">
        <f>INDEX(Schedule!$A$1:$N$2000, MATCH($C349, VAV_Schedule_5_21[[#All],[UNIT TAG]], FALSE), 6)</f>
        <v>100</v>
      </c>
      <c r="W349" s="27">
        <f>INDEX(Schedule!$A$1:$N$2000, MATCH($C349, VAV_Schedule_5_21[[#All],[UNIT TAG]], FALSE), 6)</f>
        <v>100</v>
      </c>
      <c r="X349" s="27">
        <f>INDEX(Schedule!$A$1:$N$2000, MATCH($C349, VAV_Schedule_5_21[[#All],[UNIT TAG]], FALSE), 6)</f>
        <v>100</v>
      </c>
      <c r="Y349" s="27">
        <f>INDEX(Schedule!$A$1:$N$2000, MATCH($C349, VAV_Schedule_5_21[[#All],[UNIT TAG]], FALSE), 6)</f>
        <v>100</v>
      </c>
      <c r="Z349" s="27">
        <f>INDEX(Schedule!$A$1:$N$2000, MATCH($C349, VAV_Schedule_5_21[[#All],[UNIT TAG]], FALSE), 6)</f>
        <v>100</v>
      </c>
      <c r="AA349" s="27">
        <v>1000</v>
      </c>
      <c r="AB349" s="27">
        <v>1100</v>
      </c>
      <c r="AC349">
        <v>1400</v>
      </c>
      <c r="AD349" s="29" t="str">
        <f>IF(INDEX(Schedule!$A$1:$N$2000, MATCH($C349, VAV_Schedule_5_21[[#All],[UNIT TAG]], FALSE), 7)="-", 0, INDEX(Schedule!$A$1:$N$2000, MATCH($C349, VAV_Schedule_5_21[[#All],[UNIT TAG]], FALSE), 7))</f>
        <v>6</v>
      </c>
      <c r="AE349" t="str">
        <f>"B_01'" &amp; "Flr_0" &amp; INDEX(Joined!$A$3:$M$2000, MATCH($A349, Joined!$I$3:$I$2000, FALSE), 8)</f>
        <v>B_01'Flr_09</v>
      </c>
      <c r="AF349" t="str">
        <f>"R_" &amp; INDEX(Joined!$A$3:$M$2000, MATCH($A349, Joined!$I$3:$I$2000, FALSE), 7)</f>
        <v>R_VAV-9W-1</v>
      </c>
      <c r="AG349" t="str">
        <f>"B_01'" &amp; "Flr_0" &amp; INDEX(Joined!$A$3:$M$2000, MATCH($A349, Joined!$I$3:$I$2000, FALSE), 8)</f>
        <v>B_01'Flr_09</v>
      </c>
      <c r="AH349" t="str">
        <f>INDEX(Joined!$A$3:$M$2000, MATCH($A349, Joined!$I$3:$I$2000, FALSE), 7)</f>
        <v>VAV-9W-1</v>
      </c>
      <c r="AI349" t="s">
        <v>1677</v>
      </c>
    </row>
    <row r="350" spans="1:35" x14ac:dyDescent="0.2">
      <c r="A350" t="s">
        <v>1211</v>
      </c>
      <c r="B350" t="str">
        <f>"B_01'" &amp; "Flr_0" &amp; INDEX(Joined!$A$3:$M$2000, MATCH($A350, Joined!$I$3:$I$2000, FALSE), 8)</f>
        <v>B_01'Flr_09</v>
      </c>
      <c r="C350" t="str">
        <f>INDEX(Joined!$A$3:$M$2000, MATCH($A350, Joined!$I$3:$I$2000, FALSE), 7)</f>
        <v>VAV-9W-2</v>
      </c>
      <c r="D350">
        <f>INDEX(Joined!$A$3:$M$2000, MATCH($A350, Joined!$I$3:$I$2000, FALSE), 5)</f>
        <v>152402</v>
      </c>
      <c r="E350" t="str">
        <f>INDEX(Joined!$A$3:$M$2000, MATCH($A350, Joined!$I$3:$I$2000, FALSE), 7)</f>
        <v>VAV-9W-2</v>
      </c>
      <c r="F350" t="s">
        <v>38</v>
      </c>
      <c r="G350" t="str">
        <f>INDEX(Schedule!$Q$2:$R$7, MATCH(ABT!$H350,Schedule!$Q$2:$Q$7, 0), 2)</f>
        <v>15011_DXR_VAV_DXR2M12</v>
      </c>
      <c r="H350">
        <f>INDEX(Joined!$A$3:$M$2000, MATCH($A350, Joined!$I$3:$I$2000, FALSE), 6)</f>
        <v>15011</v>
      </c>
      <c r="I350" t="str">
        <f>INDEX(Joined!$A$3:$M$2000, MATCH($A350, Joined!$I$3:$I$2000, FALSE), 4)</f>
        <v>524</v>
      </c>
      <c r="J350" t="b">
        <v>0</v>
      </c>
      <c r="K350">
        <f>INDEX(Joined!$A$3:$M$2000, MATCH($A350, Joined!$I$3:$I$2000, FALSE), 3)</f>
        <v>2</v>
      </c>
      <c r="L350">
        <v>85</v>
      </c>
      <c r="M350">
        <v>38400</v>
      </c>
      <c r="N350" s="27">
        <f>PI()*(INDEX(Schedule!$A$1:$N$2000, MATCH($C350, VAV_Schedule_5_21[[#All],[UNIT TAG]], FALSE), 4)/2/12)^2</f>
        <v>0.3490658503988659</v>
      </c>
      <c r="O350" s="27">
        <f>INDEX(Schedule!$A$1:$N$2000, MATCH($C350, VAV_Schedule_5_21[[#All],[UNIT TAG]], FALSE), 4)</f>
        <v>8</v>
      </c>
      <c r="P350">
        <v>348.63</v>
      </c>
      <c r="Q350" s="27">
        <f>INDEX(Schedule!$A$1:$N$2000, MATCH($C350, VAV_Schedule_5_21[[#All],[UNIT TAG]], FALSE), 5)</f>
        <v>680</v>
      </c>
      <c r="R350" s="27">
        <f>INDEX(Schedule!$A$1:$N$2000, MATCH($C350, VAV_Schedule_5_21[[#All],[UNIT TAG]], FALSE), 6)</f>
        <v>105</v>
      </c>
      <c r="S350" s="27">
        <f>INDEX(Schedule!$A$1:$N$2000, MATCH($C350, VAV_Schedule_5_21[[#All],[UNIT TAG]], FALSE), 5)</f>
        <v>680</v>
      </c>
      <c r="T350" s="27">
        <f>INDEX(Schedule!$A$1:$N$2000, MATCH($C350, VAV_Schedule_5_21[[#All],[UNIT TAG]], FALSE), 6)</f>
        <v>105</v>
      </c>
      <c r="U350" s="27">
        <f>INDEX(Schedule!$A$1:$N$2000, MATCH($C350, VAV_Schedule_5_21[[#All],[UNIT TAG]], FALSE), 5)</f>
        <v>680</v>
      </c>
      <c r="V350" s="27">
        <f>INDEX(Schedule!$A$1:$N$2000, MATCH($C350, VAV_Schedule_5_21[[#All],[UNIT TAG]], FALSE), 6)</f>
        <v>105</v>
      </c>
      <c r="W350" s="27">
        <f>INDEX(Schedule!$A$1:$N$2000, MATCH($C350, VAV_Schedule_5_21[[#All],[UNIT TAG]], FALSE), 6)</f>
        <v>105</v>
      </c>
      <c r="X350" s="27">
        <f>INDEX(Schedule!$A$1:$N$2000, MATCH($C350, VAV_Schedule_5_21[[#All],[UNIT TAG]], FALSE), 6)</f>
        <v>105</v>
      </c>
      <c r="Y350" s="27">
        <f>INDEX(Schedule!$A$1:$N$2000, MATCH($C350, VAV_Schedule_5_21[[#All],[UNIT TAG]], FALSE), 6)</f>
        <v>105</v>
      </c>
      <c r="Z350" s="27">
        <f>INDEX(Schedule!$A$1:$N$2000, MATCH($C350, VAV_Schedule_5_21[[#All],[UNIT TAG]], FALSE), 6)</f>
        <v>105</v>
      </c>
      <c r="AA350" s="27">
        <v>1000</v>
      </c>
      <c r="AB350" s="27">
        <v>1100</v>
      </c>
      <c r="AC350">
        <v>1400</v>
      </c>
      <c r="AD350" s="29" t="str">
        <f>IF(INDEX(Schedule!$A$1:$N$2000, MATCH($C350, VAV_Schedule_5_21[[#All],[UNIT TAG]], FALSE), 7)="-", 0, INDEX(Schedule!$A$1:$N$2000, MATCH($C350, VAV_Schedule_5_21[[#All],[UNIT TAG]], FALSE), 7))</f>
        <v>6</v>
      </c>
      <c r="AE350" t="str">
        <f>"B_01'" &amp; "Flr_0" &amp; INDEX(Joined!$A$3:$M$2000, MATCH($A350, Joined!$I$3:$I$2000, FALSE), 8)</f>
        <v>B_01'Flr_09</v>
      </c>
      <c r="AF350" t="str">
        <f>"R_" &amp; INDEX(Joined!$A$3:$M$2000, MATCH($A350, Joined!$I$3:$I$2000, FALSE), 7)</f>
        <v>R_VAV-9W-2</v>
      </c>
      <c r="AG350" t="str">
        <f>"B_01'" &amp; "Flr_0" &amp; INDEX(Joined!$A$3:$M$2000, MATCH($A350, Joined!$I$3:$I$2000, FALSE), 8)</f>
        <v>B_01'Flr_09</v>
      </c>
      <c r="AH350" t="str">
        <f>INDEX(Joined!$A$3:$M$2000, MATCH($A350, Joined!$I$3:$I$2000, FALSE), 7)</f>
        <v>VAV-9W-2</v>
      </c>
      <c r="AI350" t="s">
        <v>1678</v>
      </c>
    </row>
    <row r="351" spans="1:35" x14ac:dyDescent="0.2">
      <c r="A351" t="s">
        <v>1212</v>
      </c>
      <c r="B351" t="str">
        <f>"B_01'" &amp; "Flr_0" &amp; INDEX(Joined!$A$3:$M$2000, MATCH($A351, Joined!$I$3:$I$2000, FALSE), 8)</f>
        <v>B_01'Flr_09</v>
      </c>
      <c r="C351" t="str">
        <f>INDEX(Joined!$A$3:$M$2000, MATCH($A351, Joined!$I$3:$I$2000, FALSE), 7)</f>
        <v>VAV-9W-3</v>
      </c>
      <c r="D351">
        <f>INDEX(Joined!$A$3:$M$2000, MATCH($A351, Joined!$I$3:$I$2000, FALSE), 5)</f>
        <v>152403</v>
      </c>
      <c r="E351" t="str">
        <f>INDEX(Joined!$A$3:$M$2000, MATCH($A351, Joined!$I$3:$I$2000, FALSE), 7)</f>
        <v>VAV-9W-3</v>
      </c>
      <c r="F351" t="s">
        <v>38</v>
      </c>
      <c r="G351" t="str">
        <f>INDEX(Schedule!$Q$2:$R$7, MATCH(ABT!$H351,Schedule!$Q$2:$Q$7, 0), 2)</f>
        <v>15011_DXR_VAV_DXR2M12</v>
      </c>
      <c r="H351">
        <f>INDEX(Joined!$A$3:$M$2000, MATCH($A351, Joined!$I$3:$I$2000, FALSE), 6)</f>
        <v>15011</v>
      </c>
      <c r="I351" t="str">
        <f>INDEX(Joined!$A$3:$M$2000, MATCH($A351, Joined!$I$3:$I$2000, FALSE), 4)</f>
        <v>524</v>
      </c>
      <c r="J351" t="b">
        <v>0</v>
      </c>
      <c r="K351">
        <f>INDEX(Joined!$A$3:$M$2000, MATCH($A351, Joined!$I$3:$I$2000, FALSE), 3)</f>
        <v>3</v>
      </c>
      <c r="L351">
        <v>85</v>
      </c>
      <c r="M351">
        <v>38400</v>
      </c>
      <c r="N351" s="27">
        <f>PI()*(INDEX(Schedule!$A$1:$N$2000, MATCH($C351, VAV_Schedule_5_21[[#All],[UNIT TAG]], FALSE), 4)/2/12)^2</f>
        <v>0.3490658503988659</v>
      </c>
      <c r="O351" s="27">
        <f>INDEX(Schedule!$A$1:$N$2000, MATCH($C351, VAV_Schedule_5_21[[#All],[UNIT TAG]], FALSE), 4)</f>
        <v>8</v>
      </c>
      <c r="P351">
        <v>349.63</v>
      </c>
      <c r="Q351" s="27">
        <f>INDEX(Schedule!$A$1:$N$2000, MATCH($C351, VAV_Schedule_5_21[[#All],[UNIT TAG]], FALSE), 5)</f>
        <v>600</v>
      </c>
      <c r="R351" s="27">
        <f>INDEX(Schedule!$A$1:$N$2000, MATCH($C351, VAV_Schedule_5_21[[#All],[UNIT TAG]], FALSE), 6)</f>
        <v>90</v>
      </c>
      <c r="S351" s="27">
        <f>INDEX(Schedule!$A$1:$N$2000, MATCH($C351, VAV_Schedule_5_21[[#All],[UNIT TAG]], FALSE), 5)</f>
        <v>600</v>
      </c>
      <c r="T351" s="27">
        <f>INDEX(Schedule!$A$1:$N$2000, MATCH($C351, VAV_Schedule_5_21[[#All],[UNIT TAG]], FALSE), 6)</f>
        <v>90</v>
      </c>
      <c r="U351" s="27">
        <f>INDEX(Schedule!$A$1:$N$2000, MATCH($C351, VAV_Schedule_5_21[[#All],[UNIT TAG]], FALSE), 5)</f>
        <v>600</v>
      </c>
      <c r="V351" s="27">
        <f>INDEX(Schedule!$A$1:$N$2000, MATCH($C351, VAV_Schedule_5_21[[#All],[UNIT TAG]], FALSE), 6)</f>
        <v>90</v>
      </c>
      <c r="W351" s="27">
        <f>INDEX(Schedule!$A$1:$N$2000, MATCH($C351, VAV_Schedule_5_21[[#All],[UNIT TAG]], FALSE), 6)</f>
        <v>90</v>
      </c>
      <c r="X351" s="27">
        <f>INDEX(Schedule!$A$1:$N$2000, MATCH($C351, VAV_Schedule_5_21[[#All],[UNIT TAG]], FALSE), 6)</f>
        <v>90</v>
      </c>
      <c r="Y351" s="27">
        <f>INDEX(Schedule!$A$1:$N$2000, MATCH($C351, VAV_Schedule_5_21[[#All],[UNIT TAG]], FALSE), 6)</f>
        <v>90</v>
      </c>
      <c r="Z351" s="27">
        <f>INDEX(Schedule!$A$1:$N$2000, MATCH($C351, VAV_Schedule_5_21[[#All],[UNIT TAG]], FALSE), 6)</f>
        <v>90</v>
      </c>
      <c r="AA351" s="27">
        <v>1000</v>
      </c>
      <c r="AB351" s="27">
        <v>1100</v>
      </c>
      <c r="AC351">
        <v>1400</v>
      </c>
      <c r="AD351" s="29" t="str">
        <f>IF(INDEX(Schedule!$A$1:$N$2000, MATCH($C351, VAV_Schedule_5_21[[#All],[UNIT TAG]], FALSE), 7)="-", 0, INDEX(Schedule!$A$1:$N$2000, MATCH($C351, VAV_Schedule_5_21[[#All],[UNIT TAG]], FALSE), 7))</f>
        <v>6</v>
      </c>
      <c r="AE351" t="str">
        <f>"B_01'" &amp; "Flr_0" &amp; INDEX(Joined!$A$3:$M$2000, MATCH($A351, Joined!$I$3:$I$2000, FALSE), 8)</f>
        <v>B_01'Flr_09</v>
      </c>
      <c r="AF351" t="str">
        <f>"R_" &amp; INDEX(Joined!$A$3:$M$2000, MATCH($A351, Joined!$I$3:$I$2000, FALSE), 7)</f>
        <v>R_VAV-9W-3</v>
      </c>
      <c r="AG351" t="str">
        <f>"B_01'" &amp; "Flr_0" &amp; INDEX(Joined!$A$3:$M$2000, MATCH($A351, Joined!$I$3:$I$2000, FALSE), 8)</f>
        <v>B_01'Flr_09</v>
      </c>
      <c r="AH351" t="str">
        <f>INDEX(Joined!$A$3:$M$2000, MATCH($A351, Joined!$I$3:$I$2000, FALSE), 7)</f>
        <v>VAV-9W-3</v>
      </c>
      <c r="AI351" t="s">
        <v>1679</v>
      </c>
    </row>
    <row r="352" spans="1:35" x14ac:dyDescent="0.2">
      <c r="A352" t="s">
        <v>1213</v>
      </c>
      <c r="B352" t="str">
        <f>"B_01'" &amp; "Flr_0" &amp; INDEX(Joined!$A$3:$M$2000, MATCH($A352, Joined!$I$3:$I$2000, FALSE), 8)</f>
        <v>B_01'Flr_09</v>
      </c>
      <c r="C352" t="str">
        <f>INDEX(Joined!$A$3:$M$2000, MATCH($A352, Joined!$I$3:$I$2000, FALSE), 7)</f>
        <v>VAV-9W-4</v>
      </c>
      <c r="D352">
        <f>INDEX(Joined!$A$3:$M$2000, MATCH($A352, Joined!$I$3:$I$2000, FALSE), 5)</f>
        <v>152404</v>
      </c>
      <c r="E352" t="str">
        <f>INDEX(Joined!$A$3:$M$2000, MATCH($A352, Joined!$I$3:$I$2000, FALSE), 7)</f>
        <v>VAV-9W-4</v>
      </c>
      <c r="F352" t="s">
        <v>38</v>
      </c>
      <c r="G352" t="str">
        <f>INDEX(Schedule!$Q$2:$R$7, MATCH(ABT!$H352,Schedule!$Q$2:$Q$7, 0), 2)</f>
        <v>15011_DXR_VAV_DXR2M12</v>
      </c>
      <c r="H352">
        <f>INDEX(Joined!$A$3:$M$2000, MATCH($A352, Joined!$I$3:$I$2000, FALSE), 6)</f>
        <v>15011</v>
      </c>
      <c r="I352" t="str">
        <f>INDEX(Joined!$A$3:$M$2000, MATCH($A352, Joined!$I$3:$I$2000, FALSE), 4)</f>
        <v>524</v>
      </c>
      <c r="J352" t="b">
        <v>0</v>
      </c>
      <c r="K352">
        <f>INDEX(Joined!$A$3:$M$2000, MATCH($A352, Joined!$I$3:$I$2000, FALSE), 3)</f>
        <v>4</v>
      </c>
      <c r="L352">
        <v>85</v>
      </c>
      <c r="M352">
        <v>38400</v>
      </c>
      <c r="N352" s="27">
        <f>PI()*(INDEX(Schedule!$A$1:$N$2000, MATCH($C352, VAV_Schedule_5_21[[#All],[UNIT TAG]], FALSE), 4)/2/12)^2</f>
        <v>0.54541539124822802</v>
      </c>
      <c r="O352" s="27">
        <f>INDEX(Schedule!$A$1:$N$2000, MATCH($C352, VAV_Schedule_5_21[[#All],[UNIT TAG]], FALSE), 4)</f>
        <v>10</v>
      </c>
      <c r="P352">
        <v>350.63</v>
      </c>
      <c r="Q352" s="27">
        <f>INDEX(Schedule!$A$1:$N$2000, MATCH($C352, VAV_Schedule_5_21[[#All],[UNIT TAG]], FALSE), 5)</f>
        <v>840</v>
      </c>
      <c r="R352" s="27">
        <f>INDEX(Schedule!$A$1:$N$2000, MATCH($C352, VAV_Schedule_5_21[[#All],[UNIT TAG]], FALSE), 6)</f>
        <v>130</v>
      </c>
      <c r="S352" s="27">
        <f>INDEX(Schedule!$A$1:$N$2000, MATCH($C352, VAV_Schedule_5_21[[#All],[UNIT TAG]], FALSE), 5)</f>
        <v>840</v>
      </c>
      <c r="T352" s="27">
        <f>INDEX(Schedule!$A$1:$N$2000, MATCH($C352, VAV_Schedule_5_21[[#All],[UNIT TAG]], FALSE), 6)</f>
        <v>130</v>
      </c>
      <c r="U352" s="27">
        <f>INDEX(Schedule!$A$1:$N$2000, MATCH($C352, VAV_Schedule_5_21[[#All],[UNIT TAG]], FALSE), 5)</f>
        <v>840</v>
      </c>
      <c r="V352" s="27">
        <f>INDEX(Schedule!$A$1:$N$2000, MATCH($C352, VAV_Schedule_5_21[[#All],[UNIT TAG]], FALSE), 6)</f>
        <v>130</v>
      </c>
      <c r="W352" s="27">
        <f>INDEX(Schedule!$A$1:$N$2000, MATCH($C352, VAV_Schedule_5_21[[#All],[UNIT TAG]], FALSE), 6)</f>
        <v>130</v>
      </c>
      <c r="X352" s="27">
        <f>INDEX(Schedule!$A$1:$N$2000, MATCH($C352, VAV_Schedule_5_21[[#All],[UNIT TAG]], FALSE), 6)</f>
        <v>130</v>
      </c>
      <c r="Y352" s="27">
        <f>INDEX(Schedule!$A$1:$N$2000, MATCH($C352, VAV_Schedule_5_21[[#All],[UNIT TAG]], FALSE), 6)</f>
        <v>130</v>
      </c>
      <c r="Z352" s="27">
        <f>INDEX(Schedule!$A$1:$N$2000, MATCH($C352, VAV_Schedule_5_21[[#All],[UNIT TAG]], FALSE), 6)</f>
        <v>130</v>
      </c>
      <c r="AA352" s="27">
        <v>1000</v>
      </c>
      <c r="AB352" s="27">
        <v>1100</v>
      </c>
      <c r="AC352">
        <v>1400</v>
      </c>
      <c r="AD352" s="29" t="str">
        <f>IF(INDEX(Schedule!$A$1:$N$2000, MATCH($C352, VAV_Schedule_5_21[[#All],[UNIT TAG]], FALSE), 7)="-", 0, INDEX(Schedule!$A$1:$N$2000, MATCH($C352, VAV_Schedule_5_21[[#All],[UNIT TAG]], FALSE), 7))</f>
        <v>6</v>
      </c>
      <c r="AE352" t="str">
        <f>"B_01'" &amp; "Flr_0" &amp; INDEX(Joined!$A$3:$M$2000, MATCH($A352, Joined!$I$3:$I$2000, FALSE), 8)</f>
        <v>B_01'Flr_09</v>
      </c>
      <c r="AF352" t="str">
        <f>"R_" &amp; INDEX(Joined!$A$3:$M$2000, MATCH($A352, Joined!$I$3:$I$2000, FALSE), 7)</f>
        <v>R_VAV-9W-4</v>
      </c>
      <c r="AG352" t="str">
        <f>"B_01'" &amp; "Flr_0" &amp; INDEX(Joined!$A$3:$M$2000, MATCH($A352, Joined!$I$3:$I$2000, FALSE), 8)</f>
        <v>B_01'Flr_09</v>
      </c>
      <c r="AH352" t="str">
        <f>INDEX(Joined!$A$3:$M$2000, MATCH($A352, Joined!$I$3:$I$2000, FALSE), 7)</f>
        <v>VAV-9W-4</v>
      </c>
      <c r="AI352" t="s">
        <v>1680</v>
      </c>
    </row>
    <row r="353" spans="1:35" x14ac:dyDescent="0.2">
      <c r="A353" t="s">
        <v>1214</v>
      </c>
      <c r="B353" t="str">
        <f>"B_01'" &amp; "Flr_0" &amp; INDEX(Joined!$A$3:$M$2000, MATCH($A353, Joined!$I$3:$I$2000, FALSE), 8)</f>
        <v>B_01'Flr_09</v>
      </c>
      <c r="C353" t="str">
        <f>INDEX(Joined!$A$3:$M$2000, MATCH($A353, Joined!$I$3:$I$2000, FALSE), 7)</f>
        <v>VAV-9N-5</v>
      </c>
      <c r="D353">
        <f>INDEX(Joined!$A$3:$M$2000, MATCH($A353, Joined!$I$3:$I$2000, FALSE), 5)</f>
        <v>152201</v>
      </c>
      <c r="E353" t="str">
        <f>INDEX(Joined!$A$3:$M$2000, MATCH($A353, Joined!$I$3:$I$2000, FALSE), 7)</f>
        <v>VAV-9N-5</v>
      </c>
      <c r="F353" t="s">
        <v>38</v>
      </c>
      <c r="G353" t="str">
        <f>INDEX(Schedule!$Q$2:$R$7, MATCH(ABT!$H353,Schedule!$Q$2:$Q$7, 0), 2)</f>
        <v>15010_DXR_VAV_DXR2M12</v>
      </c>
      <c r="H353">
        <f>INDEX(Joined!$A$3:$M$2000, MATCH($A353, Joined!$I$3:$I$2000, FALSE), 6)</f>
        <v>15010</v>
      </c>
      <c r="I353" t="str">
        <f>INDEX(Joined!$A$3:$M$2000, MATCH($A353, Joined!$I$3:$I$2000, FALSE), 4)</f>
        <v>522</v>
      </c>
      <c r="J353" t="b">
        <v>0</v>
      </c>
      <c r="K353">
        <f>INDEX(Joined!$A$3:$M$2000, MATCH($A353, Joined!$I$3:$I$2000, FALSE), 3)</f>
        <v>1</v>
      </c>
      <c r="L353">
        <v>85</v>
      </c>
      <c r="M353">
        <v>38400</v>
      </c>
      <c r="N353" s="27">
        <f>PI()*(INDEX(Schedule!$A$1:$N$2000, MATCH($C353, VAV_Schedule_5_21[[#All],[UNIT TAG]], FALSE), 4)/2/12)^2</f>
        <v>0.78539816339744828</v>
      </c>
      <c r="O353" s="27">
        <f>INDEX(Schedule!$A$1:$N$2000, MATCH($C353, VAV_Schedule_5_21[[#All],[UNIT TAG]], FALSE), 4)</f>
        <v>12</v>
      </c>
      <c r="P353">
        <v>351.63</v>
      </c>
      <c r="Q353" s="27">
        <f>INDEX(Schedule!$A$1:$N$2000, MATCH($C353, VAV_Schedule_5_21[[#All],[UNIT TAG]], FALSE), 5)</f>
        <v>1330</v>
      </c>
      <c r="R353" s="27">
        <f>INDEX(Schedule!$A$1:$N$2000, MATCH($C353, VAV_Schedule_5_21[[#All],[UNIT TAG]], FALSE), 6)</f>
        <v>200</v>
      </c>
      <c r="S353" s="27">
        <f>INDEX(Schedule!$A$1:$N$2000, MATCH($C353, VAV_Schedule_5_21[[#All],[UNIT TAG]], FALSE), 5)</f>
        <v>1330</v>
      </c>
      <c r="T353" s="27">
        <f>INDEX(Schedule!$A$1:$N$2000, MATCH($C353, VAV_Schedule_5_21[[#All],[UNIT TAG]], FALSE), 6)</f>
        <v>200</v>
      </c>
      <c r="U353" s="27">
        <f>INDEX(Schedule!$A$1:$N$2000, MATCH($C353, VAV_Schedule_5_21[[#All],[UNIT TAG]], FALSE), 5)</f>
        <v>1330</v>
      </c>
      <c r="V353" s="27">
        <f>INDEX(Schedule!$A$1:$N$2000, MATCH($C353, VAV_Schedule_5_21[[#All],[UNIT TAG]], FALSE), 6)</f>
        <v>200</v>
      </c>
      <c r="W353" s="27">
        <f>INDEX(Schedule!$A$1:$N$2000, MATCH($C353, VAV_Schedule_5_21[[#All],[UNIT TAG]], FALSE), 6)</f>
        <v>200</v>
      </c>
      <c r="X353" s="27">
        <f>INDEX(Schedule!$A$1:$N$2000, MATCH($C353, VAV_Schedule_5_21[[#All],[UNIT TAG]], FALSE), 6)</f>
        <v>200</v>
      </c>
      <c r="Y353" s="27">
        <f>INDEX(Schedule!$A$1:$N$2000, MATCH($C353, VAV_Schedule_5_21[[#All],[UNIT TAG]], FALSE), 6)</f>
        <v>200</v>
      </c>
      <c r="Z353" s="27">
        <f>INDEX(Schedule!$A$1:$N$2000, MATCH($C353, VAV_Schedule_5_21[[#All],[UNIT TAG]], FALSE), 6)</f>
        <v>200</v>
      </c>
      <c r="AA353" s="27">
        <v>1000</v>
      </c>
      <c r="AB353" s="27">
        <v>1100</v>
      </c>
      <c r="AC353">
        <v>1400</v>
      </c>
      <c r="AD353" s="29">
        <f>IF(INDEX(Schedule!$A$1:$N$2000, MATCH($C353, VAV_Schedule_5_21[[#All],[UNIT TAG]], FALSE), 7)="-", 0, INDEX(Schedule!$A$1:$N$2000, MATCH($C353, VAV_Schedule_5_21[[#All],[UNIT TAG]], FALSE), 7))</f>
        <v>0</v>
      </c>
      <c r="AE353" t="str">
        <f>"B_01'" &amp; "Flr_0" &amp; INDEX(Joined!$A$3:$M$2000, MATCH($A353, Joined!$I$3:$I$2000, FALSE), 8)</f>
        <v>B_01'Flr_09</v>
      </c>
      <c r="AF353" t="str">
        <f>"R_" &amp; INDEX(Joined!$A$3:$M$2000, MATCH($A353, Joined!$I$3:$I$2000, FALSE), 7)</f>
        <v>R_VAV-9N-5</v>
      </c>
      <c r="AG353" t="str">
        <f>"B_01'" &amp; "Flr_0" &amp; INDEX(Joined!$A$3:$M$2000, MATCH($A353, Joined!$I$3:$I$2000, FALSE), 8)</f>
        <v>B_01'Flr_09</v>
      </c>
      <c r="AH353" t="str">
        <f>INDEX(Joined!$A$3:$M$2000, MATCH($A353, Joined!$I$3:$I$2000, FALSE), 7)</f>
        <v>VAV-9N-5</v>
      </c>
      <c r="AI353" t="s">
        <v>1681</v>
      </c>
    </row>
    <row r="354" spans="1:35" x14ac:dyDescent="0.2">
      <c r="A354" t="s">
        <v>1215</v>
      </c>
      <c r="B354" t="str">
        <f>"B_01'" &amp; "Flr_0" &amp; INDEX(Joined!$A$3:$M$2000, MATCH($A354, Joined!$I$3:$I$2000, FALSE), 8)</f>
        <v>B_01'Flr_09</v>
      </c>
      <c r="C354" t="str">
        <f>INDEX(Joined!$A$3:$M$2000, MATCH($A354, Joined!$I$3:$I$2000, FALSE), 7)</f>
        <v>VAV-9N-6</v>
      </c>
      <c r="D354">
        <f>INDEX(Joined!$A$3:$M$2000, MATCH($A354, Joined!$I$3:$I$2000, FALSE), 5)</f>
        <v>152202</v>
      </c>
      <c r="E354" t="str">
        <f>INDEX(Joined!$A$3:$M$2000, MATCH($A354, Joined!$I$3:$I$2000, FALSE), 7)</f>
        <v>VAV-9N-6</v>
      </c>
      <c r="F354" t="s">
        <v>38</v>
      </c>
      <c r="G354" t="str">
        <f>INDEX(Schedule!$Q$2:$R$7, MATCH(ABT!$H354,Schedule!$Q$2:$Q$7, 0), 2)</f>
        <v>15010_DXR_VAV_DXR2M12</v>
      </c>
      <c r="H354">
        <f>INDEX(Joined!$A$3:$M$2000, MATCH($A354, Joined!$I$3:$I$2000, FALSE), 6)</f>
        <v>15010</v>
      </c>
      <c r="I354" t="str">
        <f>INDEX(Joined!$A$3:$M$2000, MATCH($A354, Joined!$I$3:$I$2000, FALSE), 4)</f>
        <v>522</v>
      </c>
      <c r="J354" t="b">
        <v>0</v>
      </c>
      <c r="K354">
        <f>INDEX(Joined!$A$3:$M$2000, MATCH($A354, Joined!$I$3:$I$2000, FALSE), 3)</f>
        <v>2</v>
      </c>
      <c r="L354">
        <v>85</v>
      </c>
      <c r="M354">
        <v>38400</v>
      </c>
      <c r="N354" s="27">
        <f>PI()*(INDEX(Schedule!$A$1:$N$2000, MATCH($C354, VAV_Schedule_5_21[[#All],[UNIT TAG]], FALSE), 4)/2/12)^2</f>
        <v>0.54541539124822802</v>
      </c>
      <c r="O354" s="27">
        <f>INDEX(Schedule!$A$1:$N$2000, MATCH($C354, VAV_Schedule_5_21[[#All],[UNIT TAG]], FALSE), 4)</f>
        <v>10</v>
      </c>
      <c r="P354">
        <v>352.63</v>
      </c>
      <c r="Q354" s="27">
        <f>INDEX(Schedule!$A$1:$N$2000, MATCH($C354, VAV_Schedule_5_21[[#All],[UNIT TAG]], FALSE), 5)</f>
        <v>1120</v>
      </c>
      <c r="R354" s="27">
        <f>INDEX(Schedule!$A$1:$N$2000, MATCH($C354, VAV_Schedule_5_21[[#All],[UNIT TAG]], FALSE), 6)</f>
        <v>170</v>
      </c>
      <c r="S354" s="27">
        <f>INDEX(Schedule!$A$1:$N$2000, MATCH($C354, VAV_Schedule_5_21[[#All],[UNIT TAG]], FALSE), 5)</f>
        <v>1120</v>
      </c>
      <c r="T354" s="27">
        <f>INDEX(Schedule!$A$1:$N$2000, MATCH($C354, VAV_Schedule_5_21[[#All],[UNIT TAG]], FALSE), 6)</f>
        <v>170</v>
      </c>
      <c r="U354" s="27">
        <f>INDEX(Schedule!$A$1:$N$2000, MATCH($C354, VAV_Schedule_5_21[[#All],[UNIT TAG]], FALSE), 5)</f>
        <v>1120</v>
      </c>
      <c r="V354" s="27">
        <f>INDEX(Schedule!$A$1:$N$2000, MATCH($C354, VAV_Schedule_5_21[[#All],[UNIT TAG]], FALSE), 6)</f>
        <v>170</v>
      </c>
      <c r="W354" s="27">
        <f>INDEX(Schedule!$A$1:$N$2000, MATCH($C354, VAV_Schedule_5_21[[#All],[UNIT TAG]], FALSE), 6)</f>
        <v>170</v>
      </c>
      <c r="X354" s="27">
        <f>INDEX(Schedule!$A$1:$N$2000, MATCH($C354, VAV_Schedule_5_21[[#All],[UNIT TAG]], FALSE), 6)</f>
        <v>170</v>
      </c>
      <c r="Y354" s="27">
        <f>INDEX(Schedule!$A$1:$N$2000, MATCH($C354, VAV_Schedule_5_21[[#All],[UNIT TAG]], FALSE), 6)</f>
        <v>170</v>
      </c>
      <c r="Z354" s="27">
        <f>INDEX(Schedule!$A$1:$N$2000, MATCH($C354, VAV_Schedule_5_21[[#All],[UNIT TAG]], FALSE), 6)</f>
        <v>170</v>
      </c>
      <c r="AA354" s="27">
        <v>1000</v>
      </c>
      <c r="AB354" s="27">
        <v>1100</v>
      </c>
      <c r="AC354">
        <v>1400</v>
      </c>
      <c r="AD354" s="29">
        <f>IF(INDEX(Schedule!$A$1:$N$2000, MATCH($C354, VAV_Schedule_5_21[[#All],[UNIT TAG]], FALSE), 7)="-", 0, INDEX(Schedule!$A$1:$N$2000, MATCH($C354, VAV_Schedule_5_21[[#All],[UNIT TAG]], FALSE), 7))</f>
        <v>0</v>
      </c>
      <c r="AE354" t="str">
        <f>"B_01'" &amp; "Flr_0" &amp; INDEX(Joined!$A$3:$M$2000, MATCH($A354, Joined!$I$3:$I$2000, FALSE), 8)</f>
        <v>B_01'Flr_09</v>
      </c>
      <c r="AF354" t="str">
        <f>"R_" &amp; INDEX(Joined!$A$3:$M$2000, MATCH($A354, Joined!$I$3:$I$2000, FALSE), 7)</f>
        <v>R_VAV-9N-6</v>
      </c>
      <c r="AG354" t="str">
        <f>"B_01'" &amp; "Flr_0" &amp; INDEX(Joined!$A$3:$M$2000, MATCH($A354, Joined!$I$3:$I$2000, FALSE), 8)</f>
        <v>B_01'Flr_09</v>
      </c>
      <c r="AH354" t="str">
        <f>INDEX(Joined!$A$3:$M$2000, MATCH($A354, Joined!$I$3:$I$2000, FALSE), 7)</f>
        <v>VAV-9N-6</v>
      </c>
      <c r="AI354" t="s">
        <v>1682</v>
      </c>
    </row>
    <row r="355" spans="1:35" x14ac:dyDescent="0.2">
      <c r="A355" t="s">
        <v>1216</v>
      </c>
      <c r="B355" t="str">
        <f>"B_01'" &amp; "Flr_0" &amp; INDEX(Joined!$A$3:$M$2000, MATCH($A355, Joined!$I$3:$I$2000, FALSE), 8)</f>
        <v>B_01'Flr_09</v>
      </c>
      <c r="C355" t="str">
        <f>INDEX(Joined!$A$3:$M$2000, MATCH($A355, Joined!$I$3:$I$2000, FALSE), 7)</f>
        <v>VAV-9N-7</v>
      </c>
      <c r="D355">
        <f>INDEX(Joined!$A$3:$M$2000, MATCH($A355, Joined!$I$3:$I$2000, FALSE), 5)</f>
        <v>152203</v>
      </c>
      <c r="E355" t="str">
        <f>INDEX(Joined!$A$3:$M$2000, MATCH($A355, Joined!$I$3:$I$2000, FALSE), 7)</f>
        <v>VAV-9N-7</v>
      </c>
      <c r="F355" t="s">
        <v>38</v>
      </c>
      <c r="G355" t="str">
        <f>INDEX(Schedule!$Q$2:$R$7, MATCH(ABT!$H355,Schedule!$Q$2:$Q$7, 0), 2)</f>
        <v>15010_DXR_VAV_DXR2M12</v>
      </c>
      <c r="H355">
        <f>INDEX(Joined!$A$3:$M$2000, MATCH($A355, Joined!$I$3:$I$2000, FALSE), 6)</f>
        <v>15010</v>
      </c>
      <c r="I355" t="str">
        <f>INDEX(Joined!$A$3:$M$2000, MATCH($A355, Joined!$I$3:$I$2000, FALSE), 4)</f>
        <v>522</v>
      </c>
      <c r="J355" t="b">
        <v>0</v>
      </c>
      <c r="K355">
        <f>INDEX(Joined!$A$3:$M$2000, MATCH($A355, Joined!$I$3:$I$2000, FALSE), 3)</f>
        <v>3</v>
      </c>
      <c r="L355">
        <v>85</v>
      </c>
      <c r="M355">
        <v>38400</v>
      </c>
      <c r="N355" s="27">
        <f>PI()*(INDEX(Schedule!$A$1:$N$2000, MATCH($C355, VAV_Schedule_5_21[[#All],[UNIT TAG]], FALSE), 4)/2/12)^2</f>
        <v>0.3490658503988659</v>
      </c>
      <c r="O355" s="27">
        <f>INDEX(Schedule!$A$1:$N$2000, MATCH($C355, VAV_Schedule_5_21[[#All],[UNIT TAG]], FALSE), 4)</f>
        <v>8</v>
      </c>
      <c r="P355">
        <v>353.63</v>
      </c>
      <c r="Q355" s="27">
        <f>INDEX(Schedule!$A$1:$N$2000, MATCH($C355, VAV_Schedule_5_21[[#All],[UNIT TAG]], FALSE), 5)</f>
        <v>600</v>
      </c>
      <c r="R355" s="27">
        <f>INDEX(Schedule!$A$1:$N$2000, MATCH($C355, VAV_Schedule_5_21[[#All],[UNIT TAG]], FALSE), 6)</f>
        <v>90</v>
      </c>
      <c r="S355" s="27">
        <f>INDEX(Schedule!$A$1:$N$2000, MATCH($C355, VAV_Schedule_5_21[[#All],[UNIT TAG]], FALSE), 5)</f>
        <v>600</v>
      </c>
      <c r="T355" s="27">
        <f>INDEX(Schedule!$A$1:$N$2000, MATCH($C355, VAV_Schedule_5_21[[#All],[UNIT TAG]], FALSE), 6)</f>
        <v>90</v>
      </c>
      <c r="U355" s="27">
        <f>INDEX(Schedule!$A$1:$N$2000, MATCH($C355, VAV_Schedule_5_21[[#All],[UNIT TAG]], FALSE), 5)</f>
        <v>600</v>
      </c>
      <c r="V355" s="27">
        <f>INDEX(Schedule!$A$1:$N$2000, MATCH($C355, VAV_Schedule_5_21[[#All],[UNIT TAG]], FALSE), 6)</f>
        <v>90</v>
      </c>
      <c r="W355" s="27">
        <f>INDEX(Schedule!$A$1:$N$2000, MATCH($C355, VAV_Schedule_5_21[[#All],[UNIT TAG]], FALSE), 6)</f>
        <v>90</v>
      </c>
      <c r="X355" s="27">
        <f>INDEX(Schedule!$A$1:$N$2000, MATCH($C355, VAV_Schedule_5_21[[#All],[UNIT TAG]], FALSE), 6)</f>
        <v>90</v>
      </c>
      <c r="Y355" s="27">
        <f>INDEX(Schedule!$A$1:$N$2000, MATCH($C355, VAV_Schedule_5_21[[#All],[UNIT TAG]], FALSE), 6)</f>
        <v>90</v>
      </c>
      <c r="Z355" s="27">
        <f>INDEX(Schedule!$A$1:$N$2000, MATCH($C355, VAV_Schedule_5_21[[#All],[UNIT TAG]], FALSE), 6)</f>
        <v>90</v>
      </c>
      <c r="AA355" s="27">
        <v>1000</v>
      </c>
      <c r="AB355" s="27">
        <v>1100</v>
      </c>
      <c r="AC355">
        <v>1400</v>
      </c>
      <c r="AD355" s="29">
        <f>IF(INDEX(Schedule!$A$1:$N$2000, MATCH($C355, VAV_Schedule_5_21[[#All],[UNIT TAG]], FALSE), 7)="-", 0, INDEX(Schedule!$A$1:$N$2000, MATCH($C355, VAV_Schedule_5_21[[#All],[UNIT TAG]], FALSE), 7))</f>
        <v>0</v>
      </c>
      <c r="AE355" t="str">
        <f>"B_01'" &amp; "Flr_0" &amp; INDEX(Joined!$A$3:$M$2000, MATCH($A355, Joined!$I$3:$I$2000, FALSE), 8)</f>
        <v>B_01'Flr_09</v>
      </c>
      <c r="AF355" t="str">
        <f>"R_" &amp; INDEX(Joined!$A$3:$M$2000, MATCH($A355, Joined!$I$3:$I$2000, FALSE), 7)</f>
        <v>R_VAV-9N-7</v>
      </c>
      <c r="AG355" t="str">
        <f>"B_01'" &amp; "Flr_0" &amp; INDEX(Joined!$A$3:$M$2000, MATCH($A355, Joined!$I$3:$I$2000, FALSE), 8)</f>
        <v>B_01'Flr_09</v>
      </c>
      <c r="AH355" t="str">
        <f>INDEX(Joined!$A$3:$M$2000, MATCH($A355, Joined!$I$3:$I$2000, FALSE), 7)</f>
        <v>VAV-9N-7</v>
      </c>
      <c r="AI355" t="s">
        <v>1683</v>
      </c>
    </row>
    <row r="356" spans="1:35" x14ac:dyDescent="0.2">
      <c r="A356" t="s">
        <v>1217</v>
      </c>
      <c r="B356" t="str">
        <f>"B_01'" &amp; "Flr_0" &amp; INDEX(Joined!$A$3:$M$2000, MATCH($A356, Joined!$I$3:$I$2000, FALSE), 8)</f>
        <v>B_01'Flr_09</v>
      </c>
      <c r="C356" t="str">
        <f>INDEX(Joined!$A$3:$M$2000, MATCH($A356, Joined!$I$3:$I$2000, FALSE), 7)</f>
        <v>VAV-9N-8</v>
      </c>
      <c r="D356">
        <f>INDEX(Joined!$A$3:$M$2000, MATCH($A356, Joined!$I$3:$I$2000, FALSE), 5)</f>
        <v>152204</v>
      </c>
      <c r="E356" t="str">
        <f>INDEX(Joined!$A$3:$M$2000, MATCH($A356, Joined!$I$3:$I$2000, FALSE), 7)</f>
        <v>VAV-9N-8</v>
      </c>
      <c r="F356" t="s">
        <v>38</v>
      </c>
      <c r="G356" t="str">
        <f>INDEX(Schedule!$Q$2:$R$7, MATCH(ABT!$H356,Schedule!$Q$2:$Q$7, 0), 2)</f>
        <v>15010_DXR_VAV_DXR2M12</v>
      </c>
      <c r="H356">
        <f>INDEX(Joined!$A$3:$M$2000, MATCH($A356, Joined!$I$3:$I$2000, FALSE), 6)</f>
        <v>15010</v>
      </c>
      <c r="I356" t="str">
        <f>INDEX(Joined!$A$3:$M$2000, MATCH($A356, Joined!$I$3:$I$2000, FALSE), 4)</f>
        <v>522</v>
      </c>
      <c r="J356" t="b">
        <v>0</v>
      </c>
      <c r="K356">
        <f>INDEX(Joined!$A$3:$M$2000, MATCH($A356, Joined!$I$3:$I$2000, FALSE), 3)</f>
        <v>4</v>
      </c>
      <c r="L356">
        <v>85</v>
      </c>
      <c r="M356">
        <v>38400</v>
      </c>
      <c r="N356" s="27">
        <f>PI()*(INDEX(Schedule!$A$1:$N$2000, MATCH($C356, VAV_Schedule_5_21[[#All],[UNIT TAG]], FALSE), 4)/2/12)^2</f>
        <v>0.3490658503988659</v>
      </c>
      <c r="O356" s="27">
        <f>INDEX(Schedule!$A$1:$N$2000, MATCH($C356, VAV_Schedule_5_21[[#All],[UNIT TAG]], FALSE), 4)</f>
        <v>8</v>
      </c>
      <c r="P356">
        <v>354.63</v>
      </c>
      <c r="Q356" s="27">
        <f>INDEX(Schedule!$A$1:$N$2000, MATCH($C356, VAV_Schedule_5_21[[#All],[UNIT TAG]], FALSE), 5)</f>
        <v>500</v>
      </c>
      <c r="R356" s="27">
        <f>INDEX(Schedule!$A$1:$N$2000, MATCH($C356, VAV_Schedule_5_21[[#All],[UNIT TAG]], FALSE), 6)</f>
        <v>75</v>
      </c>
      <c r="S356" s="27">
        <f>INDEX(Schedule!$A$1:$N$2000, MATCH($C356, VAV_Schedule_5_21[[#All],[UNIT TAG]], FALSE), 5)</f>
        <v>500</v>
      </c>
      <c r="T356" s="27">
        <f>INDEX(Schedule!$A$1:$N$2000, MATCH($C356, VAV_Schedule_5_21[[#All],[UNIT TAG]], FALSE), 6)</f>
        <v>75</v>
      </c>
      <c r="U356" s="27">
        <f>INDEX(Schedule!$A$1:$N$2000, MATCH($C356, VAV_Schedule_5_21[[#All],[UNIT TAG]], FALSE), 5)</f>
        <v>500</v>
      </c>
      <c r="V356" s="27">
        <f>INDEX(Schedule!$A$1:$N$2000, MATCH($C356, VAV_Schedule_5_21[[#All],[UNIT TAG]], FALSE), 6)</f>
        <v>75</v>
      </c>
      <c r="W356" s="27">
        <f>INDEX(Schedule!$A$1:$N$2000, MATCH($C356, VAV_Schedule_5_21[[#All],[UNIT TAG]], FALSE), 6)</f>
        <v>75</v>
      </c>
      <c r="X356" s="27">
        <f>INDEX(Schedule!$A$1:$N$2000, MATCH($C356, VAV_Schedule_5_21[[#All],[UNIT TAG]], FALSE), 6)</f>
        <v>75</v>
      </c>
      <c r="Y356" s="27">
        <f>INDEX(Schedule!$A$1:$N$2000, MATCH($C356, VAV_Schedule_5_21[[#All],[UNIT TAG]], FALSE), 6)</f>
        <v>75</v>
      </c>
      <c r="Z356" s="27">
        <f>INDEX(Schedule!$A$1:$N$2000, MATCH($C356, VAV_Schedule_5_21[[#All],[UNIT TAG]], FALSE), 6)</f>
        <v>75</v>
      </c>
      <c r="AA356" s="27">
        <v>1000</v>
      </c>
      <c r="AB356" s="27">
        <v>1100</v>
      </c>
      <c r="AC356">
        <v>1400</v>
      </c>
      <c r="AD356" s="29">
        <f>IF(INDEX(Schedule!$A$1:$N$2000, MATCH($C356, VAV_Schedule_5_21[[#All],[UNIT TAG]], FALSE), 7)="-", 0, INDEX(Schedule!$A$1:$N$2000, MATCH($C356, VAV_Schedule_5_21[[#All],[UNIT TAG]], FALSE), 7))</f>
        <v>0</v>
      </c>
      <c r="AE356" t="str">
        <f>"B_01'" &amp; "Flr_0" &amp; INDEX(Joined!$A$3:$M$2000, MATCH($A356, Joined!$I$3:$I$2000, FALSE), 8)</f>
        <v>B_01'Flr_09</v>
      </c>
      <c r="AF356" t="str">
        <f>"R_" &amp; INDEX(Joined!$A$3:$M$2000, MATCH($A356, Joined!$I$3:$I$2000, FALSE), 7)</f>
        <v>R_VAV-9N-8</v>
      </c>
      <c r="AG356" t="str">
        <f>"B_01'" &amp; "Flr_0" &amp; INDEX(Joined!$A$3:$M$2000, MATCH($A356, Joined!$I$3:$I$2000, FALSE), 8)</f>
        <v>B_01'Flr_09</v>
      </c>
      <c r="AH356" t="str">
        <f>INDEX(Joined!$A$3:$M$2000, MATCH($A356, Joined!$I$3:$I$2000, FALSE), 7)</f>
        <v>VAV-9N-8</v>
      </c>
      <c r="AI356" t="s">
        <v>1684</v>
      </c>
    </row>
    <row r="357" spans="1:35" x14ac:dyDescent="0.2">
      <c r="A357" t="s">
        <v>1218</v>
      </c>
      <c r="B357" t="str">
        <f>"B_01'" &amp; "Flr_0" &amp; INDEX(Joined!$A$3:$M$2000, MATCH($A357, Joined!$I$3:$I$2000, FALSE), 8)</f>
        <v>B_01'Flr_09</v>
      </c>
      <c r="C357" t="str">
        <f>INDEX(Joined!$A$3:$M$2000, MATCH($A357, Joined!$I$3:$I$2000, FALSE), 7)</f>
        <v>VAV-9N-9</v>
      </c>
      <c r="D357">
        <f>INDEX(Joined!$A$3:$M$2000, MATCH($A357, Joined!$I$3:$I$2000, FALSE), 5)</f>
        <v>152205</v>
      </c>
      <c r="E357" t="str">
        <f>INDEX(Joined!$A$3:$M$2000, MATCH($A357, Joined!$I$3:$I$2000, FALSE), 7)</f>
        <v>VAV-9N-9</v>
      </c>
      <c r="F357" t="s">
        <v>38</v>
      </c>
      <c r="G357" t="str">
        <f>INDEX(Schedule!$Q$2:$R$7, MATCH(ABT!$H357,Schedule!$Q$2:$Q$7, 0), 2)</f>
        <v>15010_DXR_VAV_DXR2M12</v>
      </c>
      <c r="H357">
        <f>INDEX(Joined!$A$3:$M$2000, MATCH($A357, Joined!$I$3:$I$2000, FALSE), 6)</f>
        <v>15010</v>
      </c>
      <c r="I357" t="str">
        <f>INDEX(Joined!$A$3:$M$2000, MATCH($A357, Joined!$I$3:$I$2000, FALSE), 4)</f>
        <v>522</v>
      </c>
      <c r="J357" t="b">
        <v>0</v>
      </c>
      <c r="K357">
        <f>INDEX(Joined!$A$3:$M$2000, MATCH($A357, Joined!$I$3:$I$2000, FALSE), 3)</f>
        <v>5</v>
      </c>
      <c r="L357">
        <v>85</v>
      </c>
      <c r="M357">
        <v>38400</v>
      </c>
      <c r="N357" s="27">
        <f>PI()*(INDEX(Schedule!$A$1:$N$2000, MATCH($C357, VAV_Schedule_5_21[[#All],[UNIT TAG]], FALSE), 4)/2/12)^2</f>
        <v>0.78539816339744828</v>
      </c>
      <c r="O357" s="27">
        <f>INDEX(Schedule!$A$1:$N$2000, MATCH($C357, VAV_Schedule_5_21[[#All],[UNIT TAG]], FALSE), 4)</f>
        <v>12</v>
      </c>
      <c r="P357">
        <v>355.63</v>
      </c>
      <c r="Q357" s="27">
        <f>INDEX(Schedule!$A$1:$N$2000, MATCH($C357, VAV_Schedule_5_21[[#All],[UNIT TAG]], FALSE), 5)</f>
        <v>1200</v>
      </c>
      <c r="R357" s="27">
        <f>INDEX(Schedule!$A$1:$N$2000, MATCH($C357, VAV_Schedule_5_21[[#All],[UNIT TAG]], FALSE), 6)</f>
        <v>180</v>
      </c>
      <c r="S357" s="27">
        <f>INDEX(Schedule!$A$1:$N$2000, MATCH($C357, VAV_Schedule_5_21[[#All],[UNIT TAG]], FALSE), 5)</f>
        <v>1200</v>
      </c>
      <c r="T357" s="27">
        <f>INDEX(Schedule!$A$1:$N$2000, MATCH($C357, VAV_Schedule_5_21[[#All],[UNIT TAG]], FALSE), 6)</f>
        <v>180</v>
      </c>
      <c r="U357" s="27">
        <f>INDEX(Schedule!$A$1:$N$2000, MATCH($C357, VAV_Schedule_5_21[[#All],[UNIT TAG]], FALSE), 5)</f>
        <v>1200</v>
      </c>
      <c r="V357" s="27">
        <f>INDEX(Schedule!$A$1:$N$2000, MATCH($C357, VAV_Schedule_5_21[[#All],[UNIT TAG]], FALSE), 6)</f>
        <v>180</v>
      </c>
      <c r="W357" s="27">
        <f>INDEX(Schedule!$A$1:$N$2000, MATCH($C357, VAV_Schedule_5_21[[#All],[UNIT TAG]], FALSE), 6)</f>
        <v>180</v>
      </c>
      <c r="X357" s="27">
        <f>INDEX(Schedule!$A$1:$N$2000, MATCH($C357, VAV_Schedule_5_21[[#All],[UNIT TAG]], FALSE), 6)</f>
        <v>180</v>
      </c>
      <c r="Y357" s="27">
        <f>INDEX(Schedule!$A$1:$N$2000, MATCH($C357, VAV_Schedule_5_21[[#All],[UNIT TAG]], FALSE), 6)</f>
        <v>180</v>
      </c>
      <c r="Z357" s="27">
        <f>INDEX(Schedule!$A$1:$N$2000, MATCH($C357, VAV_Schedule_5_21[[#All],[UNIT TAG]], FALSE), 6)</f>
        <v>180</v>
      </c>
      <c r="AA357" s="27">
        <v>1000</v>
      </c>
      <c r="AB357" s="27">
        <v>1100</v>
      </c>
      <c r="AC357">
        <v>1400</v>
      </c>
      <c r="AD357" s="29">
        <f>IF(INDEX(Schedule!$A$1:$N$2000, MATCH($C357, VAV_Schedule_5_21[[#All],[UNIT TAG]], FALSE), 7)="-", 0, INDEX(Schedule!$A$1:$N$2000, MATCH($C357, VAV_Schedule_5_21[[#All],[UNIT TAG]], FALSE), 7))</f>
        <v>0</v>
      </c>
      <c r="AE357" t="str">
        <f>"B_01'" &amp; "Flr_0" &amp; INDEX(Joined!$A$3:$M$2000, MATCH($A357, Joined!$I$3:$I$2000, FALSE), 8)</f>
        <v>B_01'Flr_09</v>
      </c>
      <c r="AF357" t="str">
        <f>"R_" &amp; INDEX(Joined!$A$3:$M$2000, MATCH($A357, Joined!$I$3:$I$2000, FALSE), 7)</f>
        <v>R_VAV-9N-9</v>
      </c>
      <c r="AG357" t="str">
        <f>"B_01'" &amp; "Flr_0" &amp; INDEX(Joined!$A$3:$M$2000, MATCH($A357, Joined!$I$3:$I$2000, FALSE), 8)</f>
        <v>B_01'Flr_09</v>
      </c>
      <c r="AH357" t="str">
        <f>INDEX(Joined!$A$3:$M$2000, MATCH($A357, Joined!$I$3:$I$2000, FALSE), 7)</f>
        <v>VAV-9N-9</v>
      </c>
      <c r="AI357" t="s">
        <v>1685</v>
      </c>
    </row>
    <row r="358" spans="1:35" x14ac:dyDescent="0.2">
      <c r="A358" t="s">
        <v>1219</v>
      </c>
      <c r="B358" t="str">
        <f>"B_01'" &amp; "Flr_0" &amp; INDEX(Joined!$A$3:$M$2000, MATCH($A358, Joined!$I$3:$I$2000, FALSE), 8)</f>
        <v>B_01'Flr_09</v>
      </c>
      <c r="C358" t="str">
        <f>INDEX(Joined!$A$3:$M$2000, MATCH($A358, Joined!$I$3:$I$2000, FALSE), 7)</f>
        <v>VAV-9N-9A</v>
      </c>
      <c r="D358">
        <f>INDEX(Joined!$A$3:$M$2000, MATCH($A358, Joined!$I$3:$I$2000, FALSE), 5)</f>
        <v>152206</v>
      </c>
      <c r="E358" t="str">
        <f>INDEX(Joined!$A$3:$M$2000, MATCH($A358, Joined!$I$3:$I$2000, FALSE), 7)</f>
        <v>VAV-9N-9A</v>
      </c>
      <c r="F358" t="s">
        <v>38</v>
      </c>
      <c r="G358" t="str">
        <f>INDEX(Schedule!$Q$2:$R$7, MATCH(ABT!$H358,Schedule!$Q$2:$Q$7, 0), 2)</f>
        <v>15010_DXR_VAV_DXR2M12</v>
      </c>
      <c r="H358">
        <f>INDEX(Joined!$A$3:$M$2000, MATCH($A358, Joined!$I$3:$I$2000, FALSE), 6)</f>
        <v>15010</v>
      </c>
      <c r="I358" t="str">
        <f>INDEX(Joined!$A$3:$M$2000, MATCH($A358, Joined!$I$3:$I$2000, FALSE), 4)</f>
        <v>522</v>
      </c>
      <c r="J358" t="b">
        <v>0</v>
      </c>
      <c r="K358">
        <f>INDEX(Joined!$A$3:$M$2000, MATCH($A358, Joined!$I$3:$I$2000, FALSE), 3)</f>
        <v>6</v>
      </c>
      <c r="L358">
        <v>85</v>
      </c>
      <c r="M358">
        <v>38400</v>
      </c>
      <c r="N358" s="27">
        <f>PI()*(INDEX(Schedule!$A$1:$N$2000, MATCH($C358, VAV_Schedule_5_21[[#All],[UNIT TAG]], FALSE), 4)/2/12)^2</f>
        <v>0.3490658503988659</v>
      </c>
      <c r="O358" s="27">
        <f>INDEX(Schedule!$A$1:$N$2000, MATCH($C358, VAV_Schedule_5_21[[#All],[UNIT TAG]], FALSE), 4)</f>
        <v>8</v>
      </c>
      <c r="P358">
        <v>356.63</v>
      </c>
      <c r="Q358" s="27">
        <f>INDEX(Schedule!$A$1:$N$2000, MATCH($C358, VAV_Schedule_5_21[[#All],[UNIT TAG]], FALSE), 5)</f>
        <v>550</v>
      </c>
      <c r="R358" s="27">
        <f>INDEX(Schedule!$A$1:$N$2000, MATCH($C358, VAV_Schedule_5_21[[#All],[UNIT TAG]], FALSE), 6)</f>
        <v>85</v>
      </c>
      <c r="S358" s="27">
        <f>INDEX(Schedule!$A$1:$N$2000, MATCH($C358, VAV_Schedule_5_21[[#All],[UNIT TAG]], FALSE), 5)</f>
        <v>550</v>
      </c>
      <c r="T358" s="27">
        <f>INDEX(Schedule!$A$1:$N$2000, MATCH($C358, VAV_Schedule_5_21[[#All],[UNIT TAG]], FALSE), 6)</f>
        <v>85</v>
      </c>
      <c r="U358" s="27">
        <f>INDEX(Schedule!$A$1:$N$2000, MATCH($C358, VAV_Schedule_5_21[[#All],[UNIT TAG]], FALSE), 5)</f>
        <v>550</v>
      </c>
      <c r="V358" s="27">
        <f>INDEX(Schedule!$A$1:$N$2000, MATCH($C358, VAV_Schedule_5_21[[#All],[UNIT TAG]], FALSE), 6)</f>
        <v>85</v>
      </c>
      <c r="W358" s="27">
        <f>INDEX(Schedule!$A$1:$N$2000, MATCH($C358, VAV_Schedule_5_21[[#All],[UNIT TAG]], FALSE), 6)</f>
        <v>85</v>
      </c>
      <c r="X358" s="27">
        <f>INDEX(Schedule!$A$1:$N$2000, MATCH($C358, VAV_Schedule_5_21[[#All],[UNIT TAG]], FALSE), 6)</f>
        <v>85</v>
      </c>
      <c r="Y358" s="27">
        <f>INDEX(Schedule!$A$1:$N$2000, MATCH($C358, VAV_Schedule_5_21[[#All],[UNIT TAG]], FALSE), 6)</f>
        <v>85</v>
      </c>
      <c r="Z358" s="27">
        <f>INDEX(Schedule!$A$1:$N$2000, MATCH($C358, VAV_Schedule_5_21[[#All],[UNIT TAG]], FALSE), 6)</f>
        <v>85</v>
      </c>
      <c r="AA358" s="27">
        <v>1000</v>
      </c>
      <c r="AB358" s="27">
        <v>1100</v>
      </c>
      <c r="AC358">
        <v>1400</v>
      </c>
      <c r="AD358" s="29">
        <f>IF(INDEX(Schedule!$A$1:$N$2000, MATCH($C358, VAV_Schedule_5_21[[#All],[UNIT TAG]], FALSE), 7)="-", 0, INDEX(Schedule!$A$1:$N$2000, MATCH($C358, VAV_Schedule_5_21[[#All],[UNIT TAG]], FALSE), 7))</f>
        <v>0</v>
      </c>
      <c r="AE358" t="str">
        <f>"B_01'" &amp; "Flr_0" &amp; INDEX(Joined!$A$3:$M$2000, MATCH($A358, Joined!$I$3:$I$2000, FALSE), 8)</f>
        <v>B_01'Flr_09</v>
      </c>
      <c r="AF358" t="str">
        <f>"R_" &amp; INDEX(Joined!$A$3:$M$2000, MATCH($A358, Joined!$I$3:$I$2000, FALSE), 7)</f>
        <v>R_VAV-9N-9A</v>
      </c>
      <c r="AG358" t="str">
        <f>"B_01'" &amp; "Flr_0" &amp; INDEX(Joined!$A$3:$M$2000, MATCH($A358, Joined!$I$3:$I$2000, FALSE), 8)</f>
        <v>B_01'Flr_09</v>
      </c>
      <c r="AH358" t="str">
        <f>INDEX(Joined!$A$3:$M$2000, MATCH($A358, Joined!$I$3:$I$2000, FALSE), 7)</f>
        <v>VAV-9N-9A</v>
      </c>
      <c r="AI358" t="s">
        <v>1686</v>
      </c>
    </row>
    <row r="359" spans="1:35" x14ac:dyDescent="0.2">
      <c r="A359" t="s">
        <v>1220</v>
      </c>
      <c r="B359" t="str">
        <f>"B_01'" &amp; "Flr_0" &amp; INDEX(Joined!$A$3:$M$2000, MATCH($A359, Joined!$I$3:$I$2000, FALSE), 8)</f>
        <v>B_01'Flr_09</v>
      </c>
      <c r="C359" t="str">
        <f>INDEX(Joined!$A$3:$M$2000, MATCH($A359, Joined!$I$3:$I$2000, FALSE), 7)</f>
        <v>VAV-9N-10</v>
      </c>
      <c r="D359">
        <f>INDEX(Joined!$A$3:$M$2000, MATCH($A359, Joined!$I$3:$I$2000, FALSE), 5)</f>
        <v>152207</v>
      </c>
      <c r="E359" t="str">
        <f>INDEX(Joined!$A$3:$M$2000, MATCH($A359, Joined!$I$3:$I$2000, FALSE), 7)</f>
        <v>VAV-9N-10</v>
      </c>
      <c r="F359" t="s">
        <v>38</v>
      </c>
      <c r="G359" t="str">
        <f>INDEX(Schedule!$Q$2:$R$7, MATCH(ABT!$H359,Schedule!$Q$2:$Q$7, 0), 2)</f>
        <v>15010_DXR_VAV_DXR2M12</v>
      </c>
      <c r="H359">
        <f>INDEX(Joined!$A$3:$M$2000, MATCH($A359, Joined!$I$3:$I$2000, FALSE), 6)</f>
        <v>15010</v>
      </c>
      <c r="I359" t="str">
        <f>INDEX(Joined!$A$3:$M$2000, MATCH($A359, Joined!$I$3:$I$2000, FALSE), 4)</f>
        <v>522</v>
      </c>
      <c r="J359" t="b">
        <v>0</v>
      </c>
      <c r="K359">
        <f>INDEX(Joined!$A$3:$M$2000, MATCH($A359, Joined!$I$3:$I$2000, FALSE), 3)</f>
        <v>7</v>
      </c>
      <c r="L359">
        <v>85</v>
      </c>
      <c r="M359">
        <v>38400</v>
      </c>
      <c r="N359" s="27">
        <f>PI()*(INDEX(Schedule!$A$1:$N$2000, MATCH($C359, VAV_Schedule_5_21[[#All],[UNIT TAG]], FALSE), 4)/2/12)^2</f>
        <v>0.3490658503988659</v>
      </c>
      <c r="O359" s="27">
        <f>INDEX(Schedule!$A$1:$N$2000, MATCH($C359, VAV_Schedule_5_21[[#All],[UNIT TAG]], FALSE), 4)</f>
        <v>8</v>
      </c>
      <c r="P359">
        <v>357.63</v>
      </c>
      <c r="Q359" s="27">
        <f>INDEX(Schedule!$A$1:$N$2000, MATCH($C359, VAV_Schedule_5_21[[#All],[UNIT TAG]], FALSE), 5)</f>
        <v>410</v>
      </c>
      <c r="R359" s="27">
        <f>INDEX(Schedule!$A$1:$N$2000, MATCH($C359, VAV_Schedule_5_21[[#All],[UNIT TAG]], FALSE), 6)</f>
        <v>65</v>
      </c>
      <c r="S359" s="27">
        <f>INDEX(Schedule!$A$1:$N$2000, MATCH($C359, VAV_Schedule_5_21[[#All],[UNIT TAG]], FALSE), 5)</f>
        <v>410</v>
      </c>
      <c r="T359" s="27">
        <f>INDEX(Schedule!$A$1:$N$2000, MATCH($C359, VAV_Schedule_5_21[[#All],[UNIT TAG]], FALSE), 6)</f>
        <v>65</v>
      </c>
      <c r="U359" s="27">
        <f>INDEX(Schedule!$A$1:$N$2000, MATCH($C359, VAV_Schedule_5_21[[#All],[UNIT TAG]], FALSE), 5)</f>
        <v>410</v>
      </c>
      <c r="V359" s="27">
        <f>INDEX(Schedule!$A$1:$N$2000, MATCH($C359, VAV_Schedule_5_21[[#All],[UNIT TAG]], FALSE), 6)</f>
        <v>65</v>
      </c>
      <c r="W359" s="27">
        <f>INDEX(Schedule!$A$1:$N$2000, MATCH($C359, VAV_Schedule_5_21[[#All],[UNIT TAG]], FALSE), 6)</f>
        <v>65</v>
      </c>
      <c r="X359" s="27">
        <f>INDEX(Schedule!$A$1:$N$2000, MATCH($C359, VAV_Schedule_5_21[[#All],[UNIT TAG]], FALSE), 6)</f>
        <v>65</v>
      </c>
      <c r="Y359" s="27">
        <f>INDEX(Schedule!$A$1:$N$2000, MATCH($C359, VAV_Schedule_5_21[[#All],[UNIT TAG]], FALSE), 6)</f>
        <v>65</v>
      </c>
      <c r="Z359" s="27">
        <f>INDEX(Schedule!$A$1:$N$2000, MATCH($C359, VAV_Schedule_5_21[[#All],[UNIT TAG]], FALSE), 6)</f>
        <v>65</v>
      </c>
      <c r="AA359" s="27">
        <v>1000</v>
      </c>
      <c r="AB359" s="27">
        <v>1100</v>
      </c>
      <c r="AC359">
        <v>1400</v>
      </c>
      <c r="AD359" s="29">
        <f>IF(INDEX(Schedule!$A$1:$N$2000, MATCH($C359, VAV_Schedule_5_21[[#All],[UNIT TAG]], FALSE), 7)="-", 0, INDEX(Schedule!$A$1:$N$2000, MATCH($C359, VAV_Schedule_5_21[[#All],[UNIT TAG]], FALSE), 7))</f>
        <v>0</v>
      </c>
      <c r="AE359" t="str">
        <f>"B_01'" &amp; "Flr_0" &amp; INDEX(Joined!$A$3:$M$2000, MATCH($A359, Joined!$I$3:$I$2000, FALSE), 8)</f>
        <v>B_01'Flr_09</v>
      </c>
      <c r="AF359" t="str">
        <f>"R_" &amp; INDEX(Joined!$A$3:$M$2000, MATCH($A359, Joined!$I$3:$I$2000, FALSE), 7)</f>
        <v>R_VAV-9N-10</v>
      </c>
      <c r="AG359" t="str">
        <f>"B_01'" &amp; "Flr_0" &amp; INDEX(Joined!$A$3:$M$2000, MATCH($A359, Joined!$I$3:$I$2000, FALSE), 8)</f>
        <v>B_01'Flr_09</v>
      </c>
      <c r="AH359" t="str">
        <f>INDEX(Joined!$A$3:$M$2000, MATCH($A359, Joined!$I$3:$I$2000, FALSE), 7)</f>
        <v>VAV-9N-10</v>
      </c>
      <c r="AI359" t="s">
        <v>1687</v>
      </c>
    </row>
    <row r="360" spans="1:35" x14ac:dyDescent="0.2">
      <c r="A360" t="s">
        <v>1221</v>
      </c>
      <c r="B360" t="str">
        <f>"B_01'" &amp; "Flr_0" &amp; INDEX(Joined!$A$3:$M$2000, MATCH($A360, Joined!$I$3:$I$2000, FALSE), 8)</f>
        <v>B_01'Flr_09</v>
      </c>
      <c r="C360" t="str">
        <f>INDEX(Joined!$A$3:$M$2000, MATCH($A360, Joined!$I$3:$I$2000, FALSE), 7)</f>
        <v>VAV-9N-11</v>
      </c>
      <c r="D360">
        <f>INDEX(Joined!$A$3:$M$2000, MATCH($A360, Joined!$I$3:$I$2000, FALSE), 5)</f>
        <v>152208</v>
      </c>
      <c r="E360" t="str">
        <f>INDEX(Joined!$A$3:$M$2000, MATCH($A360, Joined!$I$3:$I$2000, FALSE), 7)</f>
        <v>VAV-9N-11</v>
      </c>
      <c r="F360" t="s">
        <v>38</v>
      </c>
      <c r="G360" t="str">
        <f>INDEX(Schedule!$Q$2:$R$7, MATCH(ABT!$H360,Schedule!$Q$2:$Q$7, 0), 2)</f>
        <v>15010_DXR_VAV_DXR2M12</v>
      </c>
      <c r="H360">
        <f>INDEX(Joined!$A$3:$M$2000, MATCH($A360, Joined!$I$3:$I$2000, FALSE), 6)</f>
        <v>15010</v>
      </c>
      <c r="I360" t="str">
        <f>INDEX(Joined!$A$3:$M$2000, MATCH($A360, Joined!$I$3:$I$2000, FALSE), 4)</f>
        <v>522</v>
      </c>
      <c r="J360" t="b">
        <v>0</v>
      </c>
      <c r="K360">
        <f>INDEX(Joined!$A$3:$M$2000, MATCH($A360, Joined!$I$3:$I$2000, FALSE), 3)</f>
        <v>8</v>
      </c>
      <c r="L360">
        <v>85</v>
      </c>
      <c r="M360">
        <v>38400</v>
      </c>
      <c r="N360" s="27">
        <f>PI()*(INDEX(Schedule!$A$1:$N$2000, MATCH($C360, VAV_Schedule_5_21[[#All],[UNIT TAG]], FALSE), 4)/2/12)^2</f>
        <v>0.78539816339744828</v>
      </c>
      <c r="O360" s="27">
        <f>INDEX(Schedule!$A$1:$N$2000, MATCH($C360, VAV_Schedule_5_21[[#All],[UNIT TAG]], FALSE), 4)</f>
        <v>12</v>
      </c>
      <c r="P360">
        <v>358.63</v>
      </c>
      <c r="Q360" s="27">
        <f>INDEX(Schedule!$A$1:$N$2000, MATCH($C360, VAV_Schedule_5_21[[#All],[UNIT TAG]], FALSE), 5)</f>
        <v>1380</v>
      </c>
      <c r="R360" s="27">
        <f>INDEX(Schedule!$A$1:$N$2000, MATCH($C360, VAV_Schedule_5_21[[#All],[UNIT TAG]], FALSE), 6)</f>
        <v>210</v>
      </c>
      <c r="S360" s="27">
        <f>INDEX(Schedule!$A$1:$N$2000, MATCH($C360, VAV_Schedule_5_21[[#All],[UNIT TAG]], FALSE), 5)</f>
        <v>1380</v>
      </c>
      <c r="T360" s="27">
        <f>INDEX(Schedule!$A$1:$N$2000, MATCH($C360, VAV_Schedule_5_21[[#All],[UNIT TAG]], FALSE), 6)</f>
        <v>210</v>
      </c>
      <c r="U360" s="27">
        <f>INDEX(Schedule!$A$1:$N$2000, MATCH($C360, VAV_Schedule_5_21[[#All],[UNIT TAG]], FALSE), 5)</f>
        <v>1380</v>
      </c>
      <c r="V360" s="27">
        <f>INDEX(Schedule!$A$1:$N$2000, MATCH($C360, VAV_Schedule_5_21[[#All],[UNIT TAG]], FALSE), 6)</f>
        <v>210</v>
      </c>
      <c r="W360" s="27">
        <f>INDEX(Schedule!$A$1:$N$2000, MATCH($C360, VAV_Schedule_5_21[[#All],[UNIT TAG]], FALSE), 6)</f>
        <v>210</v>
      </c>
      <c r="X360" s="27">
        <f>INDEX(Schedule!$A$1:$N$2000, MATCH($C360, VAV_Schedule_5_21[[#All],[UNIT TAG]], FALSE), 6)</f>
        <v>210</v>
      </c>
      <c r="Y360" s="27">
        <f>INDEX(Schedule!$A$1:$N$2000, MATCH($C360, VAV_Schedule_5_21[[#All],[UNIT TAG]], FALSE), 6)</f>
        <v>210</v>
      </c>
      <c r="Z360" s="27">
        <f>INDEX(Schedule!$A$1:$N$2000, MATCH($C360, VAV_Schedule_5_21[[#All],[UNIT TAG]], FALSE), 6)</f>
        <v>210</v>
      </c>
      <c r="AA360" s="27">
        <v>1000</v>
      </c>
      <c r="AB360" s="27">
        <v>1100</v>
      </c>
      <c r="AC360">
        <v>1400</v>
      </c>
      <c r="AD360" s="29">
        <f>IF(INDEX(Schedule!$A$1:$N$2000, MATCH($C360, VAV_Schedule_5_21[[#All],[UNIT TAG]], FALSE), 7)="-", 0, INDEX(Schedule!$A$1:$N$2000, MATCH($C360, VAV_Schedule_5_21[[#All],[UNIT TAG]], FALSE), 7))</f>
        <v>0</v>
      </c>
      <c r="AE360" t="str">
        <f>"B_01'" &amp; "Flr_0" &amp; INDEX(Joined!$A$3:$M$2000, MATCH($A360, Joined!$I$3:$I$2000, FALSE), 8)</f>
        <v>B_01'Flr_09</v>
      </c>
      <c r="AF360" t="str">
        <f>"R_" &amp; INDEX(Joined!$A$3:$M$2000, MATCH($A360, Joined!$I$3:$I$2000, FALSE), 7)</f>
        <v>R_VAV-9N-11</v>
      </c>
      <c r="AG360" t="str">
        <f>"B_01'" &amp; "Flr_0" &amp; INDEX(Joined!$A$3:$M$2000, MATCH($A360, Joined!$I$3:$I$2000, FALSE), 8)</f>
        <v>B_01'Flr_09</v>
      </c>
      <c r="AH360" t="str">
        <f>INDEX(Joined!$A$3:$M$2000, MATCH($A360, Joined!$I$3:$I$2000, FALSE), 7)</f>
        <v>VAV-9N-11</v>
      </c>
      <c r="AI360" t="s">
        <v>1688</v>
      </c>
    </row>
    <row r="361" spans="1:35" x14ac:dyDescent="0.2">
      <c r="A361" t="s">
        <v>1222</v>
      </c>
      <c r="B361" t="str">
        <f>"B_01'" &amp; "Flr_0" &amp; INDEX(Joined!$A$3:$M$2000, MATCH($A361, Joined!$I$3:$I$2000, FALSE), 8)</f>
        <v>B_01'Flr_09</v>
      </c>
      <c r="C361" t="str">
        <f>INDEX(Joined!$A$3:$M$2000, MATCH($A361, Joined!$I$3:$I$2000, FALSE), 7)</f>
        <v>VAV-9N-12</v>
      </c>
      <c r="D361">
        <f>INDEX(Joined!$A$3:$M$2000, MATCH($A361, Joined!$I$3:$I$2000, FALSE), 5)</f>
        <v>152209</v>
      </c>
      <c r="E361" t="str">
        <f>INDEX(Joined!$A$3:$M$2000, MATCH($A361, Joined!$I$3:$I$2000, FALSE), 7)</f>
        <v>VAV-9N-12</v>
      </c>
      <c r="F361" t="s">
        <v>38</v>
      </c>
      <c r="G361" t="str">
        <f>INDEX(Schedule!$Q$2:$R$7, MATCH(ABT!$H361,Schedule!$Q$2:$Q$7, 0), 2)</f>
        <v>15010_DXR_VAV_DXR2M12</v>
      </c>
      <c r="H361">
        <f>INDEX(Joined!$A$3:$M$2000, MATCH($A361, Joined!$I$3:$I$2000, FALSE), 6)</f>
        <v>15010</v>
      </c>
      <c r="I361" t="str">
        <f>INDEX(Joined!$A$3:$M$2000, MATCH($A361, Joined!$I$3:$I$2000, FALSE), 4)</f>
        <v>522</v>
      </c>
      <c r="J361" t="b">
        <v>0</v>
      </c>
      <c r="K361">
        <f>INDEX(Joined!$A$3:$M$2000, MATCH($A361, Joined!$I$3:$I$2000, FALSE), 3)</f>
        <v>9</v>
      </c>
      <c r="L361">
        <v>85</v>
      </c>
      <c r="M361">
        <v>38400</v>
      </c>
      <c r="N361" s="27">
        <f>PI()*(INDEX(Schedule!$A$1:$N$2000, MATCH($C361, VAV_Schedule_5_21[[#All],[UNIT TAG]], FALSE), 4)/2/12)^2</f>
        <v>0.78539816339744828</v>
      </c>
      <c r="O361" s="27">
        <f>INDEX(Schedule!$A$1:$N$2000, MATCH($C361, VAV_Schedule_5_21[[#All],[UNIT TAG]], FALSE), 4)</f>
        <v>12</v>
      </c>
      <c r="P361">
        <v>359.63</v>
      </c>
      <c r="Q361" s="27">
        <f>INDEX(Schedule!$A$1:$N$2000, MATCH($C361, VAV_Schedule_5_21[[#All],[UNIT TAG]], FALSE), 5)</f>
        <v>1385</v>
      </c>
      <c r="R361" s="27">
        <f>INDEX(Schedule!$A$1:$N$2000, MATCH($C361, VAV_Schedule_5_21[[#All],[UNIT TAG]], FALSE), 6)</f>
        <v>210</v>
      </c>
      <c r="S361" s="27">
        <f>INDEX(Schedule!$A$1:$N$2000, MATCH($C361, VAV_Schedule_5_21[[#All],[UNIT TAG]], FALSE), 5)</f>
        <v>1385</v>
      </c>
      <c r="T361" s="27">
        <f>INDEX(Schedule!$A$1:$N$2000, MATCH($C361, VAV_Schedule_5_21[[#All],[UNIT TAG]], FALSE), 6)</f>
        <v>210</v>
      </c>
      <c r="U361" s="27">
        <f>INDEX(Schedule!$A$1:$N$2000, MATCH($C361, VAV_Schedule_5_21[[#All],[UNIT TAG]], FALSE), 5)</f>
        <v>1385</v>
      </c>
      <c r="V361" s="27">
        <f>INDEX(Schedule!$A$1:$N$2000, MATCH($C361, VAV_Schedule_5_21[[#All],[UNIT TAG]], FALSE), 6)</f>
        <v>210</v>
      </c>
      <c r="W361" s="27">
        <f>INDEX(Schedule!$A$1:$N$2000, MATCH($C361, VAV_Schedule_5_21[[#All],[UNIT TAG]], FALSE), 6)</f>
        <v>210</v>
      </c>
      <c r="X361" s="27">
        <f>INDEX(Schedule!$A$1:$N$2000, MATCH($C361, VAV_Schedule_5_21[[#All],[UNIT TAG]], FALSE), 6)</f>
        <v>210</v>
      </c>
      <c r="Y361" s="27">
        <f>INDEX(Schedule!$A$1:$N$2000, MATCH($C361, VAV_Schedule_5_21[[#All],[UNIT TAG]], FALSE), 6)</f>
        <v>210</v>
      </c>
      <c r="Z361" s="27">
        <f>INDEX(Schedule!$A$1:$N$2000, MATCH($C361, VAV_Schedule_5_21[[#All],[UNIT TAG]], FALSE), 6)</f>
        <v>210</v>
      </c>
      <c r="AA361" s="27">
        <v>1000</v>
      </c>
      <c r="AB361" s="27">
        <v>1100</v>
      </c>
      <c r="AC361">
        <v>1400</v>
      </c>
      <c r="AD361" s="29">
        <f>IF(INDEX(Schedule!$A$1:$N$2000, MATCH($C361, VAV_Schedule_5_21[[#All],[UNIT TAG]], FALSE), 7)="-", 0, INDEX(Schedule!$A$1:$N$2000, MATCH($C361, VAV_Schedule_5_21[[#All],[UNIT TAG]], FALSE), 7))</f>
        <v>0</v>
      </c>
      <c r="AE361" t="str">
        <f>"B_01'" &amp; "Flr_0" &amp; INDEX(Joined!$A$3:$M$2000, MATCH($A361, Joined!$I$3:$I$2000, FALSE), 8)</f>
        <v>B_01'Flr_09</v>
      </c>
      <c r="AF361" t="str">
        <f>"R_" &amp; INDEX(Joined!$A$3:$M$2000, MATCH($A361, Joined!$I$3:$I$2000, FALSE), 7)</f>
        <v>R_VAV-9N-12</v>
      </c>
      <c r="AG361" t="str">
        <f>"B_01'" &amp; "Flr_0" &amp; INDEX(Joined!$A$3:$M$2000, MATCH($A361, Joined!$I$3:$I$2000, FALSE), 8)</f>
        <v>B_01'Flr_09</v>
      </c>
      <c r="AH361" t="str">
        <f>INDEX(Joined!$A$3:$M$2000, MATCH($A361, Joined!$I$3:$I$2000, FALSE), 7)</f>
        <v>VAV-9N-12</v>
      </c>
      <c r="AI361" t="s">
        <v>1689</v>
      </c>
    </row>
    <row r="362" spans="1:35" x14ac:dyDescent="0.2">
      <c r="A362" t="s">
        <v>1223</v>
      </c>
      <c r="B362" t="str">
        <f>"B_01'" &amp; "Flr_0" &amp; INDEX(Joined!$A$3:$M$2000, MATCH($A362, Joined!$I$3:$I$2000, FALSE), 8)</f>
        <v>B_01'Flr_09</v>
      </c>
      <c r="C362" t="str">
        <f>INDEX(Joined!$A$3:$M$2000, MATCH($A362, Joined!$I$3:$I$2000, FALSE), 7)</f>
        <v>VAV-9N-13</v>
      </c>
      <c r="D362">
        <f>INDEX(Joined!$A$3:$M$2000, MATCH($A362, Joined!$I$3:$I$2000, FALSE), 5)</f>
        <v>152210</v>
      </c>
      <c r="E362" t="str">
        <f>INDEX(Joined!$A$3:$M$2000, MATCH($A362, Joined!$I$3:$I$2000, FALSE), 7)</f>
        <v>VAV-9N-13</v>
      </c>
      <c r="F362" t="s">
        <v>38</v>
      </c>
      <c r="G362" t="str">
        <f>INDEX(Schedule!$Q$2:$R$7, MATCH(ABT!$H362,Schedule!$Q$2:$Q$7, 0), 2)</f>
        <v>15010_DXR_VAV_DXR2M12</v>
      </c>
      <c r="H362">
        <f>INDEX(Joined!$A$3:$M$2000, MATCH($A362, Joined!$I$3:$I$2000, FALSE), 6)</f>
        <v>15010</v>
      </c>
      <c r="I362" t="str">
        <f>INDEX(Joined!$A$3:$M$2000, MATCH($A362, Joined!$I$3:$I$2000, FALSE), 4)</f>
        <v>522</v>
      </c>
      <c r="J362" t="b">
        <v>0</v>
      </c>
      <c r="K362">
        <f>INDEX(Joined!$A$3:$M$2000, MATCH($A362, Joined!$I$3:$I$2000, FALSE), 3)</f>
        <v>10</v>
      </c>
      <c r="L362">
        <v>85</v>
      </c>
      <c r="M362">
        <v>38400</v>
      </c>
      <c r="N362" s="27">
        <f>PI()*(INDEX(Schedule!$A$1:$N$2000, MATCH($C362, VAV_Schedule_5_21[[#All],[UNIT TAG]], FALSE), 4)/2/12)^2</f>
        <v>0.54541539124822802</v>
      </c>
      <c r="O362" s="27">
        <f>INDEX(Schedule!$A$1:$N$2000, MATCH($C362, VAV_Schedule_5_21[[#All],[UNIT TAG]], FALSE), 4)</f>
        <v>10</v>
      </c>
      <c r="P362">
        <v>360.63</v>
      </c>
      <c r="Q362" s="27">
        <f>INDEX(Schedule!$A$1:$N$2000, MATCH($C362, VAV_Schedule_5_21[[#All],[UNIT TAG]], FALSE), 5)</f>
        <v>1120</v>
      </c>
      <c r="R362" s="27">
        <f>INDEX(Schedule!$A$1:$N$2000, MATCH($C362, VAV_Schedule_5_21[[#All],[UNIT TAG]], FALSE), 6)</f>
        <v>170</v>
      </c>
      <c r="S362" s="27">
        <f>INDEX(Schedule!$A$1:$N$2000, MATCH($C362, VAV_Schedule_5_21[[#All],[UNIT TAG]], FALSE), 5)</f>
        <v>1120</v>
      </c>
      <c r="T362" s="27">
        <f>INDEX(Schedule!$A$1:$N$2000, MATCH($C362, VAV_Schedule_5_21[[#All],[UNIT TAG]], FALSE), 6)</f>
        <v>170</v>
      </c>
      <c r="U362" s="27">
        <f>INDEX(Schedule!$A$1:$N$2000, MATCH($C362, VAV_Schedule_5_21[[#All],[UNIT TAG]], FALSE), 5)</f>
        <v>1120</v>
      </c>
      <c r="V362" s="27">
        <f>INDEX(Schedule!$A$1:$N$2000, MATCH($C362, VAV_Schedule_5_21[[#All],[UNIT TAG]], FALSE), 6)</f>
        <v>170</v>
      </c>
      <c r="W362" s="27">
        <f>INDEX(Schedule!$A$1:$N$2000, MATCH($C362, VAV_Schedule_5_21[[#All],[UNIT TAG]], FALSE), 6)</f>
        <v>170</v>
      </c>
      <c r="X362" s="27">
        <f>INDEX(Schedule!$A$1:$N$2000, MATCH($C362, VAV_Schedule_5_21[[#All],[UNIT TAG]], FALSE), 6)</f>
        <v>170</v>
      </c>
      <c r="Y362" s="27">
        <f>INDEX(Schedule!$A$1:$N$2000, MATCH($C362, VAV_Schedule_5_21[[#All],[UNIT TAG]], FALSE), 6)</f>
        <v>170</v>
      </c>
      <c r="Z362" s="27">
        <f>INDEX(Schedule!$A$1:$N$2000, MATCH($C362, VAV_Schedule_5_21[[#All],[UNIT TAG]], FALSE), 6)</f>
        <v>170</v>
      </c>
      <c r="AA362" s="27">
        <v>1000</v>
      </c>
      <c r="AB362" s="27">
        <v>1100</v>
      </c>
      <c r="AC362">
        <v>1400</v>
      </c>
      <c r="AD362" s="29">
        <f>IF(INDEX(Schedule!$A$1:$N$2000, MATCH($C362, VAV_Schedule_5_21[[#All],[UNIT TAG]], FALSE), 7)="-", 0, INDEX(Schedule!$A$1:$N$2000, MATCH($C362, VAV_Schedule_5_21[[#All],[UNIT TAG]], FALSE), 7))</f>
        <v>0</v>
      </c>
      <c r="AE362" t="str">
        <f>"B_01'" &amp; "Flr_0" &amp; INDEX(Joined!$A$3:$M$2000, MATCH($A362, Joined!$I$3:$I$2000, FALSE), 8)</f>
        <v>B_01'Flr_09</v>
      </c>
      <c r="AF362" t="str">
        <f>"R_" &amp; INDEX(Joined!$A$3:$M$2000, MATCH($A362, Joined!$I$3:$I$2000, FALSE), 7)</f>
        <v>R_VAV-9N-13</v>
      </c>
      <c r="AG362" t="str">
        <f>"B_01'" &amp; "Flr_0" &amp; INDEX(Joined!$A$3:$M$2000, MATCH($A362, Joined!$I$3:$I$2000, FALSE), 8)</f>
        <v>B_01'Flr_09</v>
      </c>
      <c r="AH362" t="str">
        <f>INDEX(Joined!$A$3:$M$2000, MATCH($A362, Joined!$I$3:$I$2000, FALSE), 7)</f>
        <v>VAV-9N-13</v>
      </c>
      <c r="AI362" t="s">
        <v>1690</v>
      </c>
    </row>
    <row r="363" spans="1:35" x14ac:dyDescent="0.2">
      <c r="A363" t="s">
        <v>1224</v>
      </c>
      <c r="B363" t="str">
        <f>"B_01'" &amp; "Flr_0" &amp; INDEX(Joined!$A$3:$M$2000, MATCH($A363, Joined!$I$3:$I$2000, FALSE), 8)</f>
        <v>B_01'Flr_09</v>
      </c>
      <c r="C363" t="str">
        <f>INDEX(Joined!$A$3:$M$2000, MATCH($A363, Joined!$I$3:$I$2000, FALSE), 7)</f>
        <v>VAV-9E-14</v>
      </c>
      <c r="D363">
        <f>INDEX(Joined!$A$3:$M$2000, MATCH($A363, Joined!$I$3:$I$2000, FALSE), 5)</f>
        <v>152301</v>
      </c>
      <c r="E363" t="str">
        <f>INDEX(Joined!$A$3:$M$2000, MATCH($A363, Joined!$I$3:$I$2000, FALSE), 7)</f>
        <v>VAV-9E-14</v>
      </c>
      <c r="F363" t="s">
        <v>38</v>
      </c>
      <c r="G363" t="str">
        <f>INDEX(Schedule!$Q$2:$R$7, MATCH(ABT!$H363,Schedule!$Q$2:$Q$7, 0), 2)</f>
        <v>15011_DXR_VAV_DXR2M12</v>
      </c>
      <c r="H363">
        <f>INDEX(Joined!$A$3:$M$2000, MATCH($A363, Joined!$I$3:$I$2000, FALSE), 6)</f>
        <v>15011</v>
      </c>
      <c r="I363" t="str">
        <f>INDEX(Joined!$A$3:$M$2000, MATCH($A363, Joined!$I$3:$I$2000, FALSE), 4)</f>
        <v>523</v>
      </c>
      <c r="J363" t="b">
        <v>0</v>
      </c>
      <c r="K363">
        <f>INDEX(Joined!$A$3:$M$2000, MATCH($A363, Joined!$I$3:$I$2000, FALSE), 3)</f>
        <v>1</v>
      </c>
      <c r="L363">
        <v>85</v>
      </c>
      <c r="M363">
        <v>38400</v>
      </c>
      <c r="N363" s="27">
        <f>PI()*(INDEX(Schedule!$A$1:$N$2000, MATCH($C363, VAV_Schedule_5_21[[#All],[UNIT TAG]], FALSE), 4)/2/12)^2</f>
        <v>0.54541539124822802</v>
      </c>
      <c r="O363" s="27">
        <f>INDEX(Schedule!$A$1:$N$2000, MATCH($C363, VAV_Schedule_5_21[[#All],[UNIT TAG]], FALSE), 4)</f>
        <v>10</v>
      </c>
      <c r="P363">
        <v>361.63</v>
      </c>
      <c r="Q363" s="27">
        <f>INDEX(Schedule!$A$1:$N$2000, MATCH($C363, VAV_Schedule_5_21[[#All],[UNIT TAG]], FALSE), 5)</f>
        <v>840</v>
      </c>
      <c r="R363" s="27">
        <f>INDEX(Schedule!$A$1:$N$2000, MATCH($C363, VAV_Schedule_5_21[[#All],[UNIT TAG]], FALSE), 6)</f>
        <v>130</v>
      </c>
      <c r="S363" s="27">
        <f>INDEX(Schedule!$A$1:$N$2000, MATCH($C363, VAV_Schedule_5_21[[#All],[UNIT TAG]], FALSE), 5)</f>
        <v>840</v>
      </c>
      <c r="T363" s="27">
        <f>INDEX(Schedule!$A$1:$N$2000, MATCH($C363, VAV_Schedule_5_21[[#All],[UNIT TAG]], FALSE), 6)</f>
        <v>130</v>
      </c>
      <c r="U363" s="27">
        <f>INDEX(Schedule!$A$1:$N$2000, MATCH($C363, VAV_Schedule_5_21[[#All],[UNIT TAG]], FALSE), 5)</f>
        <v>840</v>
      </c>
      <c r="V363" s="27">
        <f>INDEX(Schedule!$A$1:$N$2000, MATCH($C363, VAV_Schedule_5_21[[#All],[UNIT TAG]], FALSE), 6)</f>
        <v>130</v>
      </c>
      <c r="W363" s="27">
        <f>INDEX(Schedule!$A$1:$N$2000, MATCH($C363, VAV_Schedule_5_21[[#All],[UNIT TAG]], FALSE), 6)</f>
        <v>130</v>
      </c>
      <c r="X363" s="27">
        <f>INDEX(Schedule!$A$1:$N$2000, MATCH($C363, VAV_Schedule_5_21[[#All],[UNIT TAG]], FALSE), 6)</f>
        <v>130</v>
      </c>
      <c r="Y363" s="27">
        <f>INDEX(Schedule!$A$1:$N$2000, MATCH($C363, VAV_Schedule_5_21[[#All],[UNIT TAG]], FALSE), 6)</f>
        <v>130</v>
      </c>
      <c r="Z363" s="27">
        <f>INDEX(Schedule!$A$1:$N$2000, MATCH($C363, VAV_Schedule_5_21[[#All],[UNIT TAG]], FALSE), 6)</f>
        <v>130</v>
      </c>
      <c r="AA363" s="27">
        <v>1000</v>
      </c>
      <c r="AB363" s="27">
        <v>1100</v>
      </c>
      <c r="AC363">
        <v>1400</v>
      </c>
      <c r="AD363" s="29" t="str">
        <f>IF(INDEX(Schedule!$A$1:$N$2000, MATCH($C363, VAV_Schedule_5_21[[#All],[UNIT TAG]], FALSE), 7)="-", 0, INDEX(Schedule!$A$1:$N$2000, MATCH($C363, VAV_Schedule_5_21[[#All],[UNIT TAG]], FALSE), 7))</f>
        <v>6</v>
      </c>
      <c r="AE363" t="str">
        <f>"B_01'" &amp; "Flr_0" &amp; INDEX(Joined!$A$3:$M$2000, MATCH($A363, Joined!$I$3:$I$2000, FALSE), 8)</f>
        <v>B_01'Flr_09</v>
      </c>
      <c r="AF363" t="str">
        <f>"R_" &amp; INDEX(Joined!$A$3:$M$2000, MATCH($A363, Joined!$I$3:$I$2000, FALSE), 7)</f>
        <v>R_VAV-9E-14</v>
      </c>
      <c r="AG363" t="str">
        <f>"B_01'" &amp; "Flr_0" &amp; INDEX(Joined!$A$3:$M$2000, MATCH($A363, Joined!$I$3:$I$2000, FALSE), 8)</f>
        <v>B_01'Flr_09</v>
      </c>
      <c r="AH363" t="str">
        <f>INDEX(Joined!$A$3:$M$2000, MATCH($A363, Joined!$I$3:$I$2000, FALSE), 7)</f>
        <v>VAV-9E-14</v>
      </c>
      <c r="AI363" t="s">
        <v>1691</v>
      </c>
    </row>
    <row r="364" spans="1:35" x14ac:dyDescent="0.2">
      <c r="A364" t="s">
        <v>1225</v>
      </c>
      <c r="B364" t="str">
        <f>"B_01'" &amp; "Flr_0" &amp; INDEX(Joined!$A$3:$M$2000, MATCH($A364, Joined!$I$3:$I$2000, FALSE), 8)</f>
        <v>B_01'Flr_09</v>
      </c>
      <c r="C364" t="str">
        <f>INDEX(Joined!$A$3:$M$2000, MATCH($A364, Joined!$I$3:$I$2000, FALSE), 7)</f>
        <v>VAV-9E-15</v>
      </c>
      <c r="D364">
        <f>INDEX(Joined!$A$3:$M$2000, MATCH($A364, Joined!$I$3:$I$2000, FALSE), 5)</f>
        <v>152302</v>
      </c>
      <c r="E364" t="str">
        <f>INDEX(Joined!$A$3:$M$2000, MATCH($A364, Joined!$I$3:$I$2000, FALSE), 7)</f>
        <v>VAV-9E-15</v>
      </c>
      <c r="F364" t="s">
        <v>38</v>
      </c>
      <c r="G364" t="str">
        <f>INDEX(Schedule!$Q$2:$R$7, MATCH(ABT!$H364,Schedule!$Q$2:$Q$7, 0), 2)</f>
        <v>15011_DXR_VAV_DXR2M12</v>
      </c>
      <c r="H364">
        <f>INDEX(Joined!$A$3:$M$2000, MATCH($A364, Joined!$I$3:$I$2000, FALSE), 6)</f>
        <v>15011</v>
      </c>
      <c r="I364" t="str">
        <f>INDEX(Joined!$A$3:$M$2000, MATCH($A364, Joined!$I$3:$I$2000, FALSE), 4)</f>
        <v>523</v>
      </c>
      <c r="J364" t="b">
        <v>0</v>
      </c>
      <c r="K364">
        <f>INDEX(Joined!$A$3:$M$2000, MATCH($A364, Joined!$I$3:$I$2000, FALSE), 3)</f>
        <v>2</v>
      </c>
      <c r="L364">
        <v>85</v>
      </c>
      <c r="M364">
        <v>38400</v>
      </c>
      <c r="N364" s="27">
        <f>PI()*(INDEX(Schedule!$A$1:$N$2000, MATCH($C364, VAV_Schedule_5_21[[#All],[UNIT TAG]], FALSE), 4)/2/12)^2</f>
        <v>0.3490658503988659</v>
      </c>
      <c r="O364" s="27">
        <f>INDEX(Schedule!$A$1:$N$2000, MATCH($C364, VAV_Schedule_5_21[[#All],[UNIT TAG]], FALSE), 4)</f>
        <v>8</v>
      </c>
      <c r="P364">
        <v>362.63</v>
      </c>
      <c r="Q364" s="27">
        <f>INDEX(Schedule!$A$1:$N$2000, MATCH($C364, VAV_Schedule_5_21[[#All],[UNIT TAG]], FALSE), 5)</f>
        <v>640</v>
      </c>
      <c r="R364" s="27">
        <f>INDEX(Schedule!$A$1:$N$2000, MATCH($C364, VAV_Schedule_5_21[[#All],[UNIT TAG]], FALSE), 6)</f>
        <v>100</v>
      </c>
      <c r="S364" s="27">
        <f>INDEX(Schedule!$A$1:$N$2000, MATCH($C364, VAV_Schedule_5_21[[#All],[UNIT TAG]], FALSE), 5)</f>
        <v>640</v>
      </c>
      <c r="T364" s="27">
        <f>INDEX(Schedule!$A$1:$N$2000, MATCH($C364, VAV_Schedule_5_21[[#All],[UNIT TAG]], FALSE), 6)</f>
        <v>100</v>
      </c>
      <c r="U364" s="27">
        <f>INDEX(Schedule!$A$1:$N$2000, MATCH($C364, VAV_Schedule_5_21[[#All],[UNIT TAG]], FALSE), 5)</f>
        <v>640</v>
      </c>
      <c r="V364" s="27">
        <f>INDEX(Schedule!$A$1:$N$2000, MATCH($C364, VAV_Schedule_5_21[[#All],[UNIT TAG]], FALSE), 6)</f>
        <v>100</v>
      </c>
      <c r="W364" s="27">
        <f>INDEX(Schedule!$A$1:$N$2000, MATCH($C364, VAV_Schedule_5_21[[#All],[UNIT TAG]], FALSE), 6)</f>
        <v>100</v>
      </c>
      <c r="X364" s="27">
        <f>INDEX(Schedule!$A$1:$N$2000, MATCH($C364, VAV_Schedule_5_21[[#All],[UNIT TAG]], FALSE), 6)</f>
        <v>100</v>
      </c>
      <c r="Y364" s="27">
        <f>INDEX(Schedule!$A$1:$N$2000, MATCH($C364, VAV_Schedule_5_21[[#All],[UNIT TAG]], FALSE), 6)</f>
        <v>100</v>
      </c>
      <c r="Z364" s="27">
        <f>INDEX(Schedule!$A$1:$N$2000, MATCH($C364, VAV_Schedule_5_21[[#All],[UNIT TAG]], FALSE), 6)</f>
        <v>100</v>
      </c>
      <c r="AA364" s="27">
        <v>1000</v>
      </c>
      <c r="AB364" s="27">
        <v>1100</v>
      </c>
      <c r="AC364">
        <v>1400</v>
      </c>
      <c r="AD364" s="29" t="str">
        <f>IF(INDEX(Schedule!$A$1:$N$2000, MATCH($C364, VAV_Schedule_5_21[[#All],[UNIT TAG]], FALSE), 7)="-", 0, INDEX(Schedule!$A$1:$N$2000, MATCH($C364, VAV_Schedule_5_21[[#All],[UNIT TAG]], FALSE), 7))</f>
        <v>6</v>
      </c>
      <c r="AE364" t="str">
        <f>"B_01'" &amp; "Flr_0" &amp; INDEX(Joined!$A$3:$M$2000, MATCH($A364, Joined!$I$3:$I$2000, FALSE), 8)</f>
        <v>B_01'Flr_09</v>
      </c>
      <c r="AF364" t="str">
        <f>"R_" &amp; INDEX(Joined!$A$3:$M$2000, MATCH($A364, Joined!$I$3:$I$2000, FALSE), 7)</f>
        <v>R_VAV-9E-15</v>
      </c>
      <c r="AG364" t="str">
        <f>"B_01'" &amp; "Flr_0" &amp; INDEX(Joined!$A$3:$M$2000, MATCH($A364, Joined!$I$3:$I$2000, FALSE), 8)</f>
        <v>B_01'Flr_09</v>
      </c>
      <c r="AH364" t="str">
        <f>INDEX(Joined!$A$3:$M$2000, MATCH($A364, Joined!$I$3:$I$2000, FALSE), 7)</f>
        <v>VAV-9E-15</v>
      </c>
      <c r="AI364" t="s">
        <v>1692</v>
      </c>
    </row>
    <row r="365" spans="1:35" x14ac:dyDescent="0.2">
      <c r="A365" t="s">
        <v>1226</v>
      </c>
      <c r="B365" t="str">
        <f>"B_01'" &amp; "Flr_0" &amp; INDEX(Joined!$A$3:$M$2000, MATCH($A365, Joined!$I$3:$I$2000, FALSE), 8)</f>
        <v>B_01'Flr_09</v>
      </c>
      <c r="C365" t="str">
        <f>INDEX(Joined!$A$3:$M$2000, MATCH($A365, Joined!$I$3:$I$2000, FALSE), 7)</f>
        <v>VAV-9E-16</v>
      </c>
      <c r="D365">
        <f>INDEX(Joined!$A$3:$M$2000, MATCH($A365, Joined!$I$3:$I$2000, FALSE), 5)</f>
        <v>152303</v>
      </c>
      <c r="E365" t="str">
        <f>INDEX(Joined!$A$3:$M$2000, MATCH($A365, Joined!$I$3:$I$2000, FALSE), 7)</f>
        <v>VAV-9E-16</v>
      </c>
      <c r="F365" t="s">
        <v>38</v>
      </c>
      <c r="G365" t="str">
        <f>INDEX(Schedule!$Q$2:$R$7, MATCH(ABT!$H365,Schedule!$Q$2:$Q$7, 0), 2)</f>
        <v>15011_DXR_VAV_DXR2M12</v>
      </c>
      <c r="H365">
        <f>INDEX(Joined!$A$3:$M$2000, MATCH($A365, Joined!$I$3:$I$2000, FALSE), 6)</f>
        <v>15011</v>
      </c>
      <c r="I365" t="str">
        <f>INDEX(Joined!$A$3:$M$2000, MATCH($A365, Joined!$I$3:$I$2000, FALSE), 4)</f>
        <v>523</v>
      </c>
      <c r="J365" t="b">
        <v>0</v>
      </c>
      <c r="K365">
        <f>INDEX(Joined!$A$3:$M$2000, MATCH($A365, Joined!$I$3:$I$2000, FALSE), 3)</f>
        <v>3</v>
      </c>
      <c r="L365">
        <v>85</v>
      </c>
      <c r="M365">
        <v>38400</v>
      </c>
      <c r="N365" s="27">
        <f>PI()*(INDEX(Schedule!$A$1:$N$2000, MATCH($C365, VAV_Schedule_5_21[[#All],[UNIT TAG]], FALSE), 4)/2/12)^2</f>
        <v>0.3490658503988659</v>
      </c>
      <c r="O365" s="27">
        <f>INDEX(Schedule!$A$1:$N$2000, MATCH($C365, VAV_Schedule_5_21[[#All],[UNIT TAG]], FALSE), 4)</f>
        <v>8</v>
      </c>
      <c r="P365">
        <v>363.63</v>
      </c>
      <c r="Q365" s="27">
        <f>INDEX(Schedule!$A$1:$N$2000, MATCH($C365, VAV_Schedule_5_21[[#All],[UNIT TAG]], FALSE), 5)</f>
        <v>685</v>
      </c>
      <c r="R365" s="27">
        <f>INDEX(Schedule!$A$1:$N$2000, MATCH($C365, VAV_Schedule_5_21[[#All],[UNIT TAG]], FALSE), 6)</f>
        <v>105</v>
      </c>
      <c r="S365" s="27">
        <f>INDEX(Schedule!$A$1:$N$2000, MATCH($C365, VAV_Schedule_5_21[[#All],[UNIT TAG]], FALSE), 5)</f>
        <v>685</v>
      </c>
      <c r="T365" s="27">
        <f>INDEX(Schedule!$A$1:$N$2000, MATCH($C365, VAV_Schedule_5_21[[#All],[UNIT TAG]], FALSE), 6)</f>
        <v>105</v>
      </c>
      <c r="U365" s="27">
        <f>INDEX(Schedule!$A$1:$N$2000, MATCH($C365, VAV_Schedule_5_21[[#All],[UNIT TAG]], FALSE), 5)</f>
        <v>685</v>
      </c>
      <c r="V365" s="27">
        <f>INDEX(Schedule!$A$1:$N$2000, MATCH($C365, VAV_Schedule_5_21[[#All],[UNIT TAG]], FALSE), 6)</f>
        <v>105</v>
      </c>
      <c r="W365" s="27">
        <f>INDEX(Schedule!$A$1:$N$2000, MATCH($C365, VAV_Schedule_5_21[[#All],[UNIT TAG]], FALSE), 6)</f>
        <v>105</v>
      </c>
      <c r="X365" s="27">
        <f>INDEX(Schedule!$A$1:$N$2000, MATCH($C365, VAV_Schedule_5_21[[#All],[UNIT TAG]], FALSE), 6)</f>
        <v>105</v>
      </c>
      <c r="Y365" s="27">
        <f>INDEX(Schedule!$A$1:$N$2000, MATCH($C365, VAV_Schedule_5_21[[#All],[UNIT TAG]], FALSE), 6)</f>
        <v>105</v>
      </c>
      <c r="Z365" s="27">
        <f>INDEX(Schedule!$A$1:$N$2000, MATCH($C365, VAV_Schedule_5_21[[#All],[UNIT TAG]], FALSE), 6)</f>
        <v>105</v>
      </c>
      <c r="AA365" s="27">
        <v>1000</v>
      </c>
      <c r="AB365" s="27">
        <v>1100</v>
      </c>
      <c r="AC365">
        <v>1400</v>
      </c>
      <c r="AD365" s="29" t="str">
        <f>IF(INDEX(Schedule!$A$1:$N$2000, MATCH($C365, VAV_Schedule_5_21[[#All],[UNIT TAG]], FALSE), 7)="-", 0, INDEX(Schedule!$A$1:$N$2000, MATCH($C365, VAV_Schedule_5_21[[#All],[UNIT TAG]], FALSE), 7))</f>
        <v>6</v>
      </c>
      <c r="AE365" t="str">
        <f>"B_01'" &amp; "Flr_0" &amp; INDEX(Joined!$A$3:$M$2000, MATCH($A365, Joined!$I$3:$I$2000, FALSE), 8)</f>
        <v>B_01'Flr_09</v>
      </c>
      <c r="AF365" t="str">
        <f>"R_" &amp; INDEX(Joined!$A$3:$M$2000, MATCH($A365, Joined!$I$3:$I$2000, FALSE), 7)</f>
        <v>R_VAV-9E-16</v>
      </c>
      <c r="AG365" t="str">
        <f>"B_01'" &amp; "Flr_0" &amp; INDEX(Joined!$A$3:$M$2000, MATCH($A365, Joined!$I$3:$I$2000, FALSE), 8)</f>
        <v>B_01'Flr_09</v>
      </c>
      <c r="AH365" t="str">
        <f>INDEX(Joined!$A$3:$M$2000, MATCH($A365, Joined!$I$3:$I$2000, FALSE), 7)</f>
        <v>VAV-9E-16</v>
      </c>
      <c r="AI365" t="s">
        <v>1693</v>
      </c>
    </row>
    <row r="366" spans="1:35" x14ac:dyDescent="0.2">
      <c r="A366" t="s">
        <v>1227</v>
      </c>
      <c r="B366" t="str">
        <f>"B_01'" &amp; "Flr_0" &amp; INDEX(Joined!$A$3:$M$2000, MATCH($A366, Joined!$I$3:$I$2000, FALSE), 8)</f>
        <v>B_01'Flr_09</v>
      </c>
      <c r="C366" t="str">
        <f>INDEX(Joined!$A$3:$M$2000, MATCH($A366, Joined!$I$3:$I$2000, FALSE), 7)</f>
        <v>VAV-9E-17</v>
      </c>
      <c r="D366">
        <f>INDEX(Joined!$A$3:$M$2000, MATCH($A366, Joined!$I$3:$I$2000, FALSE), 5)</f>
        <v>152304</v>
      </c>
      <c r="E366" t="str">
        <f>INDEX(Joined!$A$3:$M$2000, MATCH($A366, Joined!$I$3:$I$2000, FALSE), 7)</f>
        <v>VAV-9E-17</v>
      </c>
      <c r="F366" t="s">
        <v>38</v>
      </c>
      <c r="G366" t="str">
        <f>INDEX(Schedule!$Q$2:$R$7, MATCH(ABT!$H366,Schedule!$Q$2:$Q$7, 0), 2)</f>
        <v>15011_DXR_VAV_DXR2M12</v>
      </c>
      <c r="H366">
        <f>INDEX(Joined!$A$3:$M$2000, MATCH($A366, Joined!$I$3:$I$2000, FALSE), 6)</f>
        <v>15011</v>
      </c>
      <c r="I366" t="str">
        <f>INDEX(Joined!$A$3:$M$2000, MATCH($A366, Joined!$I$3:$I$2000, FALSE), 4)</f>
        <v>523</v>
      </c>
      <c r="J366" t="b">
        <v>0</v>
      </c>
      <c r="K366">
        <f>INDEX(Joined!$A$3:$M$2000, MATCH($A366, Joined!$I$3:$I$2000, FALSE), 3)</f>
        <v>4</v>
      </c>
      <c r="L366">
        <v>85</v>
      </c>
      <c r="M366">
        <v>38400</v>
      </c>
      <c r="N366" s="27">
        <f>PI()*(INDEX(Schedule!$A$1:$N$2000, MATCH($C366, VAV_Schedule_5_21[[#All],[UNIT TAG]], FALSE), 4)/2/12)^2</f>
        <v>0.3490658503988659</v>
      </c>
      <c r="O366" s="27">
        <f>INDEX(Schedule!$A$1:$N$2000, MATCH($C366, VAV_Schedule_5_21[[#All],[UNIT TAG]], FALSE), 4)</f>
        <v>8</v>
      </c>
      <c r="P366">
        <v>364.63</v>
      </c>
      <c r="Q366" s="27">
        <f>INDEX(Schedule!$A$1:$N$2000, MATCH($C366, VAV_Schedule_5_21[[#All],[UNIT TAG]], FALSE), 5)</f>
        <v>600</v>
      </c>
      <c r="R366" s="27">
        <f>INDEX(Schedule!$A$1:$N$2000, MATCH($C366, VAV_Schedule_5_21[[#All],[UNIT TAG]], FALSE), 6)</f>
        <v>90</v>
      </c>
      <c r="S366" s="27">
        <f>INDEX(Schedule!$A$1:$N$2000, MATCH($C366, VAV_Schedule_5_21[[#All],[UNIT TAG]], FALSE), 5)</f>
        <v>600</v>
      </c>
      <c r="T366" s="27">
        <f>INDEX(Schedule!$A$1:$N$2000, MATCH($C366, VAV_Schedule_5_21[[#All],[UNIT TAG]], FALSE), 6)</f>
        <v>90</v>
      </c>
      <c r="U366" s="27">
        <f>INDEX(Schedule!$A$1:$N$2000, MATCH($C366, VAV_Schedule_5_21[[#All],[UNIT TAG]], FALSE), 5)</f>
        <v>600</v>
      </c>
      <c r="V366" s="27">
        <f>INDEX(Schedule!$A$1:$N$2000, MATCH($C366, VAV_Schedule_5_21[[#All],[UNIT TAG]], FALSE), 6)</f>
        <v>90</v>
      </c>
      <c r="W366" s="27">
        <f>INDEX(Schedule!$A$1:$N$2000, MATCH($C366, VAV_Schedule_5_21[[#All],[UNIT TAG]], FALSE), 6)</f>
        <v>90</v>
      </c>
      <c r="X366" s="27">
        <f>INDEX(Schedule!$A$1:$N$2000, MATCH($C366, VAV_Schedule_5_21[[#All],[UNIT TAG]], FALSE), 6)</f>
        <v>90</v>
      </c>
      <c r="Y366" s="27">
        <f>INDEX(Schedule!$A$1:$N$2000, MATCH($C366, VAV_Schedule_5_21[[#All],[UNIT TAG]], FALSE), 6)</f>
        <v>90</v>
      </c>
      <c r="Z366" s="27">
        <f>INDEX(Schedule!$A$1:$N$2000, MATCH($C366, VAV_Schedule_5_21[[#All],[UNIT TAG]], FALSE), 6)</f>
        <v>90</v>
      </c>
      <c r="AA366" s="27">
        <v>1000</v>
      </c>
      <c r="AB366" s="27">
        <v>1100</v>
      </c>
      <c r="AC366">
        <v>1400</v>
      </c>
      <c r="AD366" s="29" t="str">
        <f>IF(INDEX(Schedule!$A$1:$N$2000, MATCH($C366, VAV_Schedule_5_21[[#All],[UNIT TAG]], FALSE), 7)="-", 0, INDEX(Schedule!$A$1:$N$2000, MATCH($C366, VAV_Schedule_5_21[[#All],[UNIT TAG]], FALSE), 7))</f>
        <v>6</v>
      </c>
      <c r="AE366" t="str">
        <f>"B_01'" &amp; "Flr_0" &amp; INDEX(Joined!$A$3:$M$2000, MATCH($A366, Joined!$I$3:$I$2000, FALSE), 8)</f>
        <v>B_01'Flr_09</v>
      </c>
      <c r="AF366" t="str">
        <f>"R_" &amp; INDEX(Joined!$A$3:$M$2000, MATCH($A366, Joined!$I$3:$I$2000, FALSE), 7)</f>
        <v>R_VAV-9E-17</v>
      </c>
      <c r="AG366" t="str">
        <f>"B_01'" &amp; "Flr_0" &amp; INDEX(Joined!$A$3:$M$2000, MATCH($A366, Joined!$I$3:$I$2000, FALSE), 8)</f>
        <v>B_01'Flr_09</v>
      </c>
      <c r="AH366" t="str">
        <f>INDEX(Joined!$A$3:$M$2000, MATCH($A366, Joined!$I$3:$I$2000, FALSE), 7)</f>
        <v>VAV-9E-17</v>
      </c>
      <c r="AI366" t="s">
        <v>1694</v>
      </c>
    </row>
    <row r="367" spans="1:35" x14ac:dyDescent="0.2">
      <c r="A367" t="s">
        <v>1228</v>
      </c>
      <c r="B367" t="str">
        <f>"B_01'" &amp; "Flr_0" &amp; INDEX(Joined!$A$3:$M$2000, MATCH($A367, Joined!$I$3:$I$2000, FALSE), 8)</f>
        <v>B_01'Flr_09</v>
      </c>
      <c r="C367" t="str">
        <f>INDEX(Joined!$A$3:$M$2000, MATCH($A367, Joined!$I$3:$I$2000, FALSE), 7)</f>
        <v>VAV-9E-18</v>
      </c>
      <c r="D367">
        <f>INDEX(Joined!$A$3:$M$2000, MATCH($A367, Joined!$I$3:$I$2000, FALSE), 5)</f>
        <v>152305</v>
      </c>
      <c r="E367" t="str">
        <f>INDEX(Joined!$A$3:$M$2000, MATCH($A367, Joined!$I$3:$I$2000, FALSE), 7)</f>
        <v>VAV-9E-18</v>
      </c>
      <c r="F367" t="s">
        <v>38</v>
      </c>
      <c r="G367" t="str">
        <f>INDEX(Schedule!$Q$2:$R$7, MATCH(ABT!$H367,Schedule!$Q$2:$Q$7, 0), 2)</f>
        <v>15010_DXR_VAV_DXR2M12</v>
      </c>
      <c r="H367">
        <f>INDEX(Joined!$A$3:$M$2000, MATCH($A367, Joined!$I$3:$I$2000, FALSE), 6)</f>
        <v>15010</v>
      </c>
      <c r="I367" t="str">
        <f>INDEX(Joined!$A$3:$M$2000, MATCH($A367, Joined!$I$3:$I$2000, FALSE), 4)</f>
        <v>523</v>
      </c>
      <c r="J367" t="b">
        <v>0</v>
      </c>
      <c r="K367">
        <f>INDEX(Joined!$A$3:$M$2000, MATCH($A367, Joined!$I$3:$I$2000, FALSE), 3)</f>
        <v>5</v>
      </c>
      <c r="L367">
        <v>85</v>
      </c>
      <c r="M367">
        <v>38400</v>
      </c>
      <c r="N367" s="27">
        <f>PI()*(INDEX(Schedule!$A$1:$N$2000, MATCH($C367, VAV_Schedule_5_21[[#All],[UNIT TAG]], FALSE), 4)/2/12)^2</f>
        <v>0.19634954084936207</v>
      </c>
      <c r="O367" s="27">
        <f>INDEX(Schedule!$A$1:$N$2000, MATCH($C367, VAV_Schedule_5_21[[#All],[UNIT TAG]], FALSE), 4)</f>
        <v>6</v>
      </c>
      <c r="P367">
        <v>365.63</v>
      </c>
      <c r="Q367" s="27">
        <f>INDEX(Schedule!$A$1:$N$2000, MATCH($C367, VAV_Schedule_5_21[[#All],[UNIT TAG]], FALSE), 5)</f>
        <v>200</v>
      </c>
      <c r="R367" s="27">
        <f>INDEX(Schedule!$A$1:$N$2000, MATCH($C367, VAV_Schedule_5_21[[#All],[UNIT TAG]], FALSE), 6)</f>
        <v>30</v>
      </c>
      <c r="S367" s="27">
        <f>INDEX(Schedule!$A$1:$N$2000, MATCH($C367, VAV_Schedule_5_21[[#All],[UNIT TAG]], FALSE), 5)</f>
        <v>200</v>
      </c>
      <c r="T367" s="27">
        <f>INDEX(Schedule!$A$1:$N$2000, MATCH($C367, VAV_Schedule_5_21[[#All],[UNIT TAG]], FALSE), 6)</f>
        <v>30</v>
      </c>
      <c r="U367" s="27">
        <f>INDEX(Schedule!$A$1:$N$2000, MATCH($C367, VAV_Schedule_5_21[[#All],[UNIT TAG]], FALSE), 5)</f>
        <v>200</v>
      </c>
      <c r="V367" s="27">
        <f>INDEX(Schedule!$A$1:$N$2000, MATCH($C367, VAV_Schedule_5_21[[#All],[UNIT TAG]], FALSE), 6)</f>
        <v>30</v>
      </c>
      <c r="W367" s="27">
        <f>INDEX(Schedule!$A$1:$N$2000, MATCH($C367, VAV_Schedule_5_21[[#All],[UNIT TAG]], FALSE), 6)</f>
        <v>30</v>
      </c>
      <c r="X367" s="27">
        <f>INDEX(Schedule!$A$1:$N$2000, MATCH($C367, VAV_Schedule_5_21[[#All],[UNIT TAG]], FALSE), 6)</f>
        <v>30</v>
      </c>
      <c r="Y367" s="27">
        <f>INDEX(Schedule!$A$1:$N$2000, MATCH($C367, VAV_Schedule_5_21[[#All],[UNIT TAG]], FALSE), 6)</f>
        <v>30</v>
      </c>
      <c r="Z367" s="27">
        <f>INDEX(Schedule!$A$1:$N$2000, MATCH($C367, VAV_Schedule_5_21[[#All],[UNIT TAG]], FALSE), 6)</f>
        <v>30</v>
      </c>
      <c r="AA367" s="27">
        <v>1000</v>
      </c>
      <c r="AB367" s="27">
        <v>1100</v>
      </c>
      <c r="AC367">
        <v>1400</v>
      </c>
      <c r="AD367" s="29">
        <f>IF(INDEX(Schedule!$A$1:$N$2000, MATCH($C367, VAV_Schedule_5_21[[#All],[UNIT TAG]], FALSE), 7)="-", 0, INDEX(Schedule!$A$1:$N$2000, MATCH($C367, VAV_Schedule_5_21[[#All],[UNIT TAG]], FALSE), 7))</f>
        <v>0</v>
      </c>
      <c r="AE367" t="str">
        <f>"B_01'" &amp; "Flr_0" &amp; INDEX(Joined!$A$3:$M$2000, MATCH($A367, Joined!$I$3:$I$2000, FALSE), 8)</f>
        <v>B_01'Flr_09</v>
      </c>
      <c r="AF367" t="str">
        <f>"R_" &amp; INDEX(Joined!$A$3:$M$2000, MATCH($A367, Joined!$I$3:$I$2000, FALSE), 7)</f>
        <v>R_VAV-9E-18</v>
      </c>
      <c r="AG367" t="str">
        <f>"B_01'" &amp; "Flr_0" &amp; INDEX(Joined!$A$3:$M$2000, MATCH($A367, Joined!$I$3:$I$2000, FALSE), 8)</f>
        <v>B_01'Flr_09</v>
      </c>
      <c r="AH367" t="str">
        <f>INDEX(Joined!$A$3:$M$2000, MATCH($A367, Joined!$I$3:$I$2000, FALSE), 7)</f>
        <v>VAV-9E-18</v>
      </c>
      <c r="AI367" t="s">
        <v>1695</v>
      </c>
    </row>
    <row r="368" spans="1:35" x14ac:dyDescent="0.2">
      <c r="A368" t="s">
        <v>1229</v>
      </c>
      <c r="B368" t="str">
        <f>"B_01'" &amp; "Flr_0" &amp; INDEX(Joined!$A$3:$M$2000, MATCH($A368, Joined!$I$3:$I$2000, FALSE), 8)</f>
        <v>B_01'Flr_09</v>
      </c>
      <c r="C368" t="str">
        <f>INDEX(Joined!$A$3:$M$2000, MATCH($A368, Joined!$I$3:$I$2000, FALSE), 7)</f>
        <v>VAV-9E-19</v>
      </c>
      <c r="D368">
        <f>INDEX(Joined!$A$3:$M$2000, MATCH($A368, Joined!$I$3:$I$2000, FALSE), 5)</f>
        <v>152306</v>
      </c>
      <c r="E368" t="str">
        <f>INDEX(Joined!$A$3:$M$2000, MATCH($A368, Joined!$I$3:$I$2000, FALSE), 7)</f>
        <v>VAV-9E-19</v>
      </c>
      <c r="F368" t="s">
        <v>38</v>
      </c>
      <c r="G368" t="str">
        <f>INDEX(Schedule!$Q$2:$R$7, MATCH(ABT!$H368,Schedule!$Q$2:$Q$7, 0), 2)</f>
        <v>15010_DXR_VAV_DXR2M12</v>
      </c>
      <c r="H368">
        <f>INDEX(Joined!$A$3:$M$2000, MATCH($A368, Joined!$I$3:$I$2000, FALSE), 6)</f>
        <v>15010</v>
      </c>
      <c r="I368" t="str">
        <f>INDEX(Joined!$A$3:$M$2000, MATCH($A368, Joined!$I$3:$I$2000, FALSE), 4)</f>
        <v>523</v>
      </c>
      <c r="J368" t="b">
        <v>0</v>
      </c>
      <c r="K368">
        <f>INDEX(Joined!$A$3:$M$2000, MATCH($A368, Joined!$I$3:$I$2000, FALSE), 3)</f>
        <v>6</v>
      </c>
      <c r="L368">
        <v>85</v>
      </c>
      <c r="M368">
        <v>38400</v>
      </c>
      <c r="N368" s="27">
        <f>PI()*(INDEX(Schedule!$A$1:$N$2000, MATCH($C368, VAV_Schedule_5_21[[#All],[UNIT TAG]], FALSE), 4)/2/12)^2</f>
        <v>0.3490658503988659</v>
      </c>
      <c r="O368" s="27">
        <f>INDEX(Schedule!$A$1:$N$2000, MATCH($C368, VAV_Schedule_5_21[[#All],[UNIT TAG]], FALSE), 4)</f>
        <v>8</v>
      </c>
      <c r="P368">
        <v>366.63</v>
      </c>
      <c r="Q368" s="27">
        <f>INDEX(Schedule!$A$1:$N$2000, MATCH($C368, VAV_Schedule_5_21[[#All],[UNIT TAG]], FALSE), 5)</f>
        <v>680</v>
      </c>
      <c r="R368" s="27">
        <f>INDEX(Schedule!$A$1:$N$2000, MATCH($C368, VAV_Schedule_5_21[[#All],[UNIT TAG]], FALSE), 6)</f>
        <v>105</v>
      </c>
      <c r="S368" s="27">
        <f>INDEX(Schedule!$A$1:$N$2000, MATCH($C368, VAV_Schedule_5_21[[#All],[UNIT TAG]], FALSE), 5)</f>
        <v>680</v>
      </c>
      <c r="T368" s="27">
        <f>INDEX(Schedule!$A$1:$N$2000, MATCH($C368, VAV_Schedule_5_21[[#All],[UNIT TAG]], FALSE), 6)</f>
        <v>105</v>
      </c>
      <c r="U368" s="27">
        <f>INDEX(Schedule!$A$1:$N$2000, MATCH($C368, VAV_Schedule_5_21[[#All],[UNIT TAG]], FALSE), 5)</f>
        <v>680</v>
      </c>
      <c r="V368" s="27">
        <f>INDEX(Schedule!$A$1:$N$2000, MATCH($C368, VAV_Schedule_5_21[[#All],[UNIT TAG]], FALSE), 6)</f>
        <v>105</v>
      </c>
      <c r="W368" s="27">
        <f>INDEX(Schedule!$A$1:$N$2000, MATCH($C368, VAV_Schedule_5_21[[#All],[UNIT TAG]], FALSE), 6)</f>
        <v>105</v>
      </c>
      <c r="X368" s="27">
        <f>INDEX(Schedule!$A$1:$N$2000, MATCH($C368, VAV_Schedule_5_21[[#All],[UNIT TAG]], FALSE), 6)</f>
        <v>105</v>
      </c>
      <c r="Y368" s="27">
        <f>INDEX(Schedule!$A$1:$N$2000, MATCH($C368, VAV_Schedule_5_21[[#All],[UNIT TAG]], FALSE), 6)</f>
        <v>105</v>
      </c>
      <c r="Z368" s="27">
        <f>INDEX(Schedule!$A$1:$N$2000, MATCH($C368, VAV_Schedule_5_21[[#All],[UNIT TAG]], FALSE), 6)</f>
        <v>105</v>
      </c>
      <c r="AA368" s="27">
        <v>1000</v>
      </c>
      <c r="AB368" s="27">
        <v>1100</v>
      </c>
      <c r="AC368">
        <v>1400</v>
      </c>
      <c r="AD368" s="29">
        <f>IF(INDEX(Schedule!$A$1:$N$2000, MATCH($C368, VAV_Schedule_5_21[[#All],[UNIT TAG]], FALSE), 7)="-", 0, INDEX(Schedule!$A$1:$N$2000, MATCH($C368, VAV_Schedule_5_21[[#All],[UNIT TAG]], FALSE), 7))</f>
        <v>0</v>
      </c>
      <c r="AE368" t="str">
        <f>"B_01'" &amp; "Flr_0" &amp; INDEX(Joined!$A$3:$M$2000, MATCH($A368, Joined!$I$3:$I$2000, FALSE), 8)</f>
        <v>B_01'Flr_09</v>
      </c>
      <c r="AF368" t="str">
        <f>"R_" &amp; INDEX(Joined!$A$3:$M$2000, MATCH($A368, Joined!$I$3:$I$2000, FALSE), 7)</f>
        <v>R_VAV-9E-19</v>
      </c>
      <c r="AG368" t="str">
        <f>"B_01'" &amp; "Flr_0" &amp; INDEX(Joined!$A$3:$M$2000, MATCH($A368, Joined!$I$3:$I$2000, FALSE), 8)</f>
        <v>B_01'Flr_09</v>
      </c>
      <c r="AH368" t="str">
        <f>INDEX(Joined!$A$3:$M$2000, MATCH($A368, Joined!$I$3:$I$2000, FALSE), 7)</f>
        <v>VAV-9E-19</v>
      </c>
      <c r="AI368" t="s">
        <v>1696</v>
      </c>
    </row>
    <row r="369" spans="1:35" x14ac:dyDescent="0.2">
      <c r="A369" t="s">
        <v>1230</v>
      </c>
      <c r="B369" t="str">
        <f>"B_01'" &amp; "Flr_0" &amp; INDEX(Joined!$A$3:$M$2000, MATCH($A369, Joined!$I$3:$I$2000, FALSE), 8)</f>
        <v>B_01'Flr_09</v>
      </c>
      <c r="C369" t="str">
        <f>INDEX(Joined!$A$3:$M$2000, MATCH($A369, Joined!$I$3:$I$2000, FALSE), 7)</f>
        <v>VAV-9E-20</v>
      </c>
      <c r="D369">
        <f>INDEX(Joined!$A$3:$M$2000, MATCH($A369, Joined!$I$3:$I$2000, FALSE), 5)</f>
        <v>152307</v>
      </c>
      <c r="E369" t="str">
        <f>INDEX(Joined!$A$3:$M$2000, MATCH($A369, Joined!$I$3:$I$2000, FALSE), 7)</f>
        <v>VAV-9E-20</v>
      </c>
      <c r="F369" t="s">
        <v>38</v>
      </c>
      <c r="G369" t="str">
        <f>INDEX(Schedule!$Q$2:$R$7, MATCH(ABT!$H369,Schedule!$Q$2:$Q$7, 0), 2)</f>
        <v>15011_DXR_VAV_DXR2M12</v>
      </c>
      <c r="H369">
        <f>INDEX(Joined!$A$3:$M$2000, MATCH($A369, Joined!$I$3:$I$2000, FALSE), 6)</f>
        <v>15011</v>
      </c>
      <c r="I369" t="str">
        <f>INDEX(Joined!$A$3:$M$2000, MATCH($A369, Joined!$I$3:$I$2000, FALSE), 4)</f>
        <v>523</v>
      </c>
      <c r="J369" t="b">
        <v>0</v>
      </c>
      <c r="K369">
        <f>INDEX(Joined!$A$3:$M$2000, MATCH($A369, Joined!$I$3:$I$2000, FALSE), 3)</f>
        <v>7</v>
      </c>
      <c r="L369">
        <v>85</v>
      </c>
      <c r="M369">
        <v>38400</v>
      </c>
      <c r="N369" s="27">
        <f>PI()*(INDEX(Schedule!$A$1:$N$2000, MATCH($C369, VAV_Schedule_5_21[[#All],[UNIT TAG]], FALSE), 4)/2/12)^2</f>
        <v>0.54541539124822802</v>
      </c>
      <c r="O369" s="27">
        <f>INDEX(Schedule!$A$1:$N$2000, MATCH($C369, VAV_Schedule_5_21[[#All],[UNIT TAG]], FALSE), 4)</f>
        <v>10</v>
      </c>
      <c r="P369">
        <v>367.63</v>
      </c>
      <c r="Q369" s="27">
        <f>INDEX(Schedule!$A$1:$N$2000, MATCH($C369, VAV_Schedule_5_21[[#All],[UNIT TAG]], FALSE), 5)</f>
        <v>1085</v>
      </c>
      <c r="R369" s="27">
        <f>INDEX(Schedule!$A$1:$N$2000, MATCH($C369, VAV_Schedule_5_21[[#All],[UNIT TAG]], FALSE), 6)</f>
        <v>165</v>
      </c>
      <c r="S369" s="27">
        <f>INDEX(Schedule!$A$1:$N$2000, MATCH($C369, VAV_Schedule_5_21[[#All],[UNIT TAG]], FALSE), 5)</f>
        <v>1085</v>
      </c>
      <c r="T369" s="27">
        <f>INDEX(Schedule!$A$1:$N$2000, MATCH($C369, VAV_Schedule_5_21[[#All],[UNIT TAG]], FALSE), 6)</f>
        <v>165</v>
      </c>
      <c r="U369" s="27">
        <f>INDEX(Schedule!$A$1:$N$2000, MATCH($C369, VAV_Schedule_5_21[[#All],[UNIT TAG]], FALSE), 5)</f>
        <v>1085</v>
      </c>
      <c r="V369" s="27">
        <f>INDEX(Schedule!$A$1:$N$2000, MATCH($C369, VAV_Schedule_5_21[[#All],[UNIT TAG]], FALSE), 6)</f>
        <v>165</v>
      </c>
      <c r="W369" s="27">
        <f>INDEX(Schedule!$A$1:$N$2000, MATCH($C369, VAV_Schedule_5_21[[#All],[UNIT TAG]], FALSE), 6)</f>
        <v>165</v>
      </c>
      <c r="X369" s="27">
        <f>INDEX(Schedule!$A$1:$N$2000, MATCH($C369, VAV_Schedule_5_21[[#All],[UNIT TAG]], FALSE), 6)</f>
        <v>165</v>
      </c>
      <c r="Y369" s="27">
        <f>INDEX(Schedule!$A$1:$N$2000, MATCH($C369, VAV_Schedule_5_21[[#All],[UNIT TAG]], FALSE), 6)</f>
        <v>165</v>
      </c>
      <c r="Z369" s="27">
        <f>INDEX(Schedule!$A$1:$N$2000, MATCH($C369, VAV_Schedule_5_21[[#All],[UNIT TAG]], FALSE), 6)</f>
        <v>165</v>
      </c>
      <c r="AA369" s="27">
        <v>1000</v>
      </c>
      <c r="AB369" s="27">
        <v>1100</v>
      </c>
      <c r="AC369">
        <v>1400</v>
      </c>
      <c r="AD369" s="29" t="str">
        <f>IF(INDEX(Schedule!$A$1:$N$2000, MATCH($C369, VAV_Schedule_5_21[[#All],[UNIT TAG]], FALSE), 7)="-", 0, INDEX(Schedule!$A$1:$N$2000, MATCH($C369, VAV_Schedule_5_21[[#All],[UNIT TAG]], FALSE), 7))</f>
        <v>7</v>
      </c>
      <c r="AE369" t="str">
        <f>"B_01'" &amp; "Flr_0" &amp; INDEX(Joined!$A$3:$M$2000, MATCH($A369, Joined!$I$3:$I$2000, FALSE), 8)</f>
        <v>B_01'Flr_09</v>
      </c>
      <c r="AF369" t="str">
        <f>"R_" &amp; INDEX(Joined!$A$3:$M$2000, MATCH($A369, Joined!$I$3:$I$2000, FALSE), 7)</f>
        <v>R_VAV-9E-20</v>
      </c>
      <c r="AG369" t="str">
        <f>"B_01'" &amp; "Flr_0" &amp; INDEX(Joined!$A$3:$M$2000, MATCH($A369, Joined!$I$3:$I$2000, FALSE), 8)</f>
        <v>B_01'Flr_09</v>
      </c>
      <c r="AH369" t="str">
        <f>INDEX(Joined!$A$3:$M$2000, MATCH($A369, Joined!$I$3:$I$2000, FALSE), 7)</f>
        <v>VAV-9E-20</v>
      </c>
      <c r="AI369" t="s">
        <v>1697</v>
      </c>
    </row>
    <row r="370" spans="1:35" x14ac:dyDescent="0.2">
      <c r="A370" t="s">
        <v>1231</v>
      </c>
      <c r="B370" t="str">
        <f>"B_01'" &amp; "Flr_0" &amp; INDEX(Joined!$A$3:$M$2000, MATCH($A370, Joined!$I$3:$I$2000, FALSE), 8)</f>
        <v>B_01'Flr_09</v>
      </c>
      <c r="C370" t="str">
        <f>INDEX(Joined!$A$3:$M$2000, MATCH($A370, Joined!$I$3:$I$2000, FALSE), 7)</f>
        <v>VAV-9E-21</v>
      </c>
      <c r="D370">
        <f>INDEX(Joined!$A$3:$M$2000, MATCH($A370, Joined!$I$3:$I$2000, FALSE), 5)</f>
        <v>152308</v>
      </c>
      <c r="E370" t="str">
        <f>INDEX(Joined!$A$3:$M$2000, MATCH($A370, Joined!$I$3:$I$2000, FALSE), 7)</f>
        <v>VAV-9E-21</v>
      </c>
      <c r="F370" t="s">
        <v>38</v>
      </c>
      <c r="G370" t="str">
        <f>INDEX(Schedule!$Q$2:$R$7, MATCH(ABT!$H370,Schedule!$Q$2:$Q$7, 0), 2)</f>
        <v>15011_DXR_VAV_DXR2M12</v>
      </c>
      <c r="H370">
        <f>INDEX(Joined!$A$3:$M$2000, MATCH($A370, Joined!$I$3:$I$2000, FALSE), 6)</f>
        <v>15011</v>
      </c>
      <c r="I370" t="str">
        <f>INDEX(Joined!$A$3:$M$2000, MATCH($A370, Joined!$I$3:$I$2000, FALSE), 4)</f>
        <v>523</v>
      </c>
      <c r="J370" t="b">
        <v>0</v>
      </c>
      <c r="K370">
        <f>INDEX(Joined!$A$3:$M$2000, MATCH($A370, Joined!$I$3:$I$2000, FALSE), 3)</f>
        <v>8</v>
      </c>
      <c r="L370">
        <v>85</v>
      </c>
      <c r="M370">
        <v>38400</v>
      </c>
      <c r="N370" s="27">
        <f>PI()*(INDEX(Schedule!$A$1:$N$2000, MATCH($C370, VAV_Schedule_5_21[[#All],[UNIT TAG]], FALSE), 4)/2/12)^2</f>
        <v>0.54541539124822802</v>
      </c>
      <c r="O370" s="27">
        <f>INDEX(Schedule!$A$1:$N$2000, MATCH($C370, VAV_Schedule_5_21[[#All],[UNIT TAG]], FALSE), 4)</f>
        <v>10</v>
      </c>
      <c r="P370">
        <v>368.63</v>
      </c>
      <c r="Q370" s="27">
        <f>INDEX(Schedule!$A$1:$N$2000, MATCH($C370, VAV_Schedule_5_21[[#All],[UNIT TAG]], FALSE), 5)</f>
        <v>840</v>
      </c>
      <c r="R370" s="27">
        <f>INDEX(Schedule!$A$1:$N$2000, MATCH($C370, VAV_Schedule_5_21[[#All],[UNIT TAG]], FALSE), 6)</f>
        <v>130</v>
      </c>
      <c r="S370" s="27">
        <f>INDEX(Schedule!$A$1:$N$2000, MATCH($C370, VAV_Schedule_5_21[[#All],[UNIT TAG]], FALSE), 5)</f>
        <v>840</v>
      </c>
      <c r="T370" s="27">
        <f>INDEX(Schedule!$A$1:$N$2000, MATCH($C370, VAV_Schedule_5_21[[#All],[UNIT TAG]], FALSE), 6)</f>
        <v>130</v>
      </c>
      <c r="U370" s="27">
        <f>INDEX(Schedule!$A$1:$N$2000, MATCH($C370, VAV_Schedule_5_21[[#All],[UNIT TAG]], FALSE), 5)</f>
        <v>840</v>
      </c>
      <c r="V370" s="27">
        <f>INDEX(Schedule!$A$1:$N$2000, MATCH($C370, VAV_Schedule_5_21[[#All],[UNIT TAG]], FALSE), 6)</f>
        <v>130</v>
      </c>
      <c r="W370" s="27">
        <f>INDEX(Schedule!$A$1:$N$2000, MATCH($C370, VAV_Schedule_5_21[[#All],[UNIT TAG]], FALSE), 6)</f>
        <v>130</v>
      </c>
      <c r="X370" s="27">
        <f>INDEX(Schedule!$A$1:$N$2000, MATCH($C370, VAV_Schedule_5_21[[#All],[UNIT TAG]], FALSE), 6)</f>
        <v>130</v>
      </c>
      <c r="Y370" s="27">
        <f>INDEX(Schedule!$A$1:$N$2000, MATCH($C370, VAV_Schedule_5_21[[#All],[UNIT TAG]], FALSE), 6)</f>
        <v>130</v>
      </c>
      <c r="Z370" s="27">
        <f>INDEX(Schedule!$A$1:$N$2000, MATCH($C370, VAV_Schedule_5_21[[#All],[UNIT TAG]], FALSE), 6)</f>
        <v>130</v>
      </c>
      <c r="AA370" s="27">
        <v>1000</v>
      </c>
      <c r="AB370" s="27">
        <v>1100</v>
      </c>
      <c r="AC370">
        <v>1400</v>
      </c>
      <c r="AD370" s="29" t="str">
        <f>IF(INDEX(Schedule!$A$1:$N$2000, MATCH($C370, VAV_Schedule_5_21[[#All],[UNIT TAG]], FALSE), 7)="-", 0, INDEX(Schedule!$A$1:$N$2000, MATCH($C370, VAV_Schedule_5_21[[#All],[UNIT TAG]], FALSE), 7))</f>
        <v>6</v>
      </c>
      <c r="AE370" t="str">
        <f>"B_01'" &amp; "Flr_0" &amp; INDEX(Joined!$A$3:$M$2000, MATCH($A370, Joined!$I$3:$I$2000, FALSE), 8)</f>
        <v>B_01'Flr_09</v>
      </c>
      <c r="AF370" t="str">
        <f>"R_" &amp; INDEX(Joined!$A$3:$M$2000, MATCH($A370, Joined!$I$3:$I$2000, FALSE), 7)</f>
        <v>R_VAV-9E-21</v>
      </c>
      <c r="AG370" t="str">
        <f>"B_01'" &amp; "Flr_0" &amp; INDEX(Joined!$A$3:$M$2000, MATCH($A370, Joined!$I$3:$I$2000, FALSE), 8)</f>
        <v>B_01'Flr_09</v>
      </c>
      <c r="AH370" t="str">
        <f>INDEX(Joined!$A$3:$M$2000, MATCH($A370, Joined!$I$3:$I$2000, FALSE), 7)</f>
        <v>VAV-9E-21</v>
      </c>
      <c r="AI370" t="s">
        <v>1698</v>
      </c>
    </row>
    <row r="371" spans="1:35" x14ac:dyDescent="0.2">
      <c r="A371" t="s">
        <v>1232</v>
      </c>
      <c r="B371" t="str">
        <f>"B_01'" &amp; "Flr_0" &amp; INDEX(Joined!$A$3:$M$2000, MATCH($A371, Joined!$I$3:$I$2000, FALSE), 8)</f>
        <v>B_01'Flr_09</v>
      </c>
      <c r="C371" t="str">
        <f>INDEX(Joined!$A$3:$M$2000, MATCH($A371, Joined!$I$3:$I$2000, FALSE), 7)</f>
        <v>VAV-9E-22</v>
      </c>
      <c r="D371">
        <f>INDEX(Joined!$A$3:$M$2000, MATCH($A371, Joined!$I$3:$I$2000, FALSE), 5)</f>
        <v>152309</v>
      </c>
      <c r="E371" t="str">
        <f>INDEX(Joined!$A$3:$M$2000, MATCH($A371, Joined!$I$3:$I$2000, FALSE), 7)</f>
        <v>VAV-9E-22</v>
      </c>
      <c r="F371" t="s">
        <v>38</v>
      </c>
      <c r="G371" t="str">
        <f>INDEX(Schedule!$Q$2:$R$7, MATCH(ABT!$H371,Schedule!$Q$2:$Q$7, 0), 2)</f>
        <v>15010_DXR_VAV_DXR2M12</v>
      </c>
      <c r="H371">
        <f>INDEX(Joined!$A$3:$M$2000, MATCH($A371, Joined!$I$3:$I$2000, FALSE), 6)</f>
        <v>15010</v>
      </c>
      <c r="I371" t="str">
        <f>INDEX(Joined!$A$3:$M$2000, MATCH($A371, Joined!$I$3:$I$2000, FALSE), 4)</f>
        <v>523</v>
      </c>
      <c r="J371" t="b">
        <v>0</v>
      </c>
      <c r="K371">
        <f>INDEX(Joined!$A$3:$M$2000, MATCH($A371, Joined!$I$3:$I$2000, FALSE), 3)</f>
        <v>9</v>
      </c>
      <c r="L371">
        <v>85</v>
      </c>
      <c r="M371">
        <v>38400</v>
      </c>
      <c r="N371" s="27">
        <f>PI()*(INDEX(Schedule!$A$1:$N$2000, MATCH($C371, VAV_Schedule_5_21[[#All],[UNIT TAG]], FALSE), 4)/2/12)^2</f>
        <v>0.19634954084936207</v>
      </c>
      <c r="O371" s="27">
        <f>INDEX(Schedule!$A$1:$N$2000, MATCH($C371, VAV_Schedule_5_21[[#All],[UNIT TAG]], FALSE), 4)</f>
        <v>6</v>
      </c>
      <c r="P371">
        <v>369.63</v>
      </c>
      <c r="Q371" s="27">
        <f>INDEX(Schedule!$A$1:$N$2000, MATCH($C371, VAV_Schedule_5_21[[#All],[UNIT TAG]], FALSE), 5)</f>
        <v>350</v>
      </c>
      <c r="R371" s="27">
        <f>INDEX(Schedule!$A$1:$N$2000, MATCH($C371, VAV_Schedule_5_21[[#All],[UNIT TAG]], FALSE), 6)</f>
        <v>55</v>
      </c>
      <c r="S371" s="27">
        <f>INDEX(Schedule!$A$1:$N$2000, MATCH($C371, VAV_Schedule_5_21[[#All],[UNIT TAG]], FALSE), 5)</f>
        <v>350</v>
      </c>
      <c r="T371" s="27">
        <f>INDEX(Schedule!$A$1:$N$2000, MATCH($C371, VAV_Schedule_5_21[[#All],[UNIT TAG]], FALSE), 6)</f>
        <v>55</v>
      </c>
      <c r="U371" s="27">
        <f>INDEX(Schedule!$A$1:$N$2000, MATCH($C371, VAV_Schedule_5_21[[#All],[UNIT TAG]], FALSE), 5)</f>
        <v>350</v>
      </c>
      <c r="V371" s="27">
        <f>INDEX(Schedule!$A$1:$N$2000, MATCH($C371, VAV_Schedule_5_21[[#All],[UNIT TAG]], FALSE), 6)</f>
        <v>55</v>
      </c>
      <c r="W371" s="27">
        <f>INDEX(Schedule!$A$1:$N$2000, MATCH($C371, VAV_Schedule_5_21[[#All],[UNIT TAG]], FALSE), 6)</f>
        <v>55</v>
      </c>
      <c r="X371" s="27">
        <f>INDEX(Schedule!$A$1:$N$2000, MATCH($C371, VAV_Schedule_5_21[[#All],[UNIT TAG]], FALSE), 6)</f>
        <v>55</v>
      </c>
      <c r="Y371" s="27">
        <f>INDEX(Schedule!$A$1:$N$2000, MATCH($C371, VAV_Schedule_5_21[[#All],[UNIT TAG]], FALSE), 6)</f>
        <v>55</v>
      </c>
      <c r="Z371" s="27">
        <f>INDEX(Schedule!$A$1:$N$2000, MATCH($C371, VAV_Schedule_5_21[[#All],[UNIT TAG]], FALSE), 6)</f>
        <v>55</v>
      </c>
      <c r="AA371" s="27">
        <v>1000</v>
      </c>
      <c r="AB371" s="27">
        <v>1100</v>
      </c>
      <c r="AC371">
        <v>1400</v>
      </c>
      <c r="AD371" s="29">
        <f>IF(INDEX(Schedule!$A$1:$N$2000, MATCH($C371, VAV_Schedule_5_21[[#All],[UNIT TAG]], FALSE), 7)="-", 0, INDEX(Schedule!$A$1:$N$2000, MATCH($C371, VAV_Schedule_5_21[[#All],[UNIT TAG]], FALSE), 7))</f>
        <v>0</v>
      </c>
      <c r="AE371" t="str">
        <f>"B_01'" &amp; "Flr_0" &amp; INDEX(Joined!$A$3:$M$2000, MATCH($A371, Joined!$I$3:$I$2000, FALSE), 8)</f>
        <v>B_01'Flr_09</v>
      </c>
      <c r="AF371" t="str">
        <f>"R_" &amp; INDEX(Joined!$A$3:$M$2000, MATCH($A371, Joined!$I$3:$I$2000, FALSE), 7)</f>
        <v>R_VAV-9E-22</v>
      </c>
      <c r="AG371" t="str">
        <f>"B_01'" &amp; "Flr_0" &amp; INDEX(Joined!$A$3:$M$2000, MATCH($A371, Joined!$I$3:$I$2000, FALSE), 8)</f>
        <v>B_01'Flr_09</v>
      </c>
      <c r="AH371" t="str">
        <f>INDEX(Joined!$A$3:$M$2000, MATCH($A371, Joined!$I$3:$I$2000, FALSE), 7)</f>
        <v>VAV-9E-22</v>
      </c>
      <c r="AI371" t="s">
        <v>1699</v>
      </c>
    </row>
    <row r="372" spans="1:35" x14ac:dyDescent="0.2">
      <c r="A372" t="s">
        <v>1233</v>
      </c>
      <c r="B372" t="str">
        <f>"B_01'" &amp; "Flr_0" &amp; INDEX(Joined!$A$3:$M$2000, MATCH($A372, Joined!$I$3:$I$2000, FALSE), 8)</f>
        <v>B_01'Flr_09</v>
      </c>
      <c r="C372" t="str">
        <f>INDEX(Joined!$A$3:$M$2000, MATCH($A372, Joined!$I$3:$I$2000, FALSE), 7)</f>
        <v>VAV-9E-23</v>
      </c>
      <c r="D372">
        <f>INDEX(Joined!$A$3:$M$2000, MATCH($A372, Joined!$I$3:$I$2000, FALSE), 5)</f>
        <v>152310</v>
      </c>
      <c r="E372" t="str">
        <f>INDEX(Joined!$A$3:$M$2000, MATCH($A372, Joined!$I$3:$I$2000, FALSE), 7)</f>
        <v>VAV-9E-23</v>
      </c>
      <c r="F372" t="s">
        <v>38</v>
      </c>
      <c r="G372" t="str">
        <f>INDEX(Schedule!$Q$2:$R$7, MATCH(ABT!$H372,Schedule!$Q$2:$Q$7, 0), 2)</f>
        <v>15010_DXR_VAV_DXR2M12</v>
      </c>
      <c r="H372">
        <f>INDEX(Joined!$A$3:$M$2000, MATCH($A372, Joined!$I$3:$I$2000, FALSE), 6)</f>
        <v>15010</v>
      </c>
      <c r="I372" t="str">
        <f>INDEX(Joined!$A$3:$M$2000, MATCH($A372, Joined!$I$3:$I$2000, FALSE), 4)</f>
        <v>523</v>
      </c>
      <c r="J372" t="b">
        <v>0</v>
      </c>
      <c r="K372">
        <f>INDEX(Joined!$A$3:$M$2000, MATCH($A372, Joined!$I$3:$I$2000, FALSE), 3)</f>
        <v>10</v>
      </c>
      <c r="L372">
        <v>85</v>
      </c>
      <c r="M372">
        <v>38400</v>
      </c>
      <c r="N372" s="27">
        <f>PI()*(INDEX(Schedule!$A$1:$N$2000, MATCH($C372, VAV_Schedule_5_21[[#All],[UNIT TAG]], FALSE), 4)/2/12)^2</f>
        <v>0.19634954084936207</v>
      </c>
      <c r="O372" s="27">
        <f>INDEX(Schedule!$A$1:$N$2000, MATCH($C372, VAV_Schedule_5_21[[#All],[UNIT TAG]], FALSE), 4)</f>
        <v>6</v>
      </c>
      <c r="P372">
        <v>370.63</v>
      </c>
      <c r="Q372" s="27">
        <f>INDEX(Schedule!$A$1:$N$2000, MATCH($C372, VAV_Schedule_5_21[[#All],[UNIT TAG]], FALSE), 5)</f>
        <v>200</v>
      </c>
      <c r="R372" s="27">
        <f>INDEX(Schedule!$A$1:$N$2000, MATCH($C372, VAV_Schedule_5_21[[#All],[UNIT TAG]], FALSE), 6)</f>
        <v>30</v>
      </c>
      <c r="S372" s="27">
        <f>INDEX(Schedule!$A$1:$N$2000, MATCH($C372, VAV_Schedule_5_21[[#All],[UNIT TAG]], FALSE), 5)</f>
        <v>200</v>
      </c>
      <c r="T372" s="27">
        <f>INDEX(Schedule!$A$1:$N$2000, MATCH($C372, VAV_Schedule_5_21[[#All],[UNIT TAG]], FALSE), 6)</f>
        <v>30</v>
      </c>
      <c r="U372" s="27">
        <f>INDEX(Schedule!$A$1:$N$2000, MATCH($C372, VAV_Schedule_5_21[[#All],[UNIT TAG]], FALSE), 5)</f>
        <v>200</v>
      </c>
      <c r="V372" s="27">
        <f>INDEX(Schedule!$A$1:$N$2000, MATCH($C372, VAV_Schedule_5_21[[#All],[UNIT TAG]], FALSE), 6)</f>
        <v>30</v>
      </c>
      <c r="W372" s="27">
        <f>INDEX(Schedule!$A$1:$N$2000, MATCH($C372, VAV_Schedule_5_21[[#All],[UNIT TAG]], FALSE), 6)</f>
        <v>30</v>
      </c>
      <c r="X372" s="27">
        <f>INDEX(Schedule!$A$1:$N$2000, MATCH($C372, VAV_Schedule_5_21[[#All],[UNIT TAG]], FALSE), 6)</f>
        <v>30</v>
      </c>
      <c r="Y372" s="27">
        <f>INDEX(Schedule!$A$1:$N$2000, MATCH($C372, VAV_Schedule_5_21[[#All],[UNIT TAG]], FALSE), 6)</f>
        <v>30</v>
      </c>
      <c r="Z372" s="27">
        <f>INDEX(Schedule!$A$1:$N$2000, MATCH($C372, VAV_Schedule_5_21[[#All],[UNIT TAG]], FALSE), 6)</f>
        <v>30</v>
      </c>
      <c r="AA372" s="27">
        <v>1000</v>
      </c>
      <c r="AB372" s="27">
        <v>1100</v>
      </c>
      <c r="AC372">
        <v>1400</v>
      </c>
      <c r="AD372" s="29">
        <f>IF(INDEX(Schedule!$A$1:$N$2000, MATCH($C372, VAV_Schedule_5_21[[#All],[UNIT TAG]], FALSE), 7)="-", 0, INDEX(Schedule!$A$1:$N$2000, MATCH($C372, VAV_Schedule_5_21[[#All],[UNIT TAG]], FALSE), 7))</f>
        <v>0</v>
      </c>
      <c r="AE372" t="str">
        <f>"B_01'" &amp; "Flr_0" &amp; INDEX(Joined!$A$3:$M$2000, MATCH($A372, Joined!$I$3:$I$2000, FALSE), 8)</f>
        <v>B_01'Flr_09</v>
      </c>
      <c r="AF372" t="str">
        <f>"R_" &amp; INDEX(Joined!$A$3:$M$2000, MATCH($A372, Joined!$I$3:$I$2000, FALSE), 7)</f>
        <v>R_VAV-9E-23</v>
      </c>
      <c r="AG372" t="str">
        <f>"B_01'" &amp; "Flr_0" &amp; INDEX(Joined!$A$3:$M$2000, MATCH($A372, Joined!$I$3:$I$2000, FALSE), 8)</f>
        <v>B_01'Flr_09</v>
      </c>
      <c r="AH372" t="str">
        <f>INDEX(Joined!$A$3:$M$2000, MATCH($A372, Joined!$I$3:$I$2000, FALSE), 7)</f>
        <v>VAV-9E-23</v>
      </c>
      <c r="AI372" t="s">
        <v>1700</v>
      </c>
    </row>
    <row r="373" spans="1:35" x14ac:dyDescent="0.2">
      <c r="A373" t="s">
        <v>1234</v>
      </c>
      <c r="B373" t="str">
        <f>"B_01'" &amp; "Flr_0" &amp; INDEX(Joined!$A$3:$M$2000, MATCH($A373, Joined!$I$3:$I$2000, FALSE), 8)</f>
        <v>B_01'Flr_09</v>
      </c>
      <c r="C373" t="str">
        <f>INDEX(Joined!$A$3:$M$2000, MATCH($A373, Joined!$I$3:$I$2000, FALSE), 7)</f>
        <v>VAV-9E-24</v>
      </c>
      <c r="D373">
        <f>INDEX(Joined!$A$3:$M$2000, MATCH($A373, Joined!$I$3:$I$2000, FALSE), 5)</f>
        <v>152311</v>
      </c>
      <c r="E373" t="str">
        <f>INDEX(Joined!$A$3:$M$2000, MATCH($A373, Joined!$I$3:$I$2000, FALSE), 7)</f>
        <v>VAV-9E-24</v>
      </c>
      <c r="F373" t="s">
        <v>38</v>
      </c>
      <c r="G373" t="str">
        <f>INDEX(Schedule!$Q$2:$R$7, MATCH(ABT!$H373,Schedule!$Q$2:$Q$7, 0), 2)</f>
        <v>15011_DXR_VAV_DXR2M12</v>
      </c>
      <c r="H373">
        <f>INDEX(Joined!$A$3:$M$2000, MATCH($A373, Joined!$I$3:$I$2000, FALSE), 6)</f>
        <v>15011</v>
      </c>
      <c r="I373" t="str">
        <f>INDEX(Joined!$A$3:$M$2000, MATCH($A373, Joined!$I$3:$I$2000, FALSE), 4)</f>
        <v>523</v>
      </c>
      <c r="J373" t="b">
        <v>0</v>
      </c>
      <c r="K373">
        <f>INDEX(Joined!$A$3:$M$2000, MATCH($A373, Joined!$I$3:$I$2000, FALSE), 3)</f>
        <v>11</v>
      </c>
      <c r="L373">
        <v>85</v>
      </c>
      <c r="M373">
        <v>38400</v>
      </c>
      <c r="N373" s="27">
        <f>PI()*(INDEX(Schedule!$A$1:$N$2000, MATCH($C373, VAV_Schedule_5_21[[#All],[UNIT TAG]], FALSE), 4)/2/12)^2</f>
        <v>0.54541539124822802</v>
      </c>
      <c r="O373" s="27">
        <f>INDEX(Schedule!$A$1:$N$2000, MATCH($C373, VAV_Schedule_5_21[[#All],[UNIT TAG]], FALSE), 4)</f>
        <v>10</v>
      </c>
      <c r="P373">
        <v>371.63</v>
      </c>
      <c r="Q373" s="27">
        <f>INDEX(Schedule!$A$1:$N$2000, MATCH($C373, VAV_Schedule_5_21[[#All],[UNIT TAG]], FALSE), 5)</f>
        <v>1050</v>
      </c>
      <c r="R373" s="27">
        <f>INDEX(Schedule!$A$1:$N$2000, MATCH($C373, VAV_Schedule_5_21[[#All],[UNIT TAG]], FALSE), 6)</f>
        <v>160</v>
      </c>
      <c r="S373" s="27">
        <f>INDEX(Schedule!$A$1:$N$2000, MATCH($C373, VAV_Schedule_5_21[[#All],[UNIT TAG]], FALSE), 5)</f>
        <v>1050</v>
      </c>
      <c r="T373" s="27">
        <f>INDEX(Schedule!$A$1:$N$2000, MATCH($C373, VAV_Schedule_5_21[[#All],[UNIT TAG]], FALSE), 6)</f>
        <v>160</v>
      </c>
      <c r="U373" s="27">
        <f>INDEX(Schedule!$A$1:$N$2000, MATCH($C373, VAV_Schedule_5_21[[#All],[UNIT TAG]], FALSE), 5)</f>
        <v>1050</v>
      </c>
      <c r="V373" s="27">
        <f>INDEX(Schedule!$A$1:$N$2000, MATCH($C373, VAV_Schedule_5_21[[#All],[UNIT TAG]], FALSE), 6)</f>
        <v>160</v>
      </c>
      <c r="W373" s="27">
        <f>INDEX(Schedule!$A$1:$N$2000, MATCH($C373, VAV_Schedule_5_21[[#All],[UNIT TAG]], FALSE), 6)</f>
        <v>160</v>
      </c>
      <c r="X373" s="27">
        <f>INDEX(Schedule!$A$1:$N$2000, MATCH($C373, VAV_Schedule_5_21[[#All],[UNIT TAG]], FALSE), 6)</f>
        <v>160</v>
      </c>
      <c r="Y373" s="27">
        <f>INDEX(Schedule!$A$1:$N$2000, MATCH($C373, VAV_Schedule_5_21[[#All],[UNIT TAG]], FALSE), 6)</f>
        <v>160</v>
      </c>
      <c r="Z373" s="27">
        <f>INDEX(Schedule!$A$1:$N$2000, MATCH($C373, VAV_Schedule_5_21[[#All],[UNIT TAG]], FALSE), 6)</f>
        <v>160</v>
      </c>
      <c r="AA373" s="27">
        <v>1000</v>
      </c>
      <c r="AB373" s="27">
        <v>1100</v>
      </c>
      <c r="AC373">
        <v>1400</v>
      </c>
      <c r="AD373" s="29" t="str">
        <f>IF(INDEX(Schedule!$A$1:$N$2000, MATCH($C373, VAV_Schedule_5_21[[#All],[UNIT TAG]], FALSE), 7)="-", 0, INDEX(Schedule!$A$1:$N$2000, MATCH($C373, VAV_Schedule_5_21[[#All],[UNIT TAG]], FALSE), 7))</f>
        <v>7</v>
      </c>
      <c r="AE373" t="str">
        <f>"B_01'" &amp; "Flr_0" &amp; INDEX(Joined!$A$3:$M$2000, MATCH($A373, Joined!$I$3:$I$2000, FALSE), 8)</f>
        <v>B_01'Flr_09</v>
      </c>
      <c r="AF373" t="str">
        <f>"R_" &amp; INDEX(Joined!$A$3:$M$2000, MATCH($A373, Joined!$I$3:$I$2000, FALSE), 7)</f>
        <v>R_VAV-9E-24</v>
      </c>
      <c r="AG373" t="str">
        <f>"B_01'" &amp; "Flr_0" &amp; INDEX(Joined!$A$3:$M$2000, MATCH($A373, Joined!$I$3:$I$2000, FALSE), 8)</f>
        <v>B_01'Flr_09</v>
      </c>
      <c r="AH373" t="str">
        <f>INDEX(Joined!$A$3:$M$2000, MATCH($A373, Joined!$I$3:$I$2000, FALSE), 7)</f>
        <v>VAV-9E-24</v>
      </c>
      <c r="AI373" t="s">
        <v>1701</v>
      </c>
    </row>
    <row r="374" spans="1:35" x14ac:dyDescent="0.2">
      <c r="A374" t="s">
        <v>1235</v>
      </c>
      <c r="B374" t="str">
        <f>"B_01'" &amp; "Flr_0" &amp; INDEX(Joined!$A$3:$M$2000, MATCH($A374, Joined!$I$3:$I$2000, FALSE), 8)</f>
        <v>B_01'Flr_09</v>
      </c>
      <c r="C374" t="str">
        <f>INDEX(Joined!$A$3:$M$2000, MATCH($A374, Joined!$I$3:$I$2000, FALSE), 7)</f>
        <v>VAV-9E-25</v>
      </c>
      <c r="D374">
        <f>INDEX(Joined!$A$3:$M$2000, MATCH($A374, Joined!$I$3:$I$2000, FALSE), 5)</f>
        <v>152312</v>
      </c>
      <c r="E374" t="str">
        <f>INDEX(Joined!$A$3:$M$2000, MATCH($A374, Joined!$I$3:$I$2000, FALSE), 7)</f>
        <v>VAV-9E-25</v>
      </c>
      <c r="F374" t="s">
        <v>38</v>
      </c>
      <c r="G374" t="str">
        <f>INDEX(Schedule!$Q$2:$R$7, MATCH(ABT!$H374,Schedule!$Q$2:$Q$7, 0), 2)</f>
        <v>15011_DXR_VAV_DXR2M12</v>
      </c>
      <c r="H374">
        <f>INDEX(Joined!$A$3:$M$2000, MATCH($A374, Joined!$I$3:$I$2000, FALSE), 6)</f>
        <v>15011</v>
      </c>
      <c r="I374" t="str">
        <f>INDEX(Joined!$A$3:$M$2000, MATCH($A374, Joined!$I$3:$I$2000, FALSE), 4)</f>
        <v>523</v>
      </c>
      <c r="J374" t="b">
        <v>0</v>
      </c>
      <c r="K374">
        <f>INDEX(Joined!$A$3:$M$2000, MATCH($A374, Joined!$I$3:$I$2000, FALSE), 3)</f>
        <v>12</v>
      </c>
      <c r="L374">
        <v>85</v>
      </c>
      <c r="M374">
        <v>38400</v>
      </c>
      <c r="N374" s="27">
        <f>PI()*(INDEX(Schedule!$A$1:$N$2000, MATCH($C374, VAV_Schedule_5_21[[#All],[UNIT TAG]], FALSE), 4)/2/12)^2</f>
        <v>0.3490658503988659</v>
      </c>
      <c r="O374" s="27">
        <f>INDEX(Schedule!$A$1:$N$2000, MATCH($C374, VAV_Schedule_5_21[[#All],[UNIT TAG]], FALSE), 4)</f>
        <v>8</v>
      </c>
      <c r="P374">
        <v>372.63</v>
      </c>
      <c r="Q374" s="27">
        <f>INDEX(Schedule!$A$1:$N$2000, MATCH($C374, VAV_Schedule_5_21[[#All],[UNIT TAG]], FALSE), 5)</f>
        <v>640</v>
      </c>
      <c r="R374" s="27">
        <f>INDEX(Schedule!$A$1:$N$2000, MATCH($C374, VAV_Schedule_5_21[[#All],[UNIT TAG]], FALSE), 6)</f>
        <v>100</v>
      </c>
      <c r="S374" s="27">
        <f>INDEX(Schedule!$A$1:$N$2000, MATCH($C374, VAV_Schedule_5_21[[#All],[UNIT TAG]], FALSE), 5)</f>
        <v>640</v>
      </c>
      <c r="T374" s="27">
        <f>INDEX(Schedule!$A$1:$N$2000, MATCH($C374, VAV_Schedule_5_21[[#All],[UNIT TAG]], FALSE), 6)</f>
        <v>100</v>
      </c>
      <c r="U374" s="27">
        <f>INDEX(Schedule!$A$1:$N$2000, MATCH($C374, VAV_Schedule_5_21[[#All],[UNIT TAG]], FALSE), 5)</f>
        <v>640</v>
      </c>
      <c r="V374" s="27">
        <f>INDEX(Schedule!$A$1:$N$2000, MATCH($C374, VAV_Schedule_5_21[[#All],[UNIT TAG]], FALSE), 6)</f>
        <v>100</v>
      </c>
      <c r="W374" s="27">
        <f>INDEX(Schedule!$A$1:$N$2000, MATCH($C374, VAV_Schedule_5_21[[#All],[UNIT TAG]], FALSE), 6)</f>
        <v>100</v>
      </c>
      <c r="X374" s="27">
        <f>INDEX(Schedule!$A$1:$N$2000, MATCH($C374, VAV_Schedule_5_21[[#All],[UNIT TAG]], FALSE), 6)</f>
        <v>100</v>
      </c>
      <c r="Y374" s="27">
        <f>INDEX(Schedule!$A$1:$N$2000, MATCH($C374, VAV_Schedule_5_21[[#All],[UNIT TAG]], FALSE), 6)</f>
        <v>100</v>
      </c>
      <c r="Z374" s="27">
        <f>INDEX(Schedule!$A$1:$N$2000, MATCH($C374, VAV_Schedule_5_21[[#All],[UNIT TAG]], FALSE), 6)</f>
        <v>100</v>
      </c>
      <c r="AA374" s="27">
        <v>1000</v>
      </c>
      <c r="AB374" s="27">
        <v>1100</v>
      </c>
      <c r="AC374">
        <v>1400</v>
      </c>
      <c r="AD374" s="29" t="str">
        <f>IF(INDEX(Schedule!$A$1:$N$2000, MATCH($C374, VAV_Schedule_5_21[[#All],[UNIT TAG]], FALSE), 7)="-", 0, INDEX(Schedule!$A$1:$N$2000, MATCH($C374, VAV_Schedule_5_21[[#All],[UNIT TAG]], FALSE), 7))</f>
        <v>6</v>
      </c>
      <c r="AE374" t="str">
        <f>"B_01'" &amp; "Flr_0" &amp; INDEX(Joined!$A$3:$M$2000, MATCH($A374, Joined!$I$3:$I$2000, FALSE), 8)</f>
        <v>B_01'Flr_09</v>
      </c>
      <c r="AF374" t="str">
        <f>"R_" &amp; INDEX(Joined!$A$3:$M$2000, MATCH($A374, Joined!$I$3:$I$2000, FALSE), 7)</f>
        <v>R_VAV-9E-25</v>
      </c>
      <c r="AG374" t="str">
        <f>"B_01'" &amp; "Flr_0" &amp; INDEX(Joined!$A$3:$M$2000, MATCH($A374, Joined!$I$3:$I$2000, FALSE), 8)</f>
        <v>B_01'Flr_09</v>
      </c>
      <c r="AH374" t="str">
        <f>INDEX(Joined!$A$3:$M$2000, MATCH($A374, Joined!$I$3:$I$2000, FALSE), 7)</f>
        <v>VAV-9E-25</v>
      </c>
      <c r="AI374" t="s">
        <v>1702</v>
      </c>
    </row>
    <row r="375" spans="1:35" x14ac:dyDescent="0.2">
      <c r="A375" t="s">
        <v>1236</v>
      </c>
      <c r="B375" t="str">
        <f>"B_01'" &amp; "Flr_0" &amp; INDEX(Joined!$A$3:$M$2000, MATCH($A375, Joined!$I$3:$I$2000, FALSE), 8)</f>
        <v>B_01'Flr_09</v>
      </c>
      <c r="C375" t="str">
        <f>INDEX(Joined!$A$3:$M$2000, MATCH($A375, Joined!$I$3:$I$2000, FALSE), 7)</f>
        <v>VAV-9E-26</v>
      </c>
      <c r="D375">
        <f>INDEX(Joined!$A$3:$M$2000, MATCH($A375, Joined!$I$3:$I$2000, FALSE), 5)</f>
        <v>152313</v>
      </c>
      <c r="E375" t="str">
        <f>INDEX(Joined!$A$3:$M$2000, MATCH($A375, Joined!$I$3:$I$2000, FALSE), 7)</f>
        <v>VAV-9E-26</v>
      </c>
      <c r="F375" t="s">
        <v>38</v>
      </c>
      <c r="G375" t="str">
        <f>INDEX(Schedule!$Q$2:$R$7, MATCH(ABT!$H375,Schedule!$Q$2:$Q$7, 0), 2)</f>
        <v>15011_DXR_VAV_DXR2M12</v>
      </c>
      <c r="H375">
        <f>INDEX(Joined!$A$3:$M$2000, MATCH($A375, Joined!$I$3:$I$2000, FALSE), 6)</f>
        <v>15011</v>
      </c>
      <c r="I375" t="str">
        <f>INDEX(Joined!$A$3:$M$2000, MATCH($A375, Joined!$I$3:$I$2000, FALSE), 4)</f>
        <v>523</v>
      </c>
      <c r="J375" t="b">
        <v>0</v>
      </c>
      <c r="K375">
        <f>INDEX(Joined!$A$3:$M$2000, MATCH($A375, Joined!$I$3:$I$2000, FALSE), 3)</f>
        <v>13</v>
      </c>
      <c r="L375">
        <v>85</v>
      </c>
      <c r="M375">
        <v>38400</v>
      </c>
      <c r="N375" s="27">
        <f>PI()*(INDEX(Schedule!$A$1:$N$2000, MATCH($C375, VAV_Schedule_5_21[[#All],[UNIT TAG]], FALSE), 4)/2/12)^2</f>
        <v>0.54541539124822802</v>
      </c>
      <c r="O375" s="27">
        <f>INDEX(Schedule!$A$1:$N$2000, MATCH($C375, VAV_Schedule_5_21[[#All],[UNIT TAG]], FALSE), 4)</f>
        <v>10</v>
      </c>
      <c r="P375">
        <v>373.63</v>
      </c>
      <c r="Q375" s="27">
        <f>INDEX(Schedule!$A$1:$N$2000, MATCH($C375, VAV_Schedule_5_21[[#All],[UNIT TAG]], FALSE), 5)</f>
        <v>860</v>
      </c>
      <c r="R375" s="27">
        <f>INDEX(Schedule!$A$1:$N$2000, MATCH($C375, VAV_Schedule_5_21[[#All],[UNIT TAG]], FALSE), 6)</f>
        <v>130</v>
      </c>
      <c r="S375" s="27">
        <f>INDEX(Schedule!$A$1:$N$2000, MATCH($C375, VAV_Schedule_5_21[[#All],[UNIT TAG]], FALSE), 5)</f>
        <v>860</v>
      </c>
      <c r="T375" s="27">
        <f>INDEX(Schedule!$A$1:$N$2000, MATCH($C375, VAV_Schedule_5_21[[#All],[UNIT TAG]], FALSE), 6)</f>
        <v>130</v>
      </c>
      <c r="U375" s="27">
        <f>INDEX(Schedule!$A$1:$N$2000, MATCH($C375, VAV_Schedule_5_21[[#All],[UNIT TAG]], FALSE), 5)</f>
        <v>860</v>
      </c>
      <c r="V375" s="27">
        <f>INDEX(Schedule!$A$1:$N$2000, MATCH($C375, VAV_Schedule_5_21[[#All],[UNIT TAG]], FALSE), 6)</f>
        <v>130</v>
      </c>
      <c r="W375" s="27">
        <f>INDEX(Schedule!$A$1:$N$2000, MATCH($C375, VAV_Schedule_5_21[[#All],[UNIT TAG]], FALSE), 6)</f>
        <v>130</v>
      </c>
      <c r="X375" s="27">
        <f>INDEX(Schedule!$A$1:$N$2000, MATCH($C375, VAV_Schedule_5_21[[#All],[UNIT TAG]], FALSE), 6)</f>
        <v>130</v>
      </c>
      <c r="Y375" s="27">
        <f>INDEX(Schedule!$A$1:$N$2000, MATCH($C375, VAV_Schedule_5_21[[#All],[UNIT TAG]], FALSE), 6)</f>
        <v>130</v>
      </c>
      <c r="Z375" s="27">
        <f>INDEX(Schedule!$A$1:$N$2000, MATCH($C375, VAV_Schedule_5_21[[#All],[UNIT TAG]], FALSE), 6)</f>
        <v>130</v>
      </c>
      <c r="AA375" s="27">
        <v>1000</v>
      </c>
      <c r="AB375" s="27">
        <v>1100</v>
      </c>
      <c r="AC375">
        <v>1400</v>
      </c>
      <c r="AD375" s="29" t="str">
        <f>IF(INDEX(Schedule!$A$1:$N$2000, MATCH($C375, VAV_Schedule_5_21[[#All],[UNIT TAG]], FALSE), 7)="-", 0, INDEX(Schedule!$A$1:$N$2000, MATCH($C375, VAV_Schedule_5_21[[#All],[UNIT TAG]], FALSE), 7))</f>
        <v>6</v>
      </c>
      <c r="AE375" t="str">
        <f>"B_01'" &amp; "Flr_0" &amp; INDEX(Joined!$A$3:$M$2000, MATCH($A375, Joined!$I$3:$I$2000, FALSE), 8)</f>
        <v>B_01'Flr_09</v>
      </c>
      <c r="AF375" t="str">
        <f>"R_" &amp; INDEX(Joined!$A$3:$M$2000, MATCH($A375, Joined!$I$3:$I$2000, FALSE), 7)</f>
        <v>R_VAV-9E-26</v>
      </c>
      <c r="AG375" t="str">
        <f>"B_01'" &amp; "Flr_0" &amp; INDEX(Joined!$A$3:$M$2000, MATCH($A375, Joined!$I$3:$I$2000, FALSE), 8)</f>
        <v>B_01'Flr_09</v>
      </c>
      <c r="AH375" t="str">
        <f>INDEX(Joined!$A$3:$M$2000, MATCH($A375, Joined!$I$3:$I$2000, FALSE), 7)</f>
        <v>VAV-9E-26</v>
      </c>
      <c r="AI375" t="s">
        <v>1703</v>
      </c>
    </row>
    <row r="376" spans="1:35" x14ac:dyDescent="0.2">
      <c r="A376" t="s">
        <v>1237</v>
      </c>
      <c r="B376" t="str">
        <f>"B_01'" &amp; "Flr_0" &amp; INDEX(Joined!$A$3:$M$2000, MATCH($A376, Joined!$I$3:$I$2000, FALSE), 8)</f>
        <v>B_01'Flr_09</v>
      </c>
      <c r="C376" t="str">
        <f>INDEX(Joined!$A$3:$M$2000, MATCH($A376, Joined!$I$3:$I$2000, FALSE), 7)</f>
        <v>VAV-9E-27</v>
      </c>
      <c r="D376">
        <f>INDEX(Joined!$A$3:$M$2000, MATCH($A376, Joined!$I$3:$I$2000, FALSE), 5)</f>
        <v>152314</v>
      </c>
      <c r="E376" t="str">
        <f>INDEX(Joined!$A$3:$M$2000, MATCH($A376, Joined!$I$3:$I$2000, FALSE), 7)</f>
        <v>VAV-9E-27</v>
      </c>
      <c r="F376" t="s">
        <v>38</v>
      </c>
      <c r="G376" t="str">
        <f>INDEX(Schedule!$Q$2:$R$7, MATCH(ABT!$H376,Schedule!$Q$2:$Q$7, 0), 2)</f>
        <v>15011_DXR_VAV_DXR2M12</v>
      </c>
      <c r="H376">
        <f>INDEX(Joined!$A$3:$M$2000, MATCH($A376, Joined!$I$3:$I$2000, FALSE), 6)</f>
        <v>15011</v>
      </c>
      <c r="I376" t="str">
        <f>INDEX(Joined!$A$3:$M$2000, MATCH($A376, Joined!$I$3:$I$2000, FALSE), 4)</f>
        <v>523</v>
      </c>
      <c r="J376" t="b">
        <v>0</v>
      </c>
      <c r="K376">
        <f>INDEX(Joined!$A$3:$M$2000, MATCH($A376, Joined!$I$3:$I$2000, FALSE), 3)</f>
        <v>14</v>
      </c>
      <c r="L376">
        <v>85</v>
      </c>
      <c r="M376">
        <v>38400</v>
      </c>
      <c r="N376" s="27">
        <f>PI()*(INDEX(Schedule!$A$1:$N$2000, MATCH($C376, VAV_Schedule_5_21[[#All],[UNIT TAG]], FALSE), 4)/2/12)^2</f>
        <v>0.3490658503988659</v>
      </c>
      <c r="O376" s="27">
        <f>INDEX(Schedule!$A$1:$N$2000, MATCH($C376, VAV_Schedule_5_21[[#All],[UNIT TAG]], FALSE), 4)</f>
        <v>8</v>
      </c>
      <c r="P376">
        <v>374.63</v>
      </c>
      <c r="Q376" s="27">
        <f>INDEX(Schedule!$A$1:$N$2000, MATCH($C376, VAV_Schedule_5_21[[#All],[UNIT TAG]], FALSE), 5)</f>
        <v>690</v>
      </c>
      <c r="R376" s="27">
        <f>INDEX(Schedule!$A$1:$N$2000, MATCH($C376, VAV_Schedule_5_21[[#All],[UNIT TAG]], FALSE), 6)</f>
        <v>105</v>
      </c>
      <c r="S376" s="27">
        <f>INDEX(Schedule!$A$1:$N$2000, MATCH($C376, VAV_Schedule_5_21[[#All],[UNIT TAG]], FALSE), 5)</f>
        <v>690</v>
      </c>
      <c r="T376" s="27">
        <f>INDEX(Schedule!$A$1:$N$2000, MATCH($C376, VAV_Schedule_5_21[[#All],[UNIT TAG]], FALSE), 6)</f>
        <v>105</v>
      </c>
      <c r="U376" s="27">
        <f>INDEX(Schedule!$A$1:$N$2000, MATCH($C376, VAV_Schedule_5_21[[#All],[UNIT TAG]], FALSE), 5)</f>
        <v>690</v>
      </c>
      <c r="V376" s="27">
        <f>INDEX(Schedule!$A$1:$N$2000, MATCH($C376, VAV_Schedule_5_21[[#All],[UNIT TAG]], FALSE), 6)</f>
        <v>105</v>
      </c>
      <c r="W376" s="27">
        <f>INDEX(Schedule!$A$1:$N$2000, MATCH($C376, VAV_Schedule_5_21[[#All],[UNIT TAG]], FALSE), 6)</f>
        <v>105</v>
      </c>
      <c r="X376" s="27">
        <f>INDEX(Schedule!$A$1:$N$2000, MATCH($C376, VAV_Schedule_5_21[[#All],[UNIT TAG]], FALSE), 6)</f>
        <v>105</v>
      </c>
      <c r="Y376" s="27">
        <f>INDEX(Schedule!$A$1:$N$2000, MATCH($C376, VAV_Schedule_5_21[[#All],[UNIT TAG]], FALSE), 6)</f>
        <v>105</v>
      </c>
      <c r="Z376" s="27">
        <f>INDEX(Schedule!$A$1:$N$2000, MATCH($C376, VAV_Schedule_5_21[[#All],[UNIT TAG]], FALSE), 6)</f>
        <v>105</v>
      </c>
      <c r="AA376" s="27">
        <v>1000</v>
      </c>
      <c r="AB376" s="27">
        <v>1100</v>
      </c>
      <c r="AC376">
        <v>1400</v>
      </c>
      <c r="AD376" s="29" t="str">
        <f>IF(INDEX(Schedule!$A$1:$N$2000, MATCH($C376, VAV_Schedule_5_21[[#All],[UNIT TAG]], FALSE), 7)="-", 0, INDEX(Schedule!$A$1:$N$2000, MATCH($C376, VAV_Schedule_5_21[[#All],[UNIT TAG]], FALSE), 7))</f>
        <v>6</v>
      </c>
      <c r="AE376" t="str">
        <f>"B_01'" &amp; "Flr_0" &amp; INDEX(Joined!$A$3:$M$2000, MATCH($A376, Joined!$I$3:$I$2000, FALSE), 8)</f>
        <v>B_01'Flr_09</v>
      </c>
      <c r="AF376" t="str">
        <f>"R_" &amp; INDEX(Joined!$A$3:$M$2000, MATCH($A376, Joined!$I$3:$I$2000, FALSE), 7)</f>
        <v>R_VAV-9E-27</v>
      </c>
      <c r="AG376" t="str">
        <f>"B_01'" &amp; "Flr_0" &amp; INDEX(Joined!$A$3:$M$2000, MATCH($A376, Joined!$I$3:$I$2000, FALSE), 8)</f>
        <v>B_01'Flr_09</v>
      </c>
      <c r="AH376" t="str">
        <f>INDEX(Joined!$A$3:$M$2000, MATCH($A376, Joined!$I$3:$I$2000, FALSE), 7)</f>
        <v>VAV-9E-27</v>
      </c>
      <c r="AI376" t="s">
        <v>1704</v>
      </c>
    </row>
    <row r="377" spans="1:35" x14ac:dyDescent="0.2">
      <c r="A377" t="s">
        <v>1238</v>
      </c>
      <c r="B377" t="str">
        <f>"B_01'" &amp; "Flr_0" &amp; INDEX(Joined!$A$3:$M$2000, MATCH($A377, Joined!$I$3:$I$2000, FALSE), 8)</f>
        <v>B_01'Flr_09</v>
      </c>
      <c r="C377" t="str">
        <f>INDEX(Joined!$A$3:$M$2000, MATCH($A377, Joined!$I$3:$I$2000, FALSE), 7)</f>
        <v>VAV-9E-28</v>
      </c>
      <c r="D377">
        <f>INDEX(Joined!$A$3:$M$2000, MATCH($A377, Joined!$I$3:$I$2000, FALSE), 5)</f>
        <v>152315</v>
      </c>
      <c r="E377" t="str">
        <f>INDEX(Joined!$A$3:$M$2000, MATCH($A377, Joined!$I$3:$I$2000, FALSE), 7)</f>
        <v>VAV-9E-28</v>
      </c>
      <c r="F377" t="s">
        <v>38</v>
      </c>
      <c r="G377" t="str">
        <f>INDEX(Schedule!$Q$2:$R$7, MATCH(ABT!$H377,Schedule!$Q$2:$Q$7, 0), 2)</f>
        <v>15010_DXR_VAV_DXR2M12</v>
      </c>
      <c r="H377">
        <f>INDEX(Joined!$A$3:$M$2000, MATCH($A377, Joined!$I$3:$I$2000, FALSE), 6)</f>
        <v>15010</v>
      </c>
      <c r="I377" t="str">
        <f>INDEX(Joined!$A$3:$M$2000, MATCH($A377, Joined!$I$3:$I$2000, FALSE), 4)</f>
        <v>523</v>
      </c>
      <c r="J377" t="b">
        <v>0</v>
      </c>
      <c r="K377">
        <f>INDEX(Joined!$A$3:$M$2000, MATCH($A377, Joined!$I$3:$I$2000, FALSE), 3)</f>
        <v>15</v>
      </c>
      <c r="L377">
        <v>85</v>
      </c>
      <c r="M377">
        <v>38400</v>
      </c>
      <c r="N377" s="27">
        <f>PI()*(INDEX(Schedule!$A$1:$N$2000, MATCH($C377, VAV_Schedule_5_21[[#All],[UNIT TAG]], FALSE), 4)/2/12)^2</f>
        <v>0.78539816339744828</v>
      </c>
      <c r="O377" s="27">
        <f>INDEX(Schedule!$A$1:$N$2000, MATCH($C377, VAV_Schedule_5_21[[#All],[UNIT TAG]], FALSE), 4)</f>
        <v>12</v>
      </c>
      <c r="P377">
        <v>375.63</v>
      </c>
      <c r="Q377" s="27">
        <f>INDEX(Schedule!$A$1:$N$2000, MATCH($C377, VAV_Schedule_5_21[[#All],[UNIT TAG]], FALSE), 5)</f>
        <v>1310</v>
      </c>
      <c r="R377" s="27">
        <f>INDEX(Schedule!$A$1:$N$2000, MATCH($C377, VAV_Schedule_5_21[[#All],[UNIT TAG]], FALSE), 6)</f>
        <v>200</v>
      </c>
      <c r="S377" s="27">
        <f>INDEX(Schedule!$A$1:$N$2000, MATCH($C377, VAV_Schedule_5_21[[#All],[UNIT TAG]], FALSE), 5)</f>
        <v>1310</v>
      </c>
      <c r="T377" s="27">
        <f>INDEX(Schedule!$A$1:$N$2000, MATCH($C377, VAV_Schedule_5_21[[#All],[UNIT TAG]], FALSE), 6)</f>
        <v>200</v>
      </c>
      <c r="U377" s="27">
        <f>INDEX(Schedule!$A$1:$N$2000, MATCH($C377, VAV_Schedule_5_21[[#All],[UNIT TAG]], FALSE), 5)</f>
        <v>1310</v>
      </c>
      <c r="V377" s="27">
        <f>INDEX(Schedule!$A$1:$N$2000, MATCH($C377, VAV_Schedule_5_21[[#All],[UNIT TAG]], FALSE), 6)</f>
        <v>200</v>
      </c>
      <c r="W377" s="27">
        <f>INDEX(Schedule!$A$1:$N$2000, MATCH($C377, VAV_Schedule_5_21[[#All],[UNIT TAG]], FALSE), 6)</f>
        <v>200</v>
      </c>
      <c r="X377" s="27">
        <f>INDEX(Schedule!$A$1:$N$2000, MATCH($C377, VAV_Schedule_5_21[[#All],[UNIT TAG]], FALSE), 6)</f>
        <v>200</v>
      </c>
      <c r="Y377" s="27">
        <f>INDEX(Schedule!$A$1:$N$2000, MATCH($C377, VAV_Schedule_5_21[[#All],[UNIT TAG]], FALSE), 6)</f>
        <v>200</v>
      </c>
      <c r="Z377" s="27">
        <f>INDEX(Schedule!$A$1:$N$2000, MATCH($C377, VAV_Schedule_5_21[[#All],[UNIT TAG]], FALSE), 6)</f>
        <v>200</v>
      </c>
      <c r="AA377" s="27">
        <v>1000</v>
      </c>
      <c r="AB377" s="27">
        <v>1100</v>
      </c>
      <c r="AC377">
        <v>1400</v>
      </c>
      <c r="AD377" s="29">
        <f>IF(INDEX(Schedule!$A$1:$N$2000, MATCH($C377, VAV_Schedule_5_21[[#All],[UNIT TAG]], FALSE), 7)="-", 0, INDEX(Schedule!$A$1:$N$2000, MATCH($C377, VAV_Schedule_5_21[[#All],[UNIT TAG]], FALSE), 7))</f>
        <v>0</v>
      </c>
      <c r="AE377" t="str">
        <f>"B_01'" &amp; "Flr_0" &amp; INDEX(Joined!$A$3:$M$2000, MATCH($A377, Joined!$I$3:$I$2000, FALSE), 8)</f>
        <v>B_01'Flr_09</v>
      </c>
      <c r="AF377" t="str">
        <f>"R_" &amp; INDEX(Joined!$A$3:$M$2000, MATCH($A377, Joined!$I$3:$I$2000, FALSE), 7)</f>
        <v>R_VAV-9E-28</v>
      </c>
      <c r="AG377" t="str">
        <f>"B_01'" &amp; "Flr_0" &amp; INDEX(Joined!$A$3:$M$2000, MATCH($A377, Joined!$I$3:$I$2000, FALSE), 8)</f>
        <v>B_01'Flr_09</v>
      </c>
      <c r="AH377" t="str">
        <f>INDEX(Joined!$A$3:$M$2000, MATCH($A377, Joined!$I$3:$I$2000, FALSE), 7)</f>
        <v>VAV-9E-28</v>
      </c>
      <c r="AI377" t="s">
        <v>1705</v>
      </c>
    </row>
    <row r="378" spans="1:35" x14ac:dyDescent="0.2">
      <c r="A378" t="s">
        <v>1239</v>
      </c>
      <c r="B378" t="str">
        <f>"B_01'" &amp; "Flr_0" &amp; INDEX(Joined!$A$3:$M$2000, MATCH($A378, Joined!$I$3:$I$2000, FALSE), 8)</f>
        <v>B_01'Flr_09</v>
      </c>
      <c r="C378" t="str">
        <f>INDEX(Joined!$A$3:$M$2000, MATCH($A378, Joined!$I$3:$I$2000, FALSE), 7)</f>
        <v>VAV-9E-29</v>
      </c>
      <c r="D378">
        <f>INDEX(Joined!$A$3:$M$2000, MATCH($A378, Joined!$I$3:$I$2000, FALSE), 5)</f>
        <v>152316</v>
      </c>
      <c r="E378" t="str">
        <f>INDEX(Joined!$A$3:$M$2000, MATCH($A378, Joined!$I$3:$I$2000, FALSE), 7)</f>
        <v>VAV-9E-29</v>
      </c>
      <c r="F378" t="s">
        <v>38</v>
      </c>
      <c r="G378" t="str">
        <f>INDEX(Schedule!$Q$2:$R$7, MATCH(ABT!$H378,Schedule!$Q$2:$Q$7, 0), 2)</f>
        <v>15010_DXR_VAV_DXR2M12</v>
      </c>
      <c r="H378">
        <f>INDEX(Joined!$A$3:$M$2000, MATCH($A378, Joined!$I$3:$I$2000, FALSE), 6)</f>
        <v>15010</v>
      </c>
      <c r="I378" t="str">
        <f>INDEX(Joined!$A$3:$M$2000, MATCH($A378, Joined!$I$3:$I$2000, FALSE), 4)</f>
        <v>523</v>
      </c>
      <c r="J378" t="b">
        <v>0</v>
      </c>
      <c r="K378">
        <f>INDEX(Joined!$A$3:$M$2000, MATCH($A378, Joined!$I$3:$I$2000, FALSE), 3)</f>
        <v>16</v>
      </c>
      <c r="L378">
        <v>85</v>
      </c>
      <c r="M378">
        <v>38400</v>
      </c>
      <c r="N378" s="27">
        <f>PI()*(INDEX(Schedule!$A$1:$N$2000, MATCH($C378, VAV_Schedule_5_21[[#All],[UNIT TAG]], FALSE), 4)/2/12)^2</f>
        <v>0.54541539124822802</v>
      </c>
      <c r="O378" s="27">
        <f>INDEX(Schedule!$A$1:$N$2000, MATCH($C378, VAV_Schedule_5_21[[#All],[UNIT TAG]], FALSE), 4)</f>
        <v>10</v>
      </c>
      <c r="P378">
        <v>376.63</v>
      </c>
      <c r="Q378" s="27">
        <f>INDEX(Schedule!$A$1:$N$2000, MATCH($C378, VAV_Schedule_5_21[[#All],[UNIT TAG]], FALSE), 5)</f>
        <v>925</v>
      </c>
      <c r="R378" s="27">
        <f>INDEX(Schedule!$A$1:$N$2000, MATCH($C378, VAV_Schedule_5_21[[#All],[UNIT TAG]], FALSE), 6)</f>
        <v>140</v>
      </c>
      <c r="S378" s="27">
        <f>INDEX(Schedule!$A$1:$N$2000, MATCH($C378, VAV_Schedule_5_21[[#All],[UNIT TAG]], FALSE), 5)</f>
        <v>925</v>
      </c>
      <c r="T378" s="27">
        <f>INDEX(Schedule!$A$1:$N$2000, MATCH($C378, VAV_Schedule_5_21[[#All],[UNIT TAG]], FALSE), 6)</f>
        <v>140</v>
      </c>
      <c r="U378" s="27">
        <f>INDEX(Schedule!$A$1:$N$2000, MATCH($C378, VAV_Schedule_5_21[[#All],[UNIT TAG]], FALSE), 5)</f>
        <v>925</v>
      </c>
      <c r="V378" s="27">
        <f>INDEX(Schedule!$A$1:$N$2000, MATCH($C378, VAV_Schedule_5_21[[#All],[UNIT TAG]], FALSE), 6)</f>
        <v>140</v>
      </c>
      <c r="W378" s="27">
        <f>INDEX(Schedule!$A$1:$N$2000, MATCH($C378, VAV_Schedule_5_21[[#All],[UNIT TAG]], FALSE), 6)</f>
        <v>140</v>
      </c>
      <c r="X378" s="27">
        <f>INDEX(Schedule!$A$1:$N$2000, MATCH($C378, VAV_Schedule_5_21[[#All],[UNIT TAG]], FALSE), 6)</f>
        <v>140</v>
      </c>
      <c r="Y378" s="27">
        <f>INDEX(Schedule!$A$1:$N$2000, MATCH($C378, VAV_Schedule_5_21[[#All],[UNIT TAG]], FALSE), 6)</f>
        <v>140</v>
      </c>
      <c r="Z378" s="27">
        <f>INDEX(Schedule!$A$1:$N$2000, MATCH($C378, VAV_Schedule_5_21[[#All],[UNIT TAG]], FALSE), 6)</f>
        <v>140</v>
      </c>
      <c r="AA378" s="27">
        <v>1000</v>
      </c>
      <c r="AB378" s="27">
        <v>1100</v>
      </c>
      <c r="AC378">
        <v>1400</v>
      </c>
      <c r="AD378" s="29">
        <f>IF(INDEX(Schedule!$A$1:$N$2000, MATCH($C378, VAV_Schedule_5_21[[#All],[UNIT TAG]], FALSE), 7)="-", 0, INDEX(Schedule!$A$1:$N$2000, MATCH($C378, VAV_Schedule_5_21[[#All],[UNIT TAG]], FALSE), 7))</f>
        <v>0</v>
      </c>
      <c r="AE378" t="str">
        <f>"B_01'" &amp; "Flr_0" &amp; INDEX(Joined!$A$3:$M$2000, MATCH($A378, Joined!$I$3:$I$2000, FALSE), 8)</f>
        <v>B_01'Flr_09</v>
      </c>
      <c r="AF378" t="str">
        <f>"R_" &amp; INDEX(Joined!$A$3:$M$2000, MATCH($A378, Joined!$I$3:$I$2000, FALSE), 7)</f>
        <v>R_VAV-9E-29</v>
      </c>
      <c r="AG378" t="str">
        <f>"B_01'" &amp; "Flr_0" &amp; INDEX(Joined!$A$3:$M$2000, MATCH($A378, Joined!$I$3:$I$2000, FALSE), 8)</f>
        <v>B_01'Flr_09</v>
      </c>
      <c r="AH378" t="str">
        <f>INDEX(Joined!$A$3:$M$2000, MATCH($A378, Joined!$I$3:$I$2000, FALSE), 7)</f>
        <v>VAV-9E-29</v>
      </c>
      <c r="AI378" t="s">
        <v>1706</v>
      </c>
    </row>
    <row r="379" spans="1:35" x14ac:dyDescent="0.2">
      <c r="A379" t="s">
        <v>1240</v>
      </c>
      <c r="B379" t="str">
        <f>"B_01'" &amp; "Flr_0" &amp; INDEX(Joined!$A$3:$M$2000, MATCH($A379, Joined!$I$3:$I$2000, FALSE), 8)</f>
        <v>B_01'Flr_09</v>
      </c>
      <c r="C379" t="str">
        <f>INDEX(Joined!$A$3:$M$2000, MATCH($A379, Joined!$I$3:$I$2000, FALSE), 7)</f>
        <v>VAV-9E-30</v>
      </c>
      <c r="D379">
        <f>INDEX(Joined!$A$3:$M$2000, MATCH($A379, Joined!$I$3:$I$2000, FALSE), 5)</f>
        <v>152317</v>
      </c>
      <c r="E379" t="str">
        <f>INDEX(Joined!$A$3:$M$2000, MATCH($A379, Joined!$I$3:$I$2000, FALSE), 7)</f>
        <v>VAV-9E-30</v>
      </c>
      <c r="F379" t="s">
        <v>38</v>
      </c>
      <c r="G379" t="str">
        <f>INDEX(Schedule!$Q$2:$R$7, MATCH(ABT!$H379,Schedule!$Q$2:$Q$7, 0), 2)</f>
        <v>15010_DXR_VAV_DXR2M12</v>
      </c>
      <c r="H379">
        <f>INDEX(Joined!$A$3:$M$2000, MATCH($A379, Joined!$I$3:$I$2000, FALSE), 6)</f>
        <v>15010</v>
      </c>
      <c r="I379" t="str">
        <f>INDEX(Joined!$A$3:$M$2000, MATCH($A379, Joined!$I$3:$I$2000, FALSE), 4)</f>
        <v>523</v>
      </c>
      <c r="J379" t="b">
        <v>0</v>
      </c>
      <c r="K379">
        <f>INDEX(Joined!$A$3:$M$2000, MATCH($A379, Joined!$I$3:$I$2000, FALSE), 3)</f>
        <v>17</v>
      </c>
      <c r="L379">
        <v>85</v>
      </c>
      <c r="M379">
        <v>38400</v>
      </c>
      <c r="N379" s="27">
        <f>PI()*(INDEX(Schedule!$A$1:$N$2000, MATCH($C379, VAV_Schedule_5_21[[#All],[UNIT TAG]], FALSE), 4)/2/12)^2</f>
        <v>0.78539816339744828</v>
      </c>
      <c r="O379" s="27">
        <f>INDEX(Schedule!$A$1:$N$2000, MATCH($C379, VAV_Schedule_5_21[[#All],[UNIT TAG]], FALSE), 4)</f>
        <v>12</v>
      </c>
      <c r="P379">
        <v>377.63</v>
      </c>
      <c r="Q379" s="27">
        <f>INDEX(Schedule!$A$1:$N$2000, MATCH($C379, VAV_Schedule_5_21[[#All],[UNIT TAG]], FALSE), 5)</f>
        <v>1510</v>
      </c>
      <c r="R379" s="27">
        <f>INDEX(Schedule!$A$1:$N$2000, MATCH($C379, VAV_Schedule_5_21[[#All],[UNIT TAG]], FALSE), 6)</f>
        <v>230</v>
      </c>
      <c r="S379" s="27">
        <f>INDEX(Schedule!$A$1:$N$2000, MATCH($C379, VAV_Schedule_5_21[[#All],[UNIT TAG]], FALSE), 5)</f>
        <v>1510</v>
      </c>
      <c r="T379" s="27">
        <f>INDEX(Schedule!$A$1:$N$2000, MATCH($C379, VAV_Schedule_5_21[[#All],[UNIT TAG]], FALSE), 6)</f>
        <v>230</v>
      </c>
      <c r="U379" s="27">
        <f>INDEX(Schedule!$A$1:$N$2000, MATCH($C379, VAV_Schedule_5_21[[#All],[UNIT TAG]], FALSE), 5)</f>
        <v>1510</v>
      </c>
      <c r="V379" s="27">
        <f>INDEX(Schedule!$A$1:$N$2000, MATCH($C379, VAV_Schedule_5_21[[#All],[UNIT TAG]], FALSE), 6)</f>
        <v>230</v>
      </c>
      <c r="W379" s="27">
        <f>INDEX(Schedule!$A$1:$N$2000, MATCH($C379, VAV_Schedule_5_21[[#All],[UNIT TAG]], FALSE), 6)</f>
        <v>230</v>
      </c>
      <c r="X379" s="27">
        <f>INDEX(Schedule!$A$1:$N$2000, MATCH($C379, VAV_Schedule_5_21[[#All],[UNIT TAG]], FALSE), 6)</f>
        <v>230</v>
      </c>
      <c r="Y379" s="27">
        <f>INDEX(Schedule!$A$1:$N$2000, MATCH($C379, VAV_Schedule_5_21[[#All],[UNIT TAG]], FALSE), 6)</f>
        <v>230</v>
      </c>
      <c r="Z379" s="27">
        <f>INDEX(Schedule!$A$1:$N$2000, MATCH($C379, VAV_Schedule_5_21[[#All],[UNIT TAG]], FALSE), 6)</f>
        <v>230</v>
      </c>
      <c r="AA379" s="27">
        <v>1000</v>
      </c>
      <c r="AB379" s="27">
        <v>1100</v>
      </c>
      <c r="AC379">
        <v>1400</v>
      </c>
      <c r="AD379" s="29">
        <f>IF(INDEX(Schedule!$A$1:$N$2000, MATCH($C379, VAV_Schedule_5_21[[#All],[UNIT TAG]], FALSE), 7)="-", 0, INDEX(Schedule!$A$1:$N$2000, MATCH($C379, VAV_Schedule_5_21[[#All],[UNIT TAG]], FALSE), 7))</f>
        <v>0</v>
      </c>
      <c r="AE379" t="str">
        <f>"B_01'" &amp; "Flr_0" &amp; INDEX(Joined!$A$3:$M$2000, MATCH($A379, Joined!$I$3:$I$2000, FALSE), 8)</f>
        <v>B_01'Flr_09</v>
      </c>
      <c r="AF379" t="str">
        <f>"R_" &amp; INDEX(Joined!$A$3:$M$2000, MATCH($A379, Joined!$I$3:$I$2000, FALSE), 7)</f>
        <v>R_VAV-9E-30</v>
      </c>
      <c r="AG379" t="str">
        <f>"B_01'" &amp; "Flr_0" &amp; INDEX(Joined!$A$3:$M$2000, MATCH($A379, Joined!$I$3:$I$2000, FALSE), 8)</f>
        <v>B_01'Flr_09</v>
      </c>
      <c r="AH379" t="str">
        <f>INDEX(Joined!$A$3:$M$2000, MATCH($A379, Joined!$I$3:$I$2000, FALSE), 7)</f>
        <v>VAV-9E-30</v>
      </c>
      <c r="AI379" t="s">
        <v>1707</v>
      </c>
    </row>
    <row r="380" spans="1:35" x14ac:dyDescent="0.2">
      <c r="A380" t="s">
        <v>1241</v>
      </c>
      <c r="B380" t="str">
        <f>"B_01'" &amp; "Flr_0" &amp; INDEX(Joined!$A$3:$M$2000, MATCH($A380, Joined!$I$3:$I$2000, FALSE), 8)</f>
        <v>B_01'Flr_09</v>
      </c>
      <c r="C380" t="str">
        <f>INDEX(Joined!$A$3:$M$2000, MATCH($A380, Joined!$I$3:$I$2000, FALSE), 7)</f>
        <v>VAV-9E-31</v>
      </c>
      <c r="D380">
        <f>INDEX(Joined!$A$3:$M$2000, MATCH($A380, Joined!$I$3:$I$2000, FALSE), 5)</f>
        <v>152318</v>
      </c>
      <c r="E380" t="str">
        <f>INDEX(Joined!$A$3:$M$2000, MATCH($A380, Joined!$I$3:$I$2000, FALSE), 7)</f>
        <v>VAV-9E-31</v>
      </c>
      <c r="F380" t="s">
        <v>38</v>
      </c>
      <c r="G380" t="str">
        <f>INDEX(Schedule!$Q$2:$R$7, MATCH(ABT!$H380,Schedule!$Q$2:$Q$7, 0), 2)</f>
        <v>15011_DXR_VAV_DXR2M12</v>
      </c>
      <c r="H380">
        <f>INDEX(Joined!$A$3:$M$2000, MATCH($A380, Joined!$I$3:$I$2000, FALSE), 6)</f>
        <v>15011</v>
      </c>
      <c r="I380" t="str">
        <f>INDEX(Joined!$A$3:$M$2000, MATCH($A380, Joined!$I$3:$I$2000, FALSE), 4)</f>
        <v>523</v>
      </c>
      <c r="J380" t="b">
        <v>0</v>
      </c>
      <c r="K380">
        <f>INDEX(Joined!$A$3:$M$2000, MATCH($A380, Joined!$I$3:$I$2000, FALSE), 3)</f>
        <v>18</v>
      </c>
      <c r="L380">
        <v>85</v>
      </c>
      <c r="M380">
        <v>38400</v>
      </c>
      <c r="N380" s="27">
        <f>PI()*(INDEX(Schedule!$A$1:$N$2000, MATCH($C380, VAV_Schedule_5_21[[#All],[UNIT TAG]], FALSE), 4)/2/12)^2</f>
        <v>0.54541539124822802</v>
      </c>
      <c r="O380" s="27">
        <f>INDEX(Schedule!$A$1:$N$2000, MATCH($C380, VAV_Schedule_5_21[[#All],[UNIT TAG]], FALSE), 4)</f>
        <v>10</v>
      </c>
      <c r="P380">
        <v>378.63</v>
      </c>
      <c r="Q380" s="27">
        <f>INDEX(Schedule!$A$1:$N$2000, MATCH($C380, VAV_Schedule_5_21[[#All],[UNIT TAG]], FALSE), 5)</f>
        <v>800</v>
      </c>
      <c r="R380" s="27">
        <f>INDEX(Schedule!$A$1:$N$2000, MATCH($C380, VAV_Schedule_5_21[[#All],[UNIT TAG]], FALSE), 6)</f>
        <v>120</v>
      </c>
      <c r="S380" s="27">
        <f>INDEX(Schedule!$A$1:$N$2000, MATCH($C380, VAV_Schedule_5_21[[#All],[UNIT TAG]], FALSE), 5)</f>
        <v>800</v>
      </c>
      <c r="T380" s="27">
        <f>INDEX(Schedule!$A$1:$N$2000, MATCH($C380, VAV_Schedule_5_21[[#All],[UNIT TAG]], FALSE), 6)</f>
        <v>120</v>
      </c>
      <c r="U380" s="27">
        <f>INDEX(Schedule!$A$1:$N$2000, MATCH($C380, VAV_Schedule_5_21[[#All],[UNIT TAG]], FALSE), 5)</f>
        <v>800</v>
      </c>
      <c r="V380" s="27">
        <f>INDEX(Schedule!$A$1:$N$2000, MATCH($C380, VAV_Schedule_5_21[[#All],[UNIT TAG]], FALSE), 6)</f>
        <v>120</v>
      </c>
      <c r="W380" s="27">
        <f>INDEX(Schedule!$A$1:$N$2000, MATCH($C380, VAV_Schedule_5_21[[#All],[UNIT TAG]], FALSE), 6)</f>
        <v>120</v>
      </c>
      <c r="X380" s="27">
        <f>INDEX(Schedule!$A$1:$N$2000, MATCH($C380, VAV_Schedule_5_21[[#All],[UNIT TAG]], FALSE), 6)</f>
        <v>120</v>
      </c>
      <c r="Y380" s="27">
        <f>INDEX(Schedule!$A$1:$N$2000, MATCH($C380, VAV_Schedule_5_21[[#All],[UNIT TAG]], FALSE), 6)</f>
        <v>120</v>
      </c>
      <c r="Z380" s="27">
        <f>INDEX(Schedule!$A$1:$N$2000, MATCH($C380, VAV_Schedule_5_21[[#All],[UNIT TAG]], FALSE), 6)</f>
        <v>120</v>
      </c>
      <c r="AA380" s="27">
        <v>1000</v>
      </c>
      <c r="AB380" s="27">
        <v>1100</v>
      </c>
      <c r="AC380">
        <v>1400</v>
      </c>
      <c r="AD380" s="29" t="str">
        <f>IF(INDEX(Schedule!$A$1:$N$2000, MATCH($C380, VAV_Schedule_5_21[[#All],[UNIT TAG]], FALSE), 7)="-", 0, INDEX(Schedule!$A$1:$N$2000, MATCH($C380, VAV_Schedule_5_21[[#All],[UNIT TAG]], FALSE), 7))</f>
        <v>8</v>
      </c>
      <c r="AE380" t="str">
        <f>"B_01'" &amp; "Flr_0" &amp; INDEX(Joined!$A$3:$M$2000, MATCH($A380, Joined!$I$3:$I$2000, FALSE), 8)</f>
        <v>B_01'Flr_09</v>
      </c>
      <c r="AF380" t="str">
        <f>"R_" &amp; INDEX(Joined!$A$3:$M$2000, MATCH($A380, Joined!$I$3:$I$2000, FALSE), 7)</f>
        <v>R_VAV-9E-31</v>
      </c>
      <c r="AG380" t="str">
        <f>"B_01'" &amp; "Flr_0" &amp; INDEX(Joined!$A$3:$M$2000, MATCH($A380, Joined!$I$3:$I$2000, FALSE), 8)</f>
        <v>B_01'Flr_09</v>
      </c>
      <c r="AH380" t="str">
        <f>INDEX(Joined!$A$3:$M$2000, MATCH($A380, Joined!$I$3:$I$2000, FALSE), 7)</f>
        <v>VAV-9E-31</v>
      </c>
      <c r="AI380" t="s">
        <v>1708</v>
      </c>
    </row>
    <row r="381" spans="1:35" x14ac:dyDescent="0.2">
      <c r="A381" t="s">
        <v>1242</v>
      </c>
      <c r="B381" t="str">
        <f>"B_01'" &amp; "Flr_0" &amp; INDEX(Joined!$A$3:$M$2000, MATCH($A381, Joined!$I$3:$I$2000, FALSE), 8)</f>
        <v>B_01'Flr_09</v>
      </c>
      <c r="C381" t="str">
        <f>INDEX(Joined!$A$3:$M$2000, MATCH($A381, Joined!$I$3:$I$2000, FALSE), 7)</f>
        <v>VAV-9E-32</v>
      </c>
      <c r="D381">
        <f>INDEX(Joined!$A$3:$M$2000, MATCH($A381, Joined!$I$3:$I$2000, FALSE), 5)</f>
        <v>152319</v>
      </c>
      <c r="E381" t="str">
        <f>INDEX(Joined!$A$3:$M$2000, MATCH($A381, Joined!$I$3:$I$2000, FALSE), 7)</f>
        <v>VAV-9E-32</v>
      </c>
      <c r="F381" t="s">
        <v>38</v>
      </c>
      <c r="G381" t="str">
        <f>INDEX(Schedule!$Q$2:$R$7, MATCH(ABT!$H381,Schedule!$Q$2:$Q$7, 0), 2)</f>
        <v>15011_DXR_VAV_DXR2M12</v>
      </c>
      <c r="H381">
        <f>INDEX(Joined!$A$3:$M$2000, MATCH($A381, Joined!$I$3:$I$2000, FALSE), 6)</f>
        <v>15011</v>
      </c>
      <c r="I381" t="str">
        <f>INDEX(Joined!$A$3:$M$2000, MATCH($A381, Joined!$I$3:$I$2000, FALSE), 4)</f>
        <v>523</v>
      </c>
      <c r="J381" t="b">
        <v>0</v>
      </c>
      <c r="K381">
        <f>INDEX(Joined!$A$3:$M$2000, MATCH($A381, Joined!$I$3:$I$2000, FALSE), 3)</f>
        <v>19</v>
      </c>
      <c r="L381">
        <v>85</v>
      </c>
      <c r="M381">
        <v>38400</v>
      </c>
      <c r="N381" s="27">
        <f>PI()*(INDEX(Schedule!$A$1:$N$2000, MATCH($C381, VAV_Schedule_5_21[[#All],[UNIT TAG]], FALSE), 4)/2/12)^2</f>
        <v>0.78539816339744828</v>
      </c>
      <c r="O381" s="27">
        <f>INDEX(Schedule!$A$1:$N$2000, MATCH($C381, VAV_Schedule_5_21[[#All],[UNIT TAG]], FALSE), 4)</f>
        <v>12</v>
      </c>
      <c r="P381">
        <v>379.63</v>
      </c>
      <c r="Q381" s="27">
        <f>INDEX(Schedule!$A$1:$N$2000, MATCH($C381, VAV_Schedule_5_21[[#All],[UNIT TAG]], FALSE), 5)</f>
        <v>1400</v>
      </c>
      <c r="R381" s="27">
        <f>INDEX(Schedule!$A$1:$N$2000, MATCH($C381, VAV_Schedule_5_21[[#All],[UNIT TAG]], FALSE), 6)</f>
        <v>210</v>
      </c>
      <c r="S381" s="27">
        <f>INDEX(Schedule!$A$1:$N$2000, MATCH($C381, VAV_Schedule_5_21[[#All],[UNIT TAG]], FALSE), 5)</f>
        <v>1400</v>
      </c>
      <c r="T381" s="27">
        <f>INDEX(Schedule!$A$1:$N$2000, MATCH($C381, VAV_Schedule_5_21[[#All],[UNIT TAG]], FALSE), 6)</f>
        <v>210</v>
      </c>
      <c r="U381" s="27">
        <f>INDEX(Schedule!$A$1:$N$2000, MATCH($C381, VAV_Schedule_5_21[[#All],[UNIT TAG]], FALSE), 5)</f>
        <v>1400</v>
      </c>
      <c r="V381" s="27">
        <f>INDEX(Schedule!$A$1:$N$2000, MATCH($C381, VAV_Schedule_5_21[[#All],[UNIT TAG]], FALSE), 6)</f>
        <v>210</v>
      </c>
      <c r="W381" s="27">
        <f>INDEX(Schedule!$A$1:$N$2000, MATCH($C381, VAV_Schedule_5_21[[#All],[UNIT TAG]], FALSE), 6)</f>
        <v>210</v>
      </c>
      <c r="X381" s="27">
        <f>INDEX(Schedule!$A$1:$N$2000, MATCH($C381, VAV_Schedule_5_21[[#All],[UNIT TAG]], FALSE), 6)</f>
        <v>210</v>
      </c>
      <c r="Y381" s="27">
        <f>INDEX(Schedule!$A$1:$N$2000, MATCH($C381, VAV_Schedule_5_21[[#All],[UNIT TAG]], FALSE), 6)</f>
        <v>210</v>
      </c>
      <c r="Z381" s="27">
        <f>INDEX(Schedule!$A$1:$N$2000, MATCH($C381, VAV_Schedule_5_21[[#All],[UNIT TAG]], FALSE), 6)</f>
        <v>210</v>
      </c>
      <c r="AA381" s="27">
        <v>1000</v>
      </c>
      <c r="AB381" s="27">
        <v>1100</v>
      </c>
      <c r="AC381">
        <v>1400</v>
      </c>
      <c r="AD381" s="29" t="str">
        <f>IF(INDEX(Schedule!$A$1:$N$2000, MATCH($C381, VAV_Schedule_5_21[[#All],[UNIT TAG]], FALSE), 7)="-", 0, INDEX(Schedule!$A$1:$N$2000, MATCH($C381, VAV_Schedule_5_21[[#All],[UNIT TAG]], FALSE), 7))</f>
        <v>8</v>
      </c>
      <c r="AE381" t="str">
        <f>"B_01'" &amp; "Flr_0" &amp; INDEX(Joined!$A$3:$M$2000, MATCH($A381, Joined!$I$3:$I$2000, FALSE), 8)</f>
        <v>B_01'Flr_09</v>
      </c>
      <c r="AF381" t="str">
        <f>"R_" &amp; INDEX(Joined!$A$3:$M$2000, MATCH($A381, Joined!$I$3:$I$2000, FALSE), 7)</f>
        <v>R_VAV-9E-32</v>
      </c>
      <c r="AG381" t="str">
        <f>"B_01'" &amp; "Flr_0" &amp; INDEX(Joined!$A$3:$M$2000, MATCH($A381, Joined!$I$3:$I$2000, FALSE), 8)</f>
        <v>B_01'Flr_09</v>
      </c>
      <c r="AH381" t="str">
        <f>INDEX(Joined!$A$3:$M$2000, MATCH($A381, Joined!$I$3:$I$2000, FALSE), 7)</f>
        <v>VAV-9E-32</v>
      </c>
      <c r="AI381" t="s">
        <v>1709</v>
      </c>
    </row>
    <row r="382" spans="1:35" x14ac:dyDescent="0.2">
      <c r="A382" t="s">
        <v>1243</v>
      </c>
      <c r="B382" t="str">
        <f>"B_01'" &amp; "Flr_0" &amp; INDEX(Joined!$A$3:$M$2000, MATCH($A382, Joined!$I$3:$I$2000, FALSE), 8)</f>
        <v>B_01'Flr_09</v>
      </c>
      <c r="C382" t="str">
        <f>INDEX(Joined!$A$3:$M$2000, MATCH($A382, Joined!$I$3:$I$2000, FALSE), 7)</f>
        <v>VAV-9W-33</v>
      </c>
      <c r="D382">
        <f>INDEX(Joined!$A$3:$M$2000, MATCH($A382, Joined!$I$3:$I$2000, FALSE), 5)</f>
        <v>152405</v>
      </c>
      <c r="E382" t="str">
        <f>INDEX(Joined!$A$3:$M$2000, MATCH($A382, Joined!$I$3:$I$2000, FALSE), 7)</f>
        <v>VAV-9W-33</v>
      </c>
      <c r="F382" t="s">
        <v>38</v>
      </c>
      <c r="G382" t="str">
        <f>INDEX(Schedule!$Q$2:$R$7, MATCH(ABT!$H382,Schedule!$Q$2:$Q$7, 0), 2)</f>
        <v>15010_DXR_VAV_DXR2M12</v>
      </c>
      <c r="H382">
        <f>INDEX(Joined!$A$3:$M$2000, MATCH($A382, Joined!$I$3:$I$2000, FALSE), 6)</f>
        <v>15010</v>
      </c>
      <c r="I382" t="str">
        <f>INDEX(Joined!$A$3:$M$2000, MATCH($A382, Joined!$I$3:$I$2000, FALSE), 4)</f>
        <v>524</v>
      </c>
      <c r="J382" t="b">
        <v>0</v>
      </c>
      <c r="K382">
        <f>INDEX(Joined!$A$3:$M$2000, MATCH($A382, Joined!$I$3:$I$2000, FALSE), 3)</f>
        <v>5</v>
      </c>
      <c r="L382">
        <v>85</v>
      </c>
      <c r="M382">
        <v>38400</v>
      </c>
      <c r="N382" s="27">
        <f>PI()*(INDEX(Schedule!$A$1:$N$2000, MATCH($C382, VAV_Schedule_5_21[[#All],[UNIT TAG]], FALSE), 4)/2/12)^2</f>
        <v>0.3490658503988659</v>
      </c>
      <c r="O382" s="27">
        <f>INDEX(Schedule!$A$1:$N$2000, MATCH($C382, VAV_Schedule_5_21[[#All],[UNIT TAG]], FALSE), 4)</f>
        <v>8</v>
      </c>
      <c r="P382">
        <v>380.63</v>
      </c>
      <c r="Q382" s="27">
        <f>INDEX(Schedule!$A$1:$N$2000, MATCH($C382, VAV_Schedule_5_21[[#All],[UNIT TAG]], FALSE), 5)</f>
        <v>560</v>
      </c>
      <c r="R382" s="27">
        <f>INDEX(Schedule!$A$1:$N$2000, MATCH($C382, VAV_Schedule_5_21[[#All],[UNIT TAG]], FALSE), 6)</f>
        <v>85</v>
      </c>
      <c r="S382" s="27">
        <f>INDEX(Schedule!$A$1:$N$2000, MATCH($C382, VAV_Schedule_5_21[[#All],[UNIT TAG]], FALSE), 5)</f>
        <v>560</v>
      </c>
      <c r="T382" s="27">
        <f>INDEX(Schedule!$A$1:$N$2000, MATCH($C382, VAV_Schedule_5_21[[#All],[UNIT TAG]], FALSE), 6)</f>
        <v>85</v>
      </c>
      <c r="U382" s="27">
        <f>INDEX(Schedule!$A$1:$N$2000, MATCH($C382, VAV_Schedule_5_21[[#All],[UNIT TAG]], FALSE), 5)</f>
        <v>560</v>
      </c>
      <c r="V382" s="27">
        <f>INDEX(Schedule!$A$1:$N$2000, MATCH($C382, VAV_Schedule_5_21[[#All],[UNIT TAG]], FALSE), 6)</f>
        <v>85</v>
      </c>
      <c r="W382" s="27">
        <f>INDEX(Schedule!$A$1:$N$2000, MATCH($C382, VAV_Schedule_5_21[[#All],[UNIT TAG]], FALSE), 6)</f>
        <v>85</v>
      </c>
      <c r="X382" s="27">
        <f>INDEX(Schedule!$A$1:$N$2000, MATCH($C382, VAV_Schedule_5_21[[#All],[UNIT TAG]], FALSE), 6)</f>
        <v>85</v>
      </c>
      <c r="Y382" s="27">
        <f>INDEX(Schedule!$A$1:$N$2000, MATCH($C382, VAV_Schedule_5_21[[#All],[UNIT TAG]], FALSE), 6)</f>
        <v>85</v>
      </c>
      <c r="Z382" s="27">
        <f>INDEX(Schedule!$A$1:$N$2000, MATCH($C382, VAV_Schedule_5_21[[#All],[UNIT TAG]], FALSE), 6)</f>
        <v>85</v>
      </c>
      <c r="AA382" s="27">
        <v>1000</v>
      </c>
      <c r="AB382" s="27">
        <v>1100</v>
      </c>
      <c r="AC382">
        <v>1400</v>
      </c>
      <c r="AD382" s="29">
        <f>IF(INDEX(Schedule!$A$1:$N$2000, MATCH($C382, VAV_Schedule_5_21[[#All],[UNIT TAG]], FALSE), 7)="-", 0, INDEX(Schedule!$A$1:$N$2000, MATCH($C382, VAV_Schedule_5_21[[#All],[UNIT TAG]], FALSE), 7))</f>
        <v>0</v>
      </c>
      <c r="AE382" t="str">
        <f>"B_01'" &amp; "Flr_0" &amp; INDEX(Joined!$A$3:$M$2000, MATCH($A382, Joined!$I$3:$I$2000, FALSE), 8)</f>
        <v>B_01'Flr_09</v>
      </c>
      <c r="AF382" t="str">
        <f>"R_" &amp; INDEX(Joined!$A$3:$M$2000, MATCH($A382, Joined!$I$3:$I$2000, FALSE), 7)</f>
        <v>R_VAV-9W-33</v>
      </c>
      <c r="AG382" t="str">
        <f>"B_01'" &amp; "Flr_0" &amp; INDEX(Joined!$A$3:$M$2000, MATCH($A382, Joined!$I$3:$I$2000, FALSE), 8)</f>
        <v>B_01'Flr_09</v>
      </c>
      <c r="AH382" t="str">
        <f>INDEX(Joined!$A$3:$M$2000, MATCH($A382, Joined!$I$3:$I$2000, FALSE), 7)</f>
        <v>VAV-9W-33</v>
      </c>
      <c r="AI382" t="s">
        <v>1710</v>
      </c>
    </row>
    <row r="383" spans="1:35" x14ac:dyDescent="0.2">
      <c r="A383" t="s">
        <v>1244</v>
      </c>
      <c r="B383" t="str">
        <f>"B_01'" &amp; "Flr_0" &amp; INDEX(Joined!$A$3:$M$2000, MATCH($A383, Joined!$I$3:$I$2000, FALSE), 8)</f>
        <v>B_01'Flr_09</v>
      </c>
      <c r="C383" t="str">
        <f>INDEX(Joined!$A$3:$M$2000, MATCH($A383, Joined!$I$3:$I$2000, FALSE), 7)</f>
        <v>VAV-9W-34</v>
      </c>
      <c r="D383">
        <f>INDEX(Joined!$A$3:$M$2000, MATCH($A383, Joined!$I$3:$I$2000, FALSE), 5)</f>
        <v>152406</v>
      </c>
      <c r="E383" t="str">
        <f>INDEX(Joined!$A$3:$M$2000, MATCH($A383, Joined!$I$3:$I$2000, FALSE), 7)</f>
        <v>VAV-9W-34</v>
      </c>
      <c r="F383" t="s">
        <v>38</v>
      </c>
      <c r="G383" t="str">
        <f>INDEX(Schedule!$Q$2:$R$7, MATCH(ABT!$H383,Schedule!$Q$2:$Q$7, 0), 2)</f>
        <v>15010_DXR_VAV_DXR2M12</v>
      </c>
      <c r="H383">
        <f>INDEX(Joined!$A$3:$M$2000, MATCH($A383, Joined!$I$3:$I$2000, FALSE), 6)</f>
        <v>15010</v>
      </c>
      <c r="I383" t="str">
        <f>INDEX(Joined!$A$3:$M$2000, MATCH($A383, Joined!$I$3:$I$2000, FALSE), 4)</f>
        <v>524</v>
      </c>
      <c r="J383" t="b">
        <v>0</v>
      </c>
      <c r="K383">
        <f>INDEX(Joined!$A$3:$M$2000, MATCH($A383, Joined!$I$3:$I$2000, FALSE), 3)</f>
        <v>6</v>
      </c>
      <c r="L383">
        <v>85</v>
      </c>
      <c r="M383">
        <v>38400</v>
      </c>
      <c r="N383" s="27">
        <f>PI()*(INDEX(Schedule!$A$1:$N$2000, MATCH($C383, VAV_Schedule_5_21[[#All],[UNIT TAG]], FALSE), 4)/2/12)^2</f>
        <v>0.78539816339744828</v>
      </c>
      <c r="O383" s="27">
        <f>INDEX(Schedule!$A$1:$N$2000, MATCH($C383, VAV_Schedule_5_21[[#All],[UNIT TAG]], FALSE), 4)</f>
        <v>12</v>
      </c>
      <c r="P383">
        <v>381.63</v>
      </c>
      <c r="Q383" s="27">
        <f>INDEX(Schedule!$A$1:$N$2000, MATCH($C383, VAV_Schedule_5_21[[#All],[UNIT TAG]], FALSE), 5)</f>
        <v>1200</v>
      </c>
      <c r="R383" s="27">
        <f>INDEX(Schedule!$A$1:$N$2000, MATCH($C383, VAV_Schedule_5_21[[#All],[UNIT TAG]], FALSE), 6)</f>
        <v>180</v>
      </c>
      <c r="S383" s="27">
        <f>INDEX(Schedule!$A$1:$N$2000, MATCH($C383, VAV_Schedule_5_21[[#All],[UNIT TAG]], FALSE), 5)</f>
        <v>1200</v>
      </c>
      <c r="T383" s="27">
        <f>INDEX(Schedule!$A$1:$N$2000, MATCH($C383, VAV_Schedule_5_21[[#All],[UNIT TAG]], FALSE), 6)</f>
        <v>180</v>
      </c>
      <c r="U383" s="27">
        <f>INDEX(Schedule!$A$1:$N$2000, MATCH($C383, VAV_Schedule_5_21[[#All],[UNIT TAG]], FALSE), 5)</f>
        <v>1200</v>
      </c>
      <c r="V383" s="27">
        <f>INDEX(Schedule!$A$1:$N$2000, MATCH($C383, VAV_Schedule_5_21[[#All],[UNIT TAG]], FALSE), 6)</f>
        <v>180</v>
      </c>
      <c r="W383" s="27">
        <f>INDEX(Schedule!$A$1:$N$2000, MATCH($C383, VAV_Schedule_5_21[[#All],[UNIT TAG]], FALSE), 6)</f>
        <v>180</v>
      </c>
      <c r="X383" s="27">
        <f>INDEX(Schedule!$A$1:$N$2000, MATCH($C383, VAV_Schedule_5_21[[#All],[UNIT TAG]], FALSE), 6)</f>
        <v>180</v>
      </c>
      <c r="Y383" s="27">
        <f>INDEX(Schedule!$A$1:$N$2000, MATCH($C383, VAV_Schedule_5_21[[#All],[UNIT TAG]], FALSE), 6)</f>
        <v>180</v>
      </c>
      <c r="Z383" s="27">
        <f>INDEX(Schedule!$A$1:$N$2000, MATCH($C383, VAV_Schedule_5_21[[#All],[UNIT TAG]], FALSE), 6)</f>
        <v>180</v>
      </c>
      <c r="AA383" s="27">
        <v>1000</v>
      </c>
      <c r="AB383" s="27">
        <v>1100</v>
      </c>
      <c r="AC383">
        <v>1400</v>
      </c>
      <c r="AD383" s="29">
        <f>IF(INDEX(Schedule!$A$1:$N$2000, MATCH($C383, VAV_Schedule_5_21[[#All],[UNIT TAG]], FALSE), 7)="-", 0, INDEX(Schedule!$A$1:$N$2000, MATCH($C383, VAV_Schedule_5_21[[#All],[UNIT TAG]], FALSE), 7))</f>
        <v>0</v>
      </c>
      <c r="AE383" t="str">
        <f>"B_01'" &amp; "Flr_0" &amp; INDEX(Joined!$A$3:$M$2000, MATCH($A383, Joined!$I$3:$I$2000, FALSE), 8)</f>
        <v>B_01'Flr_09</v>
      </c>
      <c r="AF383" t="str">
        <f>"R_" &amp; INDEX(Joined!$A$3:$M$2000, MATCH($A383, Joined!$I$3:$I$2000, FALSE), 7)</f>
        <v>R_VAV-9W-34</v>
      </c>
      <c r="AG383" t="str">
        <f>"B_01'" &amp; "Flr_0" &amp; INDEX(Joined!$A$3:$M$2000, MATCH($A383, Joined!$I$3:$I$2000, FALSE), 8)</f>
        <v>B_01'Flr_09</v>
      </c>
      <c r="AH383" t="str">
        <f>INDEX(Joined!$A$3:$M$2000, MATCH($A383, Joined!$I$3:$I$2000, FALSE), 7)</f>
        <v>VAV-9W-34</v>
      </c>
      <c r="AI383" t="s">
        <v>1711</v>
      </c>
    </row>
    <row r="384" spans="1:35" x14ac:dyDescent="0.2">
      <c r="A384" t="s">
        <v>1245</v>
      </c>
      <c r="B384" t="str">
        <f>"B_01'" &amp; "Flr_0" &amp; INDEX(Joined!$A$3:$M$2000, MATCH($A384, Joined!$I$3:$I$2000, FALSE), 8)</f>
        <v>B_01'Flr_09</v>
      </c>
      <c r="C384" t="str">
        <f>INDEX(Joined!$A$3:$M$2000, MATCH($A384, Joined!$I$3:$I$2000, FALSE), 7)</f>
        <v>VAV-9W-35</v>
      </c>
      <c r="D384">
        <f>INDEX(Joined!$A$3:$M$2000, MATCH($A384, Joined!$I$3:$I$2000, FALSE), 5)</f>
        <v>152407</v>
      </c>
      <c r="E384" t="str">
        <f>INDEX(Joined!$A$3:$M$2000, MATCH($A384, Joined!$I$3:$I$2000, FALSE), 7)</f>
        <v>VAV-9W-35</v>
      </c>
      <c r="F384" t="s">
        <v>38</v>
      </c>
      <c r="G384" t="str">
        <f>INDEX(Schedule!$Q$2:$R$7, MATCH(ABT!$H384,Schedule!$Q$2:$Q$7, 0), 2)</f>
        <v>15010_DXR_VAV_DXR2M12</v>
      </c>
      <c r="H384">
        <f>INDEX(Joined!$A$3:$M$2000, MATCH($A384, Joined!$I$3:$I$2000, FALSE), 6)</f>
        <v>15010</v>
      </c>
      <c r="I384" t="str">
        <f>INDEX(Joined!$A$3:$M$2000, MATCH($A384, Joined!$I$3:$I$2000, FALSE), 4)</f>
        <v>524</v>
      </c>
      <c r="J384" t="b">
        <v>0</v>
      </c>
      <c r="K384">
        <f>INDEX(Joined!$A$3:$M$2000, MATCH($A384, Joined!$I$3:$I$2000, FALSE), 3)</f>
        <v>7</v>
      </c>
      <c r="L384">
        <v>85</v>
      </c>
      <c r="M384">
        <v>38400</v>
      </c>
      <c r="N384" s="27">
        <f>PI()*(INDEX(Schedule!$A$1:$N$2000, MATCH($C384, VAV_Schedule_5_21[[#All],[UNIT TAG]], FALSE), 4)/2/12)^2</f>
        <v>0.78539816339744828</v>
      </c>
      <c r="O384" s="27">
        <f>INDEX(Schedule!$A$1:$N$2000, MATCH($C384, VAV_Schedule_5_21[[#All],[UNIT TAG]], FALSE), 4)</f>
        <v>12</v>
      </c>
      <c r="P384">
        <v>382.63</v>
      </c>
      <c r="Q384" s="27">
        <f>INDEX(Schedule!$A$1:$N$2000, MATCH($C384, VAV_Schedule_5_21[[#All],[UNIT TAG]], FALSE), 5)</f>
        <v>1350</v>
      </c>
      <c r="R384" s="27">
        <f>INDEX(Schedule!$A$1:$N$2000, MATCH($C384, VAV_Schedule_5_21[[#All],[UNIT TAG]], FALSE), 6)</f>
        <v>205</v>
      </c>
      <c r="S384" s="27">
        <f>INDEX(Schedule!$A$1:$N$2000, MATCH($C384, VAV_Schedule_5_21[[#All],[UNIT TAG]], FALSE), 5)</f>
        <v>1350</v>
      </c>
      <c r="T384" s="27">
        <f>INDEX(Schedule!$A$1:$N$2000, MATCH($C384, VAV_Schedule_5_21[[#All],[UNIT TAG]], FALSE), 6)</f>
        <v>205</v>
      </c>
      <c r="U384" s="27">
        <f>INDEX(Schedule!$A$1:$N$2000, MATCH($C384, VAV_Schedule_5_21[[#All],[UNIT TAG]], FALSE), 5)</f>
        <v>1350</v>
      </c>
      <c r="V384" s="27">
        <f>INDEX(Schedule!$A$1:$N$2000, MATCH($C384, VAV_Schedule_5_21[[#All],[UNIT TAG]], FALSE), 6)</f>
        <v>205</v>
      </c>
      <c r="W384" s="27">
        <f>INDEX(Schedule!$A$1:$N$2000, MATCH($C384, VAV_Schedule_5_21[[#All],[UNIT TAG]], FALSE), 6)</f>
        <v>205</v>
      </c>
      <c r="X384" s="27">
        <f>INDEX(Schedule!$A$1:$N$2000, MATCH($C384, VAV_Schedule_5_21[[#All],[UNIT TAG]], FALSE), 6)</f>
        <v>205</v>
      </c>
      <c r="Y384" s="27">
        <f>INDEX(Schedule!$A$1:$N$2000, MATCH($C384, VAV_Schedule_5_21[[#All],[UNIT TAG]], FALSE), 6)</f>
        <v>205</v>
      </c>
      <c r="Z384" s="27">
        <f>INDEX(Schedule!$A$1:$N$2000, MATCH($C384, VAV_Schedule_5_21[[#All],[UNIT TAG]], FALSE), 6)</f>
        <v>205</v>
      </c>
      <c r="AA384" s="27">
        <v>1000</v>
      </c>
      <c r="AB384" s="27">
        <v>1100</v>
      </c>
      <c r="AC384">
        <v>1400</v>
      </c>
      <c r="AD384" s="29">
        <f>IF(INDEX(Schedule!$A$1:$N$2000, MATCH($C384, VAV_Schedule_5_21[[#All],[UNIT TAG]], FALSE), 7)="-", 0, INDEX(Schedule!$A$1:$N$2000, MATCH($C384, VAV_Schedule_5_21[[#All],[UNIT TAG]], FALSE), 7))</f>
        <v>0</v>
      </c>
      <c r="AE384" t="str">
        <f>"B_01'" &amp; "Flr_0" &amp; INDEX(Joined!$A$3:$M$2000, MATCH($A384, Joined!$I$3:$I$2000, FALSE), 8)</f>
        <v>B_01'Flr_09</v>
      </c>
      <c r="AF384" t="str">
        <f>"R_" &amp; INDEX(Joined!$A$3:$M$2000, MATCH($A384, Joined!$I$3:$I$2000, FALSE), 7)</f>
        <v>R_VAV-9W-35</v>
      </c>
      <c r="AG384" t="str">
        <f>"B_01'" &amp; "Flr_0" &amp; INDEX(Joined!$A$3:$M$2000, MATCH($A384, Joined!$I$3:$I$2000, FALSE), 8)</f>
        <v>B_01'Flr_09</v>
      </c>
      <c r="AH384" t="str">
        <f>INDEX(Joined!$A$3:$M$2000, MATCH($A384, Joined!$I$3:$I$2000, FALSE), 7)</f>
        <v>VAV-9W-35</v>
      </c>
      <c r="AI384" t="s">
        <v>1712</v>
      </c>
    </row>
    <row r="385" spans="1:35" x14ac:dyDescent="0.2">
      <c r="A385" t="s">
        <v>1246</v>
      </c>
      <c r="B385" t="str">
        <f>"B_01'" &amp; "Flr_0" &amp; INDEX(Joined!$A$3:$M$2000, MATCH($A385, Joined!$I$3:$I$2000, FALSE), 8)</f>
        <v>B_01'Flr_09</v>
      </c>
      <c r="C385" t="str">
        <f>INDEX(Joined!$A$3:$M$2000, MATCH($A385, Joined!$I$3:$I$2000, FALSE), 7)</f>
        <v>VAV-9W-36</v>
      </c>
      <c r="D385">
        <f>INDEX(Joined!$A$3:$M$2000, MATCH($A385, Joined!$I$3:$I$2000, FALSE), 5)</f>
        <v>152408</v>
      </c>
      <c r="E385" t="str">
        <f>INDEX(Joined!$A$3:$M$2000, MATCH($A385, Joined!$I$3:$I$2000, FALSE), 7)</f>
        <v>VAV-9W-36</v>
      </c>
      <c r="F385" t="s">
        <v>38</v>
      </c>
      <c r="G385" t="str">
        <f>INDEX(Schedule!$Q$2:$R$7, MATCH(ABT!$H385,Schedule!$Q$2:$Q$7, 0), 2)</f>
        <v>15011_DXR_VAV_DXR2M12</v>
      </c>
      <c r="H385">
        <f>INDEX(Joined!$A$3:$M$2000, MATCH($A385, Joined!$I$3:$I$2000, FALSE), 6)</f>
        <v>15011</v>
      </c>
      <c r="I385" t="str">
        <f>INDEX(Joined!$A$3:$M$2000, MATCH($A385, Joined!$I$3:$I$2000, FALSE), 4)</f>
        <v>524</v>
      </c>
      <c r="J385" t="b">
        <v>0</v>
      </c>
      <c r="K385">
        <f>INDEX(Joined!$A$3:$M$2000, MATCH($A385, Joined!$I$3:$I$2000, FALSE), 3)</f>
        <v>8</v>
      </c>
      <c r="L385">
        <v>85</v>
      </c>
      <c r="M385">
        <v>38400</v>
      </c>
      <c r="N385" s="27">
        <f>PI()*(INDEX(Schedule!$A$1:$N$2000, MATCH($C385, VAV_Schedule_5_21[[#All],[UNIT TAG]], FALSE), 4)/2/12)^2</f>
        <v>0.54541539124822802</v>
      </c>
      <c r="O385" s="27">
        <f>INDEX(Schedule!$A$1:$N$2000, MATCH($C385, VAV_Schedule_5_21[[#All],[UNIT TAG]], FALSE), 4)</f>
        <v>10</v>
      </c>
      <c r="P385">
        <v>383.63</v>
      </c>
      <c r="Q385" s="27">
        <f>INDEX(Schedule!$A$1:$N$2000, MATCH($C385, VAV_Schedule_5_21[[#All],[UNIT TAG]], FALSE), 5)</f>
        <v>800</v>
      </c>
      <c r="R385" s="27">
        <f>INDEX(Schedule!$A$1:$N$2000, MATCH($C385, VAV_Schedule_5_21[[#All],[UNIT TAG]], FALSE), 6)</f>
        <v>120</v>
      </c>
      <c r="S385" s="27">
        <f>INDEX(Schedule!$A$1:$N$2000, MATCH($C385, VAV_Schedule_5_21[[#All],[UNIT TAG]], FALSE), 5)</f>
        <v>800</v>
      </c>
      <c r="T385" s="27">
        <f>INDEX(Schedule!$A$1:$N$2000, MATCH($C385, VAV_Schedule_5_21[[#All],[UNIT TAG]], FALSE), 6)</f>
        <v>120</v>
      </c>
      <c r="U385" s="27">
        <f>INDEX(Schedule!$A$1:$N$2000, MATCH($C385, VAV_Schedule_5_21[[#All],[UNIT TAG]], FALSE), 5)</f>
        <v>800</v>
      </c>
      <c r="V385" s="27">
        <f>INDEX(Schedule!$A$1:$N$2000, MATCH($C385, VAV_Schedule_5_21[[#All],[UNIT TAG]], FALSE), 6)</f>
        <v>120</v>
      </c>
      <c r="W385" s="27">
        <f>INDEX(Schedule!$A$1:$N$2000, MATCH($C385, VAV_Schedule_5_21[[#All],[UNIT TAG]], FALSE), 6)</f>
        <v>120</v>
      </c>
      <c r="X385" s="27">
        <f>INDEX(Schedule!$A$1:$N$2000, MATCH($C385, VAV_Schedule_5_21[[#All],[UNIT TAG]], FALSE), 6)</f>
        <v>120</v>
      </c>
      <c r="Y385" s="27">
        <f>INDEX(Schedule!$A$1:$N$2000, MATCH($C385, VAV_Schedule_5_21[[#All],[UNIT TAG]], FALSE), 6)</f>
        <v>120</v>
      </c>
      <c r="Z385" s="27">
        <f>INDEX(Schedule!$A$1:$N$2000, MATCH($C385, VAV_Schedule_5_21[[#All],[UNIT TAG]], FALSE), 6)</f>
        <v>120</v>
      </c>
      <c r="AA385" s="27">
        <v>1000</v>
      </c>
      <c r="AB385" s="27">
        <v>1100</v>
      </c>
      <c r="AC385">
        <v>1400</v>
      </c>
      <c r="AD385" s="29" t="str">
        <f>IF(INDEX(Schedule!$A$1:$N$2000, MATCH($C385, VAV_Schedule_5_21[[#All],[UNIT TAG]], FALSE), 7)="-", 0, INDEX(Schedule!$A$1:$N$2000, MATCH($C385, VAV_Schedule_5_21[[#All],[UNIT TAG]], FALSE), 7))</f>
        <v>8</v>
      </c>
      <c r="AE385" t="str">
        <f>"B_01'" &amp; "Flr_0" &amp; INDEX(Joined!$A$3:$M$2000, MATCH($A385, Joined!$I$3:$I$2000, FALSE), 8)</f>
        <v>B_01'Flr_09</v>
      </c>
      <c r="AF385" t="str">
        <f>"R_" &amp; INDEX(Joined!$A$3:$M$2000, MATCH($A385, Joined!$I$3:$I$2000, FALSE), 7)</f>
        <v>R_VAV-9W-36</v>
      </c>
      <c r="AG385" t="str">
        <f>"B_01'" &amp; "Flr_0" &amp; INDEX(Joined!$A$3:$M$2000, MATCH($A385, Joined!$I$3:$I$2000, FALSE), 8)</f>
        <v>B_01'Flr_09</v>
      </c>
      <c r="AH385" t="str">
        <f>INDEX(Joined!$A$3:$M$2000, MATCH($A385, Joined!$I$3:$I$2000, FALSE), 7)</f>
        <v>VAV-9W-36</v>
      </c>
      <c r="AI385" t="s">
        <v>1713</v>
      </c>
    </row>
    <row r="386" spans="1:35" x14ac:dyDescent="0.2">
      <c r="A386" t="s">
        <v>1247</v>
      </c>
      <c r="B386" t="str">
        <f>"B_01'" &amp; "Flr_0" &amp; INDEX(Joined!$A$3:$M$2000, MATCH($A386, Joined!$I$3:$I$2000, FALSE), 8)</f>
        <v>B_01'Flr_09</v>
      </c>
      <c r="C386" t="str">
        <f>INDEX(Joined!$A$3:$M$2000, MATCH($A386, Joined!$I$3:$I$2000, FALSE), 7)</f>
        <v>VAV-9W-37</v>
      </c>
      <c r="D386">
        <f>INDEX(Joined!$A$3:$M$2000, MATCH($A386, Joined!$I$3:$I$2000, FALSE), 5)</f>
        <v>152409</v>
      </c>
      <c r="E386" t="str">
        <f>INDEX(Joined!$A$3:$M$2000, MATCH($A386, Joined!$I$3:$I$2000, FALSE), 7)</f>
        <v>VAV-9W-37</v>
      </c>
      <c r="F386" t="s">
        <v>38</v>
      </c>
      <c r="G386" t="str">
        <f>INDEX(Schedule!$Q$2:$R$7, MATCH(ABT!$H386,Schedule!$Q$2:$Q$7, 0), 2)</f>
        <v>15011_DXR_VAV_DXR2M12</v>
      </c>
      <c r="H386">
        <f>INDEX(Joined!$A$3:$M$2000, MATCH($A386, Joined!$I$3:$I$2000, FALSE), 6)</f>
        <v>15011</v>
      </c>
      <c r="I386" t="str">
        <f>INDEX(Joined!$A$3:$M$2000, MATCH($A386, Joined!$I$3:$I$2000, FALSE), 4)</f>
        <v>524</v>
      </c>
      <c r="J386" t="b">
        <v>0</v>
      </c>
      <c r="K386">
        <f>INDEX(Joined!$A$3:$M$2000, MATCH($A386, Joined!$I$3:$I$2000, FALSE), 3)</f>
        <v>9</v>
      </c>
      <c r="L386">
        <v>85</v>
      </c>
      <c r="M386">
        <v>38400</v>
      </c>
      <c r="N386" s="27">
        <f>PI()*(INDEX(Schedule!$A$1:$N$2000, MATCH($C386, VAV_Schedule_5_21[[#All],[UNIT TAG]], FALSE), 4)/2/12)^2</f>
        <v>0.3490658503988659</v>
      </c>
      <c r="O386" s="27">
        <f>INDEX(Schedule!$A$1:$N$2000, MATCH($C386, VAV_Schedule_5_21[[#All],[UNIT TAG]], FALSE), 4)</f>
        <v>8</v>
      </c>
      <c r="P386">
        <v>384.63</v>
      </c>
      <c r="Q386" s="27">
        <f>INDEX(Schedule!$A$1:$N$2000, MATCH($C386, VAV_Schedule_5_21[[#All],[UNIT TAG]], FALSE), 5)</f>
        <v>640</v>
      </c>
      <c r="R386" s="27">
        <f>INDEX(Schedule!$A$1:$N$2000, MATCH($C386, VAV_Schedule_5_21[[#All],[UNIT TAG]], FALSE), 6)</f>
        <v>100</v>
      </c>
      <c r="S386" s="27">
        <f>INDEX(Schedule!$A$1:$N$2000, MATCH($C386, VAV_Schedule_5_21[[#All],[UNIT TAG]], FALSE), 5)</f>
        <v>640</v>
      </c>
      <c r="T386" s="27">
        <f>INDEX(Schedule!$A$1:$N$2000, MATCH($C386, VAV_Schedule_5_21[[#All],[UNIT TAG]], FALSE), 6)</f>
        <v>100</v>
      </c>
      <c r="U386" s="27">
        <f>INDEX(Schedule!$A$1:$N$2000, MATCH($C386, VAV_Schedule_5_21[[#All],[UNIT TAG]], FALSE), 5)</f>
        <v>640</v>
      </c>
      <c r="V386" s="27">
        <f>INDEX(Schedule!$A$1:$N$2000, MATCH($C386, VAV_Schedule_5_21[[#All],[UNIT TAG]], FALSE), 6)</f>
        <v>100</v>
      </c>
      <c r="W386" s="27">
        <f>INDEX(Schedule!$A$1:$N$2000, MATCH($C386, VAV_Schedule_5_21[[#All],[UNIT TAG]], FALSE), 6)</f>
        <v>100</v>
      </c>
      <c r="X386" s="27">
        <f>INDEX(Schedule!$A$1:$N$2000, MATCH($C386, VAV_Schedule_5_21[[#All],[UNIT TAG]], FALSE), 6)</f>
        <v>100</v>
      </c>
      <c r="Y386" s="27">
        <f>INDEX(Schedule!$A$1:$N$2000, MATCH($C386, VAV_Schedule_5_21[[#All],[UNIT TAG]], FALSE), 6)</f>
        <v>100</v>
      </c>
      <c r="Z386" s="27">
        <f>INDEX(Schedule!$A$1:$N$2000, MATCH($C386, VAV_Schedule_5_21[[#All],[UNIT TAG]], FALSE), 6)</f>
        <v>100</v>
      </c>
      <c r="AA386" s="27">
        <v>1000</v>
      </c>
      <c r="AB386" s="27">
        <v>1100</v>
      </c>
      <c r="AC386">
        <v>1400</v>
      </c>
      <c r="AD386" s="29" t="str">
        <f>IF(INDEX(Schedule!$A$1:$N$2000, MATCH($C386, VAV_Schedule_5_21[[#All],[UNIT TAG]], FALSE), 7)="-", 0, INDEX(Schedule!$A$1:$N$2000, MATCH($C386, VAV_Schedule_5_21[[#All],[UNIT TAG]], FALSE), 7))</f>
        <v>6</v>
      </c>
      <c r="AE386" t="str">
        <f>"B_01'" &amp; "Flr_0" &amp; INDEX(Joined!$A$3:$M$2000, MATCH($A386, Joined!$I$3:$I$2000, FALSE), 8)</f>
        <v>B_01'Flr_09</v>
      </c>
      <c r="AF386" t="str">
        <f>"R_" &amp; INDEX(Joined!$A$3:$M$2000, MATCH($A386, Joined!$I$3:$I$2000, FALSE), 7)</f>
        <v>R_VAV-9W-37</v>
      </c>
      <c r="AG386" t="str">
        <f>"B_01'" &amp; "Flr_0" &amp; INDEX(Joined!$A$3:$M$2000, MATCH($A386, Joined!$I$3:$I$2000, FALSE), 8)</f>
        <v>B_01'Flr_09</v>
      </c>
      <c r="AH386" t="str">
        <f>INDEX(Joined!$A$3:$M$2000, MATCH($A386, Joined!$I$3:$I$2000, FALSE), 7)</f>
        <v>VAV-9W-37</v>
      </c>
      <c r="AI386" t="s">
        <v>1714</v>
      </c>
    </row>
    <row r="387" spans="1:35" x14ac:dyDescent="0.2">
      <c r="A387" t="s">
        <v>1248</v>
      </c>
      <c r="B387" t="str">
        <f>"B_01'" &amp; "Flr_0" &amp; INDEX(Joined!$A$3:$M$2000, MATCH($A387, Joined!$I$3:$I$2000, FALSE), 8)</f>
        <v>B_01'Flr_09</v>
      </c>
      <c r="C387" t="str">
        <f>INDEX(Joined!$A$3:$M$2000, MATCH($A387, Joined!$I$3:$I$2000, FALSE), 7)</f>
        <v>VAV-9W-38</v>
      </c>
      <c r="D387">
        <f>INDEX(Joined!$A$3:$M$2000, MATCH($A387, Joined!$I$3:$I$2000, FALSE), 5)</f>
        <v>152410</v>
      </c>
      <c r="E387" t="str">
        <f>INDEX(Joined!$A$3:$M$2000, MATCH($A387, Joined!$I$3:$I$2000, FALSE), 7)</f>
        <v>VAV-9W-38</v>
      </c>
      <c r="F387" t="s">
        <v>38</v>
      </c>
      <c r="G387" t="str">
        <f>INDEX(Schedule!$Q$2:$R$7, MATCH(ABT!$H387,Schedule!$Q$2:$Q$7, 0), 2)</f>
        <v>15011_DXR_VAV_DXR2M12</v>
      </c>
      <c r="H387">
        <f>INDEX(Joined!$A$3:$M$2000, MATCH($A387, Joined!$I$3:$I$2000, FALSE), 6)</f>
        <v>15011</v>
      </c>
      <c r="I387" t="str">
        <f>INDEX(Joined!$A$3:$M$2000, MATCH($A387, Joined!$I$3:$I$2000, FALSE), 4)</f>
        <v>524</v>
      </c>
      <c r="J387" t="b">
        <v>0</v>
      </c>
      <c r="K387">
        <f>INDEX(Joined!$A$3:$M$2000, MATCH($A387, Joined!$I$3:$I$2000, FALSE), 3)</f>
        <v>10</v>
      </c>
      <c r="L387">
        <v>85</v>
      </c>
      <c r="M387">
        <v>38400</v>
      </c>
      <c r="N387" s="27">
        <f>PI()*(INDEX(Schedule!$A$1:$N$2000, MATCH($C387, VAV_Schedule_5_21[[#All],[UNIT TAG]], FALSE), 4)/2/12)^2</f>
        <v>0.54541539124822802</v>
      </c>
      <c r="O387" s="27">
        <f>INDEX(Schedule!$A$1:$N$2000, MATCH($C387, VAV_Schedule_5_21[[#All],[UNIT TAG]], FALSE), 4)</f>
        <v>10</v>
      </c>
      <c r="P387">
        <v>385.63</v>
      </c>
      <c r="Q387" s="27">
        <f>INDEX(Schedule!$A$1:$N$2000, MATCH($C387, VAV_Schedule_5_21[[#All],[UNIT TAG]], FALSE), 5)</f>
        <v>860</v>
      </c>
      <c r="R387" s="27">
        <f>INDEX(Schedule!$A$1:$N$2000, MATCH($C387, VAV_Schedule_5_21[[#All],[UNIT TAG]], FALSE), 6)</f>
        <v>130</v>
      </c>
      <c r="S387" s="27">
        <f>INDEX(Schedule!$A$1:$N$2000, MATCH($C387, VAV_Schedule_5_21[[#All],[UNIT TAG]], FALSE), 5)</f>
        <v>860</v>
      </c>
      <c r="T387" s="27">
        <f>INDEX(Schedule!$A$1:$N$2000, MATCH($C387, VAV_Schedule_5_21[[#All],[UNIT TAG]], FALSE), 6)</f>
        <v>130</v>
      </c>
      <c r="U387" s="27">
        <f>INDEX(Schedule!$A$1:$N$2000, MATCH($C387, VAV_Schedule_5_21[[#All],[UNIT TAG]], FALSE), 5)</f>
        <v>860</v>
      </c>
      <c r="V387" s="27">
        <f>INDEX(Schedule!$A$1:$N$2000, MATCH($C387, VAV_Schedule_5_21[[#All],[UNIT TAG]], FALSE), 6)</f>
        <v>130</v>
      </c>
      <c r="W387" s="27">
        <f>INDEX(Schedule!$A$1:$N$2000, MATCH($C387, VAV_Schedule_5_21[[#All],[UNIT TAG]], FALSE), 6)</f>
        <v>130</v>
      </c>
      <c r="X387" s="27">
        <f>INDEX(Schedule!$A$1:$N$2000, MATCH($C387, VAV_Schedule_5_21[[#All],[UNIT TAG]], FALSE), 6)</f>
        <v>130</v>
      </c>
      <c r="Y387" s="27">
        <f>INDEX(Schedule!$A$1:$N$2000, MATCH($C387, VAV_Schedule_5_21[[#All],[UNIT TAG]], FALSE), 6)</f>
        <v>130</v>
      </c>
      <c r="Z387" s="27">
        <f>INDEX(Schedule!$A$1:$N$2000, MATCH($C387, VAV_Schedule_5_21[[#All],[UNIT TAG]], FALSE), 6)</f>
        <v>130</v>
      </c>
      <c r="AA387" s="27">
        <v>1000</v>
      </c>
      <c r="AB387" s="27">
        <v>1100</v>
      </c>
      <c r="AC387">
        <v>1400</v>
      </c>
      <c r="AD387" s="29" t="str">
        <f>IF(INDEX(Schedule!$A$1:$N$2000, MATCH($C387, VAV_Schedule_5_21[[#All],[UNIT TAG]], FALSE), 7)="-", 0, INDEX(Schedule!$A$1:$N$2000, MATCH($C387, VAV_Schedule_5_21[[#All],[UNIT TAG]], FALSE), 7))</f>
        <v>6</v>
      </c>
      <c r="AE387" t="str">
        <f>"B_01'" &amp; "Flr_0" &amp; INDEX(Joined!$A$3:$M$2000, MATCH($A387, Joined!$I$3:$I$2000, FALSE), 8)</f>
        <v>B_01'Flr_09</v>
      </c>
      <c r="AF387" t="str">
        <f>"R_" &amp; INDEX(Joined!$A$3:$M$2000, MATCH($A387, Joined!$I$3:$I$2000, FALSE), 7)</f>
        <v>R_VAV-9W-38</v>
      </c>
      <c r="AG387" t="str">
        <f>"B_01'" &amp; "Flr_0" &amp; INDEX(Joined!$A$3:$M$2000, MATCH($A387, Joined!$I$3:$I$2000, FALSE), 8)</f>
        <v>B_01'Flr_09</v>
      </c>
      <c r="AH387" t="str">
        <f>INDEX(Joined!$A$3:$M$2000, MATCH($A387, Joined!$I$3:$I$2000, FALSE), 7)</f>
        <v>VAV-9W-38</v>
      </c>
      <c r="AI387" t="s">
        <v>1715</v>
      </c>
    </row>
    <row r="388" spans="1:35" x14ac:dyDescent="0.2">
      <c r="A388" t="s">
        <v>1249</v>
      </c>
      <c r="B388" t="str">
        <f>"B_01'" &amp; "Flr_0" &amp; INDEX(Joined!$A$3:$M$2000, MATCH($A388, Joined!$I$3:$I$2000, FALSE), 8)</f>
        <v>B_01'Flr_09</v>
      </c>
      <c r="C388" t="str">
        <f>INDEX(Joined!$A$3:$M$2000, MATCH($A388, Joined!$I$3:$I$2000, FALSE), 7)</f>
        <v>VAV-9W-39</v>
      </c>
      <c r="D388">
        <f>INDEX(Joined!$A$3:$M$2000, MATCH($A388, Joined!$I$3:$I$2000, FALSE), 5)</f>
        <v>152411</v>
      </c>
      <c r="E388" t="str">
        <f>INDEX(Joined!$A$3:$M$2000, MATCH($A388, Joined!$I$3:$I$2000, FALSE), 7)</f>
        <v>VAV-9W-39</v>
      </c>
      <c r="F388" t="s">
        <v>38</v>
      </c>
      <c r="G388" t="str">
        <f>INDEX(Schedule!$Q$2:$R$7, MATCH(ABT!$H388,Schedule!$Q$2:$Q$7, 0), 2)</f>
        <v>15011_DXR_VAV_DXR2M12</v>
      </c>
      <c r="H388">
        <f>INDEX(Joined!$A$3:$M$2000, MATCH($A388, Joined!$I$3:$I$2000, FALSE), 6)</f>
        <v>15011</v>
      </c>
      <c r="I388" t="str">
        <f>INDEX(Joined!$A$3:$M$2000, MATCH($A388, Joined!$I$3:$I$2000, FALSE), 4)</f>
        <v>524</v>
      </c>
      <c r="J388" t="b">
        <v>0</v>
      </c>
      <c r="K388">
        <f>INDEX(Joined!$A$3:$M$2000, MATCH($A388, Joined!$I$3:$I$2000, FALSE), 3)</f>
        <v>11</v>
      </c>
      <c r="L388">
        <v>85</v>
      </c>
      <c r="M388">
        <v>38400</v>
      </c>
      <c r="N388" s="27">
        <f>PI()*(INDEX(Schedule!$A$1:$N$2000, MATCH($C388, VAV_Schedule_5_21[[#All],[UNIT TAG]], FALSE), 4)/2/12)^2</f>
        <v>0.3490658503988659</v>
      </c>
      <c r="O388" s="27">
        <f>INDEX(Schedule!$A$1:$N$2000, MATCH($C388, VAV_Schedule_5_21[[#All],[UNIT TAG]], FALSE), 4)</f>
        <v>8</v>
      </c>
      <c r="P388">
        <v>386.63</v>
      </c>
      <c r="Q388" s="27">
        <f>INDEX(Schedule!$A$1:$N$2000, MATCH($C388, VAV_Schedule_5_21[[#All],[UNIT TAG]], FALSE), 5)</f>
        <v>700</v>
      </c>
      <c r="R388" s="27">
        <f>INDEX(Schedule!$A$1:$N$2000, MATCH($C388, VAV_Schedule_5_21[[#All],[UNIT TAG]], FALSE), 6)</f>
        <v>105</v>
      </c>
      <c r="S388" s="27">
        <f>INDEX(Schedule!$A$1:$N$2000, MATCH($C388, VAV_Schedule_5_21[[#All],[UNIT TAG]], FALSE), 5)</f>
        <v>700</v>
      </c>
      <c r="T388" s="27">
        <f>INDEX(Schedule!$A$1:$N$2000, MATCH($C388, VAV_Schedule_5_21[[#All],[UNIT TAG]], FALSE), 6)</f>
        <v>105</v>
      </c>
      <c r="U388" s="27">
        <f>INDEX(Schedule!$A$1:$N$2000, MATCH($C388, VAV_Schedule_5_21[[#All],[UNIT TAG]], FALSE), 5)</f>
        <v>700</v>
      </c>
      <c r="V388" s="27">
        <f>INDEX(Schedule!$A$1:$N$2000, MATCH($C388, VAV_Schedule_5_21[[#All],[UNIT TAG]], FALSE), 6)</f>
        <v>105</v>
      </c>
      <c r="W388" s="27">
        <f>INDEX(Schedule!$A$1:$N$2000, MATCH($C388, VAV_Schedule_5_21[[#All],[UNIT TAG]], FALSE), 6)</f>
        <v>105</v>
      </c>
      <c r="X388" s="27">
        <f>INDEX(Schedule!$A$1:$N$2000, MATCH($C388, VAV_Schedule_5_21[[#All],[UNIT TAG]], FALSE), 6)</f>
        <v>105</v>
      </c>
      <c r="Y388" s="27">
        <f>INDEX(Schedule!$A$1:$N$2000, MATCH($C388, VAV_Schedule_5_21[[#All],[UNIT TAG]], FALSE), 6)</f>
        <v>105</v>
      </c>
      <c r="Z388" s="27">
        <f>INDEX(Schedule!$A$1:$N$2000, MATCH($C388, VAV_Schedule_5_21[[#All],[UNIT TAG]], FALSE), 6)</f>
        <v>105</v>
      </c>
      <c r="AA388" s="27">
        <v>1000</v>
      </c>
      <c r="AB388" s="27">
        <v>1100</v>
      </c>
      <c r="AC388">
        <v>1400</v>
      </c>
      <c r="AD388" s="29" t="str">
        <f>IF(INDEX(Schedule!$A$1:$N$2000, MATCH($C388, VAV_Schedule_5_21[[#All],[UNIT TAG]], FALSE), 7)="-", 0, INDEX(Schedule!$A$1:$N$2000, MATCH($C388, VAV_Schedule_5_21[[#All],[UNIT TAG]], FALSE), 7))</f>
        <v>6</v>
      </c>
      <c r="AE388" t="str">
        <f>"B_01'" &amp; "Flr_0" &amp; INDEX(Joined!$A$3:$M$2000, MATCH($A388, Joined!$I$3:$I$2000, FALSE), 8)</f>
        <v>B_01'Flr_09</v>
      </c>
      <c r="AF388" t="str">
        <f>"R_" &amp; INDEX(Joined!$A$3:$M$2000, MATCH($A388, Joined!$I$3:$I$2000, FALSE), 7)</f>
        <v>R_VAV-9W-39</v>
      </c>
      <c r="AG388" t="str">
        <f>"B_01'" &amp; "Flr_0" &amp; INDEX(Joined!$A$3:$M$2000, MATCH($A388, Joined!$I$3:$I$2000, FALSE), 8)</f>
        <v>B_01'Flr_09</v>
      </c>
      <c r="AH388" t="str">
        <f>INDEX(Joined!$A$3:$M$2000, MATCH($A388, Joined!$I$3:$I$2000, FALSE), 7)</f>
        <v>VAV-9W-39</v>
      </c>
      <c r="AI388" t="s">
        <v>1716</v>
      </c>
    </row>
    <row r="389" spans="1:35" x14ac:dyDescent="0.2">
      <c r="A389" t="s">
        <v>1250</v>
      </c>
      <c r="B389" t="str">
        <f>"B_01'" &amp; "Flr_0" &amp; INDEX(Joined!$A$3:$M$2000, MATCH($A389, Joined!$I$3:$I$2000, FALSE), 8)</f>
        <v>B_01'Flr_09</v>
      </c>
      <c r="C389" t="str">
        <f>INDEX(Joined!$A$3:$M$2000, MATCH($A389, Joined!$I$3:$I$2000, FALSE), 7)</f>
        <v>VAV-9W-40</v>
      </c>
      <c r="D389">
        <f>INDEX(Joined!$A$3:$M$2000, MATCH($A389, Joined!$I$3:$I$2000, FALSE), 5)</f>
        <v>152412</v>
      </c>
      <c r="E389" t="str">
        <f>INDEX(Joined!$A$3:$M$2000, MATCH($A389, Joined!$I$3:$I$2000, FALSE), 7)</f>
        <v>VAV-9W-40</v>
      </c>
      <c r="F389" t="s">
        <v>38</v>
      </c>
      <c r="G389" t="str">
        <f>INDEX(Schedule!$Q$2:$R$7, MATCH(ABT!$H389,Schedule!$Q$2:$Q$7, 0), 2)</f>
        <v>15010_DXR_VAV_DXR2M12</v>
      </c>
      <c r="H389">
        <f>INDEX(Joined!$A$3:$M$2000, MATCH($A389, Joined!$I$3:$I$2000, FALSE), 6)</f>
        <v>15010</v>
      </c>
      <c r="I389" t="str">
        <f>INDEX(Joined!$A$3:$M$2000, MATCH($A389, Joined!$I$3:$I$2000, FALSE), 4)</f>
        <v>524</v>
      </c>
      <c r="J389" t="b">
        <v>0</v>
      </c>
      <c r="K389">
        <f>INDEX(Joined!$A$3:$M$2000, MATCH($A389, Joined!$I$3:$I$2000, FALSE), 3)</f>
        <v>12</v>
      </c>
      <c r="L389">
        <v>85</v>
      </c>
      <c r="M389">
        <v>38400</v>
      </c>
      <c r="N389" s="27">
        <f>PI()*(INDEX(Schedule!$A$1:$N$2000, MATCH($C389, VAV_Schedule_5_21[[#All],[UNIT TAG]], FALSE), 4)/2/12)^2</f>
        <v>0.54541539124822802</v>
      </c>
      <c r="O389" s="27">
        <f>INDEX(Schedule!$A$1:$N$2000, MATCH($C389, VAV_Schedule_5_21[[#All],[UNIT TAG]], FALSE), 4)</f>
        <v>10</v>
      </c>
      <c r="P389">
        <v>387.63</v>
      </c>
      <c r="Q389" s="27">
        <f>INDEX(Schedule!$A$1:$N$2000, MATCH($C389, VAV_Schedule_5_21[[#All],[UNIT TAG]], FALSE), 5)</f>
        <v>835</v>
      </c>
      <c r="R389" s="27">
        <f>INDEX(Schedule!$A$1:$N$2000, MATCH($C389, VAV_Schedule_5_21[[#All],[UNIT TAG]], FALSE), 6)</f>
        <v>130</v>
      </c>
      <c r="S389" s="27">
        <f>INDEX(Schedule!$A$1:$N$2000, MATCH($C389, VAV_Schedule_5_21[[#All],[UNIT TAG]], FALSE), 5)</f>
        <v>835</v>
      </c>
      <c r="T389" s="27">
        <f>INDEX(Schedule!$A$1:$N$2000, MATCH($C389, VAV_Schedule_5_21[[#All],[UNIT TAG]], FALSE), 6)</f>
        <v>130</v>
      </c>
      <c r="U389" s="27">
        <f>INDEX(Schedule!$A$1:$N$2000, MATCH($C389, VAV_Schedule_5_21[[#All],[UNIT TAG]], FALSE), 5)</f>
        <v>835</v>
      </c>
      <c r="V389" s="27">
        <f>INDEX(Schedule!$A$1:$N$2000, MATCH($C389, VAV_Schedule_5_21[[#All],[UNIT TAG]], FALSE), 6)</f>
        <v>130</v>
      </c>
      <c r="W389" s="27">
        <f>INDEX(Schedule!$A$1:$N$2000, MATCH($C389, VAV_Schedule_5_21[[#All],[UNIT TAG]], FALSE), 6)</f>
        <v>130</v>
      </c>
      <c r="X389" s="27">
        <f>INDEX(Schedule!$A$1:$N$2000, MATCH($C389, VAV_Schedule_5_21[[#All],[UNIT TAG]], FALSE), 6)</f>
        <v>130</v>
      </c>
      <c r="Y389" s="27">
        <f>INDEX(Schedule!$A$1:$N$2000, MATCH($C389, VAV_Schedule_5_21[[#All],[UNIT TAG]], FALSE), 6)</f>
        <v>130</v>
      </c>
      <c r="Z389" s="27">
        <f>INDEX(Schedule!$A$1:$N$2000, MATCH($C389, VAV_Schedule_5_21[[#All],[UNIT TAG]], FALSE), 6)</f>
        <v>130</v>
      </c>
      <c r="AA389" s="27">
        <v>1000</v>
      </c>
      <c r="AB389" s="27">
        <v>1100</v>
      </c>
      <c r="AC389">
        <v>1400</v>
      </c>
      <c r="AD389" s="29">
        <f>IF(INDEX(Schedule!$A$1:$N$2000, MATCH($C389, VAV_Schedule_5_21[[#All],[UNIT TAG]], FALSE), 7)="-", 0, INDEX(Schedule!$A$1:$N$2000, MATCH($C389, VAV_Schedule_5_21[[#All],[UNIT TAG]], FALSE), 7))</f>
        <v>0</v>
      </c>
      <c r="AE389" t="str">
        <f>"B_01'" &amp; "Flr_0" &amp; INDEX(Joined!$A$3:$M$2000, MATCH($A389, Joined!$I$3:$I$2000, FALSE), 8)</f>
        <v>B_01'Flr_09</v>
      </c>
      <c r="AF389" t="str">
        <f>"R_" &amp; INDEX(Joined!$A$3:$M$2000, MATCH($A389, Joined!$I$3:$I$2000, FALSE), 7)</f>
        <v>R_VAV-9W-40</v>
      </c>
      <c r="AG389" t="str">
        <f>"B_01'" &amp; "Flr_0" &amp; INDEX(Joined!$A$3:$M$2000, MATCH($A389, Joined!$I$3:$I$2000, FALSE), 8)</f>
        <v>B_01'Flr_09</v>
      </c>
      <c r="AH389" t="str">
        <f>INDEX(Joined!$A$3:$M$2000, MATCH($A389, Joined!$I$3:$I$2000, FALSE), 7)</f>
        <v>VAV-9W-40</v>
      </c>
      <c r="AI389" t="s">
        <v>1717</v>
      </c>
    </row>
    <row r="390" spans="1:35" x14ac:dyDescent="0.2">
      <c r="A390" t="s">
        <v>1251</v>
      </c>
      <c r="B390" t="str">
        <f>"B_01'" &amp; "Flr_0" &amp; INDEX(Joined!$A$3:$M$2000, MATCH($A390, Joined!$I$3:$I$2000, FALSE), 8)</f>
        <v>B_01'Flr_09</v>
      </c>
      <c r="C390" t="str">
        <f>INDEX(Joined!$A$3:$M$2000, MATCH($A390, Joined!$I$3:$I$2000, FALSE), 7)</f>
        <v>VAV-9W-41</v>
      </c>
      <c r="D390">
        <f>INDEX(Joined!$A$3:$M$2000, MATCH($A390, Joined!$I$3:$I$2000, FALSE), 5)</f>
        <v>152413</v>
      </c>
      <c r="E390" t="str">
        <f>INDEX(Joined!$A$3:$M$2000, MATCH($A390, Joined!$I$3:$I$2000, FALSE), 7)</f>
        <v>VAV-9W-41</v>
      </c>
      <c r="F390" t="s">
        <v>38</v>
      </c>
      <c r="G390" t="str">
        <f>INDEX(Schedule!$Q$2:$R$7, MATCH(ABT!$H390,Schedule!$Q$2:$Q$7, 0), 2)</f>
        <v>15010_DXR_VAV_DXR2M12</v>
      </c>
      <c r="H390">
        <f>INDEX(Joined!$A$3:$M$2000, MATCH($A390, Joined!$I$3:$I$2000, FALSE), 6)</f>
        <v>15010</v>
      </c>
      <c r="I390" t="str">
        <f>INDEX(Joined!$A$3:$M$2000, MATCH($A390, Joined!$I$3:$I$2000, FALSE), 4)</f>
        <v>524</v>
      </c>
      <c r="J390" t="b">
        <v>0</v>
      </c>
      <c r="K390">
        <f>INDEX(Joined!$A$3:$M$2000, MATCH($A390, Joined!$I$3:$I$2000, FALSE), 3)</f>
        <v>13</v>
      </c>
      <c r="L390">
        <v>85</v>
      </c>
      <c r="M390">
        <v>38400</v>
      </c>
      <c r="N390" s="27">
        <f>PI()*(INDEX(Schedule!$A$1:$N$2000, MATCH($C390, VAV_Schedule_5_21[[#All],[UNIT TAG]], FALSE), 4)/2/12)^2</f>
        <v>0.19634954084936207</v>
      </c>
      <c r="O390" s="27">
        <f>INDEX(Schedule!$A$1:$N$2000, MATCH($C390, VAV_Schedule_5_21[[#All],[UNIT TAG]], FALSE), 4)</f>
        <v>6</v>
      </c>
      <c r="P390">
        <v>388.63</v>
      </c>
      <c r="Q390" s="27">
        <f>INDEX(Schedule!$A$1:$N$2000, MATCH($C390, VAV_Schedule_5_21[[#All],[UNIT TAG]], FALSE), 5)</f>
        <v>185</v>
      </c>
      <c r="R390" s="27">
        <f>INDEX(Schedule!$A$1:$N$2000, MATCH($C390, VAV_Schedule_5_21[[#All],[UNIT TAG]], FALSE), 6)</f>
        <v>30</v>
      </c>
      <c r="S390" s="27">
        <f>INDEX(Schedule!$A$1:$N$2000, MATCH($C390, VAV_Schedule_5_21[[#All],[UNIT TAG]], FALSE), 5)</f>
        <v>185</v>
      </c>
      <c r="T390" s="27">
        <f>INDEX(Schedule!$A$1:$N$2000, MATCH($C390, VAV_Schedule_5_21[[#All],[UNIT TAG]], FALSE), 6)</f>
        <v>30</v>
      </c>
      <c r="U390" s="27">
        <f>INDEX(Schedule!$A$1:$N$2000, MATCH($C390, VAV_Schedule_5_21[[#All],[UNIT TAG]], FALSE), 5)</f>
        <v>185</v>
      </c>
      <c r="V390" s="27">
        <f>INDEX(Schedule!$A$1:$N$2000, MATCH($C390, VAV_Schedule_5_21[[#All],[UNIT TAG]], FALSE), 6)</f>
        <v>30</v>
      </c>
      <c r="W390" s="27">
        <f>INDEX(Schedule!$A$1:$N$2000, MATCH($C390, VAV_Schedule_5_21[[#All],[UNIT TAG]], FALSE), 6)</f>
        <v>30</v>
      </c>
      <c r="X390" s="27">
        <f>INDEX(Schedule!$A$1:$N$2000, MATCH($C390, VAV_Schedule_5_21[[#All],[UNIT TAG]], FALSE), 6)</f>
        <v>30</v>
      </c>
      <c r="Y390" s="27">
        <f>INDEX(Schedule!$A$1:$N$2000, MATCH($C390, VAV_Schedule_5_21[[#All],[UNIT TAG]], FALSE), 6)</f>
        <v>30</v>
      </c>
      <c r="Z390" s="27">
        <f>INDEX(Schedule!$A$1:$N$2000, MATCH($C390, VAV_Schedule_5_21[[#All],[UNIT TAG]], FALSE), 6)</f>
        <v>30</v>
      </c>
      <c r="AA390" s="27">
        <v>1000</v>
      </c>
      <c r="AB390" s="27">
        <v>1100</v>
      </c>
      <c r="AC390">
        <v>1400</v>
      </c>
      <c r="AD390" s="29">
        <f>IF(INDEX(Schedule!$A$1:$N$2000, MATCH($C390, VAV_Schedule_5_21[[#All],[UNIT TAG]], FALSE), 7)="-", 0, INDEX(Schedule!$A$1:$N$2000, MATCH($C390, VAV_Schedule_5_21[[#All],[UNIT TAG]], FALSE), 7))</f>
        <v>0</v>
      </c>
      <c r="AE390" t="str">
        <f>"B_01'" &amp; "Flr_0" &amp; INDEX(Joined!$A$3:$M$2000, MATCH($A390, Joined!$I$3:$I$2000, FALSE), 8)</f>
        <v>B_01'Flr_09</v>
      </c>
      <c r="AF390" t="str">
        <f>"R_" &amp; INDEX(Joined!$A$3:$M$2000, MATCH($A390, Joined!$I$3:$I$2000, FALSE), 7)</f>
        <v>R_VAV-9W-41</v>
      </c>
      <c r="AG390" t="str">
        <f>"B_01'" &amp; "Flr_0" &amp; INDEX(Joined!$A$3:$M$2000, MATCH($A390, Joined!$I$3:$I$2000, FALSE), 8)</f>
        <v>B_01'Flr_09</v>
      </c>
      <c r="AH390" t="str">
        <f>INDEX(Joined!$A$3:$M$2000, MATCH($A390, Joined!$I$3:$I$2000, FALSE), 7)</f>
        <v>VAV-9W-41</v>
      </c>
      <c r="AI390" t="s">
        <v>1718</v>
      </c>
    </row>
    <row r="391" spans="1:35" x14ac:dyDescent="0.2">
      <c r="A391" t="s">
        <v>1252</v>
      </c>
      <c r="B391" t="str">
        <f>"B_01'" &amp; "Flr_0" &amp; INDEX(Joined!$A$3:$M$2000, MATCH($A391, Joined!$I$3:$I$2000, FALSE), 8)</f>
        <v>B_01'Flr_09</v>
      </c>
      <c r="C391" t="str">
        <f>INDEX(Joined!$A$3:$M$2000, MATCH($A391, Joined!$I$3:$I$2000, FALSE), 7)</f>
        <v>VAV-9W-42</v>
      </c>
      <c r="D391">
        <f>INDEX(Joined!$A$3:$M$2000, MATCH($A391, Joined!$I$3:$I$2000, FALSE), 5)</f>
        <v>152414</v>
      </c>
      <c r="E391" t="str">
        <f>INDEX(Joined!$A$3:$M$2000, MATCH($A391, Joined!$I$3:$I$2000, FALSE), 7)</f>
        <v>VAV-9W-42</v>
      </c>
      <c r="F391" t="s">
        <v>38</v>
      </c>
      <c r="G391" t="str">
        <f>INDEX(Schedule!$Q$2:$R$7, MATCH(ABT!$H391,Schedule!$Q$2:$Q$7, 0), 2)</f>
        <v>15011_DXR_VAV_DXR2M12</v>
      </c>
      <c r="H391">
        <f>INDEX(Joined!$A$3:$M$2000, MATCH($A391, Joined!$I$3:$I$2000, FALSE), 6)</f>
        <v>15011</v>
      </c>
      <c r="I391" t="str">
        <f>INDEX(Joined!$A$3:$M$2000, MATCH($A391, Joined!$I$3:$I$2000, FALSE), 4)</f>
        <v>524</v>
      </c>
      <c r="J391" t="b">
        <v>0</v>
      </c>
      <c r="K391">
        <f>INDEX(Joined!$A$3:$M$2000, MATCH($A391, Joined!$I$3:$I$2000, FALSE), 3)</f>
        <v>14</v>
      </c>
      <c r="L391">
        <v>85</v>
      </c>
      <c r="M391">
        <v>38400</v>
      </c>
      <c r="N391" s="27">
        <f>PI()*(INDEX(Schedule!$A$1:$N$2000, MATCH($C391, VAV_Schedule_5_21[[#All],[UNIT TAG]], FALSE), 4)/2/12)^2</f>
        <v>0.78539816339744828</v>
      </c>
      <c r="O391" s="27">
        <f>INDEX(Schedule!$A$1:$N$2000, MATCH($C391, VAV_Schedule_5_21[[#All],[UNIT TAG]], FALSE), 4)</f>
        <v>12</v>
      </c>
      <c r="P391">
        <v>389.63</v>
      </c>
      <c r="Q391" s="27">
        <f>INDEX(Schedule!$A$1:$N$2000, MATCH($C391, VAV_Schedule_5_21[[#All],[UNIT TAG]], FALSE), 5)</f>
        <v>1220</v>
      </c>
      <c r="R391" s="27">
        <f>INDEX(Schedule!$A$1:$N$2000, MATCH($C391, VAV_Schedule_5_21[[#All],[UNIT TAG]], FALSE), 6)</f>
        <v>185</v>
      </c>
      <c r="S391" s="27">
        <f>INDEX(Schedule!$A$1:$N$2000, MATCH($C391, VAV_Schedule_5_21[[#All],[UNIT TAG]], FALSE), 5)</f>
        <v>1220</v>
      </c>
      <c r="T391" s="27">
        <f>INDEX(Schedule!$A$1:$N$2000, MATCH($C391, VAV_Schedule_5_21[[#All],[UNIT TAG]], FALSE), 6)</f>
        <v>185</v>
      </c>
      <c r="U391" s="27">
        <f>INDEX(Schedule!$A$1:$N$2000, MATCH($C391, VAV_Schedule_5_21[[#All],[UNIT TAG]], FALSE), 5)</f>
        <v>1220</v>
      </c>
      <c r="V391" s="27">
        <f>INDEX(Schedule!$A$1:$N$2000, MATCH($C391, VAV_Schedule_5_21[[#All],[UNIT TAG]], FALSE), 6)</f>
        <v>185</v>
      </c>
      <c r="W391" s="27">
        <f>INDEX(Schedule!$A$1:$N$2000, MATCH($C391, VAV_Schedule_5_21[[#All],[UNIT TAG]], FALSE), 6)</f>
        <v>185</v>
      </c>
      <c r="X391" s="27">
        <f>INDEX(Schedule!$A$1:$N$2000, MATCH($C391, VAV_Schedule_5_21[[#All],[UNIT TAG]], FALSE), 6)</f>
        <v>185</v>
      </c>
      <c r="Y391" s="27">
        <f>INDEX(Schedule!$A$1:$N$2000, MATCH($C391, VAV_Schedule_5_21[[#All],[UNIT TAG]], FALSE), 6)</f>
        <v>185</v>
      </c>
      <c r="Z391" s="27">
        <f>INDEX(Schedule!$A$1:$N$2000, MATCH($C391, VAV_Schedule_5_21[[#All],[UNIT TAG]], FALSE), 6)</f>
        <v>185</v>
      </c>
      <c r="AA391" s="27">
        <v>1000</v>
      </c>
      <c r="AB391" s="27">
        <v>1100</v>
      </c>
      <c r="AC391">
        <v>1400</v>
      </c>
      <c r="AD391" s="29" t="str">
        <f>IF(INDEX(Schedule!$A$1:$N$2000, MATCH($C391, VAV_Schedule_5_21[[#All],[UNIT TAG]], FALSE), 7)="-", 0, INDEX(Schedule!$A$1:$N$2000, MATCH($C391, VAV_Schedule_5_21[[#All],[UNIT TAG]], FALSE), 7))</f>
        <v>7</v>
      </c>
      <c r="AE391" t="str">
        <f>"B_01'" &amp; "Flr_0" &amp; INDEX(Joined!$A$3:$M$2000, MATCH($A391, Joined!$I$3:$I$2000, FALSE), 8)</f>
        <v>B_01'Flr_09</v>
      </c>
      <c r="AF391" t="str">
        <f>"R_" &amp; INDEX(Joined!$A$3:$M$2000, MATCH($A391, Joined!$I$3:$I$2000, FALSE), 7)</f>
        <v>R_VAV-9W-42</v>
      </c>
      <c r="AG391" t="str">
        <f>"B_01'" &amp; "Flr_0" &amp; INDEX(Joined!$A$3:$M$2000, MATCH($A391, Joined!$I$3:$I$2000, FALSE), 8)</f>
        <v>B_01'Flr_09</v>
      </c>
      <c r="AH391" t="str">
        <f>INDEX(Joined!$A$3:$M$2000, MATCH($A391, Joined!$I$3:$I$2000, FALSE), 7)</f>
        <v>VAV-9W-42</v>
      </c>
      <c r="AI391" t="s">
        <v>1719</v>
      </c>
    </row>
    <row r="392" spans="1:35" x14ac:dyDescent="0.2">
      <c r="A392" t="s">
        <v>1253</v>
      </c>
      <c r="B392" t="str">
        <f>"B_01'" &amp; "Flr_0" &amp; INDEX(Joined!$A$3:$M$2000, MATCH($A392, Joined!$I$3:$I$2000, FALSE), 8)</f>
        <v>B_01'Flr_09</v>
      </c>
      <c r="C392" t="str">
        <f>INDEX(Joined!$A$3:$M$2000, MATCH($A392, Joined!$I$3:$I$2000, FALSE), 7)</f>
        <v>VAV-9W-43</v>
      </c>
      <c r="D392">
        <f>INDEX(Joined!$A$3:$M$2000, MATCH($A392, Joined!$I$3:$I$2000, FALSE), 5)</f>
        <v>152415</v>
      </c>
      <c r="E392" t="str">
        <f>INDEX(Joined!$A$3:$M$2000, MATCH($A392, Joined!$I$3:$I$2000, FALSE), 7)</f>
        <v>VAV-9W-43</v>
      </c>
      <c r="F392" t="s">
        <v>38</v>
      </c>
      <c r="G392" t="str">
        <f>INDEX(Schedule!$Q$2:$R$7, MATCH(ABT!$H392,Schedule!$Q$2:$Q$7, 0), 2)</f>
        <v>15011_DXR_VAV_DXR2M12</v>
      </c>
      <c r="H392">
        <f>INDEX(Joined!$A$3:$M$2000, MATCH($A392, Joined!$I$3:$I$2000, FALSE), 6)</f>
        <v>15011</v>
      </c>
      <c r="I392" t="str">
        <f>INDEX(Joined!$A$3:$M$2000, MATCH($A392, Joined!$I$3:$I$2000, FALSE), 4)</f>
        <v>524</v>
      </c>
      <c r="J392" t="b">
        <v>0</v>
      </c>
      <c r="K392">
        <f>INDEX(Joined!$A$3:$M$2000, MATCH($A392, Joined!$I$3:$I$2000, FALSE), 3)</f>
        <v>15</v>
      </c>
      <c r="L392">
        <v>85</v>
      </c>
      <c r="M392">
        <v>38400</v>
      </c>
      <c r="N392" s="27">
        <f>PI()*(INDEX(Schedule!$A$1:$N$2000, MATCH($C392, VAV_Schedule_5_21[[#All],[UNIT TAG]], FALSE), 4)/2/12)^2</f>
        <v>0.54541539124822802</v>
      </c>
      <c r="O392" s="27">
        <f>INDEX(Schedule!$A$1:$N$2000, MATCH($C392, VAV_Schedule_5_21[[#All],[UNIT TAG]], FALSE), 4)</f>
        <v>10</v>
      </c>
      <c r="P392">
        <v>390.63</v>
      </c>
      <c r="Q392" s="27">
        <f>INDEX(Schedule!$A$1:$N$2000, MATCH($C392, VAV_Schedule_5_21[[#All],[UNIT TAG]], FALSE), 5)</f>
        <v>960</v>
      </c>
      <c r="R392" s="27">
        <f>INDEX(Schedule!$A$1:$N$2000, MATCH($C392, VAV_Schedule_5_21[[#All],[UNIT TAG]], FALSE), 6)</f>
        <v>145</v>
      </c>
      <c r="S392" s="27">
        <f>INDEX(Schedule!$A$1:$N$2000, MATCH($C392, VAV_Schedule_5_21[[#All],[UNIT TAG]], FALSE), 5)</f>
        <v>960</v>
      </c>
      <c r="T392" s="27">
        <f>INDEX(Schedule!$A$1:$N$2000, MATCH($C392, VAV_Schedule_5_21[[#All],[UNIT TAG]], FALSE), 6)</f>
        <v>145</v>
      </c>
      <c r="U392" s="27">
        <f>INDEX(Schedule!$A$1:$N$2000, MATCH($C392, VAV_Schedule_5_21[[#All],[UNIT TAG]], FALSE), 5)</f>
        <v>960</v>
      </c>
      <c r="V392" s="27">
        <f>INDEX(Schedule!$A$1:$N$2000, MATCH($C392, VAV_Schedule_5_21[[#All],[UNIT TAG]], FALSE), 6)</f>
        <v>145</v>
      </c>
      <c r="W392" s="27">
        <f>INDEX(Schedule!$A$1:$N$2000, MATCH($C392, VAV_Schedule_5_21[[#All],[UNIT TAG]], FALSE), 6)</f>
        <v>145</v>
      </c>
      <c r="X392" s="27">
        <f>INDEX(Schedule!$A$1:$N$2000, MATCH($C392, VAV_Schedule_5_21[[#All],[UNIT TAG]], FALSE), 6)</f>
        <v>145</v>
      </c>
      <c r="Y392" s="27">
        <f>INDEX(Schedule!$A$1:$N$2000, MATCH($C392, VAV_Schedule_5_21[[#All],[UNIT TAG]], FALSE), 6)</f>
        <v>145</v>
      </c>
      <c r="Z392" s="27">
        <f>INDEX(Schedule!$A$1:$N$2000, MATCH($C392, VAV_Schedule_5_21[[#All],[UNIT TAG]], FALSE), 6)</f>
        <v>145</v>
      </c>
      <c r="AA392" s="27">
        <v>1000</v>
      </c>
      <c r="AB392" s="27">
        <v>1100</v>
      </c>
      <c r="AC392">
        <v>1400</v>
      </c>
      <c r="AD392" s="29" t="str">
        <f>IF(INDEX(Schedule!$A$1:$N$2000, MATCH($C392, VAV_Schedule_5_21[[#All],[UNIT TAG]], FALSE), 7)="-", 0, INDEX(Schedule!$A$1:$N$2000, MATCH($C392, VAV_Schedule_5_21[[#All],[UNIT TAG]], FALSE), 7))</f>
        <v>6</v>
      </c>
      <c r="AE392" t="str">
        <f>"B_01'" &amp; "Flr_0" &amp; INDEX(Joined!$A$3:$M$2000, MATCH($A392, Joined!$I$3:$I$2000, FALSE), 8)</f>
        <v>B_01'Flr_09</v>
      </c>
      <c r="AF392" t="str">
        <f>"R_" &amp; INDEX(Joined!$A$3:$M$2000, MATCH($A392, Joined!$I$3:$I$2000, FALSE), 7)</f>
        <v>R_VAV-9W-43</v>
      </c>
      <c r="AG392" t="str">
        <f>"B_01'" &amp; "Flr_0" &amp; INDEX(Joined!$A$3:$M$2000, MATCH($A392, Joined!$I$3:$I$2000, FALSE), 8)</f>
        <v>B_01'Flr_09</v>
      </c>
      <c r="AH392" t="str">
        <f>INDEX(Joined!$A$3:$M$2000, MATCH($A392, Joined!$I$3:$I$2000, FALSE), 7)</f>
        <v>VAV-9W-43</v>
      </c>
      <c r="AI392" t="s">
        <v>1720</v>
      </c>
    </row>
    <row r="393" spans="1:35" x14ac:dyDescent="0.2">
      <c r="A393" t="s">
        <v>1254</v>
      </c>
      <c r="B393" t="str">
        <f>"B_01'" &amp; "Flr_0" &amp; INDEX(Joined!$A$3:$M$2000, MATCH($A393, Joined!$I$3:$I$2000, FALSE), 8)</f>
        <v>B_01'Flr_09</v>
      </c>
      <c r="C393" t="str">
        <f>INDEX(Joined!$A$3:$M$2000, MATCH($A393, Joined!$I$3:$I$2000, FALSE), 7)</f>
        <v>VAV-9W-44</v>
      </c>
      <c r="D393">
        <f>INDEX(Joined!$A$3:$M$2000, MATCH($A393, Joined!$I$3:$I$2000, FALSE), 5)</f>
        <v>152416</v>
      </c>
      <c r="E393" t="str">
        <f>INDEX(Joined!$A$3:$M$2000, MATCH($A393, Joined!$I$3:$I$2000, FALSE), 7)</f>
        <v>VAV-9W-44</v>
      </c>
      <c r="F393" t="s">
        <v>38</v>
      </c>
      <c r="G393" t="str">
        <f>INDEX(Schedule!$Q$2:$R$7, MATCH(ABT!$H393,Schedule!$Q$2:$Q$7, 0), 2)</f>
        <v>15011_DXR_VAV_DXR2M12</v>
      </c>
      <c r="H393">
        <f>INDEX(Joined!$A$3:$M$2000, MATCH($A393, Joined!$I$3:$I$2000, FALSE), 6)</f>
        <v>15011</v>
      </c>
      <c r="I393" t="str">
        <f>INDEX(Joined!$A$3:$M$2000, MATCH($A393, Joined!$I$3:$I$2000, FALSE), 4)</f>
        <v>524</v>
      </c>
      <c r="J393" t="b">
        <v>0</v>
      </c>
      <c r="K393">
        <f>INDEX(Joined!$A$3:$M$2000, MATCH($A393, Joined!$I$3:$I$2000, FALSE), 3)</f>
        <v>16</v>
      </c>
      <c r="L393">
        <v>85</v>
      </c>
      <c r="M393">
        <v>38400</v>
      </c>
      <c r="N393" s="27">
        <f>PI()*(INDEX(Schedule!$A$1:$N$2000, MATCH($C393, VAV_Schedule_5_21[[#All],[UNIT TAG]], FALSE), 4)/2/12)^2</f>
        <v>0.78539816339744828</v>
      </c>
      <c r="O393" s="27">
        <f>INDEX(Schedule!$A$1:$N$2000, MATCH($C393, VAV_Schedule_5_21[[#All],[UNIT TAG]], FALSE), 4)</f>
        <v>12</v>
      </c>
      <c r="P393">
        <v>391.63</v>
      </c>
      <c r="Q393" s="27">
        <f>INDEX(Schedule!$A$1:$N$2000, MATCH($C393, VAV_Schedule_5_21[[#All],[UNIT TAG]], FALSE), 5)</f>
        <v>1220</v>
      </c>
      <c r="R393" s="27">
        <f>INDEX(Schedule!$A$1:$N$2000, MATCH($C393, VAV_Schedule_5_21[[#All],[UNIT TAG]], FALSE), 6)</f>
        <v>185</v>
      </c>
      <c r="S393" s="27">
        <f>INDEX(Schedule!$A$1:$N$2000, MATCH($C393, VAV_Schedule_5_21[[#All],[UNIT TAG]], FALSE), 5)</f>
        <v>1220</v>
      </c>
      <c r="T393" s="27">
        <f>INDEX(Schedule!$A$1:$N$2000, MATCH($C393, VAV_Schedule_5_21[[#All],[UNIT TAG]], FALSE), 6)</f>
        <v>185</v>
      </c>
      <c r="U393" s="27">
        <f>INDEX(Schedule!$A$1:$N$2000, MATCH($C393, VAV_Schedule_5_21[[#All],[UNIT TAG]], FALSE), 5)</f>
        <v>1220</v>
      </c>
      <c r="V393" s="27">
        <f>INDEX(Schedule!$A$1:$N$2000, MATCH($C393, VAV_Schedule_5_21[[#All],[UNIT TAG]], FALSE), 6)</f>
        <v>185</v>
      </c>
      <c r="W393" s="27">
        <f>INDEX(Schedule!$A$1:$N$2000, MATCH($C393, VAV_Schedule_5_21[[#All],[UNIT TAG]], FALSE), 6)</f>
        <v>185</v>
      </c>
      <c r="X393" s="27">
        <f>INDEX(Schedule!$A$1:$N$2000, MATCH($C393, VAV_Schedule_5_21[[#All],[UNIT TAG]], FALSE), 6)</f>
        <v>185</v>
      </c>
      <c r="Y393" s="27">
        <f>INDEX(Schedule!$A$1:$N$2000, MATCH($C393, VAV_Schedule_5_21[[#All],[UNIT TAG]], FALSE), 6)</f>
        <v>185</v>
      </c>
      <c r="Z393" s="27">
        <f>INDEX(Schedule!$A$1:$N$2000, MATCH($C393, VAV_Schedule_5_21[[#All],[UNIT TAG]], FALSE), 6)</f>
        <v>185</v>
      </c>
      <c r="AA393" s="27">
        <v>1000</v>
      </c>
      <c r="AB393" s="27">
        <v>1100</v>
      </c>
      <c r="AC393">
        <v>1400</v>
      </c>
      <c r="AD393" s="29" t="str">
        <f>IF(INDEX(Schedule!$A$1:$N$2000, MATCH($C393, VAV_Schedule_5_21[[#All],[UNIT TAG]], FALSE), 7)="-", 0, INDEX(Schedule!$A$1:$N$2000, MATCH($C393, VAV_Schedule_5_21[[#All],[UNIT TAG]], FALSE), 7))</f>
        <v>7</v>
      </c>
      <c r="AE393" t="str">
        <f>"B_01'" &amp; "Flr_0" &amp; INDEX(Joined!$A$3:$M$2000, MATCH($A393, Joined!$I$3:$I$2000, FALSE), 8)</f>
        <v>B_01'Flr_09</v>
      </c>
      <c r="AF393" t="str">
        <f>"R_" &amp; INDEX(Joined!$A$3:$M$2000, MATCH($A393, Joined!$I$3:$I$2000, FALSE), 7)</f>
        <v>R_VAV-9W-44</v>
      </c>
      <c r="AG393" t="str">
        <f>"B_01'" &amp; "Flr_0" &amp; INDEX(Joined!$A$3:$M$2000, MATCH($A393, Joined!$I$3:$I$2000, FALSE), 8)</f>
        <v>B_01'Flr_09</v>
      </c>
      <c r="AH393" t="str">
        <f>INDEX(Joined!$A$3:$M$2000, MATCH($A393, Joined!$I$3:$I$2000, FALSE), 7)</f>
        <v>VAV-9W-44</v>
      </c>
      <c r="AI393" t="s">
        <v>1721</v>
      </c>
    </row>
    <row r="394" spans="1:35" x14ac:dyDescent="0.2">
      <c r="A394" t="s">
        <v>1255</v>
      </c>
      <c r="B394" t="str">
        <f>"B_01'" &amp; "Flr_0" &amp; INDEX(Joined!$A$3:$M$2000, MATCH($A394, Joined!$I$3:$I$2000, FALSE), 8)</f>
        <v>B_01'Flr_09</v>
      </c>
      <c r="C394" t="str">
        <f>INDEX(Joined!$A$3:$M$2000, MATCH($A394, Joined!$I$3:$I$2000, FALSE), 7)</f>
        <v>VAV-9W-45</v>
      </c>
      <c r="D394">
        <f>INDEX(Joined!$A$3:$M$2000, MATCH($A394, Joined!$I$3:$I$2000, FALSE), 5)</f>
        <v>152417</v>
      </c>
      <c r="E394" t="str">
        <f>INDEX(Joined!$A$3:$M$2000, MATCH($A394, Joined!$I$3:$I$2000, FALSE), 7)</f>
        <v>VAV-9W-45</v>
      </c>
      <c r="F394" t="s">
        <v>38</v>
      </c>
      <c r="G394" t="str">
        <f>INDEX(Schedule!$Q$2:$R$7, MATCH(ABT!$H394,Schedule!$Q$2:$Q$7, 0), 2)</f>
        <v>15010_DXR_VAV_DXR2M12</v>
      </c>
      <c r="H394">
        <f>INDEX(Joined!$A$3:$M$2000, MATCH($A394, Joined!$I$3:$I$2000, FALSE), 6)</f>
        <v>15010</v>
      </c>
      <c r="I394" t="str">
        <f>INDEX(Joined!$A$3:$M$2000, MATCH($A394, Joined!$I$3:$I$2000, FALSE), 4)</f>
        <v>524</v>
      </c>
      <c r="J394" t="b">
        <v>0</v>
      </c>
      <c r="K394">
        <f>INDEX(Joined!$A$3:$M$2000, MATCH($A394, Joined!$I$3:$I$2000, FALSE), 3)</f>
        <v>17</v>
      </c>
      <c r="L394">
        <v>85</v>
      </c>
      <c r="M394">
        <v>38400</v>
      </c>
      <c r="N394" s="27">
        <f>PI()*(INDEX(Schedule!$A$1:$N$2000, MATCH($C394, VAV_Schedule_5_21[[#All],[UNIT TAG]], FALSE), 4)/2/12)^2</f>
        <v>0.19634954084936207</v>
      </c>
      <c r="O394" s="27">
        <f>INDEX(Schedule!$A$1:$N$2000, MATCH($C394, VAV_Schedule_5_21[[#All],[UNIT TAG]], FALSE), 4)</f>
        <v>6</v>
      </c>
      <c r="P394">
        <v>392.63</v>
      </c>
      <c r="Q394" s="27">
        <f>INDEX(Schedule!$A$1:$N$2000, MATCH($C394, VAV_Schedule_5_21[[#All],[UNIT TAG]], FALSE), 5)</f>
        <v>200</v>
      </c>
      <c r="R394" s="27">
        <f>INDEX(Schedule!$A$1:$N$2000, MATCH($C394, VAV_Schedule_5_21[[#All],[UNIT TAG]], FALSE), 6)</f>
        <v>30</v>
      </c>
      <c r="S394" s="27">
        <f>INDEX(Schedule!$A$1:$N$2000, MATCH($C394, VAV_Schedule_5_21[[#All],[UNIT TAG]], FALSE), 5)</f>
        <v>200</v>
      </c>
      <c r="T394" s="27">
        <f>INDEX(Schedule!$A$1:$N$2000, MATCH($C394, VAV_Schedule_5_21[[#All],[UNIT TAG]], FALSE), 6)</f>
        <v>30</v>
      </c>
      <c r="U394" s="27">
        <f>INDEX(Schedule!$A$1:$N$2000, MATCH($C394, VAV_Schedule_5_21[[#All],[UNIT TAG]], FALSE), 5)</f>
        <v>200</v>
      </c>
      <c r="V394" s="27">
        <f>INDEX(Schedule!$A$1:$N$2000, MATCH($C394, VAV_Schedule_5_21[[#All],[UNIT TAG]], FALSE), 6)</f>
        <v>30</v>
      </c>
      <c r="W394" s="27">
        <f>INDEX(Schedule!$A$1:$N$2000, MATCH($C394, VAV_Schedule_5_21[[#All],[UNIT TAG]], FALSE), 6)</f>
        <v>30</v>
      </c>
      <c r="X394" s="27">
        <f>INDEX(Schedule!$A$1:$N$2000, MATCH($C394, VAV_Schedule_5_21[[#All],[UNIT TAG]], FALSE), 6)</f>
        <v>30</v>
      </c>
      <c r="Y394" s="27">
        <f>INDEX(Schedule!$A$1:$N$2000, MATCH($C394, VAV_Schedule_5_21[[#All],[UNIT TAG]], FALSE), 6)</f>
        <v>30</v>
      </c>
      <c r="Z394" s="27">
        <f>INDEX(Schedule!$A$1:$N$2000, MATCH($C394, VAV_Schedule_5_21[[#All],[UNIT TAG]], FALSE), 6)</f>
        <v>30</v>
      </c>
      <c r="AA394" s="27">
        <v>1000</v>
      </c>
      <c r="AB394" s="27">
        <v>1100</v>
      </c>
      <c r="AC394">
        <v>1400</v>
      </c>
      <c r="AD394" s="29">
        <f>IF(INDEX(Schedule!$A$1:$N$2000, MATCH($C394, VAV_Schedule_5_21[[#All],[UNIT TAG]], FALSE), 7)="-", 0, INDEX(Schedule!$A$1:$N$2000, MATCH($C394, VAV_Schedule_5_21[[#All],[UNIT TAG]], FALSE), 7))</f>
        <v>0</v>
      </c>
      <c r="AE394" t="str">
        <f>"B_01'" &amp; "Flr_0" &amp; INDEX(Joined!$A$3:$M$2000, MATCH($A394, Joined!$I$3:$I$2000, FALSE), 8)</f>
        <v>B_01'Flr_09</v>
      </c>
      <c r="AF394" t="str">
        <f>"R_" &amp; INDEX(Joined!$A$3:$M$2000, MATCH($A394, Joined!$I$3:$I$2000, FALSE), 7)</f>
        <v>R_VAV-9W-45</v>
      </c>
      <c r="AG394" t="str">
        <f>"B_01'" &amp; "Flr_0" &amp; INDEX(Joined!$A$3:$M$2000, MATCH($A394, Joined!$I$3:$I$2000, FALSE), 8)</f>
        <v>B_01'Flr_09</v>
      </c>
      <c r="AH394" t="str">
        <f>INDEX(Joined!$A$3:$M$2000, MATCH($A394, Joined!$I$3:$I$2000, FALSE), 7)</f>
        <v>VAV-9W-45</v>
      </c>
      <c r="AI394" t="s">
        <v>1722</v>
      </c>
    </row>
    <row r="395" spans="1:35" x14ac:dyDescent="0.2">
      <c r="A395" t="s">
        <v>1256</v>
      </c>
      <c r="B395" t="str">
        <f>"B_01'" &amp; "Flr_0" &amp; INDEX(Joined!$A$3:$M$2000, MATCH($A395, Joined!$I$3:$I$2000, FALSE), 8)</f>
        <v>B_01'Flr_010</v>
      </c>
      <c r="C395" t="str">
        <f>INDEX(Joined!$A$3:$M$2000, MATCH($A395, Joined!$I$3:$I$2000, FALSE), 7)</f>
        <v>VAV-10W-1</v>
      </c>
      <c r="D395">
        <f>INDEX(Joined!$A$3:$M$2000, MATCH($A395, Joined!$I$3:$I$2000, FALSE), 5)</f>
        <v>152701</v>
      </c>
      <c r="E395" t="str">
        <f>INDEX(Joined!$A$3:$M$2000, MATCH($A395, Joined!$I$3:$I$2000, FALSE), 7)</f>
        <v>VAV-10W-1</v>
      </c>
      <c r="F395" t="s">
        <v>38</v>
      </c>
      <c r="G395" t="str">
        <f>INDEX(Schedule!$Q$2:$R$7, MATCH(ABT!$H395,Schedule!$Q$2:$Q$7, 0), 2)</f>
        <v>15011_DXR_VAV_DXR2M12</v>
      </c>
      <c r="H395">
        <f>INDEX(Joined!$A$3:$M$2000, MATCH($A395, Joined!$I$3:$I$2000, FALSE), 6)</f>
        <v>15011</v>
      </c>
      <c r="I395" t="str">
        <f>INDEX(Joined!$A$3:$M$2000, MATCH($A395, Joined!$I$3:$I$2000, FALSE), 4)</f>
        <v>527</v>
      </c>
      <c r="J395" t="b">
        <v>0</v>
      </c>
      <c r="K395">
        <f>INDEX(Joined!$A$3:$M$2000, MATCH($A395, Joined!$I$3:$I$2000, FALSE), 3)</f>
        <v>1</v>
      </c>
      <c r="L395">
        <v>85</v>
      </c>
      <c r="M395">
        <v>38400</v>
      </c>
      <c r="N395" s="27">
        <f>PI()*(INDEX(Schedule!$A$1:$N$2000, MATCH($C395, VAV_Schedule_5_21[[#All],[UNIT TAG]], FALSE), 4)/2/12)^2</f>
        <v>0.3490658503988659</v>
      </c>
      <c r="O395" s="27">
        <f>INDEX(Schedule!$A$1:$N$2000, MATCH($C395, VAV_Schedule_5_21[[#All],[UNIT TAG]], FALSE), 4)</f>
        <v>8</v>
      </c>
      <c r="P395">
        <v>393.63</v>
      </c>
      <c r="Q395" s="27">
        <f>INDEX(Schedule!$A$1:$N$2000, MATCH($C395, VAV_Schedule_5_21[[#All],[UNIT TAG]], FALSE), 5)</f>
        <v>640</v>
      </c>
      <c r="R395" s="27">
        <f>INDEX(Schedule!$A$1:$N$2000, MATCH($C395, VAV_Schedule_5_21[[#All],[UNIT TAG]], FALSE), 6)</f>
        <v>100</v>
      </c>
      <c r="S395" s="27">
        <f>INDEX(Schedule!$A$1:$N$2000, MATCH($C395, VAV_Schedule_5_21[[#All],[UNIT TAG]], FALSE), 5)</f>
        <v>640</v>
      </c>
      <c r="T395" s="27">
        <f>INDEX(Schedule!$A$1:$N$2000, MATCH($C395, VAV_Schedule_5_21[[#All],[UNIT TAG]], FALSE), 6)</f>
        <v>100</v>
      </c>
      <c r="U395" s="27">
        <f>INDEX(Schedule!$A$1:$N$2000, MATCH($C395, VAV_Schedule_5_21[[#All],[UNIT TAG]], FALSE), 5)</f>
        <v>640</v>
      </c>
      <c r="V395" s="27">
        <f>INDEX(Schedule!$A$1:$N$2000, MATCH($C395, VAV_Schedule_5_21[[#All],[UNIT TAG]], FALSE), 6)</f>
        <v>100</v>
      </c>
      <c r="W395" s="27">
        <f>INDEX(Schedule!$A$1:$N$2000, MATCH($C395, VAV_Schedule_5_21[[#All],[UNIT TAG]], FALSE), 6)</f>
        <v>100</v>
      </c>
      <c r="X395" s="27">
        <f>INDEX(Schedule!$A$1:$N$2000, MATCH($C395, VAV_Schedule_5_21[[#All],[UNIT TAG]], FALSE), 6)</f>
        <v>100</v>
      </c>
      <c r="Y395" s="27">
        <f>INDEX(Schedule!$A$1:$N$2000, MATCH($C395, VAV_Schedule_5_21[[#All],[UNIT TAG]], FALSE), 6)</f>
        <v>100</v>
      </c>
      <c r="Z395" s="27">
        <f>INDEX(Schedule!$A$1:$N$2000, MATCH($C395, VAV_Schedule_5_21[[#All],[UNIT TAG]], FALSE), 6)</f>
        <v>100</v>
      </c>
      <c r="AA395" s="27">
        <v>1000</v>
      </c>
      <c r="AB395" s="27">
        <v>1100</v>
      </c>
      <c r="AC395">
        <v>1400</v>
      </c>
      <c r="AD395" s="29" t="str">
        <f>IF(INDEX(Schedule!$A$1:$N$2000, MATCH($C395, VAV_Schedule_5_21[[#All],[UNIT TAG]], FALSE), 7)="-", 0, INDEX(Schedule!$A$1:$N$2000, MATCH($C395, VAV_Schedule_5_21[[#All],[UNIT TAG]], FALSE), 7))</f>
        <v>6</v>
      </c>
      <c r="AE395" t="str">
        <f>"B_01'" &amp; "Flr_0" &amp; INDEX(Joined!$A$3:$M$2000, MATCH($A395, Joined!$I$3:$I$2000, FALSE), 8)</f>
        <v>B_01'Flr_010</v>
      </c>
      <c r="AF395" t="str">
        <f>"R_" &amp; INDEX(Joined!$A$3:$M$2000, MATCH($A395, Joined!$I$3:$I$2000, FALSE), 7)</f>
        <v>R_VAV-10W-1</v>
      </c>
      <c r="AG395" t="str">
        <f>"B_01'" &amp; "Flr_0" &amp; INDEX(Joined!$A$3:$M$2000, MATCH($A395, Joined!$I$3:$I$2000, FALSE), 8)</f>
        <v>B_01'Flr_010</v>
      </c>
      <c r="AH395" t="str">
        <f>INDEX(Joined!$A$3:$M$2000, MATCH($A395, Joined!$I$3:$I$2000, FALSE), 7)</f>
        <v>VAV-10W-1</v>
      </c>
      <c r="AI395" t="s">
        <v>1723</v>
      </c>
    </row>
    <row r="396" spans="1:35" x14ac:dyDescent="0.2">
      <c r="A396" t="s">
        <v>1257</v>
      </c>
      <c r="B396" t="str">
        <f>"B_01'" &amp; "Flr_0" &amp; INDEX(Joined!$A$3:$M$2000, MATCH($A396, Joined!$I$3:$I$2000, FALSE), 8)</f>
        <v>B_01'Flr_010</v>
      </c>
      <c r="C396" t="str">
        <f>INDEX(Joined!$A$3:$M$2000, MATCH($A396, Joined!$I$3:$I$2000, FALSE), 7)</f>
        <v>VAV-10W-2</v>
      </c>
      <c r="D396">
        <f>INDEX(Joined!$A$3:$M$2000, MATCH($A396, Joined!$I$3:$I$2000, FALSE), 5)</f>
        <v>152702</v>
      </c>
      <c r="E396" t="str">
        <f>INDEX(Joined!$A$3:$M$2000, MATCH($A396, Joined!$I$3:$I$2000, FALSE), 7)</f>
        <v>VAV-10W-2</v>
      </c>
      <c r="F396" t="s">
        <v>38</v>
      </c>
      <c r="G396" t="str">
        <f>INDEX(Schedule!$Q$2:$R$7, MATCH(ABT!$H396,Schedule!$Q$2:$Q$7, 0), 2)</f>
        <v>15011_DXR_VAV_DXR2M12</v>
      </c>
      <c r="H396">
        <f>INDEX(Joined!$A$3:$M$2000, MATCH($A396, Joined!$I$3:$I$2000, FALSE), 6)</f>
        <v>15011</v>
      </c>
      <c r="I396" t="str">
        <f>INDEX(Joined!$A$3:$M$2000, MATCH($A396, Joined!$I$3:$I$2000, FALSE), 4)</f>
        <v>527</v>
      </c>
      <c r="J396" t="b">
        <v>0</v>
      </c>
      <c r="K396">
        <f>INDEX(Joined!$A$3:$M$2000, MATCH($A396, Joined!$I$3:$I$2000, FALSE), 3)</f>
        <v>2</v>
      </c>
      <c r="L396">
        <v>85</v>
      </c>
      <c r="M396">
        <v>38400</v>
      </c>
      <c r="N396" s="27">
        <f>PI()*(INDEX(Schedule!$A$1:$N$2000, MATCH($C396, VAV_Schedule_5_21[[#All],[UNIT TAG]], FALSE), 4)/2/12)^2</f>
        <v>0.3490658503988659</v>
      </c>
      <c r="O396" s="27">
        <f>INDEX(Schedule!$A$1:$N$2000, MATCH($C396, VAV_Schedule_5_21[[#All],[UNIT TAG]], FALSE), 4)</f>
        <v>8</v>
      </c>
      <c r="P396">
        <v>394.63</v>
      </c>
      <c r="Q396" s="27">
        <f>INDEX(Schedule!$A$1:$N$2000, MATCH($C396, VAV_Schedule_5_21[[#All],[UNIT TAG]], FALSE), 5)</f>
        <v>680</v>
      </c>
      <c r="R396" s="27">
        <f>INDEX(Schedule!$A$1:$N$2000, MATCH($C396, VAV_Schedule_5_21[[#All],[UNIT TAG]], FALSE), 6)</f>
        <v>105</v>
      </c>
      <c r="S396" s="27">
        <f>INDEX(Schedule!$A$1:$N$2000, MATCH($C396, VAV_Schedule_5_21[[#All],[UNIT TAG]], FALSE), 5)</f>
        <v>680</v>
      </c>
      <c r="T396" s="27">
        <f>INDEX(Schedule!$A$1:$N$2000, MATCH($C396, VAV_Schedule_5_21[[#All],[UNIT TAG]], FALSE), 6)</f>
        <v>105</v>
      </c>
      <c r="U396" s="27">
        <f>INDEX(Schedule!$A$1:$N$2000, MATCH($C396, VAV_Schedule_5_21[[#All],[UNIT TAG]], FALSE), 5)</f>
        <v>680</v>
      </c>
      <c r="V396" s="27">
        <f>INDEX(Schedule!$A$1:$N$2000, MATCH($C396, VAV_Schedule_5_21[[#All],[UNIT TAG]], FALSE), 6)</f>
        <v>105</v>
      </c>
      <c r="W396" s="27">
        <f>INDEX(Schedule!$A$1:$N$2000, MATCH($C396, VAV_Schedule_5_21[[#All],[UNIT TAG]], FALSE), 6)</f>
        <v>105</v>
      </c>
      <c r="X396" s="27">
        <f>INDEX(Schedule!$A$1:$N$2000, MATCH($C396, VAV_Schedule_5_21[[#All],[UNIT TAG]], FALSE), 6)</f>
        <v>105</v>
      </c>
      <c r="Y396" s="27">
        <f>INDEX(Schedule!$A$1:$N$2000, MATCH($C396, VAV_Schedule_5_21[[#All],[UNIT TAG]], FALSE), 6)</f>
        <v>105</v>
      </c>
      <c r="Z396" s="27">
        <f>INDEX(Schedule!$A$1:$N$2000, MATCH($C396, VAV_Schedule_5_21[[#All],[UNIT TAG]], FALSE), 6)</f>
        <v>105</v>
      </c>
      <c r="AA396" s="27">
        <v>1000</v>
      </c>
      <c r="AB396" s="27">
        <v>1100</v>
      </c>
      <c r="AC396">
        <v>1400</v>
      </c>
      <c r="AD396" s="29" t="str">
        <f>IF(INDEX(Schedule!$A$1:$N$2000, MATCH($C396, VAV_Schedule_5_21[[#All],[UNIT TAG]], FALSE), 7)="-", 0, INDEX(Schedule!$A$1:$N$2000, MATCH($C396, VAV_Schedule_5_21[[#All],[UNIT TAG]], FALSE), 7))</f>
        <v>6</v>
      </c>
      <c r="AE396" t="str">
        <f>"B_01'" &amp; "Flr_0" &amp; INDEX(Joined!$A$3:$M$2000, MATCH($A396, Joined!$I$3:$I$2000, FALSE), 8)</f>
        <v>B_01'Flr_010</v>
      </c>
      <c r="AF396" t="str">
        <f>"R_" &amp; INDEX(Joined!$A$3:$M$2000, MATCH($A396, Joined!$I$3:$I$2000, FALSE), 7)</f>
        <v>R_VAV-10W-2</v>
      </c>
      <c r="AG396" t="str">
        <f>"B_01'" &amp; "Flr_0" &amp; INDEX(Joined!$A$3:$M$2000, MATCH($A396, Joined!$I$3:$I$2000, FALSE), 8)</f>
        <v>B_01'Flr_010</v>
      </c>
      <c r="AH396" t="str">
        <f>INDEX(Joined!$A$3:$M$2000, MATCH($A396, Joined!$I$3:$I$2000, FALSE), 7)</f>
        <v>VAV-10W-2</v>
      </c>
      <c r="AI396" t="s">
        <v>1724</v>
      </c>
    </row>
    <row r="397" spans="1:35" x14ac:dyDescent="0.2">
      <c r="A397" t="s">
        <v>1258</v>
      </c>
      <c r="B397" t="str">
        <f>"B_01'" &amp; "Flr_0" &amp; INDEX(Joined!$A$3:$M$2000, MATCH($A397, Joined!$I$3:$I$2000, FALSE), 8)</f>
        <v>B_01'Flr_010</v>
      </c>
      <c r="C397" t="str">
        <f>INDEX(Joined!$A$3:$M$2000, MATCH($A397, Joined!$I$3:$I$2000, FALSE), 7)</f>
        <v>VAV-10W-3</v>
      </c>
      <c r="D397">
        <f>INDEX(Joined!$A$3:$M$2000, MATCH($A397, Joined!$I$3:$I$2000, FALSE), 5)</f>
        <v>152703</v>
      </c>
      <c r="E397" t="str">
        <f>INDEX(Joined!$A$3:$M$2000, MATCH($A397, Joined!$I$3:$I$2000, FALSE), 7)</f>
        <v>VAV-10W-3</v>
      </c>
      <c r="F397" t="s">
        <v>38</v>
      </c>
      <c r="G397" t="str">
        <f>INDEX(Schedule!$Q$2:$R$7, MATCH(ABT!$H397,Schedule!$Q$2:$Q$7, 0), 2)</f>
        <v>15011_DXR_VAV_DXR2M12</v>
      </c>
      <c r="H397">
        <f>INDEX(Joined!$A$3:$M$2000, MATCH($A397, Joined!$I$3:$I$2000, FALSE), 6)</f>
        <v>15011</v>
      </c>
      <c r="I397" t="str">
        <f>INDEX(Joined!$A$3:$M$2000, MATCH($A397, Joined!$I$3:$I$2000, FALSE), 4)</f>
        <v>527</v>
      </c>
      <c r="J397" t="b">
        <v>0</v>
      </c>
      <c r="K397">
        <f>INDEX(Joined!$A$3:$M$2000, MATCH($A397, Joined!$I$3:$I$2000, FALSE), 3)</f>
        <v>3</v>
      </c>
      <c r="L397">
        <v>85</v>
      </c>
      <c r="M397">
        <v>38400</v>
      </c>
      <c r="N397" s="27">
        <f>PI()*(INDEX(Schedule!$A$1:$N$2000, MATCH($C397, VAV_Schedule_5_21[[#All],[UNIT TAG]], FALSE), 4)/2/12)^2</f>
        <v>0.3490658503988659</v>
      </c>
      <c r="O397" s="27">
        <f>INDEX(Schedule!$A$1:$N$2000, MATCH($C397, VAV_Schedule_5_21[[#All],[UNIT TAG]], FALSE), 4)</f>
        <v>8</v>
      </c>
      <c r="P397">
        <v>395.63</v>
      </c>
      <c r="Q397" s="27">
        <f>INDEX(Schedule!$A$1:$N$2000, MATCH($C397, VAV_Schedule_5_21[[#All],[UNIT TAG]], FALSE), 5)</f>
        <v>600</v>
      </c>
      <c r="R397" s="27">
        <f>INDEX(Schedule!$A$1:$N$2000, MATCH($C397, VAV_Schedule_5_21[[#All],[UNIT TAG]], FALSE), 6)</f>
        <v>90</v>
      </c>
      <c r="S397" s="27">
        <f>INDEX(Schedule!$A$1:$N$2000, MATCH($C397, VAV_Schedule_5_21[[#All],[UNIT TAG]], FALSE), 5)</f>
        <v>600</v>
      </c>
      <c r="T397" s="27">
        <f>INDEX(Schedule!$A$1:$N$2000, MATCH($C397, VAV_Schedule_5_21[[#All],[UNIT TAG]], FALSE), 6)</f>
        <v>90</v>
      </c>
      <c r="U397" s="27">
        <f>INDEX(Schedule!$A$1:$N$2000, MATCH($C397, VAV_Schedule_5_21[[#All],[UNIT TAG]], FALSE), 5)</f>
        <v>600</v>
      </c>
      <c r="V397" s="27">
        <f>INDEX(Schedule!$A$1:$N$2000, MATCH($C397, VAV_Schedule_5_21[[#All],[UNIT TAG]], FALSE), 6)</f>
        <v>90</v>
      </c>
      <c r="W397" s="27">
        <f>INDEX(Schedule!$A$1:$N$2000, MATCH($C397, VAV_Schedule_5_21[[#All],[UNIT TAG]], FALSE), 6)</f>
        <v>90</v>
      </c>
      <c r="X397" s="27">
        <f>INDEX(Schedule!$A$1:$N$2000, MATCH($C397, VAV_Schedule_5_21[[#All],[UNIT TAG]], FALSE), 6)</f>
        <v>90</v>
      </c>
      <c r="Y397" s="27">
        <f>INDEX(Schedule!$A$1:$N$2000, MATCH($C397, VAV_Schedule_5_21[[#All],[UNIT TAG]], FALSE), 6)</f>
        <v>90</v>
      </c>
      <c r="Z397" s="27">
        <f>INDEX(Schedule!$A$1:$N$2000, MATCH($C397, VAV_Schedule_5_21[[#All],[UNIT TAG]], FALSE), 6)</f>
        <v>90</v>
      </c>
      <c r="AA397" s="27">
        <v>1000</v>
      </c>
      <c r="AB397" s="27">
        <v>1100</v>
      </c>
      <c r="AC397">
        <v>1400</v>
      </c>
      <c r="AD397" s="29" t="str">
        <f>IF(INDEX(Schedule!$A$1:$N$2000, MATCH($C397, VAV_Schedule_5_21[[#All],[UNIT TAG]], FALSE), 7)="-", 0, INDEX(Schedule!$A$1:$N$2000, MATCH($C397, VAV_Schedule_5_21[[#All],[UNIT TAG]], FALSE), 7))</f>
        <v>6</v>
      </c>
      <c r="AE397" t="str">
        <f>"B_01'" &amp; "Flr_0" &amp; INDEX(Joined!$A$3:$M$2000, MATCH($A397, Joined!$I$3:$I$2000, FALSE), 8)</f>
        <v>B_01'Flr_010</v>
      </c>
      <c r="AF397" t="str">
        <f>"R_" &amp; INDEX(Joined!$A$3:$M$2000, MATCH($A397, Joined!$I$3:$I$2000, FALSE), 7)</f>
        <v>R_VAV-10W-3</v>
      </c>
      <c r="AG397" t="str">
        <f>"B_01'" &amp; "Flr_0" &amp; INDEX(Joined!$A$3:$M$2000, MATCH($A397, Joined!$I$3:$I$2000, FALSE), 8)</f>
        <v>B_01'Flr_010</v>
      </c>
      <c r="AH397" t="str">
        <f>INDEX(Joined!$A$3:$M$2000, MATCH($A397, Joined!$I$3:$I$2000, FALSE), 7)</f>
        <v>VAV-10W-3</v>
      </c>
      <c r="AI397" t="s">
        <v>1725</v>
      </c>
    </row>
    <row r="398" spans="1:35" x14ac:dyDescent="0.2">
      <c r="A398" t="s">
        <v>1259</v>
      </c>
      <c r="B398" t="str">
        <f>"B_01'" &amp; "Flr_0" &amp; INDEX(Joined!$A$3:$M$2000, MATCH($A398, Joined!$I$3:$I$2000, FALSE), 8)</f>
        <v>B_01'Flr_010</v>
      </c>
      <c r="C398" t="str">
        <f>INDEX(Joined!$A$3:$M$2000, MATCH($A398, Joined!$I$3:$I$2000, FALSE), 7)</f>
        <v>VAV-10W-4</v>
      </c>
      <c r="D398">
        <f>INDEX(Joined!$A$3:$M$2000, MATCH($A398, Joined!$I$3:$I$2000, FALSE), 5)</f>
        <v>152704</v>
      </c>
      <c r="E398" t="str">
        <f>INDEX(Joined!$A$3:$M$2000, MATCH($A398, Joined!$I$3:$I$2000, FALSE), 7)</f>
        <v>VAV-10W-4</v>
      </c>
      <c r="F398" t="s">
        <v>38</v>
      </c>
      <c r="G398" t="str">
        <f>INDEX(Schedule!$Q$2:$R$7, MATCH(ABT!$H398,Schedule!$Q$2:$Q$7, 0), 2)</f>
        <v>15011_DXR_VAV_DXR2M12</v>
      </c>
      <c r="H398">
        <f>INDEX(Joined!$A$3:$M$2000, MATCH($A398, Joined!$I$3:$I$2000, FALSE), 6)</f>
        <v>15011</v>
      </c>
      <c r="I398" t="str">
        <f>INDEX(Joined!$A$3:$M$2000, MATCH($A398, Joined!$I$3:$I$2000, FALSE), 4)</f>
        <v>527</v>
      </c>
      <c r="J398" t="b">
        <v>0</v>
      </c>
      <c r="K398">
        <f>INDEX(Joined!$A$3:$M$2000, MATCH($A398, Joined!$I$3:$I$2000, FALSE), 3)</f>
        <v>4</v>
      </c>
      <c r="L398">
        <v>85</v>
      </c>
      <c r="M398">
        <v>38400</v>
      </c>
      <c r="N398" s="27">
        <f>PI()*(INDEX(Schedule!$A$1:$N$2000, MATCH($C398, VAV_Schedule_5_21[[#All],[UNIT TAG]], FALSE), 4)/2/12)^2</f>
        <v>0.54541539124822802</v>
      </c>
      <c r="O398" s="27">
        <f>INDEX(Schedule!$A$1:$N$2000, MATCH($C398, VAV_Schedule_5_21[[#All],[UNIT TAG]], FALSE), 4)</f>
        <v>10</v>
      </c>
      <c r="P398">
        <v>396.63</v>
      </c>
      <c r="Q398" s="27">
        <f>INDEX(Schedule!$A$1:$N$2000, MATCH($C398, VAV_Schedule_5_21[[#All],[UNIT TAG]], FALSE), 5)</f>
        <v>840</v>
      </c>
      <c r="R398" s="27">
        <f>INDEX(Schedule!$A$1:$N$2000, MATCH($C398, VAV_Schedule_5_21[[#All],[UNIT TAG]], FALSE), 6)</f>
        <v>130</v>
      </c>
      <c r="S398" s="27">
        <f>INDEX(Schedule!$A$1:$N$2000, MATCH($C398, VAV_Schedule_5_21[[#All],[UNIT TAG]], FALSE), 5)</f>
        <v>840</v>
      </c>
      <c r="T398" s="27">
        <f>INDEX(Schedule!$A$1:$N$2000, MATCH($C398, VAV_Schedule_5_21[[#All],[UNIT TAG]], FALSE), 6)</f>
        <v>130</v>
      </c>
      <c r="U398" s="27">
        <f>INDEX(Schedule!$A$1:$N$2000, MATCH($C398, VAV_Schedule_5_21[[#All],[UNIT TAG]], FALSE), 5)</f>
        <v>840</v>
      </c>
      <c r="V398" s="27">
        <f>INDEX(Schedule!$A$1:$N$2000, MATCH($C398, VAV_Schedule_5_21[[#All],[UNIT TAG]], FALSE), 6)</f>
        <v>130</v>
      </c>
      <c r="W398" s="27">
        <f>INDEX(Schedule!$A$1:$N$2000, MATCH($C398, VAV_Schedule_5_21[[#All],[UNIT TAG]], FALSE), 6)</f>
        <v>130</v>
      </c>
      <c r="X398" s="27">
        <f>INDEX(Schedule!$A$1:$N$2000, MATCH($C398, VAV_Schedule_5_21[[#All],[UNIT TAG]], FALSE), 6)</f>
        <v>130</v>
      </c>
      <c r="Y398" s="27">
        <f>INDEX(Schedule!$A$1:$N$2000, MATCH($C398, VAV_Schedule_5_21[[#All],[UNIT TAG]], FALSE), 6)</f>
        <v>130</v>
      </c>
      <c r="Z398" s="27">
        <f>INDEX(Schedule!$A$1:$N$2000, MATCH($C398, VAV_Schedule_5_21[[#All],[UNIT TAG]], FALSE), 6)</f>
        <v>130</v>
      </c>
      <c r="AA398" s="27">
        <v>1000</v>
      </c>
      <c r="AB398" s="27">
        <v>1100</v>
      </c>
      <c r="AC398">
        <v>1400</v>
      </c>
      <c r="AD398" s="29" t="str">
        <f>IF(INDEX(Schedule!$A$1:$N$2000, MATCH($C398, VAV_Schedule_5_21[[#All],[UNIT TAG]], FALSE), 7)="-", 0, INDEX(Schedule!$A$1:$N$2000, MATCH($C398, VAV_Schedule_5_21[[#All],[UNIT TAG]], FALSE), 7))</f>
        <v>6</v>
      </c>
      <c r="AE398" t="str">
        <f>"B_01'" &amp; "Flr_0" &amp; INDEX(Joined!$A$3:$M$2000, MATCH($A398, Joined!$I$3:$I$2000, FALSE), 8)</f>
        <v>B_01'Flr_010</v>
      </c>
      <c r="AF398" t="str">
        <f>"R_" &amp; INDEX(Joined!$A$3:$M$2000, MATCH($A398, Joined!$I$3:$I$2000, FALSE), 7)</f>
        <v>R_VAV-10W-4</v>
      </c>
      <c r="AG398" t="str">
        <f>"B_01'" &amp; "Flr_0" &amp; INDEX(Joined!$A$3:$M$2000, MATCH($A398, Joined!$I$3:$I$2000, FALSE), 8)</f>
        <v>B_01'Flr_010</v>
      </c>
      <c r="AH398" t="str">
        <f>INDEX(Joined!$A$3:$M$2000, MATCH($A398, Joined!$I$3:$I$2000, FALSE), 7)</f>
        <v>VAV-10W-4</v>
      </c>
      <c r="AI398" t="s">
        <v>1726</v>
      </c>
    </row>
    <row r="399" spans="1:35" x14ac:dyDescent="0.2">
      <c r="A399" t="s">
        <v>1260</v>
      </c>
      <c r="B399" t="str">
        <f>"B_01'" &amp; "Flr_0" &amp; INDEX(Joined!$A$3:$M$2000, MATCH($A399, Joined!$I$3:$I$2000, FALSE), 8)</f>
        <v>B_01'Flr_010</v>
      </c>
      <c r="C399" t="str">
        <f>INDEX(Joined!$A$3:$M$2000, MATCH($A399, Joined!$I$3:$I$2000, FALSE), 7)</f>
        <v>VAV-10N-5</v>
      </c>
      <c r="D399">
        <f>INDEX(Joined!$A$3:$M$2000, MATCH($A399, Joined!$I$3:$I$2000, FALSE), 5)</f>
        <v>152501</v>
      </c>
      <c r="E399" t="str">
        <f>INDEX(Joined!$A$3:$M$2000, MATCH($A399, Joined!$I$3:$I$2000, FALSE), 7)</f>
        <v>VAV-10N-5</v>
      </c>
      <c r="F399" t="s">
        <v>38</v>
      </c>
      <c r="G399" t="str">
        <f>INDEX(Schedule!$Q$2:$R$7, MATCH(ABT!$H399,Schedule!$Q$2:$Q$7, 0), 2)</f>
        <v>15010_DXR_VAV_DXR2M12</v>
      </c>
      <c r="H399">
        <f>INDEX(Joined!$A$3:$M$2000, MATCH($A399, Joined!$I$3:$I$2000, FALSE), 6)</f>
        <v>15010</v>
      </c>
      <c r="I399" t="str">
        <f>INDEX(Joined!$A$3:$M$2000, MATCH($A399, Joined!$I$3:$I$2000, FALSE), 4)</f>
        <v>525</v>
      </c>
      <c r="J399" t="b">
        <v>0</v>
      </c>
      <c r="K399">
        <f>INDEX(Joined!$A$3:$M$2000, MATCH($A399, Joined!$I$3:$I$2000, FALSE), 3)</f>
        <v>1</v>
      </c>
      <c r="L399">
        <v>85</v>
      </c>
      <c r="M399">
        <v>38400</v>
      </c>
      <c r="N399" s="27">
        <f>PI()*(INDEX(Schedule!$A$1:$N$2000, MATCH($C399, VAV_Schedule_5_21[[#All],[UNIT TAG]], FALSE), 4)/2/12)^2</f>
        <v>0.78539816339744828</v>
      </c>
      <c r="O399" s="27">
        <f>INDEX(Schedule!$A$1:$N$2000, MATCH($C399, VAV_Schedule_5_21[[#All],[UNIT TAG]], FALSE), 4)</f>
        <v>12</v>
      </c>
      <c r="P399">
        <v>397.63</v>
      </c>
      <c r="Q399" s="27">
        <f>INDEX(Schedule!$A$1:$N$2000, MATCH($C399, VAV_Schedule_5_21[[#All],[UNIT TAG]], FALSE), 5)</f>
        <v>1330</v>
      </c>
      <c r="R399" s="27">
        <f>INDEX(Schedule!$A$1:$N$2000, MATCH($C399, VAV_Schedule_5_21[[#All],[UNIT TAG]], FALSE), 6)</f>
        <v>200</v>
      </c>
      <c r="S399" s="27">
        <f>INDEX(Schedule!$A$1:$N$2000, MATCH($C399, VAV_Schedule_5_21[[#All],[UNIT TAG]], FALSE), 5)</f>
        <v>1330</v>
      </c>
      <c r="T399" s="27">
        <f>INDEX(Schedule!$A$1:$N$2000, MATCH($C399, VAV_Schedule_5_21[[#All],[UNIT TAG]], FALSE), 6)</f>
        <v>200</v>
      </c>
      <c r="U399" s="27">
        <f>INDEX(Schedule!$A$1:$N$2000, MATCH($C399, VAV_Schedule_5_21[[#All],[UNIT TAG]], FALSE), 5)</f>
        <v>1330</v>
      </c>
      <c r="V399" s="27">
        <f>INDEX(Schedule!$A$1:$N$2000, MATCH($C399, VAV_Schedule_5_21[[#All],[UNIT TAG]], FALSE), 6)</f>
        <v>200</v>
      </c>
      <c r="W399" s="27">
        <f>INDEX(Schedule!$A$1:$N$2000, MATCH($C399, VAV_Schedule_5_21[[#All],[UNIT TAG]], FALSE), 6)</f>
        <v>200</v>
      </c>
      <c r="X399" s="27">
        <f>INDEX(Schedule!$A$1:$N$2000, MATCH($C399, VAV_Schedule_5_21[[#All],[UNIT TAG]], FALSE), 6)</f>
        <v>200</v>
      </c>
      <c r="Y399" s="27">
        <f>INDEX(Schedule!$A$1:$N$2000, MATCH($C399, VAV_Schedule_5_21[[#All],[UNIT TAG]], FALSE), 6)</f>
        <v>200</v>
      </c>
      <c r="Z399" s="27">
        <f>INDEX(Schedule!$A$1:$N$2000, MATCH($C399, VAV_Schedule_5_21[[#All],[UNIT TAG]], FALSE), 6)</f>
        <v>200</v>
      </c>
      <c r="AA399" s="27">
        <v>1000</v>
      </c>
      <c r="AB399" s="27">
        <v>1100</v>
      </c>
      <c r="AC399">
        <v>1400</v>
      </c>
      <c r="AD399" s="29">
        <f>IF(INDEX(Schedule!$A$1:$N$2000, MATCH($C399, VAV_Schedule_5_21[[#All],[UNIT TAG]], FALSE), 7)="-", 0, INDEX(Schedule!$A$1:$N$2000, MATCH($C399, VAV_Schedule_5_21[[#All],[UNIT TAG]], FALSE), 7))</f>
        <v>0</v>
      </c>
      <c r="AE399" t="str">
        <f>"B_01'" &amp; "Flr_0" &amp; INDEX(Joined!$A$3:$M$2000, MATCH($A399, Joined!$I$3:$I$2000, FALSE), 8)</f>
        <v>B_01'Flr_010</v>
      </c>
      <c r="AF399" t="str">
        <f>"R_" &amp; INDEX(Joined!$A$3:$M$2000, MATCH($A399, Joined!$I$3:$I$2000, FALSE), 7)</f>
        <v>R_VAV-10N-5</v>
      </c>
      <c r="AG399" t="str">
        <f>"B_01'" &amp; "Flr_0" &amp; INDEX(Joined!$A$3:$M$2000, MATCH($A399, Joined!$I$3:$I$2000, FALSE), 8)</f>
        <v>B_01'Flr_010</v>
      </c>
      <c r="AH399" t="str">
        <f>INDEX(Joined!$A$3:$M$2000, MATCH($A399, Joined!$I$3:$I$2000, FALSE), 7)</f>
        <v>VAV-10N-5</v>
      </c>
      <c r="AI399" t="s">
        <v>1727</v>
      </c>
    </row>
    <row r="400" spans="1:35" x14ac:dyDescent="0.2">
      <c r="A400" t="s">
        <v>1261</v>
      </c>
      <c r="B400" t="str">
        <f>"B_01'" &amp; "Flr_0" &amp; INDEX(Joined!$A$3:$M$2000, MATCH($A400, Joined!$I$3:$I$2000, FALSE), 8)</f>
        <v>B_01'Flr_010</v>
      </c>
      <c r="C400" t="str">
        <f>INDEX(Joined!$A$3:$M$2000, MATCH($A400, Joined!$I$3:$I$2000, FALSE), 7)</f>
        <v>VAV-10N-6</v>
      </c>
      <c r="D400">
        <f>INDEX(Joined!$A$3:$M$2000, MATCH($A400, Joined!$I$3:$I$2000, FALSE), 5)</f>
        <v>152502</v>
      </c>
      <c r="E400" t="str">
        <f>INDEX(Joined!$A$3:$M$2000, MATCH($A400, Joined!$I$3:$I$2000, FALSE), 7)</f>
        <v>VAV-10N-6</v>
      </c>
      <c r="F400" t="s">
        <v>38</v>
      </c>
      <c r="G400" t="str">
        <f>INDEX(Schedule!$Q$2:$R$7, MATCH(ABT!$H400,Schedule!$Q$2:$Q$7, 0), 2)</f>
        <v>15010_DXR_VAV_DXR2M12</v>
      </c>
      <c r="H400">
        <f>INDEX(Joined!$A$3:$M$2000, MATCH($A400, Joined!$I$3:$I$2000, FALSE), 6)</f>
        <v>15010</v>
      </c>
      <c r="I400" t="str">
        <f>INDEX(Joined!$A$3:$M$2000, MATCH($A400, Joined!$I$3:$I$2000, FALSE), 4)</f>
        <v>525</v>
      </c>
      <c r="J400" t="b">
        <v>0</v>
      </c>
      <c r="K400">
        <f>INDEX(Joined!$A$3:$M$2000, MATCH($A400, Joined!$I$3:$I$2000, FALSE), 3)</f>
        <v>2</v>
      </c>
      <c r="L400">
        <v>85</v>
      </c>
      <c r="M400">
        <v>38400</v>
      </c>
      <c r="N400" s="27">
        <f>PI()*(INDEX(Schedule!$A$1:$N$2000, MATCH($C400, VAV_Schedule_5_21[[#All],[UNIT TAG]], FALSE), 4)/2/12)^2</f>
        <v>0.54541539124822802</v>
      </c>
      <c r="O400" s="27">
        <f>INDEX(Schedule!$A$1:$N$2000, MATCH($C400, VAV_Schedule_5_21[[#All],[UNIT TAG]], FALSE), 4)</f>
        <v>10</v>
      </c>
      <c r="P400">
        <v>398.63</v>
      </c>
      <c r="Q400" s="27">
        <f>INDEX(Schedule!$A$1:$N$2000, MATCH($C400, VAV_Schedule_5_21[[#All],[UNIT TAG]], FALSE), 5)</f>
        <v>1120</v>
      </c>
      <c r="R400" s="27">
        <f>INDEX(Schedule!$A$1:$N$2000, MATCH($C400, VAV_Schedule_5_21[[#All],[UNIT TAG]], FALSE), 6)</f>
        <v>170</v>
      </c>
      <c r="S400" s="27">
        <f>INDEX(Schedule!$A$1:$N$2000, MATCH($C400, VAV_Schedule_5_21[[#All],[UNIT TAG]], FALSE), 5)</f>
        <v>1120</v>
      </c>
      <c r="T400" s="27">
        <f>INDEX(Schedule!$A$1:$N$2000, MATCH($C400, VAV_Schedule_5_21[[#All],[UNIT TAG]], FALSE), 6)</f>
        <v>170</v>
      </c>
      <c r="U400" s="27">
        <f>INDEX(Schedule!$A$1:$N$2000, MATCH($C400, VAV_Schedule_5_21[[#All],[UNIT TAG]], FALSE), 5)</f>
        <v>1120</v>
      </c>
      <c r="V400" s="27">
        <f>INDEX(Schedule!$A$1:$N$2000, MATCH($C400, VAV_Schedule_5_21[[#All],[UNIT TAG]], FALSE), 6)</f>
        <v>170</v>
      </c>
      <c r="W400" s="27">
        <f>INDEX(Schedule!$A$1:$N$2000, MATCH($C400, VAV_Schedule_5_21[[#All],[UNIT TAG]], FALSE), 6)</f>
        <v>170</v>
      </c>
      <c r="X400" s="27">
        <f>INDEX(Schedule!$A$1:$N$2000, MATCH($C400, VAV_Schedule_5_21[[#All],[UNIT TAG]], FALSE), 6)</f>
        <v>170</v>
      </c>
      <c r="Y400" s="27">
        <f>INDEX(Schedule!$A$1:$N$2000, MATCH($C400, VAV_Schedule_5_21[[#All],[UNIT TAG]], FALSE), 6)</f>
        <v>170</v>
      </c>
      <c r="Z400" s="27">
        <f>INDEX(Schedule!$A$1:$N$2000, MATCH($C400, VAV_Schedule_5_21[[#All],[UNIT TAG]], FALSE), 6)</f>
        <v>170</v>
      </c>
      <c r="AA400" s="27">
        <v>1000</v>
      </c>
      <c r="AB400" s="27">
        <v>1100</v>
      </c>
      <c r="AC400">
        <v>1400</v>
      </c>
      <c r="AD400" s="29">
        <f>IF(INDEX(Schedule!$A$1:$N$2000, MATCH($C400, VAV_Schedule_5_21[[#All],[UNIT TAG]], FALSE), 7)="-", 0, INDEX(Schedule!$A$1:$N$2000, MATCH($C400, VAV_Schedule_5_21[[#All],[UNIT TAG]], FALSE), 7))</f>
        <v>0</v>
      </c>
      <c r="AE400" t="str">
        <f>"B_01'" &amp; "Flr_0" &amp; INDEX(Joined!$A$3:$M$2000, MATCH($A400, Joined!$I$3:$I$2000, FALSE), 8)</f>
        <v>B_01'Flr_010</v>
      </c>
      <c r="AF400" t="str">
        <f>"R_" &amp; INDEX(Joined!$A$3:$M$2000, MATCH($A400, Joined!$I$3:$I$2000, FALSE), 7)</f>
        <v>R_VAV-10N-6</v>
      </c>
      <c r="AG400" t="str">
        <f>"B_01'" &amp; "Flr_0" &amp; INDEX(Joined!$A$3:$M$2000, MATCH($A400, Joined!$I$3:$I$2000, FALSE), 8)</f>
        <v>B_01'Flr_010</v>
      </c>
      <c r="AH400" t="str">
        <f>INDEX(Joined!$A$3:$M$2000, MATCH($A400, Joined!$I$3:$I$2000, FALSE), 7)</f>
        <v>VAV-10N-6</v>
      </c>
      <c r="AI400" t="s">
        <v>1728</v>
      </c>
    </row>
    <row r="401" spans="1:35" x14ac:dyDescent="0.2">
      <c r="A401" t="s">
        <v>1262</v>
      </c>
      <c r="B401" t="str">
        <f>"B_01'" &amp; "Flr_0" &amp; INDEX(Joined!$A$3:$M$2000, MATCH($A401, Joined!$I$3:$I$2000, FALSE), 8)</f>
        <v>B_01'Flr_010</v>
      </c>
      <c r="C401" t="str">
        <f>INDEX(Joined!$A$3:$M$2000, MATCH($A401, Joined!$I$3:$I$2000, FALSE), 7)</f>
        <v>VAV-10N-7</v>
      </c>
      <c r="D401">
        <f>INDEX(Joined!$A$3:$M$2000, MATCH($A401, Joined!$I$3:$I$2000, FALSE), 5)</f>
        <v>152503</v>
      </c>
      <c r="E401" t="str">
        <f>INDEX(Joined!$A$3:$M$2000, MATCH($A401, Joined!$I$3:$I$2000, FALSE), 7)</f>
        <v>VAV-10N-7</v>
      </c>
      <c r="F401" t="s">
        <v>38</v>
      </c>
      <c r="G401" t="str">
        <f>INDEX(Schedule!$Q$2:$R$7, MATCH(ABT!$H401,Schedule!$Q$2:$Q$7, 0), 2)</f>
        <v>15010_DXR_VAV_DXR2M12</v>
      </c>
      <c r="H401">
        <f>INDEX(Joined!$A$3:$M$2000, MATCH($A401, Joined!$I$3:$I$2000, FALSE), 6)</f>
        <v>15010</v>
      </c>
      <c r="I401" t="str">
        <f>INDEX(Joined!$A$3:$M$2000, MATCH($A401, Joined!$I$3:$I$2000, FALSE), 4)</f>
        <v>525</v>
      </c>
      <c r="J401" t="b">
        <v>0</v>
      </c>
      <c r="K401">
        <f>INDEX(Joined!$A$3:$M$2000, MATCH($A401, Joined!$I$3:$I$2000, FALSE), 3)</f>
        <v>3</v>
      </c>
      <c r="L401">
        <v>85</v>
      </c>
      <c r="M401">
        <v>38400</v>
      </c>
      <c r="N401" s="27">
        <f>PI()*(INDEX(Schedule!$A$1:$N$2000, MATCH($C401, VAV_Schedule_5_21[[#All],[UNIT TAG]], FALSE), 4)/2/12)^2</f>
        <v>0.3490658503988659</v>
      </c>
      <c r="O401" s="27">
        <f>INDEX(Schedule!$A$1:$N$2000, MATCH($C401, VAV_Schedule_5_21[[#All],[UNIT TAG]], FALSE), 4)</f>
        <v>8</v>
      </c>
      <c r="P401">
        <v>399.63</v>
      </c>
      <c r="Q401" s="27">
        <f>INDEX(Schedule!$A$1:$N$2000, MATCH($C401, VAV_Schedule_5_21[[#All],[UNIT TAG]], FALSE), 5)</f>
        <v>600</v>
      </c>
      <c r="R401" s="27">
        <f>INDEX(Schedule!$A$1:$N$2000, MATCH($C401, VAV_Schedule_5_21[[#All],[UNIT TAG]], FALSE), 6)</f>
        <v>90</v>
      </c>
      <c r="S401" s="27">
        <f>INDEX(Schedule!$A$1:$N$2000, MATCH($C401, VAV_Schedule_5_21[[#All],[UNIT TAG]], FALSE), 5)</f>
        <v>600</v>
      </c>
      <c r="T401" s="27">
        <f>INDEX(Schedule!$A$1:$N$2000, MATCH($C401, VAV_Schedule_5_21[[#All],[UNIT TAG]], FALSE), 6)</f>
        <v>90</v>
      </c>
      <c r="U401" s="27">
        <f>INDEX(Schedule!$A$1:$N$2000, MATCH($C401, VAV_Schedule_5_21[[#All],[UNIT TAG]], FALSE), 5)</f>
        <v>600</v>
      </c>
      <c r="V401" s="27">
        <f>INDEX(Schedule!$A$1:$N$2000, MATCH($C401, VAV_Schedule_5_21[[#All],[UNIT TAG]], FALSE), 6)</f>
        <v>90</v>
      </c>
      <c r="W401" s="27">
        <f>INDEX(Schedule!$A$1:$N$2000, MATCH($C401, VAV_Schedule_5_21[[#All],[UNIT TAG]], FALSE), 6)</f>
        <v>90</v>
      </c>
      <c r="X401" s="27">
        <f>INDEX(Schedule!$A$1:$N$2000, MATCH($C401, VAV_Schedule_5_21[[#All],[UNIT TAG]], FALSE), 6)</f>
        <v>90</v>
      </c>
      <c r="Y401" s="27">
        <f>INDEX(Schedule!$A$1:$N$2000, MATCH($C401, VAV_Schedule_5_21[[#All],[UNIT TAG]], FALSE), 6)</f>
        <v>90</v>
      </c>
      <c r="Z401" s="27">
        <f>INDEX(Schedule!$A$1:$N$2000, MATCH($C401, VAV_Schedule_5_21[[#All],[UNIT TAG]], FALSE), 6)</f>
        <v>90</v>
      </c>
      <c r="AA401" s="27">
        <v>1000</v>
      </c>
      <c r="AB401" s="27">
        <v>1100</v>
      </c>
      <c r="AC401">
        <v>1400</v>
      </c>
      <c r="AD401" s="29">
        <f>IF(INDEX(Schedule!$A$1:$N$2000, MATCH($C401, VAV_Schedule_5_21[[#All],[UNIT TAG]], FALSE), 7)="-", 0, INDEX(Schedule!$A$1:$N$2000, MATCH($C401, VAV_Schedule_5_21[[#All],[UNIT TAG]], FALSE), 7))</f>
        <v>0</v>
      </c>
      <c r="AE401" t="str">
        <f>"B_01'" &amp; "Flr_0" &amp; INDEX(Joined!$A$3:$M$2000, MATCH($A401, Joined!$I$3:$I$2000, FALSE), 8)</f>
        <v>B_01'Flr_010</v>
      </c>
      <c r="AF401" t="str">
        <f>"R_" &amp; INDEX(Joined!$A$3:$M$2000, MATCH($A401, Joined!$I$3:$I$2000, FALSE), 7)</f>
        <v>R_VAV-10N-7</v>
      </c>
      <c r="AG401" t="str">
        <f>"B_01'" &amp; "Flr_0" &amp; INDEX(Joined!$A$3:$M$2000, MATCH($A401, Joined!$I$3:$I$2000, FALSE), 8)</f>
        <v>B_01'Flr_010</v>
      </c>
      <c r="AH401" t="str">
        <f>INDEX(Joined!$A$3:$M$2000, MATCH($A401, Joined!$I$3:$I$2000, FALSE), 7)</f>
        <v>VAV-10N-7</v>
      </c>
      <c r="AI401" t="s">
        <v>1729</v>
      </c>
    </row>
    <row r="402" spans="1:35" x14ac:dyDescent="0.2">
      <c r="A402" t="s">
        <v>1263</v>
      </c>
      <c r="B402" t="str">
        <f>"B_01'" &amp; "Flr_0" &amp; INDEX(Joined!$A$3:$M$2000, MATCH($A402, Joined!$I$3:$I$2000, FALSE), 8)</f>
        <v>B_01'Flr_010</v>
      </c>
      <c r="C402" t="str">
        <f>INDEX(Joined!$A$3:$M$2000, MATCH($A402, Joined!$I$3:$I$2000, FALSE), 7)</f>
        <v>VAV-10N-8</v>
      </c>
      <c r="D402">
        <f>INDEX(Joined!$A$3:$M$2000, MATCH($A402, Joined!$I$3:$I$2000, FALSE), 5)</f>
        <v>152504</v>
      </c>
      <c r="E402" t="str">
        <f>INDEX(Joined!$A$3:$M$2000, MATCH($A402, Joined!$I$3:$I$2000, FALSE), 7)</f>
        <v>VAV-10N-8</v>
      </c>
      <c r="F402" t="s">
        <v>38</v>
      </c>
      <c r="G402" t="str">
        <f>INDEX(Schedule!$Q$2:$R$7, MATCH(ABT!$H402,Schedule!$Q$2:$Q$7, 0), 2)</f>
        <v>15010_DXR_VAV_DXR2M12</v>
      </c>
      <c r="H402">
        <f>INDEX(Joined!$A$3:$M$2000, MATCH($A402, Joined!$I$3:$I$2000, FALSE), 6)</f>
        <v>15010</v>
      </c>
      <c r="I402" t="str">
        <f>INDEX(Joined!$A$3:$M$2000, MATCH($A402, Joined!$I$3:$I$2000, FALSE), 4)</f>
        <v>525</v>
      </c>
      <c r="J402" t="b">
        <v>0</v>
      </c>
      <c r="K402">
        <f>INDEX(Joined!$A$3:$M$2000, MATCH($A402, Joined!$I$3:$I$2000, FALSE), 3)</f>
        <v>4</v>
      </c>
      <c r="L402">
        <v>85</v>
      </c>
      <c r="M402">
        <v>38400</v>
      </c>
      <c r="N402" s="27">
        <f>PI()*(INDEX(Schedule!$A$1:$N$2000, MATCH($C402, VAV_Schedule_5_21[[#All],[UNIT TAG]], FALSE), 4)/2/12)^2</f>
        <v>0.3490658503988659</v>
      </c>
      <c r="O402" s="27">
        <f>INDEX(Schedule!$A$1:$N$2000, MATCH($C402, VAV_Schedule_5_21[[#All],[UNIT TAG]], FALSE), 4)</f>
        <v>8</v>
      </c>
      <c r="P402">
        <v>400.63</v>
      </c>
      <c r="Q402" s="27">
        <f>INDEX(Schedule!$A$1:$N$2000, MATCH($C402, VAV_Schedule_5_21[[#All],[UNIT TAG]], FALSE), 5)</f>
        <v>500</v>
      </c>
      <c r="R402" s="27">
        <f>INDEX(Schedule!$A$1:$N$2000, MATCH($C402, VAV_Schedule_5_21[[#All],[UNIT TAG]], FALSE), 6)</f>
        <v>75</v>
      </c>
      <c r="S402" s="27">
        <f>INDEX(Schedule!$A$1:$N$2000, MATCH($C402, VAV_Schedule_5_21[[#All],[UNIT TAG]], FALSE), 5)</f>
        <v>500</v>
      </c>
      <c r="T402" s="27">
        <f>INDEX(Schedule!$A$1:$N$2000, MATCH($C402, VAV_Schedule_5_21[[#All],[UNIT TAG]], FALSE), 6)</f>
        <v>75</v>
      </c>
      <c r="U402" s="27">
        <f>INDEX(Schedule!$A$1:$N$2000, MATCH($C402, VAV_Schedule_5_21[[#All],[UNIT TAG]], FALSE), 5)</f>
        <v>500</v>
      </c>
      <c r="V402" s="27">
        <f>INDEX(Schedule!$A$1:$N$2000, MATCH($C402, VAV_Schedule_5_21[[#All],[UNIT TAG]], FALSE), 6)</f>
        <v>75</v>
      </c>
      <c r="W402" s="27">
        <f>INDEX(Schedule!$A$1:$N$2000, MATCH($C402, VAV_Schedule_5_21[[#All],[UNIT TAG]], FALSE), 6)</f>
        <v>75</v>
      </c>
      <c r="X402" s="27">
        <f>INDEX(Schedule!$A$1:$N$2000, MATCH($C402, VAV_Schedule_5_21[[#All],[UNIT TAG]], FALSE), 6)</f>
        <v>75</v>
      </c>
      <c r="Y402" s="27">
        <f>INDEX(Schedule!$A$1:$N$2000, MATCH($C402, VAV_Schedule_5_21[[#All],[UNIT TAG]], FALSE), 6)</f>
        <v>75</v>
      </c>
      <c r="Z402" s="27">
        <f>INDEX(Schedule!$A$1:$N$2000, MATCH($C402, VAV_Schedule_5_21[[#All],[UNIT TAG]], FALSE), 6)</f>
        <v>75</v>
      </c>
      <c r="AA402" s="27">
        <v>1000</v>
      </c>
      <c r="AB402" s="27">
        <v>1100</v>
      </c>
      <c r="AC402">
        <v>1400</v>
      </c>
      <c r="AD402" s="29">
        <f>IF(INDEX(Schedule!$A$1:$N$2000, MATCH($C402, VAV_Schedule_5_21[[#All],[UNIT TAG]], FALSE), 7)="-", 0, INDEX(Schedule!$A$1:$N$2000, MATCH($C402, VAV_Schedule_5_21[[#All],[UNIT TAG]], FALSE), 7))</f>
        <v>0</v>
      </c>
      <c r="AE402" t="str">
        <f>"B_01'" &amp; "Flr_0" &amp; INDEX(Joined!$A$3:$M$2000, MATCH($A402, Joined!$I$3:$I$2000, FALSE), 8)</f>
        <v>B_01'Flr_010</v>
      </c>
      <c r="AF402" t="str">
        <f>"R_" &amp; INDEX(Joined!$A$3:$M$2000, MATCH($A402, Joined!$I$3:$I$2000, FALSE), 7)</f>
        <v>R_VAV-10N-8</v>
      </c>
      <c r="AG402" t="str">
        <f>"B_01'" &amp; "Flr_0" &amp; INDEX(Joined!$A$3:$M$2000, MATCH($A402, Joined!$I$3:$I$2000, FALSE), 8)</f>
        <v>B_01'Flr_010</v>
      </c>
      <c r="AH402" t="str">
        <f>INDEX(Joined!$A$3:$M$2000, MATCH($A402, Joined!$I$3:$I$2000, FALSE), 7)</f>
        <v>VAV-10N-8</v>
      </c>
      <c r="AI402" t="s">
        <v>1730</v>
      </c>
    </row>
    <row r="403" spans="1:35" x14ac:dyDescent="0.2">
      <c r="A403" t="s">
        <v>1264</v>
      </c>
      <c r="B403" t="str">
        <f>"B_01'" &amp; "Flr_0" &amp; INDEX(Joined!$A$3:$M$2000, MATCH($A403, Joined!$I$3:$I$2000, FALSE), 8)</f>
        <v>B_01'Flr_010</v>
      </c>
      <c r="C403" t="str">
        <f>INDEX(Joined!$A$3:$M$2000, MATCH($A403, Joined!$I$3:$I$2000, FALSE), 7)</f>
        <v>VAV-10N-9</v>
      </c>
      <c r="D403">
        <f>INDEX(Joined!$A$3:$M$2000, MATCH($A403, Joined!$I$3:$I$2000, FALSE), 5)</f>
        <v>152505</v>
      </c>
      <c r="E403" t="str">
        <f>INDEX(Joined!$A$3:$M$2000, MATCH($A403, Joined!$I$3:$I$2000, FALSE), 7)</f>
        <v>VAV-10N-9</v>
      </c>
      <c r="F403" t="s">
        <v>38</v>
      </c>
      <c r="G403" t="str">
        <f>INDEX(Schedule!$Q$2:$R$7, MATCH(ABT!$H403,Schedule!$Q$2:$Q$7, 0), 2)</f>
        <v>15010_DXR_VAV_DXR2M12</v>
      </c>
      <c r="H403">
        <f>INDEX(Joined!$A$3:$M$2000, MATCH($A403, Joined!$I$3:$I$2000, FALSE), 6)</f>
        <v>15010</v>
      </c>
      <c r="I403" t="str">
        <f>INDEX(Joined!$A$3:$M$2000, MATCH($A403, Joined!$I$3:$I$2000, FALSE), 4)</f>
        <v>525</v>
      </c>
      <c r="J403" t="b">
        <v>0</v>
      </c>
      <c r="K403">
        <f>INDEX(Joined!$A$3:$M$2000, MATCH($A403, Joined!$I$3:$I$2000, FALSE), 3)</f>
        <v>5</v>
      </c>
      <c r="L403">
        <v>85</v>
      </c>
      <c r="M403">
        <v>38400</v>
      </c>
      <c r="N403" s="27">
        <f>PI()*(INDEX(Schedule!$A$1:$N$2000, MATCH($C403, VAV_Schedule_5_21[[#All],[UNIT TAG]], FALSE), 4)/2/12)^2</f>
        <v>0.78539816339744828</v>
      </c>
      <c r="O403" s="27">
        <f>INDEX(Schedule!$A$1:$N$2000, MATCH($C403, VAV_Schedule_5_21[[#All],[UNIT TAG]], FALSE), 4)</f>
        <v>12</v>
      </c>
      <c r="P403">
        <v>401.63</v>
      </c>
      <c r="Q403" s="27">
        <f>INDEX(Schedule!$A$1:$N$2000, MATCH($C403, VAV_Schedule_5_21[[#All],[UNIT TAG]], FALSE), 5)</f>
        <v>1200</v>
      </c>
      <c r="R403" s="27">
        <f>INDEX(Schedule!$A$1:$N$2000, MATCH($C403, VAV_Schedule_5_21[[#All],[UNIT TAG]], FALSE), 6)</f>
        <v>180</v>
      </c>
      <c r="S403" s="27">
        <f>INDEX(Schedule!$A$1:$N$2000, MATCH($C403, VAV_Schedule_5_21[[#All],[UNIT TAG]], FALSE), 5)</f>
        <v>1200</v>
      </c>
      <c r="T403" s="27">
        <f>INDEX(Schedule!$A$1:$N$2000, MATCH($C403, VAV_Schedule_5_21[[#All],[UNIT TAG]], FALSE), 6)</f>
        <v>180</v>
      </c>
      <c r="U403" s="27">
        <f>INDEX(Schedule!$A$1:$N$2000, MATCH($C403, VAV_Schedule_5_21[[#All],[UNIT TAG]], FALSE), 5)</f>
        <v>1200</v>
      </c>
      <c r="V403" s="27">
        <f>INDEX(Schedule!$A$1:$N$2000, MATCH($C403, VAV_Schedule_5_21[[#All],[UNIT TAG]], FALSE), 6)</f>
        <v>180</v>
      </c>
      <c r="W403" s="27">
        <f>INDEX(Schedule!$A$1:$N$2000, MATCH($C403, VAV_Schedule_5_21[[#All],[UNIT TAG]], FALSE), 6)</f>
        <v>180</v>
      </c>
      <c r="X403" s="27">
        <f>INDEX(Schedule!$A$1:$N$2000, MATCH($C403, VAV_Schedule_5_21[[#All],[UNIT TAG]], FALSE), 6)</f>
        <v>180</v>
      </c>
      <c r="Y403" s="27">
        <f>INDEX(Schedule!$A$1:$N$2000, MATCH($C403, VAV_Schedule_5_21[[#All],[UNIT TAG]], FALSE), 6)</f>
        <v>180</v>
      </c>
      <c r="Z403" s="27">
        <f>INDEX(Schedule!$A$1:$N$2000, MATCH($C403, VAV_Schedule_5_21[[#All],[UNIT TAG]], FALSE), 6)</f>
        <v>180</v>
      </c>
      <c r="AA403" s="27">
        <v>1000</v>
      </c>
      <c r="AB403" s="27">
        <v>1100</v>
      </c>
      <c r="AC403">
        <v>1400</v>
      </c>
      <c r="AD403" s="29">
        <f>IF(INDEX(Schedule!$A$1:$N$2000, MATCH($C403, VAV_Schedule_5_21[[#All],[UNIT TAG]], FALSE), 7)="-", 0, INDEX(Schedule!$A$1:$N$2000, MATCH($C403, VAV_Schedule_5_21[[#All],[UNIT TAG]], FALSE), 7))</f>
        <v>0</v>
      </c>
      <c r="AE403" t="str">
        <f>"B_01'" &amp; "Flr_0" &amp; INDEX(Joined!$A$3:$M$2000, MATCH($A403, Joined!$I$3:$I$2000, FALSE), 8)</f>
        <v>B_01'Flr_010</v>
      </c>
      <c r="AF403" t="str">
        <f>"R_" &amp; INDEX(Joined!$A$3:$M$2000, MATCH($A403, Joined!$I$3:$I$2000, FALSE), 7)</f>
        <v>R_VAV-10N-9</v>
      </c>
      <c r="AG403" t="str">
        <f>"B_01'" &amp; "Flr_0" &amp; INDEX(Joined!$A$3:$M$2000, MATCH($A403, Joined!$I$3:$I$2000, FALSE), 8)</f>
        <v>B_01'Flr_010</v>
      </c>
      <c r="AH403" t="str">
        <f>INDEX(Joined!$A$3:$M$2000, MATCH($A403, Joined!$I$3:$I$2000, FALSE), 7)</f>
        <v>VAV-10N-9</v>
      </c>
      <c r="AI403" t="s">
        <v>1731</v>
      </c>
    </row>
    <row r="404" spans="1:35" x14ac:dyDescent="0.2">
      <c r="A404" t="s">
        <v>1265</v>
      </c>
      <c r="B404" t="str">
        <f>"B_01'" &amp; "Flr_0" &amp; INDEX(Joined!$A$3:$M$2000, MATCH($A404, Joined!$I$3:$I$2000, FALSE), 8)</f>
        <v>B_01'Flr_010</v>
      </c>
      <c r="C404" t="str">
        <f>INDEX(Joined!$A$3:$M$2000, MATCH($A404, Joined!$I$3:$I$2000, FALSE), 7)</f>
        <v>VAV-10N-9A</v>
      </c>
      <c r="D404">
        <f>INDEX(Joined!$A$3:$M$2000, MATCH($A404, Joined!$I$3:$I$2000, FALSE), 5)</f>
        <v>152506</v>
      </c>
      <c r="E404" t="str">
        <f>INDEX(Joined!$A$3:$M$2000, MATCH($A404, Joined!$I$3:$I$2000, FALSE), 7)</f>
        <v>VAV-10N-9A</v>
      </c>
      <c r="F404" t="s">
        <v>38</v>
      </c>
      <c r="G404" t="str">
        <f>INDEX(Schedule!$Q$2:$R$7, MATCH(ABT!$H404,Schedule!$Q$2:$Q$7, 0), 2)</f>
        <v>15010_DXR_VAV_DXR2M12</v>
      </c>
      <c r="H404">
        <f>INDEX(Joined!$A$3:$M$2000, MATCH($A404, Joined!$I$3:$I$2000, FALSE), 6)</f>
        <v>15010</v>
      </c>
      <c r="I404" t="str">
        <f>INDEX(Joined!$A$3:$M$2000, MATCH($A404, Joined!$I$3:$I$2000, FALSE), 4)</f>
        <v>525</v>
      </c>
      <c r="J404" t="b">
        <v>0</v>
      </c>
      <c r="K404">
        <f>INDEX(Joined!$A$3:$M$2000, MATCH($A404, Joined!$I$3:$I$2000, FALSE), 3)</f>
        <v>6</v>
      </c>
      <c r="L404">
        <v>85</v>
      </c>
      <c r="M404">
        <v>38400</v>
      </c>
      <c r="N404" s="27">
        <f>PI()*(INDEX(Schedule!$A$1:$N$2000, MATCH($C404, VAV_Schedule_5_21[[#All],[UNIT TAG]], FALSE), 4)/2/12)^2</f>
        <v>0.3490658503988659</v>
      </c>
      <c r="O404" s="27">
        <f>INDEX(Schedule!$A$1:$N$2000, MATCH($C404, VAV_Schedule_5_21[[#All],[UNIT TAG]], FALSE), 4)</f>
        <v>8</v>
      </c>
      <c r="P404">
        <v>402.63</v>
      </c>
      <c r="Q404" s="27">
        <f>INDEX(Schedule!$A$1:$N$2000, MATCH($C404, VAV_Schedule_5_21[[#All],[UNIT TAG]], FALSE), 5)</f>
        <v>550</v>
      </c>
      <c r="R404" s="27">
        <f>INDEX(Schedule!$A$1:$N$2000, MATCH($C404, VAV_Schedule_5_21[[#All],[UNIT TAG]], FALSE), 6)</f>
        <v>85</v>
      </c>
      <c r="S404" s="27">
        <f>INDEX(Schedule!$A$1:$N$2000, MATCH($C404, VAV_Schedule_5_21[[#All],[UNIT TAG]], FALSE), 5)</f>
        <v>550</v>
      </c>
      <c r="T404" s="27">
        <f>INDEX(Schedule!$A$1:$N$2000, MATCH($C404, VAV_Schedule_5_21[[#All],[UNIT TAG]], FALSE), 6)</f>
        <v>85</v>
      </c>
      <c r="U404" s="27">
        <f>INDEX(Schedule!$A$1:$N$2000, MATCH($C404, VAV_Schedule_5_21[[#All],[UNIT TAG]], FALSE), 5)</f>
        <v>550</v>
      </c>
      <c r="V404" s="27">
        <f>INDEX(Schedule!$A$1:$N$2000, MATCH($C404, VAV_Schedule_5_21[[#All],[UNIT TAG]], FALSE), 6)</f>
        <v>85</v>
      </c>
      <c r="W404" s="27">
        <f>INDEX(Schedule!$A$1:$N$2000, MATCH($C404, VAV_Schedule_5_21[[#All],[UNIT TAG]], FALSE), 6)</f>
        <v>85</v>
      </c>
      <c r="X404" s="27">
        <f>INDEX(Schedule!$A$1:$N$2000, MATCH($C404, VAV_Schedule_5_21[[#All],[UNIT TAG]], FALSE), 6)</f>
        <v>85</v>
      </c>
      <c r="Y404" s="27">
        <f>INDEX(Schedule!$A$1:$N$2000, MATCH($C404, VAV_Schedule_5_21[[#All],[UNIT TAG]], FALSE), 6)</f>
        <v>85</v>
      </c>
      <c r="Z404" s="27">
        <f>INDEX(Schedule!$A$1:$N$2000, MATCH($C404, VAV_Schedule_5_21[[#All],[UNIT TAG]], FALSE), 6)</f>
        <v>85</v>
      </c>
      <c r="AA404" s="27">
        <v>1000</v>
      </c>
      <c r="AB404" s="27">
        <v>1100</v>
      </c>
      <c r="AC404">
        <v>1400</v>
      </c>
      <c r="AD404" s="29">
        <f>IF(INDEX(Schedule!$A$1:$N$2000, MATCH($C404, VAV_Schedule_5_21[[#All],[UNIT TAG]], FALSE), 7)="-", 0, INDEX(Schedule!$A$1:$N$2000, MATCH($C404, VAV_Schedule_5_21[[#All],[UNIT TAG]], FALSE), 7))</f>
        <v>0</v>
      </c>
      <c r="AE404" t="str">
        <f>"B_01'" &amp; "Flr_0" &amp; INDEX(Joined!$A$3:$M$2000, MATCH($A404, Joined!$I$3:$I$2000, FALSE), 8)</f>
        <v>B_01'Flr_010</v>
      </c>
      <c r="AF404" t="str">
        <f>"R_" &amp; INDEX(Joined!$A$3:$M$2000, MATCH($A404, Joined!$I$3:$I$2000, FALSE), 7)</f>
        <v>R_VAV-10N-9A</v>
      </c>
      <c r="AG404" t="str">
        <f>"B_01'" &amp; "Flr_0" &amp; INDEX(Joined!$A$3:$M$2000, MATCH($A404, Joined!$I$3:$I$2000, FALSE), 8)</f>
        <v>B_01'Flr_010</v>
      </c>
      <c r="AH404" t="str">
        <f>INDEX(Joined!$A$3:$M$2000, MATCH($A404, Joined!$I$3:$I$2000, FALSE), 7)</f>
        <v>VAV-10N-9A</v>
      </c>
      <c r="AI404" t="s">
        <v>1732</v>
      </c>
    </row>
    <row r="405" spans="1:35" x14ac:dyDescent="0.2">
      <c r="A405" t="s">
        <v>1266</v>
      </c>
      <c r="B405" t="str">
        <f>"B_01'" &amp; "Flr_0" &amp; INDEX(Joined!$A$3:$M$2000, MATCH($A405, Joined!$I$3:$I$2000, FALSE), 8)</f>
        <v>B_01'Flr_010</v>
      </c>
      <c r="C405" t="str">
        <f>INDEX(Joined!$A$3:$M$2000, MATCH($A405, Joined!$I$3:$I$2000, FALSE), 7)</f>
        <v>VAV-10N-10</v>
      </c>
      <c r="D405">
        <f>INDEX(Joined!$A$3:$M$2000, MATCH($A405, Joined!$I$3:$I$2000, FALSE), 5)</f>
        <v>152507</v>
      </c>
      <c r="E405" t="str">
        <f>INDEX(Joined!$A$3:$M$2000, MATCH($A405, Joined!$I$3:$I$2000, FALSE), 7)</f>
        <v>VAV-10N-10</v>
      </c>
      <c r="F405" t="s">
        <v>38</v>
      </c>
      <c r="G405" t="str">
        <f>INDEX(Schedule!$Q$2:$R$7, MATCH(ABT!$H405,Schedule!$Q$2:$Q$7, 0), 2)</f>
        <v>15010_DXR_VAV_DXR2M12</v>
      </c>
      <c r="H405">
        <f>INDEX(Joined!$A$3:$M$2000, MATCH($A405, Joined!$I$3:$I$2000, FALSE), 6)</f>
        <v>15010</v>
      </c>
      <c r="I405" t="str">
        <f>INDEX(Joined!$A$3:$M$2000, MATCH($A405, Joined!$I$3:$I$2000, FALSE), 4)</f>
        <v>525</v>
      </c>
      <c r="J405" t="b">
        <v>0</v>
      </c>
      <c r="K405">
        <f>INDEX(Joined!$A$3:$M$2000, MATCH($A405, Joined!$I$3:$I$2000, FALSE), 3)</f>
        <v>7</v>
      </c>
      <c r="L405">
        <v>85</v>
      </c>
      <c r="M405">
        <v>38400</v>
      </c>
      <c r="N405" s="27">
        <f>PI()*(INDEX(Schedule!$A$1:$N$2000, MATCH($C405, VAV_Schedule_5_21[[#All],[UNIT TAG]], FALSE), 4)/2/12)^2</f>
        <v>0.3490658503988659</v>
      </c>
      <c r="O405" s="27">
        <f>INDEX(Schedule!$A$1:$N$2000, MATCH($C405, VAV_Schedule_5_21[[#All],[UNIT TAG]], FALSE), 4)</f>
        <v>8</v>
      </c>
      <c r="P405">
        <v>403.63</v>
      </c>
      <c r="Q405" s="27">
        <f>INDEX(Schedule!$A$1:$N$2000, MATCH($C405, VAV_Schedule_5_21[[#All],[UNIT TAG]], FALSE), 5)</f>
        <v>485</v>
      </c>
      <c r="R405" s="27">
        <f>INDEX(Schedule!$A$1:$N$2000, MATCH($C405, VAV_Schedule_5_21[[#All],[UNIT TAG]], FALSE), 6)</f>
        <v>75</v>
      </c>
      <c r="S405" s="27">
        <f>INDEX(Schedule!$A$1:$N$2000, MATCH($C405, VAV_Schedule_5_21[[#All],[UNIT TAG]], FALSE), 5)</f>
        <v>485</v>
      </c>
      <c r="T405" s="27">
        <f>INDEX(Schedule!$A$1:$N$2000, MATCH($C405, VAV_Schedule_5_21[[#All],[UNIT TAG]], FALSE), 6)</f>
        <v>75</v>
      </c>
      <c r="U405" s="27">
        <f>INDEX(Schedule!$A$1:$N$2000, MATCH($C405, VAV_Schedule_5_21[[#All],[UNIT TAG]], FALSE), 5)</f>
        <v>485</v>
      </c>
      <c r="V405" s="27">
        <f>INDEX(Schedule!$A$1:$N$2000, MATCH($C405, VAV_Schedule_5_21[[#All],[UNIT TAG]], FALSE), 6)</f>
        <v>75</v>
      </c>
      <c r="W405" s="27">
        <f>INDEX(Schedule!$A$1:$N$2000, MATCH($C405, VAV_Schedule_5_21[[#All],[UNIT TAG]], FALSE), 6)</f>
        <v>75</v>
      </c>
      <c r="X405" s="27">
        <f>INDEX(Schedule!$A$1:$N$2000, MATCH($C405, VAV_Schedule_5_21[[#All],[UNIT TAG]], FALSE), 6)</f>
        <v>75</v>
      </c>
      <c r="Y405" s="27">
        <f>INDEX(Schedule!$A$1:$N$2000, MATCH($C405, VAV_Schedule_5_21[[#All],[UNIT TAG]], FALSE), 6)</f>
        <v>75</v>
      </c>
      <c r="Z405" s="27">
        <f>INDEX(Schedule!$A$1:$N$2000, MATCH($C405, VAV_Schedule_5_21[[#All],[UNIT TAG]], FALSE), 6)</f>
        <v>75</v>
      </c>
      <c r="AA405" s="27">
        <v>1000</v>
      </c>
      <c r="AB405" s="27">
        <v>1100</v>
      </c>
      <c r="AC405">
        <v>1400</v>
      </c>
      <c r="AD405" s="29">
        <f>IF(INDEX(Schedule!$A$1:$N$2000, MATCH($C405, VAV_Schedule_5_21[[#All],[UNIT TAG]], FALSE), 7)="-", 0, INDEX(Schedule!$A$1:$N$2000, MATCH($C405, VAV_Schedule_5_21[[#All],[UNIT TAG]], FALSE), 7))</f>
        <v>0</v>
      </c>
      <c r="AE405" t="str">
        <f>"B_01'" &amp; "Flr_0" &amp; INDEX(Joined!$A$3:$M$2000, MATCH($A405, Joined!$I$3:$I$2000, FALSE), 8)</f>
        <v>B_01'Flr_010</v>
      </c>
      <c r="AF405" t="str">
        <f>"R_" &amp; INDEX(Joined!$A$3:$M$2000, MATCH($A405, Joined!$I$3:$I$2000, FALSE), 7)</f>
        <v>R_VAV-10N-10</v>
      </c>
      <c r="AG405" t="str">
        <f>"B_01'" &amp; "Flr_0" &amp; INDEX(Joined!$A$3:$M$2000, MATCH($A405, Joined!$I$3:$I$2000, FALSE), 8)</f>
        <v>B_01'Flr_010</v>
      </c>
      <c r="AH405" t="str">
        <f>INDEX(Joined!$A$3:$M$2000, MATCH($A405, Joined!$I$3:$I$2000, FALSE), 7)</f>
        <v>VAV-10N-10</v>
      </c>
      <c r="AI405" t="s">
        <v>1733</v>
      </c>
    </row>
    <row r="406" spans="1:35" x14ac:dyDescent="0.2">
      <c r="A406" t="s">
        <v>1267</v>
      </c>
      <c r="B406" t="str">
        <f>"B_01'" &amp; "Flr_0" &amp; INDEX(Joined!$A$3:$M$2000, MATCH($A406, Joined!$I$3:$I$2000, FALSE), 8)</f>
        <v>B_01'Flr_010</v>
      </c>
      <c r="C406" t="str">
        <f>INDEX(Joined!$A$3:$M$2000, MATCH($A406, Joined!$I$3:$I$2000, FALSE), 7)</f>
        <v>VAV-10N-11</v>
      </c>
      <c r="D406">
        <f>INDEX(Joined!$A$3:$M$2000, MATCH($A406, Joined!$I$3:$I$2000, FALSE), 5)</f>
        <v>152508</v>
      </c>
      <c r="E406" t="str">
        <f>INDEX(Joined!$A$3:$M$2000, MATCH($A406, Joined!$I$3:$I$2000, FALSE), 7)</f>
        <v>VAV-10N-11</v>
      </c>
      <c r="F406" t="s">
        <v>38</v>
      </c>
      <c r="G406" t="str">
        <f>INDEX(Schedule!$Q$2:$R$7, MATCH(ABT!$H406,Schedule!$Q$2:$Q$7, 0), 2)</f>
        <v>15010_DXR_VAV_DXR2M12</v>
      </c>
      <c r="H406">
        <f>INDEX(Joined!$A$3:$M$2000, MATCH($A406, Joined!$I$3:$I$2000, FALSE), 6)</f>
        <v>15010</v>
      </c>
      <c r="I406" t="str">
        <f>INDEX(Joined!$A$3:$M$2000, MATCH($A406, Joined!$I$3:$I$2000, FALSE), 4)</f>
        <v>525</v>
      </c>
      <c r="J406" t="b">
        <v>0</v>
      </c>
      <c r="K406">
        <f>INDEX(Joined!$A$3:$M$2000, MATCH($A406, Joined!$I$3:$I$2000, FALSE), 3)</f>
        <v>8</v>
      </c>
      <c r="L406">
        <v>85</v>
      </c>
      <c r="M406">
        <v>38400</v>
      </c>
      <c r="N406" s="27">
        <f>PI()*(INDEX(Schedule!$A$1:$N$2000, MATCH($C406, VAV_Schedule_5_21[[#All],[UNIT TAG]], FALSE), 4)/2/12)^2</f>
        <v>0.78539816339744828</v>
      </c>
      <c r="O406" s="27">
        <f>INDEX(Schedule!$A$1:$N$2000, MATCH($C406, VAV_Schedule_5_21[[#All],[UNIT TAG]], FALSE), 4)</f>
        <v>12</v>
      </c>
      <c r="P406">
        <v>404.63</v>
      </c>
      <c r="Q406" s="27">
        <f>INDEX(Schedule!$A$1:$N$2000, MATCH($C406, VAV_Schedule_5_21[[#All],[UNIT TAG]], FALSE), 5)</f>
        <v>1220</v>
      </c>
      <c r="R406" s="27">
        <f>INDEX(Schedule!$A$1:$N$2000, MATCH($C406, VAV_Schedule_5_21[[#All],[UNIT TAG]], FALSE), 6)</f>
        <v>185</v>
      </c>
      <c r="S406" s="27">
        <f>INDEX(Schedule!$A$1:$N$2000, MATCH($C406, VAV_Schedule_5_21[[#All],[UNIT TAG]], FALSE), 5)</f>
        <v>1220</v>
      </c>
      <c r="T406" s="27">
        <f>INDEX(Schedule!$A$1:$N$2000, MATCH($C406, VAV_Schedule_5_21[[#All],[UNIT TAG]], FALSE), 6)</f>
        <v>185</v>
      </c>
      <c r="U406" s="27">
        <f>INDEX(Schedule!$A$1:$N$2000, MATCH($C406, VAV_Schedule_5_21[[#All],[UNIT TAG]], FALSE), 5)</f>
        <v>1220</v>
      </c>
      <c r="V406" s="27">
        <f>INDEX(Schedule!$A$1:$N$2000, MATCH($C406, VAV_Schedule_5_21[[#All],[UNIT TAG]], FALSE), 6)</f>
        <v>185</v>
      </c>
      <c r="W406" s="27">
        <f>INDEX(Schedule!$A$1:$N$2000, MATCH($C406, VAV_Schedule_5_21[[#All],[UNIT TAG]], FALSE), 6)</f>
        <v>185</v>
      </c>
      <c r="X406" s="27">
        <f>INDEX(Schedule!$A$1:$N$2000, MATCH($C406, VAV_Schedule_5_21[[#All],[UNIT TAG]], FALSE), 6)</f>
        <v>185</v>
      </c>
      <c r="Y406" s="27">
        <f>INDEX(Schedule!$A$1:$N$2000, MATCH($C406, VAV_Schedule_5_21[[#All],[UNIT TAG]], FALSE), 6)</f>
        <v>185</v>
      </c>
      <c r="Z406" s="27">
        <f>INDEX(Schedule!$A$1:$N$2000, MATCH($C406, VAV_Schedule_5_21[[#All],[UNIT TAG]], FALSE), 6)</f>
        <v>185</v>
      </c>
      <c r="AA406" s="27">
        <v>1000</v>
      </c>
      <c r="AB406" s="27">
        <v>1100</v>
      </c>
      <c r="AC406">
        <v>1400</v>
      </c>
      <c r="AD406" s="29">
        <f>IF(INDEX(Schedule!$A$1:$N$2000, MATCH($C406, VAV_Schedule_5_21[[#All],[UNIT TAG]], FALSE), 7)="-", 0, INDEX(Schedule!$A$1:$N$2000, MATCH($C406, VAV_Schedule_5_21[[#All],[UNIT TAG]], FALSE), 7))</f>
        <v>0</v>
      </c>
      <c r="AE406" t="str">
        <f>"B_01'" &amp; "Flr_0" &amp; INDEX(Joined!$A$3:$M$2000, MATCH($A406, Joined!$I$3:$I$2000, FALSE), 8)</f>
        <v>B_01'Flr_010</v>
      </c>
      <c r="AF406" t="str">
        <f>"R_" &amp; INDEX(Joined!$A$3:$M$2000, MATCH($A406, Joined!$I$3:$I$2000, FALSE), 7)</f>
        <v>R_VAV-10N-11</v>
      </c>
      <c r="AG406" t="str">
        <f>"B_01'" &amp; "Flr_0" &amp; INDEX(Joined!$A$3:$M$2000, MATCH($A406, Joined!$I$3:$I$2000, FALSE), 8)</f>
        <v>B_01'Flr_010</v>
      </c>
      <c r="AH406" t="str">
        <f>INDEX(Joined!$A$3:$M$2000, MATCH($A406, Joined!$I$3:$I$2000, FALSE), 7)</f>
        <v>VAV-10N-11</v>
      </c>
      <c r="AI406" t="s">
        <v>1734</v>
      </c>
    </row>
    <row r="407" spans="1:35" x14ac:dyDescent="0.2">
      <c r="A407" t="s">
        <v>1268</v>
      </c>
      <c r="B407" t="str">
        <f>"B_01'" &amp; "Flr_0" &amp; INDEX(Joined!$A$3:$M$2000, MATCH($A407, Joined!$I$3:$I$2000, FALSE), 8)</f>
        <v>B_01'Flr_010</v>
      </c>
      <c r="C407" t="str">
        <f>INDEX(Joined!$A$3:$M$2000, MATCH($A407, Joined!$I$3:$I$2000, FALSE), 7)</f>
        <v>VAV-10N-12</v>
      </c>
      <c r="D407">
        <f>INDEX(Joined!$A$3:$M$2000, MATCH($A407, Joined!$I$3:$I$2000, FALSE), 5)</f>
        <v>152509</v>
      </c>
      <c r="E407" t="str">
        <f>INDEX(Joined!$A$3:$M$2000, MATCH($A407, Joined!$I$3:$I$2000, FALSE), 7)</f>
        <v>VAV-10N-12</v>
      </c>
      <c r="F407" t="s">
        <v>38</v>
      </c>
      <c r="G407" t="str">
        <f>INDEX(Schedule!$Q$2:$R$7, MATCH(ABT!$H407,Schedule!$Q$2:$Q$7, 0), 2)</f>
        <v>15010_DXR_VAV_DXR2M12</v>
      </c>
      <c r="H407">
        <f>INDEX(Joined!$A$3:$M$2000, MATCH($A407, Joined!$I$3:$I$2000, FALSE), 6)</f>
        <v>15010</v>
      </c>
      <c r="I407" t="str">
        <f>INDEX(Joined!$A$3:$M$2000, MATCH($A407, Joined!$I$3:$I$2000, FALSE), 4)</f>
        <v>525</v>
      </c>
      <c r="J407" t="b">
        <v>0</v>
      </c>
      <c r="K407">
        <f>INDEX(Joined!$A$3:$M$2000, MATCH($A407, Joined!$I$3:$I$2000, FALSE), 3)</f>
        <v>9</v>
      </c>
      <c r="L407">
        <v>85</v>
      </c>
      <c r="M407">
        <v>38400</v>
      </c>
      <c r="N407" s="27">
        <f>PI()*(INDEX(Schedule!$A$1:$N$2000, MATCH($C407, VAV_Schedule_5_21[[#All],[UNIT TAG]], FALSE), 4)/2/12)^2</f>
        <v>0.78539816339744828</v>
      </c>
      <c r="O407" s="27">
        <f>INDEX(Schedule!$A$1:$N$2000, MATCH($C407, VAV_Schedule_5_21[[#All],[UNIT TAG]], FALSE), 4)</f>
        <v>12</v>
      </c>
      <c r="P407">
        <v>405.63</v>
      </c>
      <c r="Q407" s="27">
        <f>INDEX(Schedule!$A$1:$N$2000, MATCH($C407, VAV_Schedule_5_21[[#All],[UNIT TAG]], FALSE), 5)</f>
        <v>1385</v>
      </c>
      <c r="R407" s="27">
        <f>INDEX(Schedule!$A$1:$N$2000, MATCH($C407, VAV_Schedule_5_21[[#All],[UNIT TAG]], FALSE), 6)</f>
        <v>210</v>
      </c>
      <c r="S407" s="27">
        <f>INDEX(Schedule!$A$1:$N$2000, MATCH($C407, VAV_Schedule_5_21[[#All],[UNIT TAG]], FALSE), 5)</f>
        <v>1385</v>
      </c>
      <c r="T407" s="27">
        <f>INDEX(Schedule!$A$1:$N$2000, MATCH($C407, VAV_Schedule_5_21[[#All],[UNIT TAG]], FALSE), 6)</f>
        <v>210</v>
      </c>
      <c r="U407" s="27">
        <f>INDEX(Schedule!$A$1:$N$2000, MATCH($C407, VAV_Schedule_5_21[[#All],[UNIT TAG]], FALSE), 5)</f>
        <v>1385</v>
      </c>
      <c r="V407" s="27">
        <f>INDEX(Schedule!$A$1:$N$2000, MATCH($C407, VAV_Schedule_5_21[[#All],[UNIT TAG]], FALSE), 6)</f>
        <v>210</v>
      </c>
      <c r="W407" s="27">
        <f>INDEX(Schedule!$A$1:$N$2000, MATCH($C407, VAV_Schedule_5_21[[#All],[UNIT TAG]], FALSE), 6)</f>
        <v>210</v>
      </c>
      <c r="X407" s="27">
        <f>INDEX(Schedule!$A$1:$N$2000, MATCH($C407, VAV_Schedule_5_21[[#All],[UNIT TAG]], FALSE), 6)</f>
        <v>210</v>
      </c>
      <c r="Y407" s="27">
        <f>INDEX(Schedule!$A$1:$N$2000, MATCH($C407, VAV_Schedule_5_21[[#All],[UNIT TAG]], FALSE), 6)</f>
        <v>210</v>
      </c>
      <c r="Z407" s="27">
        <f>INDEX(Schedule!$A$1:$N$2000, MATCH($C407, VAV_Schedule_5_21[[#All],[UNIT TAG]], FALSE), 6)</f>
        <v>210</v>
      </c>
      <c r="AA407" s="27">
        <v>1000</v>
      </c>
      <c r="AB407" s="27">
        <v>1100</v>
      </c>
      <c r="AC407">
        <v>1400</v>
      </c>
      <c r="AD407" s="29">
        <f>IF(INDEX(Schedule!$A$1:$N$2000, MATCH($C407, VAV_Schedule_5_21[[#All],[UNIT TAG]], FALSE), 7)="-", 0, INDEX(Schedule!$A$1:$N$2000, MATCH($C407, VAV_Schedule_5_21[[#All],[UNIT TAG]], FALSE), 7))</f>
        <v>0</v>
      </c>
      <c r="AE407" t="str">
        <f>"B_01'" &amp; "Flr_0" &amp; INDEX(Joined!$A$3:$M$2000, MATCH($A407, Joined!$I$3:$I$2000, FALSE), 8)</f>
        <v>B_01'Flr_010</v>
      </c>
      <c r="AF407" t="str">
        <f>"R_" &amp; INDEX(Joined!$A$3:$M$2000, MATCH($A407, Joined!$I$3:$I$2000, FALSE), 7)</f>
        <v>R_VAV-10N-12</v>
      </c>
      <c r="AG407" t="str">
        <f>"B_01'" &amp; "Flr_0" &amp; INDEX(Joined!$A$3:$M$2000, MATCH($A407, Joined!$I$3:$I$2000, FALSE), 8)</f>
        <v>B_01'Flr_010</v>
      </c>
      <c r="AH407" t="str">
        <f>INDEX(Joined!$A$3:$M$2000, MATCH($A407, Joined!$I$3:$I$2000, FALSE), 7)</f>
        <v>VAV-10N-12</v>
      </c>
      <c r="AI407" t="s">
        <v>1735</v>
      </c>
    </row>
    <row r="408" spans="1:35" x14ac:dyDescent="0.2">
      <c r="A408" t="s">
        <v>1269</v>
      </c>
      <c r="B408" t="str">
        <f>"B_01'" &amp; "Flr_0" &amp; INDEX(Joined!$A$3:$M$2000, MATCH($A408, Joined!$I$3:$I$2000, FALSE), 8)</f>
        <v>B_01'Flr_010</v>
      </c>
      <c r="C408" t="str">
        <f>INDEX(Joined!$A$3:$M$2000, MATCH($A408, Joined!$I$3:$I$2000, FALSE), 7)</f>
        <v>VAV-10N-13</v>
      </c>
      <c r="D408">
        <f>INDEX(Joined!$A$3:$M$2000, MATCH($A408, Joined!$I$3:$I$2000, FALSE), 5)</f>
        <v>152510</v>
      </c>
      <c r="E408" t="str">
        <f>INDEX(Joined!$A$3:$M$2000, MATCH($A408, Joined!$I$3:$I$2000, FALSE), 7)</f>
        <v>VAV-10N-13</v>
      </c>
      <c r="F408" t="s">
        <v>38</v>
      </c>
      <c r="G408" t="str">
        <f>INDEX(Schedule!$Q$2:$R$7, MATCH(ABT!$H408,Schedule!$Q$2:$Q$7, 0), 2)</f>
        <v>15010_DXR_VAV_DXR2M12</v>
      </c>
      <c r="H408">
        <f>INDEX(Joined!$A$3:$M$2000, MATCH($A408, Joined!$I$3:$I$2000, FALSE), 6)</f>
        <v>15010</v>
      </c>
      <c r="I408" t="str">
        <f>INDEX(Joined!$A$3:$M$2000, MATCH($A408, Joined!$I$3:$I$2000, FALSE), 4)</f>
        <v>525</v>
      </c>
      <c r="J408" t="b">
        <v>0</v>
      </c>
      <c r="K408">
        <f>INDEX(Joined!$A$3:$M$2000, MATCH($A408, Joined!$I$3:$I$2000, FALSE), 3)</f>
        <v>10</v>
      </c>
      <c r="L408">
        <v>85</v>
      </c>
      <c r="M408">
        <v>38400</v>
      </c>
      <c r="N408" s="27">
        <f>PI()*(INDEX(Schedule!$A$1:$N$2000, MATCH($C408, VAV_Schedule_5_21[[#All],[UNIT TAG]], FALSE), 4)/2/12)^2</f>
        <v>0.54541539124822802</v>
      </c>
      <c r="O408" s="27">
        <f>INDEX(Schedule!$A$1:$N$2000, MATCH($C408, VAV_Schedule_5_21[[#All],[UNIT TAG]], FALSE), 4)</f>
        <v>10</v>
      </c>
      <c r="P408">
        <v>406.63</v>
      </c>
      <c r="Q408" s="27">
        <f>INDEX(Schedule!$A$1:$N$2000, MATCH($C408, VAV_Schedule_5_21[[#All],[UNIT TAG]], FALSE), 5)</f>
        <v>1120</v>
      </c>
      <c r="R408" s="27">
        <f>INDEX(Schedule!$A$1:$N$2000, MATCH($C408, VAV_Schedule_5_21[[#All],[UNIT TAG]], FALSE), 6)</f>
        <v>170</v>
      </c>
      <c r="S408" s="27">
        <f>INDEX(Schedule!$A$1:$N$2000, MATCH($C408, VAV_Schedule_5_21[[#All],[UNIT TAG]], FALSE), 5)</f>
        <v>1120</v>
      </c>
      <c r="T408" s="27">
        <f>INDEX(Schedule!$A$1:$N$2000, MATCH($C408, VAV_Schedule_5_21[[#All],[UNIT TAG]], FALSE), 6)</f>
        <v>170</v>
      </c>
      <c r="U408" s="27">
        <f>INDEX(Schedule!$A$1:$N$2000, MATCH($C408, VAV_Schedule_5_21[[#All],[UNIT TAG]], FALSE), 5)</f>
        <v>1120</v>
      </c>
      <c r="V408" s="27">
        <f>INDEX(Schedule!$A$1:$N$2000, MATCH($C408, VAV_Schedule_5_21[[#All],[UNIT TAG]], FALSE), 6)</f>
        <v>170</v>
      </c>
      <c r="W408" s="27">
        <f>INDEX(Schedule!$A$1:$N$2000, MATCH($C408, VAV_Schedule_5_21[[#All],[UNIT TAG]], FALSE), 6)</f>
        <v>170</v>
      </c>
      <c r="X408" s="27">
        <f>INDEX(Schedule!$A$1:$N$2000, MATCH($C408, VAV_Schedule_5_21[[#All],[UNIT TAG]], FALSE), 6)</f>
        <v>170</v>
      </c>
      <c r="Y408" s="27">
        <f>INDEX(Schedule!$A$1:$N$2000, MATCH($C408, VAV_Schedule_5_21[[#All],[UNIT TAG]], FALSE), 6)</f>
        <v>170</v>
      </c>
      <c r="Z408" s="27">
        <f>INDEX(Schedule!$A$1:$N$2000, MATCH($C408, VAV_Schedule_5_21[[#All],[UNIT TAG]], FALSE), 6)</f>
        <v>170</v>
      </c>
      <c r="AA408" s="27">
        <v>1000</v>
      </c>
      <c r="AB408" s="27">
        <v>1100</v>
      </c>
      <c r="AC408">
        <v>1400</v>
      </c>
      <c r="AD408" s="29">
        <f>IF(INDEX(Schedule!$A$1:$N$2000, MATCH($C408, VAV_Schedule_5_21[[#All],[UNIT TAG]], FALSE), 7)="-", 0, INDEX(Schedule!$A$1:$N$2000, MATCH($C408, VAV_Schedule_5_21[[#All],[UNIT TAG]], FALSE), 7))</f>
        <v>0</v>
      </c>
      <c r="AE408" t="str">
        <f>"B_01'" &amp; "Flr_0" &amp; INDEX(Joined!$A$3:$M$2000, MATCH($A408, Joined!$I$3:$I$2000, FALSE), 8)</f>
        <v>B_01'Flr_010</v>
      </c>
      <c r="AF408" t="str">
        <f>"R_" &amp; INDEX(Joined!$A$3:$M$2000, MATCH($A408, Joined!$I$3:$I$2000, FALSE), 7)</f>
        <v>R_VAV-10N-13</v>
      </c>
      <c r="AG408" t="str">
        <f>"B_01'" &amp; "Flr_0" &amp; INDEX(Joined!$A$3:$M$2000, MATCH($A408, Joined!$I$3:$I$2000, FALSE), 8)</f>
        <v>B_01'Flr_010</v>
      </c>
      <c r="AH408" t="str">
        <f>INDEX(Joined!$A$3:$M$2000, MATCH($A408, Joined!$I$3:$I$2000, FALSE), 7)</f>
        <v>VAV-10N-13</v>
      </c>
      <c r="AI408" t="s">
        <v>1736</v>
      </c>
    </row>
    <row r="409" spans="1:35" x14ac:dyDescent="0.2">
      <c r="A409" t="s">
        <v>1270</v>
      </c>
      <c r="B409" t="str">
        <f>"B_01'" &amp; "Flr_0" &amp; INDEX(Joined!$A$3:$M$2000, MATCH($A409, Joined!$I$3:$I$2000, FALSE), 8)</f>
        <v>B_01'Flr_010</v>
      </c>
      <c r="C409" t="str">
        <f>INDEX(Joined!$A$3:$M$2000, MATCH($A409, Joined!$I$3:$I$2000, FALSE), 7)</f>
        <v>VAV-10E-14</v>
      </c>
      <c r="D409">
        <f>INDEX(Joined!$A$3:$M$2000, MATCH($A409, Joined!$I$3:$I$2000, FALSE), 5)</f>
        <v>152601</v>
      </c>
      <c r="E409" t="str">
        <f>INDEX(Joined!$A$3:$M$2000, MATCH($A409, Joined!$I$3:$I$2000, FALSE), 7)</f>
        <v>VAV-10E-14</v>
      </c>
      <c r="F409" t="s">
        <v>38</v>
      </c>
      <c r="G409" t="str">
        <f>INDEX(Schedule!$Q$2:$R$7, MATCH(ABT!$H409,Schedule!$Q$2:$Q$7, 0), 2)</f>
        <v>15011_DXR_VAV_DXR2M12</v>
      </c>
      <c r="H409">
        <f>INDEX(Joined!$A$3:$M$2000, MATCH($A409, Joined!$I$3:$I$2000, FALSE), 6)</f>
        <v>15011</v>
      </c>
      <c r="I409" t="str">
        <f>INDEX(Joined!$A$3:$M$2000, MATCH($A409, Joined!$I$3:$I$2000, FALSE), 4)</f>
        <v>526</v>
      </c>
      <c r="J409" t="b">
        <v>0</v>
      </c>
      <c r="K409">
        <f>INDEX(Joined!$A$3:$M$2000, MATCH($A409, Joined!$I$3:$I$2000, FALSE), 3)</f>
        <v>1</v>
      </c>
      <c r="L409">
        <v>85</v>
      </c>
      <c r="M409">
        <v>38400</v>
      </c>
      <c r="N409" s="27">
        <f>PI()*(INDEX(Schedule!$A$1:$N$2000, MATCH($C409, VAV_Schedule_5_21[[#All],[UNIT TAG]], FALSE), 4)/2/12)^2</f>
        <v>0.54541539124822802</v>
      </c>
      <c r="O409" s="27">
        <f>INDEX(Schedule!$A$1:$N$2000, MATCH($C409, VAV_Schedule_5_21[[#All],[UNIT TAG]], FALSE), 4)</f>
        <v>10</v>
      </c>
      <c r="P409">
        <v>407.63</v>
      </c>
      <c r="Q409" s="27">
        <f>INDEX(Schedule!$A$1:$N$2000, MATCH($C409, VAV_Schedule_5_21[[#All],[UNIT TAG]], FALSE), 5)</f>
        <v>840</v>
      </c>
      <c r="R409" s="27">
        <f>INDEX(Schedule!$A$1:$N$2000, MATCH($C409, VAV_Schedule_5_21[[#All],[UNIT TAG]], FALSE), 6)</f>
        <v>130</v>
      </c>
      <c r="S409" s="27">
        <f>INDEX(Schedule!$A$1:$N$2000, MATCH($C409, VAV_Schedule_5_21[[#All],[UNIT TAG]], FALSE), 5)</f>
        <v>840</v>
      </c>
      <c r="T409" s="27">
        <f>INDEX(Schedule!$A$1:$N$2000, MATCH($C409, VAV_Schedule_5_21[[#All],[UNIT TAG]], FALSE), 6)</f>
        <v>130</v>
      </c>
      <c r="U409" s="27">
        <f>INDEX(Schedule!$A$1:$N$2000, MATCH($C409, VAV_Schedule_5_21[[#All],[UNIT TAG]], FALSE), 5)</f>
        <v>840</v>
      </c>
      <c r="V409" s="27">
        <f>INDEX(Schedule!$A$1:$N$2000, MATCH($C409, VAV_Schedule_5_21[[#All],[UNIT TAG]], FALSE), 6)</f>
        <v>130</v>
      </c>
      <c r="W409" s="27">
        <f>INDEX(Schedule!$A$1:$N$2000, MATCH($C409, VAV_Schedule_5_21[[#All],[UNIT TAG]], FALSE), 6)</f>
        <v>130</v>
      </c>
      <c r="X409" s="27">
        <f>INDEX(Schedule!$A$1:$N$2000, MATCH($C409, VAV_Schedule_5_21[[#All],[UNIT TAG]], FALSE), 6)</f>
        <v>130</v>
      </c>
      <c r="Y409" s="27">
        <f>INDEX(Schedule!$A$1:$N$2000, MATCH($C409, VAV_Schedule_5_21[[#All],[UNIT TAG]], FALSE), 6)</f>
        <v>130</v>
      </c>
      <c r="Z409" s="27">
        <f>INDEX(Schedule!$A$1:$N$2000, MATCH($C409, VAV_Schedule_5_21[[#All],[UNIT TAG]], FALSE), 6)</f>
        <v>130</v>
      </c>
      <c r="AA409" s="27">
        <v>1000</v>
      </c>
      <c r="AB409" s="27">
        <v>1100</v>
      </c>
      <c r="AC409">
        <v>1400</v>
      </c>
      <c r="AD409" s="29" t="str">
        <f>IF(INDEX(Schedule!$A$1:$N$2000, MATCH($C409, VAV_Schedule_5_21[[#All],[UNIT TAG]], FALSE), 7)="-", 0, INDEX(Schedule!$A$1:$N$2000, MATCH($C409, VAV_Schedule_5_21[[#All],[UNIT TAG]], FALSE), 7))</f>
        <v>6</v>
      </c>
      <c r="AE409" t="str">
        <f>"B_01'" &amp; "Flr_0" &amp; INDEX(Joined!$A$3:$M$2000, MATCH($A409, Joined!$I$3:$I$2000, FALSE), 8)</f>
        <v>B_01'Flr_010</v>
      </c>
      <c r="AF409" t="str">
        <f>"R_" &amp; INDEX(Joined!$A$3:$M$2000, MATCH($A409, Joined!$I$3:$I$2000, FALSE), 7)</f>
        <v>R_VAV-10E-14</v>
      </c>
      <c r="AG409" t="str">
        <f>"B_01'" &amp; "Flr_0" &amp; INDEX(Joined!$A$3:$M$2000, MATCH($A409, Joined!$I$3:$I$2000, FALSE), 8)</f>
        <v>B_01'Flr_010</v>
      </c>
      <c r="AH409" t="str">
        <f>INDEX(Joined!$A$3:$M$2000, MATCH($A409, Joined!$I$3:$I$2000, FALSE), 7)</f>
        <v>VAV-10E-14</v>
      </c>
      <c r="AI409" t="s">
        <v>1737</v>
      </c>
    </row>
    <row r="410" spans="1:35" x14ac:dyDescent="0.2">
      <c r="A410" t="s">
        <v>1271</v>
      </c>
      <c r="B410" t="str">
        <f>"B_01'" &amp; "Flr_0" &amp; INDEX(Joined!$A$3:$M$2000, MATCH($A410, Joined!$I$3:$I$2000, FALSE), 8)</f>
        <v>B_01'Flr_010</v>
      </c>
      <c r="C410" t="str">
        <f>INDEX(Joined!$A$3:$M$2000, MATCH($A410, Joined!$I$3:$I$2000, FALSE), 7)</f>
        <v>VAV-10E-15</v>
      </c>
      <c r="D410">
        <f>INDEX(Joined!$A$3:$M$2000, MATCH($A410, Joined!$I$3:$I$2000, FALSE), 5)</f>
        <v>152602</v>
      </c>
      <c r="E410" t="str">
        <f>INDEX(Joined!$A$3:$M$2000, MATCH($A410, Joined!$I$3:$I$2000, FALSE), 7)</f>
        <v>VAV-10E-15</v>
      </c>
      <c r="F410" t="s">
        <v>38</v>
      </c>
      <c r="G410" t="str">
        <f>INDEX(Schedule!$Q$2:$R$7, MATCH(ABT!$H410,Schedule!$Q$2:$Q$7, 0), 2)</f>
        <v>15011_DXR_VAV_DXR2M12</v>
      </c>
      <c r="H410">
        <f>INDEX(Joined!$A$3:$M$2000, MATCH($A410, Joined!$I$3:$I$2000, FALSE), 6)</f>
        <v>15011</v>
      </c>
      <c r="I410" t="str">
        <f>INDEX(Joined!$A$3:$M$2000, MATCH($A410, Joined!$I$3:$I$2000, FALSE), 4)</f>
        <v>526</v>
      </c>
      <c r="J410" t="b">
        <v>0</v>
      </c>
      <c r="K410">
        <f>INDEX(Joined!$A$3:$M$2000, MATCH($A410, Joined!$I$3:$I$2000, FALSE), 3)</f>
        <v>2</v>
      </c>
      <c r="L410">
        <v>85</v>
      </c>
      <c r="M410">
        <v>38400</v>
      </c>
      <c r="N410" s="27">
        <f>PI()*(INDEX(Schedule!$A$1:$N$2000, MATCH($C410, VAV_Schedule_5_21[[#All],[UNIT TAG]], FALSE), 4)/2/12)^2</f>
        <v>0.3490658503988659</v>
      </c>
      <c r="O410" s="27">
        <f>INDEX(Schedule!$A$1:$N$2000, MATCH($C410, VAV_Schedule_5_21[[#All],[UNIT TAG]], FALSE), 4)</f>
        <v>8</v>
      </c>
      <c r="P410">
        <v>408.63</v>
      </c>
      <c r="Q410" s="27">
        <f>INDEX(Schedule!$A$1:$N$2000, MATCH($C410, VAV_Schedule_5_21[[#All],[UNIT TAG]], FALSE), 5)</f>
        <v>640</v>
      </c>
      <c r="R410" s="27">
        <f>INDEX(Schedule!$A$1:$N$2000, MATCH($C410, VAV_Schedule_5_21[[#All],[UNIT TAG]], FALSE), 6)</f>
        <v>100</v>
      </c>
      <c r="S410" s="27">
        <f>INDEX(Schedule!$A$1:$N$2000, MATCH($C410, VAV_Schedule_5_21[[#All],[UNIT TAG]], FALSE), 5)</f>
        <v>640</v>
      </c>
      <c r="T410" s="27">
        <f>INDEX(Schedule!$A$1:$N$2000, MATCH($C410, VAV_Schedule_5_21[[#All],[UNIT TAG]], FALSE), 6)</f>
        <v>100</v>
      </c>
      <c r="U410" s="27">
        <f>INDEX(Schedule!$A$1:$N$2000, MATCH($C410, VAV_Schedule_5_21[[#All],[UNIT TAG]], FALSE), 5)</f>
        <v>640</v>
      </c>
      <c r="V410" s="27">
        <f>INDEX(Schedule!$A$1:$N$2000, MATCH($C410, VAV_Schedule_5_21[[#All],[UNIT TAG]], FALSE), 6)</f>
        <v>100</v>
      </c>
      <c r="W410" s="27">
        <f>INDEX(Schedule!$A$1:$N$2000, MATCH($C410, VAV_Schedule_5_21[[#All],[UNIT TAG]], FALSE), 6)</f>
        <v>100</v>
      </c>
      <c r="X410" s="27">
        <f>INDEX(Schedule!$A$1:$N$2000, MATCH($C410, VAV_Schedule_5_21[[#All],[UNIT TAG]], FALSE), 6)</f>
        <v>100</v>
      </c>
      <c r="Y410" s="27">
        <f>INDEX(Schedule!$A$1:$N$2000, MATCH($C410, VAV_Schedule_5_21[[#All],[UNIT TAG]], FALSE), 6)</f>
        <v>100</v>
      </c>
      <c r="Z410" s="27">
        <f>INDEX(Schedule!$A$1:$N$2000, MATCH($C410, VAV_Schedule_5_21[[#All],[UNIT TAG]], FALSE), 6)</f>
        <v>100</v>
      </c>
      <c r="AA410" s="27">
        <v>1000</v>
      </c>
      <c r="AB410" s="27">
        <v>1100</v>
      </c>
      <c r="AC410">
        <v>1400</v>
      </c>
      <c r="AD410" s="29" t="str">
        <f>IF(INDEX(Schedule!$A$1:$N$2000, MATCH($C410, VAV_Schedule_5_21[[#All],[UNIT TAG]], FALSE), 7)="-", 0, INDEX(Schedule!$A$1:$N$2000, MATCH($C410, VAV_Schedule_5_21[[#All],[UNIT TAG]], FALSE), 7))</f>
        <v>6</v>
      </c>
      <c r="AE410" t="str">
        <f>"B_01'" &amp; "Flr_0" &amp; INDEX(Joined!$A$3:$M$2000, MATCH($A410, Joined!$I$3:$I$2000, FALSE), 8)</f>
        <v>B_01'Flr_010</v>
      </c>
      <c r="AF410" t="str">
        <f>"R_" &amp; INDEX(Joined!$A$3:$M$2000, MATCH($A410, Joined!$I$3:$I$2000, FALSE), 7)</f>
        <v>R_VAV-10E-15</v>
      </c>
      <c r="AG410" t="str">
        <f>"B_01'" &amp; "Flr_0" &amp; INDEX(Joined!$A$3:$M$2000, MATCH($A410, Joined!$I$3:$I$2000, FALSE), 8)</f>
        <v>B_01'Flr_010</v>
      </c>
      <c r="AH410" t="str">
        <f>INDEX(Joined!$A$3:$M$2000, MATCH($A410, Joined!$I$3:$I$2000, FALSE), 7)</f>
        <v>VAV-10E-15</v>
      </c>
      <c r="AI410" t="s">
        <v>1738</v>
      </c>
    </row>
    <row r="411" spans="1:35" x14ac:dyDescent="0.2">
      <c r="A411" t="s">
        <v>1272</v>
      </c>
      <c r="B411" t="str">
        <f>"B_01'" &amp; "Flr_0" &amp; INDEX(Joined!$A$3:$M$2000, MATCH($A411, Joined!$I$3:$I$2000, FALSE), 8)</f>
        <v>B_01'Flr_010</v>
      </c>
      <c r="C411" t="str">
        <f>INDEX(Joined!$A$3:$M$2000, MATCH($A411, Joined!$I$3:$I$2000, FALSE), 7)</f>
        <v>VAV-10E-16</v>
      </c>
      <c r="D411">
        <f>INDEX(Joined!$A$3:$M$2000, MATCH($A411, Joined!$I$3:$I$2000, FALSE), 5)</f>
        <v>152603</v>
      </c>
      <c r="E411" t="str">
        <f>INDEX(Joined!$A$3:$M$2000, MATCH($A411, Joined!$I$3:$I$2000, FALSE), 7)</f>
        <v>VAV-10E-16</v>
      </c>
      <c r="F411" t="s">
        <v>38</v>
      </c>
      <c r="G411" t="str">
        <f>INDEX(Schedule!$Q$2:$R$7, MATCH(ABT!$H411,Schedule!$Q$2:$Q$7, 0), 2)</f>
        <v>15011_DXR_VAV_DXR2M12</v>
      </c>
      <c r="H411">
        <f>INDEX(Joined!$A$3:$M$2000, MATCH($A411, Joined!$I$3:$I$2000, FALSE), 6)</f>
        <v>15011</v>
      </c>
      <c r="I411" t="str">
        <f>INDEX(Joined!$A$3:$M$2000, MATCH($A411, Joined!$I$3:$I$2000, FALSE), 4)</f>
        <v>526</v>
      </c>
      <c r="J411" t="b">
        <v>0</v>
      </c>
      <c r="K411">
        <f>INDEX(Joined!$A$3:$M$2000, MATCH($A411, Joined!$I$3:$I$2000, FALSE), 3)</f>
        <v>3</v>
      </c>
      <c r="L411">
        <v>85</v>
      </c>
      <c r="M411">
        <v>38400</v>
      </c>
      <c r="N411" s="27">
        <f>PI()*(INDEX(Schedule!$A$1:$N$2000, MATCH($C411, VAV_Schedule_5_21[[#All],[UNIT TAG]], FALSE), 4)/2/12)^2</f>
        <v>0.3490658503988659</v>
      </c>
      <c r="O411" s="27">
        <f>INDEX(Schedule!$A$1:$N$2000, MATCH($C411, VAV_Schedule_5_21[[#All],[UNIT TAG]], FALSE), 4)</f>
        <v>8</v>
      </c>
      <c r="P411">
        <v>409.63</v>
      </c>
      <c r="Q411" s="27">
        <f>INDEX(Schedule!$A$1:$N$2000, MATCH($C411, VAV_Schedule_5_21[[#All],[UNIT TAG]], FALSE), 5)</f>
        <v>685</v>
      </c>
      <c r="R411" s="27">
        <f>INDEX(Schedule!$A$1:$N$2000, MATCH($C411, VAV_Schedule_5_21[[#All],[UNIT TAG]], FALSE), 6)</f>
        <v>105</v>
      </c>
      <c r="S411" s="27">
        <f>INDEX(Schedule!$A$1:$N$2000, MATCH($C411, VAV_Schedule_5_21[[#All],[UNIT TAG]], FALSE), 5)</f>
        <v>685</v>
      </c>
      <c r="T411" s="27">
        <f>INDEX(Schedule!$A$1:$N$2000, MATCH($C411, VAV_Schedule_5_21[[#All],[UNIT TAG]], FALSE), 6)</f>
        <v>105</v>
      </c>
      <c r="U411" s="27">
        <f>INDEX(Schedule!$A$1:$N$2000, MATCH($C411, VAV_Schedule_5_21[[#All],[UNIT TAG]], FALSE), 5)</f>
        <v>685</v>
      </c>
      <c r="V411" s="27">
        <f>INDEX(Schedule!$A$1:$N$2000, MATCH($C411, VAV_Schedule_5_21[[#All],[UNIT TAG]], FALSE), 6)</f>
        <v>105</v>
      </c>
      <c r="W411" s="27">
        <f>INDEX(Schedule!$A$1:$N$2000, MATCH($C411, VAV_Schedule_5_21[[#All],[UNIT TAG]], FALSE), 6)</f>
        <v>105</v>
      </c>
      <c r="X411" s="27">
        <f>INDEX(Schedule!$A$1:$N$2000, MATCH($C411, VAV_Schedule_5_21[[#All],[UNIT TAG]], FALSE), 6)</f>
        <v>105</v>
      </c>
      <c r="Y411" s="27">
        <f>INDEX(Schedule!$A$1:$N$2000, MATCH($C411, VAV_Schedule_5_21[[#All],[UNIT TAG]], FALSE), 6)</f>
        <v>105</v>
      </c>
      <c r="Z411" s="27">
        <f>INDEX(Schedule!$A$1:$N$2000, MATCH($C411, VAV_Schedule_5_21[[#All],[UNIT TAG]], FALSE), 6)</f>
        <v>105</v>
      </c>
      <c r="AA411" s="27">
        <v>1000</v>
      </c>
      <c r="AB411" s="27">
        <v>1100</v>
      </c>
      <c r="AC411">
        <v>1400</v>
      </c>
      <c r="AD411" s="29" t="str">
        <f>IF(INDEX(Schedule!$A$1:$N$2000, MATCH($C411, VAV_Schedule_5_21[[#All],[UNIT TAG]], FALSE), 7)="-", 0, INDEX(Schedule!$A$1:$N$2000, MATCH($C411, VAV_Schedule_5_21[[#All],[UNIT TAG]], FALSE), 7))</f>
        <v>6</v>
      </c>
      <c r="AE411" t="str">
        <f>"B_01'" &amp; "Flr_0" &amp; INDEX(Joined!$A$3:$M$2000, MATCH($A411, Joined!$I$3:$I$2000, FALSE), 8)</f>
        <v>B_01'Flr_010</v>
      </c>
      <c r="AF411" t="str">
        <f>"R_" &amp; INDEX(Joined!$A$3:$M$2000, MATCH($A411, Joined!$I$3:$I$2000, FALSE), 7)</f>
        <v>R_VAV-10E-16</v>
      </c>
      <c r="AG411" t="str">
        <f>"B_01'" &amp; "Flr_0" &amp; INDEX(Joined!$A$3:$M$2000, MATCH($A411, Joined!$I$3:$I$2000, FALSE), 8)</f>
        <v>B_01'Flr_010</v>
      </c>
      <c r="AH411" t="str">
        <f>INDEX(Joined!$A$3:$M$2000, MATCH($A411, Joined!$I$3:$I$2000, FALSE), 7)</f>
        <v>VAV-10E-16</v>
      </c>
      <c r="AI411" t="s">
        <v>1739</v>
      </c>
    </row>
    <row r="412" spans="1:35" x14ac:dyDescent="0.2">
      <c r="A412" t="s">
        <v>1273</v>
      </c>
      <c r="B412" t="str">
        <f>"B_01'" &amp; "Flr_0" &amp; INDEX(Joined!$A$3:$M$2000, MATCH($A412, Joined!$I$3:$I$2000, FALSE), 8)</f>
        <v>B_01'Flr_010</v>
      </c>
      <c r="C412" t="str">
        <f>INDEX(Joined!$A$3:$M$2000, MATCH($A412, Joined!$I$3:$I$2000, FALSE), 7)</f>
        <v>VAV-10E-17</v>
      </c>
      <c r="D412">
        <f>INDEX(Joined!$A$3:$M$2000, MATCH($A412, Joined!$I$3:$I$2000, FALSE), 5)</f>
        <v>152604</v>
      </c>
      <c r="E412" t="str">
        <f>INDEX(Joined!$A$3:$M$2000, MATCH($A412, Joined!$I$3:$I$2000, FALSE), 7)</f>
        <v>VAV-10E-17</v>
      </c>
      <c r="F412" t="s">
        <v>38</v>
      </c>
      <c r="G412" t="str">
        <f>INDEX(Schedule!$Q$2:$R$7, MATCH(ABT!$H412,Schedule!$Q$2:$Q$7, 0), 2)</f>
        <v>15011_DXR_VAV_DXR2M12</v>
      </c>
      <c r="H412">
        <f>INDEX(Joined!$A$3:$M$2000, MATCH($A412, Joined!$I$3:$I$2000, FALSE), 6)</f>
        <v>15011</v>
      </c>
      <c r="I412" t="str">
        <f>INDEX(Joined!$A$3:$M$2000, MATCH($A412, Joined!$I$3:$I$2000, FALSE), 4)</f>
        <v>526</v>
      </c>
      <c r="J412" t="b">
        <v>0</v>
      </c>
      <c r="K412">
        <f>INDEX(Joined!$A$3:$M$2000, MATCH($A412, Joined!$I$3:$I$2000, FALSE), 3)</f>
        <v>4</v>
      </c>
      <c r="L412">
        <v>85</v>
      </c>
      <c r="M412">
        <v>38400</v>
      </c>
      <c r="N412" s="27">
        <f>PI()*(INDEX(Schedule!$A$1:$N$2000, MATCH($C412, VAV_Schedule_5_21[[#All],[UNIT TAG]], FALSE), 4)/2/12)^2</f>
        <v>0.3490658503988659</v>
      </c>
      <c r="O412" s="27">
        <f>INDEX(Schedule!$A$1:$N$2000, MATCH($C412, VAV_Schedule_5_21[[#All],[UNIT TAG]], FALSE), 4)</f>
        <v>8</v>
      </c>
      <c r="P412">
        <v>410.63</v>
      </c>
      <c r="Q412" s="27">
        <f>INDEX(Schedule!$A$1:$N$2000, MATCH($C412, VAV_Schedule_5_21[[#All],[UNIT TAG]], FALSE), 5)</f>
        <v>600</v>
      </c>
      <c r="R412" s="27">
        <f>INDEX(Schedule!$A$1:$N$2000, MATCH($C412, VAV_Schedule_5_21[[#All],[UNIT TAG]], FALSE), 6)</f>
        <v>90</v>
      </c>
      <c r="S412" s="27">
        <f>INDEX(Schedule!$A$1:$N$2000, MATCH($C412, VAV_Schedule_5_21[[#All],[UNIT TAG]], FALSE), 5)</f>
        <v>600</v>
      </c>
      <c r="T412" s="27">
        <f>INDEX(Schedule!$A$1:$N$2000, MATCH($C412, VAV_Schedule_5_21[[#All],[UNIT TAG]], FALSE), 6)</f>
        <v>90</v>
      </c>
      <c r="U412" s="27">
        <f>INDEX(Schedule!$A$1:$N$2000, MATCH($C412, VAV_Schedule_5_21[[#All],[UNIT TAG]], FALSE), 5)</f>
        <v>600</v>
      </c>
      <c r="V412" s="27">
        <f>INDEX(Schedule!$A$1:$N$2000, MATCH($C412, VAV_Schedule_5_21[[#All],[UNIT TAG]], FALSE), 6)</f>
        <v>90</v>
      </c>
      <c r="W412" s="27">
        <f>INDEX(Schedule!$A$1:$N$2000, MATCH($C412, VAV_Schedule_5_21[[#All],[UNIT TAG]], FALSE), 6)</f>
        <v>90</v>
      </c>
      <c r="X412" s="27">
        <f>INDEX(Schedule!$A$1:$N$2000, MATCH($C412, VAV_Schedule_5_21[[#All],[UNIT TAG]], FALSE), 6)</f>
        <v>90</v>
      </c>
      <c r="Y412" s="27">
        <f>INDEX(Schedule!$A$1:$N$2000, MATCH($C412, VAV_Schedule_5_21[[#All],[UNIT TAG]], FALSE), 6)</f>
        <v>90</v>
      </c>
      <c r="Z412" s="27">
        <f>INDEX(Schedule!$A$1:$N$2000, MATCH($C412, VAV_Schedule_5_21[[#All],[UNIT TAG]], FALSE), 6)</f>
        <v>90</v>
      </c>
      <c r="AA412" s="27">
        <v>1000</v>
      </c>
      <c r="AB412" s="27">
        <v>1100</v>
      </c>
      <c r="AC412">
        <v>1400</v>
      </c>
      <c r="AD412" s="29" t="str">
        <f>IF(INDEX(Schedule!$A$1:$N$2000, MATCH($C412, VAV_Schedule_5_21[[#All],[UNIT TAG]], FALSE), 7)="-", 0, INDEX(Schedule!$A$1:$N$2000, MATCH($C412, VAV_Schedule_5_21[[#All],[UNIT TAG]], FALSE), 7))</f>
        <v>6</v>
      </c>
      <c r="AE412" t="str">
        <f>"B_01'" &amp; "Flr_0" &amp; INDEX(Joined!$A$3:$M$2000, MATCH($A412, Joined!$I$3:$I$2000, FALSE), 8)</f>
        <v>B_01'Flr_010</v>
      </c>
      <c r="AF412" t="str">
        <f>"R_" &amp; INDEX(Joined!$A$3:$M$2000, MATCH($A412, Joined!$I$3:$I$2000, FALSE), 7)</f>
        <v>R_VAV-10E-17</v>
      </c>
      <c r="AG412" t="str">
        <f>"B_01'" &amp; "Flr_0" &amp; INDEX(Joined!$A$3:$M$2000, MATCH($A412, Joined!$I$3:$I$2000, FALSE), 8)</f>
        <v>B_01'Flr_010</v>
      </c>
      <c r="AH412" t="str">
        <f>INDEX(Joined!$A$3:$M$2000, MATCH($A412, Joined!$I$3:$I$2000, FALSE), 7)</f>
        <v>VAV-10E-17</v>
      </c>
      <c r="AI412" t="s">
        <v>1740</v>
      </c>
    </row>
    <row r="413" spans="1:35" x14ac:dyDescent="0.2">
      <c r="A413" t="s">
        <v>1274</v>
      </c>
      <c r="B413" t="str">
        <f>"B_01'" &amp; "Flr_0" &amp; INDEX(Joined!$A$3:$M$2000, MATCH($A413, Joined!$I$3:$I$2000, FALSE), 8)</f>
        <v>B_01'Flr_010</v>
      </c>
      <c r="C413" t="str">
        <f>INDEX(Joined!$A$3:$M$2000, MATCH($A413, Joined!$I$3:$I$2000, FALSE), 7)</f>
        <v>VAV-10E-18</v>
      </c>
      <c r="D413">
        <f>INDEX(Joined!$A$3:$M$2000, MATCH($A413, Joined!$I$3:$I$2000, FALSE), 5)</f>
        <v>152605</v>
      </c>
      <c r="E413" t="str">
        <f>INDEX(Joined!$A$3:$M$2000, MATCH($A413, Joined!$I$3:$I$2000, FALSE), 7)</f>
        <v>VAV-10E-18</v>
      </c>
      <c r="F413" t="s">
        <v>38</v>
      </c>
      <c r="G413" t="str">
        <f>INDEX(Schedule!$Q$2:$R$7, MATCH(ABT!$H413,Schedule!$Q$2:$Q$7, 0), 2)</f>
        <v>15010_DXR_VAV_DXR2M12</v>
      </c>
      <c r="H413">
        <f>INDEX(Joined!$A$3:$M$2000, MATCH($A413, Joined!$I$3:$I$2000, FALSE), 6)</f>
        <v>15010</v>
      </c>
      <c r="I413" t="str">
        <f>INDEX(Joined!$A$3:$M$2000, MATCH($A413, Joined!$I$3:$I$2000, FALSE), 4)</f>
        <v>526</v>
      </c>
      <c r="J413" t="b">
        <v>0</v>
      </c>
      <c r="K413">
        <f>INDEX(Joined!$A$3:$M$2000, MATCH($A413, Joined!$I$3:$I$2000, FALSE), 3)</f>
        <v>5</v>
      </c>
      <c r="L413">
        <v>85</v>
      </c>
      <c r="M413">
        <v>38400</v>
      </c>
      <c r="N413" s="27">
        <f>PI()*(INDEX(Schedule!$A$1:$N$2000, MATCH($C413, VAV_Schedule_5_21[[#All],[UNIT TAG]], FALSE), 4)/2/12)^2</f>
        <v>0.19634954084936207</v>
      </c>
      <c r="O413" s="27">
        <f>INDEX(Schedule!$A$1:$N$2000, MATCH($C413, VAV_Schedule_5_21[[#All],[UNIT TAG]], FALSE), 4)</f>
        <v>6</v>
      </c>
      <c r="P413">
        <v>411.63</v>
      </c>
      <c r="Q413" s="27">
        <f>INDEX(Schedule!$A$1:$N$2000, MATCH($C413, VAV_Schedule_5_21[[#All],[UNIT TAG]], FALSE), 5)</f>
        <v>200</v>
      </c>
      <c r="R413" s="27">
        <f>INDEX(Schedule!$A$1:$N$2000, MATCH($C413, VAV_Schedule_5_21[[#All],[UNIT TAG]], FALSE), 6)</f>
        <v>30</v>
      </c>
      <c r="S413" s="27">
        <f>INDEX(Schedule!$A$1:$N$2000, MATCH($C413, VAV_Schedule_5_21[[#All],[UNIT TAG]], FALSE), 5)</f>
        <v>200</v>
      </c>
      <c r="T413" s="27">
        <f>INDEX(Schedule!$A$1:$N$2000, MATCH($C413, VAV_Schedule_5_21[[#All],[UNIT TAG]], FALSE), 6)</f>
        <v>30</v>
      </c>
      <c r="U413" s="27">
        <f>INDEX(Schedule!$A$1:$N$2000, MATCH($C413, VAV_Schedule_5_21[[#All],[UNIT TAG]], FALSE), 5)</f>
        <v>200</v>
      </c>
      <c r="V413" s="27">
        <f>INDEX(Schedule!$A$1:$N$2000, MATCH($C413, VAV_Schedule_5_21[[#All],[UNIT TAG]], FALSE), 6)</f>
        <v>30</v>
      </c>
      <c r="W413" s="27">
        <f>INDEX(Schedule!$A$1:$N$2000, MATCH($C413, VAV_Schedule_5_21[[#All],[UNIT TAG]], FALSE), 6)</f>
        <v>30</v>
      </c>
      <c r="X413" s="27">
        <f>INDEX(Schedule!$A$1:$N$2000, MATCH($C413, VAV_Schedule_5_21[[#All],[UNIT TAG]], FALSE), 6)</f>
        <v>30</v>
      </c>
      <c r="Y413" s="27">
        <f>INDEX(Schedule!$A$1:$N$2000, MATCH($C413, VAV_Schedule_5_21[[#All],[UNIT TAG]], FALSE), 6)</f>
        <v>30</v>
      </c>
      <c r="Z413" s="27">
        <f>INDEX(Schedule!$A$1:$N$2000, MATCH($C413, VAV_Schedule_5_21[[#All],[UNIT TAG]], FALSE), 6)</f>
        <v>30</v>
      </c>
      <c r="AA413" s="27">
        <v>1000</v>
      </c>
      <c r="AB413" s="27">
        <v>1100</v>
      </c>
      <c r="AC413">
        <v>1400</v>
      </c>
      <c r="AD413" s="29">
        <f>IF(INDEX(Schedule!$A$1:$N$2000, MATCH($C413, VAV_Schedule_5_21[[#All],[UNIT TAG]], FALSE), 7)="-", 0, INDEX(Schedule!$A$1:$N$2000, MATCH($C413, VAV_Schedule_5_21[[#All],[UNIT TAG]], FALSE), 7))</f>
        <v>0</v>
      </c>
      <c r="AE413" t="str">
        <f>"B_01'" &amp; "Flr_0" &amp; INDEX(Joined!$A$3:$M$2000, MATCH($A413, Joined!$I$3:$I$2000, FALSE), 8)</f>
        <v>B_01'Flr_010</v>
      </c>
      <c r="AF413" t="str">
        <f>"R_" &amp; INDEX(Joined!$A$3:$M$2000, MATCH($A413, Joined!$I$3:$I$2000, FALSE), 7)</f>
        <v>R_VAV-10E-18</v>
      </c>
      <c r="AG413" t="str">
        <f>"B_01'" &amp; "Flr_0" &amp; INDEX(Joined!$A$3:$M$2000, MATCH($A413, Joined!$I$3:$I$2000, FALSE), 8)</f>
        <v>B_01'Flr_010</v>
      </c>
      <c r="AH413" t="str">
        <f>INDEX(Joined!$A$3:$M$2000, MATCH($A413, Joined!$I$3:$I$2000, FALSE), 7)</f>
        <v>VAV-10E-18</v>
      </c>
      <c r="AI413" t="s">
        <v>1741</v>
      </c>
    </row>
    <row r="414" spans="1:35" x14ac:dyDescent="0.2">
      <c r="A414" t="s">
        <v>1275</v>
      </c>
      <c r="B414" t="str">
        <f>"B_01'" &amp; "Flr_0" &amp; INDEX(Joined!$A$3:$M$2000, MATCH($A414, Joined!$I$3:$I$2000, FALSE), 8)</f>
        <v>B_01'Flr_010</v>
      </c>
      <c r="C414" t="str">
        <f>INDEX(Joined!$A$3:$M$2000, MATCH($A414, Joined!$I$3:$I$2000, FALSE), 7)</f>
        <v>VAV-10E-19</v>
      </c>
      <c r="D414">
        <f>INDEX(Joined!$A$3:$M$2000, MATCH($A414, Joined!$I$3:$I$2000, FALSE), 5)</f>
        <v>152606</v>
      </c>
      <c r="E414" t="str">
        <f>INDEX(Joined!$A$3:$M$2000, MATCH($A414, Joined!$I$3:$I$2000, FALSE), 7)</f>
        <v>VAV-10E-19</v>
      </c>
      <c r="F414" t="s">
        <v>38</v>
      </c>
      <c r="G414" t="str">
        <f>INDEX(Schedule!$Q$2:$R$7, MATCH(ABT!$H414,Schedule!$Q$2:$Q$7, 0), 2)</f>
        <v>15010_DXR_VAV_DXR2M12</v>
      </c>
      <c r="H414">
        <f>INDEX(Joined!$A$3:$M$2000, MATCH($A414, Joined!$I$3:$I$2000, FALSE), 6)</f>
        <v>15010</v>
      </c>
      <c r="I414" t="str">
        <f>INDEX(Joined!$A$3:$M$2000, MATCH($A414, Joined!$I$3:$I$2000, FALSE), 4)</f>
        <v>526</v>
      </c>
      <c r="J414" t="b">
        <v>0</v>
      </c>
      <c r="K414">
        <f>INDEX(Joined!$A$3:$M$2000, MATCH($A414, Joined!$I$3:$I$2000, FALSE), 3)</f>
        <v>6</v>
      </c>
      <c r="L414">
        <v>85</v>
      </c>
      <c r="M414">
        <v>38400</v>
      </c>
      <c r="N414" s="27">
        <f>PI()*(INDEX(Schedule!$A$1:$N$2000, MATCH($C414, VAV_Schedule_5_21[[#All],[UNIT TAG]], FALSE), 4)/2/12)^2</f>
        <v>0.3490658503988659</v>
      </c>
      <c r="O414" s="27">
        <f>INDEX(Schedule!$A$1:$N$2000, MATCH($C414, VAV_Schedule_5_21[[#All],[UNIT TAG]], FALSE), 4)</f>
        <v>8</v>
      </c>
      <c r="P414">
        <v>412.63</v>
      </c>
      <c r="Q414" s="27">
        <f>INDEX(Schedule!$A$1:$N$2000, MATCH($C414, VAV_Schedule_5_21[[#All],[UNIT TAG]], FALSE), 5)</f>
        <v>680</v>
      </c>
      <c r="R414" s="27">
        <f>INDEX(Schedule!$A$1:$N$2000, MATCH($C414, VAV_Schedule_5_21[[#All],[UNIT TAG]], FALSE), 6)</f>
        <v>105</v>
      </c>
      <c r="S414" s="27">
        <f>INDEX(Schedule!$A$1:$N$2000, MATCH($C414, VAV_Schedule_5_21[[#All],[UNIT TAG]], FALSE), 5)</f>
        <v>680</v>
      </c>
      <c r="T414" s="27">
        <f>INDEX(Schedule!$A$1:$N$2000, MATCH($C414, VAV_Schedule_5_21[[#All],[UNIT TAG]], FALSE), 6)</f>
        <v>105</v>
      </c>
      <c r="U414" s="27">
        <f>INDEX(Schedule!$A$1:$N$2000, MATCH($C414, VAV_Schedule_5_21[[#All],[UNIT TAG]], FALSE), 5)</f>
        <v>680</v>
      </c>
      <c r="V414" s="27">
        <f>INDEX(Schedule!$A$1:$N$2000, MATCH($C414, VAV_Schedule_5_21[[#All],[UNIT TAG]], FALSE), 6)</f>
        <v>105</v>
      </c>
      <c r="W414" s="27">
        <f>INDEX(Schedule!$A$1:$N$2000, MATCH($C414, VAV_Schedule_5_21[[#All],[UNIT TAG]], FALSE), 6)</f>
        <v>105</v>
      </c>
      <c r="X414" s="27">
        <f>INDEX(Schedule!$A$1:$N$2000, MATCH($C414, VAV_Schedule_5_21[[#All],[UNIT TAG]], FALSE), 6)</f>
        <v>105</v>
      </c>
      <c r="Y414" s="27">
        <f>INDEX(Schedule!$A$1:$N$2000, MATCH($C414, VAV_Schedule_5_21[[#All],[UNIT TAG]], FALSE), 6)</f>
        <v>105</v>
      </c>
      <c r="Z414" s="27">
        <f>INDEX(Schedule!$A$1:$N$2000, MATCH($C414, VAV_Schedule_5_21[[#All],[UNIT TAG]], FALSE), 6)</f>
        <v>105</v>
      </c>
      <c r="AA414" s="27">
        <v>1000</v>
      </c>
      <c r="AB414" s="27">
        <v>1100</v>
      </c>
      <c r="AC414">
        <v>1400</v>
      </c>
      <c r="AD414" s="29">
        <f>IF(INDEX(Schedule!$A$1:$N$2000, MATCH($C414, VAV_Schedule_5_21[[#All],[UNIT TAG]], FALSE), 7)="-", 0, INDEX(Schedule!$A$1:$N$2000, MATCH($C414, VAV_Schedule_5_21[[#All],[UNIT TAG]], FALSE), 7))</f>
        <v>0</v>
      </c>
      <c r="AE414" t="str">
        <f>"B_01'" &amp; "Flr_0" &amp; INDEX(Joined!$A$3:$M$2000, MATCH($A414, Joined!$I$3:$I$2000, FALSE), 8)</f>
        <v>B_01'Flr_010</v>
      </c>
      <c r="AF414" t="str">
        <f>"R_" &amp; INDEX(Joined!$A$3:$M$2000, MATCH($A414, Joined!$I$3:$I$2000, FALSE), 7)</f>
        <v>R_VAV-10E-19</v>
      </c>
      <c r="AG414" t="str">
        <f>"B_01'" &amp; "Flr_0" &amp; INDEX(Joined!$A$3:$M$2000, MATCH($A414, Joined!$I$3:$I$2000, FALSE), 8)</f>
        <v>B_01'Flr_010</v>
      </c>
      <c r="AH414" t="str">
        <f>INDEX(Joined!$A$3:$M$2000, MATCH($A414, Joined!$I$3:$I$2000, FALSE), 7)</f>
        <v>VAV-10E-19</v>
      </c>
      <c r="AI414" t="s">
        <v>1742</v>
      </c>
    </row>
    <row r="415" spans="1:35" x14ac:dyDescent="0.2">
      <c r="A415" t="s">
        <v>1276</v>
      </c>
      <c r="B415" t="str">
        <f>"B_01'" &amp; "Flr_0" &amp; INDEX(Joined!$A$3:$M$2000, MATCH($A415, Joined!$I$3:$I$2000, FALSE), 8)</f>
        <v>B_01'Flr_010</v>
      </c>
      <c r="C415" t="str">
        <f>INDEX(Joined!$A$3:$M$2000, MATCH($A415, Joined!$I$3:$I$2000, FALSE), 7)</f>
        <v>VAV-10E-20</v>
      </c>
      <c r="D415">
        <f>INDEX(Joined!$A$3:$M$2000, MATCH($A415, Joined!$I$3:$I$2000, FALSE), 5)</f>
        <v>152607</v>
      </c>
      <c r="E415" t="str">
        <f>INDEX(Joined!$A$3:$M$2000, MATCH($A415, Joined!$I$3:$I$2000, FALSE), 7)</f>
        <v>VAV-10E-20</v>
      </c>
      <c r="F415" t="s">
        <v>38</v>
      </c>
      <c r="G415" t="str">
        <f>INDEX(Schedule!$Q$2:$R$7, MATCH(ABT!$H415,Schedule!$Q$2:$Q$7, 0), 2)</f>
        <v>15011_DXR_VAV_DXR2M12</v>
      </c>
      <c r="H415">
        <f>INDEX(Joined!$A$3:$M$2000, MATCH($A415, Joined!$I$3:$I$2000, FALSE), 6)</f>
        <v>15011</v>
      </c>
      <c r="I415" t="str">
        <f>INDEX(Joined!$A$3:$M$2000, MATCH($A415, Joined!$I$3:$I$2000, FALSE), 4)</f>
        <v>526</v>
      </c>
      <c r="J415" t="b">
        <v>0</v>
      </c>
      <c r="K415">
        <f>INDEX(Joined!$A$3:$M$2000, MATCH($A415, Joined!$I$3:$I$2000, FALSE), 3)</f>
        <v>7</v>
      </c>
      <c r="L415">
        <v>85</v>
      </c>
      <c r="M415">
        <v>38400</v>
      </c>
      <c r="N415" s="27">
        <f>PI()*(INDEX(Schedule!$A$1:$N$2000, MATCH($C415, VAV_Schedule_5_21[[#All],[UNIT TAG]], FALSE), 4)/2/12)^2</f>
        <v>0.54541539124822802</v>
      </c>
      <c r="O415" s="27">
        <f>INDEX(Schedule!$A$1:$N$2000, MATCH($C415, VAV_Schedule_5_21[[#All],[UNIT TAG]], FALSE), 4)</f>
        <v>10</v>
      </c>
      <c r="P415">
        <v>413.63</v>
      </c>
      <c r="Q415" s="27">
        <f>INDEX(Schedule!$A$1:$N$2000, MATCH($C415, VAV_Schedule_5_21[[#All],[UNIT TAG]], FALSE), 5)</f>
        <v>1085</v>
      </c>
      <c r="R415" s="27">
        <f>INDEX(Schedule!$A$1:$N$2000, MATCH($C415, VAV_Schedule_5_21[[#All],[UNIT TAG]], FALSE), 6)</f>
        <v>165</v>
      </c>
      <c r="S415" s="27">
        <f>INDEX(Schedule!$A$1:$N$2000, MATCH($C415, VAV_Schedule_5_21[[#All],[UNIT TAG]], FALSE), 5)</f>
        <v>1085</v>
      </c>
      <c r="T415" s="27">
        <f>INDEX(Schedule!$A$1:$N$2000, MATCH($C415, VAV_Schedule_5_21[[#All],[UNIT TAG]], FALSE), 6)</f>
        <v>165</v>
      </c>
      <c r="U415" s="27">
        <f>INDEX(Schedule!$A$1:$N$2000, MATCH($C415, VAV_Schedule_5_21[[#All],[UNIT TAG]], FALSE), 5)</f>
        <v>1085</v>
      </c>
      <c r="V415" s="27">
        <f>INDEX(Schedule!$A$1:$N$2000, MATCH($C415, VAV_Schedule_5_21[[#All],[UNIT TAG]], FALSE), 6)</f>
        <v>165</v>
      </c>
      <c r="W415" s="27">
        <f>INDEX(Schedule!$A$1:$N$2000, MATCH($C415, VAV_Schedule_5_21[[#All],[UNIT TAG]], FALSE), 6)</f>
        <v>165</v>
      </c>
      <c r="X415" s="27">
        <f>INDEX(Schedule!$A$1:$N$2000, MATCH($C415, VAV_Schedule_5_21[[#All],[UNIT TAG]], FALSE), 6)</f>
        <v>165</v>
      </c>
      <c r="Y415" s="27">
        <f>INDEX(Schedule!$A$1:$N$2000, MATCH($C415, VAV_Schedule_5_21[[#All],[UNIT TAG]], FALSE), 6)</f>
        <v>165</v>
      </c>
      <c r="Z415" s="27">
        <f>INDEX(Schedule!$A$1:$N$2000, MATCH($C415, VAV_Schedule_5_21[[#All],[UNIT TAG]], FALSE), 6)</f>
        <v>165</v>
      </c>
      <c r="AA415" s="27">
        <v>1000</v>
      </c>
      <c r="AB415" s="27">
        <v>1100</v>
      </c>
      <c r="AC415">
        <v>1400</v>
      </c>
      <c r="AD415" s="29" t="str">
        <f>IF(INDEX(Schedule!$A$1:$N$2000, MATCH($C415, VAV_Schedule_5_21[[#All],[UNIT TAG]], FALSE), 7)="-", 0, INDEX(Schedule!$A$1:$N$2000, MATCH($C415, VAV_Schedule_5_21[[#All],[UNIT TAG]], FALSE), 7))</f>
        <v>7</v>
      </c>
      <c r="AE415" t="str">
        <f>"B_01'" &amp; "Flr_0" &amp; INDEX(Joined!$A$3:$M$2000, MATCH($A415, Joined!$I$3:$I$2000, FALSE), 8)</f>
        <v>B_01'Flr_010</v>
      </c>
      <c r="AF415" t="str">
        <f>"R_" &amp; INDEX(Joined!$A$3:$M$2000, MATCH($A415, Joined!$I$3:$I$2000, FALSE), 7)</f>
        <v>R_VAV-10E-20</v>
      </c>
      <c r="AG415" t="str">
        <f>"B_01'" &amp; "Flr_0" &amp; INDEX(Joined!$A$3:$M$2000, MATCH($A415, Joined!$I$3:$I$2000, FALSE), 8)</f>
        <v>B_01'Flr_010</v>
      </c>
      <c r="AH415" t="str">
        <f>INDEX(Joined!$A$3:$M$2000, MATCH($A415, Joined!$I$3:$I$2000, FALSE), 7)</f>
        <v>VAV-10E-20</v>
      </c>
      <c r="AI415" t="s">
        <v>1743</v>
      </c>
    </row>
    <row r="416" spans="1:35" x14ac:dyDescent="0.2">
      <c r="A416" t="s">
        <v>1277</v>
      </c>
      <c r="B416" t="str">
        <f>"B_01'" &amp; "Flr_0" &amp; INDEX(Joined!$A$3:$M$2000, MATCH($A416, Joined!$I$3:$I$2000, FALSE), 8)</f>
        <v>B_01'Flr_010</v>
      </c>
      <c r="C416" t="str">
        <f>INDEX(Joined!$A$3:$M$2000, MATCH($A416, Joined!$I$3:$I$2000, FALSE), 7)</f>
        <v>VAV-10E-21</v>
      </c>
      <c r="D416">
        <f>INDEX(Joined!$A$3:$M$2000, MATCH($A416, Joined!$I$3:$I$2000, FALSE), 5)</f>
        <v>152608</v>
      </c>
      <c r="E416" t="str">
        <f>INDEX(Joined!$A$3:$M$2000, MATCH($A416, Joined!$I$3:$I$2000, FALSE), 7)</f>
        <v>VAV-10E-21</v>
      </c>
      <c r="F416" t="s">
        <v>38</v>
      </c>
      <c r="G416" t="str">
        <f>INDEX(Schedule!$Q$2:$R$7, MATCH(ABT!$H416,Schedule!$Q$2:$Q$7, 0), 2)</f>
        <v>15011_DXR_VAV_DXR2M12</v>
      </c>
      <c r="H416">
        <f>INDEX(Joined!$A$3:$M$2000, MATCH($A416, Joined!$I$3:$I$2000, FALSE), 6)</f>
        <v>15011</v>
      </c>
      <c r="I416" t="str">
        <f>INDEX(Joined!$A$3:$M$2000, MATCH($A416, Joined!$I$3:$I$2000, FALSE), 4)</f>
        <v>526</v>
      </c>
      <c r="J416" t="b">
        <v>0</v>
      </c>
      <c r="K416">
        <f>INDEX(Joined!$A$3:$M$2000, MATCH($A416, Joined!$I$3:$I$2000, FALSE), 3)</f>
        <v>8</v>
      </c>
      <c r="L416">
        <v>85</v>
      </c>
      <c r="M416">
        <v>38400</v>
      </c>
      <c r="N416" s="27">
        <f>PI()*(INDEX(Schedule!$A$1:$N$2000, MATCH($C416, VAV_Schedule_5_21[[#All],[UNIT TAG]], FALSE), 4)/2/12)^2</f>
        <v>0.54541539124822802</v>
      </c>
      <c r="O416" s="27">
        <f>INDEX(Schedule!$A$1:$N$2000, MATCH($C416, VAV_Schedule_5_21[[#All],[UNIT TAG]], FALSE), 4)</f>
        <v>10</v>
      </c>
      <c r="P416">
        <v>414.63</v>
      </c>
      <c r="Q416" s="27">
        <f>INDEX(Schedule!$A$1:$N$2000, MATCH($C416, VAV_Schedule_5_21[[#All],[UNIT TAG]], FALSE), 5)</f>
        <v>840</v>
      </c>
      <c r="R416" s="27">
        <f>INDEX(Schedule!$A$1:$N$2000, MATCH($C416, VAV_Schedule_5_21[[#All],[UNIT TAG]], FALSE), 6)</f>
        <v>130</v>
      </c>
      <c r="S416" s="27">
        <f>INDEX(Schedule!$A$1:$N$2000, MATCH($C416, VAV_Schedule_5_21[[#All],[UNIT TAG]], FALSE), 5)</f>
        <v>840</v>
      </c>
      <c r="T416" s="27">
        <f>INDEX(Schedule!$A$1:$N$2000, MATCH($C416, VAV_Schedule_5_21[[#All],[UNIT TAG]], FALSE), 6)</f>
        <v>130</v>
      </c>
      <c r="U416" s="27">
        <f>INDEX(Schedule!$A$1:$N$2000, MATCH($C416, VAV_Schedule_5_21[[#All],[UNIT TAG]], FALSE), 5)</f>
        <v>840</v>
      </c>
      <c r="V416" s="27">
        <f>INDEX(Schedule!$A$1:$N$2000, MATCH($C416, VAV_Schedule_5_21[[#All],[UNIT TAG]], FALSE), 6)</f>
        <v>130</v>
      </c>
      <c r="W416" s="27">
        <f>INDEX(Schedule!$A$1:$N$2000, MATCH($C416, VAV_Schedule_5_21[[#All],[UNIT TAG]], FALSE), 6)</f>
        <v>130</v>
      </c>
      <c r="X416" s="27">
        <f>INDEX(Schedule!$A$1:$N$2000, MATCH($C416, VAV_Schedule_5_21[[#All],[UNIT TAG]], FALSE), 6)</f>
        <v>130</v>
      </c>
      <c r="Y416" s="27">
        <f>INDEX(Schedule!$A$1:$N$2000, MATCH($C416, VAV_Schedule_5_21[[#All],[UNIT TAG]], FALSE), 6)</f>
        <v>130</v>
      </c>
      <c r="Z416" s="27">
        <f>INDEX(Schedule!$A$1:$N$2000, MATCH($C416, VAV_Schedule_5_21[[#All],[UNIT TAG]], FALSE), 6)</f>
        <v>130</v>
      </c>
      <c r="AA416" s="27">
        <v>1000</v>
      </c>
      <c r="AB416" s="27">
        <v>1100</v>
      </c>
      <c r="AC416">
        <v>1400</v>
      </c>
      <c r="AD416" s="29" t="str">
        <f>IF(INDEX(Schedule!$A$1:$N$2000, MATCH($C416, VAV_Schedule_5_21[[#All],[UNIT TAG]], FALSE), 7)="-", 0, INDEX(Schedule!$A$1:$N$2000, MATCH($C416, VAV_Schedule_5_21[[#All],[UNIT TAG]], FALSE), 7))</f>
        <v>6</v>
      </c>
      <c r="AE416" t="str">
        <f>"B_01'" &amp; "Flr_0" &amp; INDEX(Joined!$A$3:$M$2000, MATCH($A416, Joined!$I$3:$I$2000, FALSE), 8)</f>
        <v>B_01'Flr_010</v>
      </c>
      <c r="AF416" t="str">
        <f>"R_" &amp; INDEX(Joined!$A$3:$M$2000, MATCH($A416, Joined!$I$3:$I$2000, FALSE), 7)</f>
        <v>R_VAV-10E-21</v>
      </c>
      <c r="AG416" t="str">
        <f>"B_01'" &amp; "Flr_0" &amp; INDEX(Joined!$A$3:$M$2000, MATCH($A416, Joined!$I$3:$I$2000, FALSE), 8)</f>
        <v>B_01'Flr_010</v>
      </c>
      <c r="AH416" t="str">
        <f>INDEX(Joined!$A$3:$M$2000, MATCH($A416, Joined!$I$3:$I$2000, FALSE), 7)</f>
        <v>VAV-10E-21</v>
      </c>
      <c r="AI416" t="s">
        <v>1744</v>
      </c>
    </row>
    <row r="417" spans="1:35" x14ac:dyDescent="0.2">
      <c r="A417" t="s">
        <v>1278</v>
      </c>
      <c r="B417" t="str">
        <f>"B_01'" &amp; "Flr_0" &amp; INDEX(Joined!$A$3:$M$2000, MATCH($A417, Joined!$I$3:$I$2000, FALSE), 8)</f>
        <v>B_01'Flr_010</v>
      </c>
      <c r="C417" t="str">
        <f>INDEX(Joined!$A$3:$M$2000, MATCH($A417, Joined!$I$3:$I$2000, FALSE), 7)</f>
        <v>VAV-10E-22</v>
      </c>
      <c r="D417">
        <f>INDEX(Joined!$A$3:$M$2000, MATCH($A417, Joined!$I$3:$I$2000, FALSE), 5)</f>
        <v>152609</v>
      </c>
      <c r="E417" t="str">
        <f>INDEX(Joined!$A$3:$M$2000, MATCH($A417, Joined!$I$3:$I$2000, FALSE), 7)</f>
        <v>VAV-10E-22</v>
      </c>
      <c r="F417" t="s">
        <v>38</v>
      </c>
      <c r="G417" t="str">
        <f>INDEX(Schedule!$Q$2:$R$7, MATCH(ABT!$H417,Schedule!$Q$2:$Q$7, 0), 2)</f>
        <v>15010_DXR_VAV_DXR2M12</v>
      </c>
      <c r="H417">
        <f>INDEX(Joined!$A$3:$M$2000, MATCH($A417, Joined!$I$3:$I$2000, FALSE), 6)</f>
        <v>15010</v>
      </c>
      <c r="I417" t="str">
        <f>INDEX(Joined!$A$3:$M$2000, MATCH($A417, Joined!$I$3:$I$2000, FALSE), 4)</f>
        <v>526</v>
      </c>
      <c r="J417" t="b">
        <v>0</v>
      </c>
      <c r="K417">
        <f>INDEX(Joined!$A$3:$M$2000, MATCH($A417, Joined!$I$3:$I$2000, FALSE), 3)</f>
        <v>9</v>
      </c>
      <c r="L417">
        <v>85</v>
      </c>
      <c r="M417">
        <v>38400</v>
      </c>
      <c r="N417" s="27">
        <f>PI()*(INDEX(Schedule!$A$1:$N$2000, MATCH($C417, VAV_Schedule_5_21[[#All],[UNIT TAG]], FALSE), 4)/2/12)^2</f>
        <v>0.19634954084936207</v>
      </c>
      <c r="O417" s="27">
        <f>INDEX(Schedule!$A$1:$N$2000, MATCH($C417, VAV_Schedule_5_21[[#All],[UNIT TAG]], FALSE), 4)</f>
        <v>6</v>
      </c>
      <c r="P417">
        <v>415.63</v>
      </c>
      <c r="Q417" s="27">
        <f>INDEX(Schedule!$A$1:$N$2000, MATCH($C417, VAV_Schedule_5_21[[#All],[UNIT TAG]], FALSE), 5)</f>
        <v>185</v>
      </c>
      <c r="R417" s="27">
        <f>INDEX(Schedule!$A$1:$N$2000, MATCH($C417, VAV_Schedule_5_21[[#All],[UNIT TAG]], FALSE), 6)</f>
        <v>30</v>
      </c>
      <c r="S417" s="27">
        <f>INDEX(Schedule!$A$1:$N$2000, MATCH($C417, VAV_Schedule_5_21[[#All],[UNIT TAG]], FALSE), 5)</f>
        <v>185</v>
      </c>
      <c r="T417" s="27">
        <f>INDEX(Schedule!$A$1:$N$2000, MATCH($C417, VAV_Schedule_5_21[[#All],[UNIT TAG]], FALSE), 6)</f>
        <v>30</v>
      </c>
      <c r="U417" s="27">
        <f>INDEX(Schedule!$A$1:$N$2000, MATCH($C417, VAV_Schedule_5_21[[#All],[UNIT TAG]], FALSE), 5)</f>
        <v>185</v>
      </c>
      <c r="V417" s="27">
        <f>INDEX(Schedule!$A$1:$N$2000, MATCH($C417, VAV_Schedule_5_21[[#All],[UNIT TAG]], FALSE), 6)</f>
        <v>30</v>
      </c>
      <c r="W417" s="27">
        <f>INDEX(Schedule!$A$1:$N$2000, MATCH($C417, VAV_Schedule_5_21[[#All],[UNIT TAG]], FALSE), 6)</f>
        <v>30</v>
      </c>
      <c r="X417" s="27">
        <f>INDEX(Schedule!$A$1:$N$2000, MATCH($C417, VAV_Schedule_5_21[[#All],[UNIT TAG]], FALSE), 6)</f>
        <v>30</v>
      </c>
      <c r="Y417" s="27">
        <f>INDEX(Schedule!$A$1:$N$2000, MATCH($C417, VAV_Schedule_5_21[[#All],[UNIT TAG]], FALSE), 6)</f>
        <v>30</v>
      </c>
      <c r="Z417" s="27">
        <f>INDEX(Schedule!$A$1:$N$2000, MATCH($C417, VAV_Schedule_5_21[[#All],[UNIT TAG]], FALSE), 6)</f>
        <v>30</v>
      </c>
      <c r="AA417" s="27">
        <v>1000</v>
      </c>
      <c r="AB417" s="27">
        <v>1100</v>
      </c>
      <c r="AC417">
        <v>1400</v>
      </c>
      <c r="AD417" s="29">
        <f>IF(INDEX(Schedule!$A$1:$N$2000, MATCH($C417, VAV_Schedule_5_21[[#All],[UNIT TAG]], FALSE), 7)="-", 0, INDEX(Schedule!$A$1:$N$2000, MATCH($C417, VAV_Schedule_5_21[[#All],[UNIT TAG]], FALSE), 7))</f>
        <v>0</v>
      </c>
      <c r="AE417" t="str">
        <f>"B_01'" &amp; "Flr_0" &amp; INDEX(Joined!$A$3:$M$2000, MATCH($A417, Joined!$I$3:$I$2000, FALSE), 8)</f>
        <v>B_01'Flr_010</v>
      </c>
      <c r="AF417" t="str">
        <f>"R_" &amp; INDEX(Joined!$A$3:$M$2000, MATCH($A417, Joined!$I$3:$I$2000, FALSE), 7)</f>
        <v>R_VAV-10E-22</v>
      </c>
      <c r="AG417" t="str">
        <f>"B_01'" &amp; "Flr_0" &amp; INDEX(Joined!$A$3:$M$2000, MATCH($A417, Joined!$I$3:$I$2000, FALSE), 8)</f>
        <v>B_01'Flr_010</v>
      </c>
      <c r="AH417" t="str">
        <f>INDEX(Joined!$A$3:$M$2000, MATCH($A417, Joined!$I$3:$I$2000, FALSE), 7)</f>
        <v>VAV-10E-22</v>
      </c>
      <c r="AI417" t="s">
        <v>1745</v>
      </c>
    </row>
    <row r="418" spans="1:35" x14ac:dyDescent="0.2">
      <c r="A418" t="s">
        <v>1279</v>
      </c>
      <c r="B418" t="str">
        <f>"B_01'" &amp; "Flr_0" &amp; INDEX(Joined!$A$3:$M$2000, MATCH($A418, Joined!$I$3:$I$2000, FALSE), 8)</f>
        <v>B_01'Flr_010</v>
      </c>
      <c r="C418" t="str">
        <f>INDEX(Joined!$A$3:$M$2000, MATCH($A418, Joined!$I$3:$I$2000, FALSE), 7)</f>
        <v>VAV-10E-23</v>
      </c>
      <c r="D418">
        <f>INDEX(Joined!$A$3:$M$2000, MATCH($A418, Joined!$I$3:$I$2000, FALSE), 5)</f>
        <v>152610</v>
      </c>
      <c r="E418" t="str">
        <f>INDEX(Joined!$A$3:$M$2000, MATCH($A418, Joined!$I$3:$I$2000, FALSE), 7)</f>
        <v>VAV-10E-23</v>
      </c>
      <c r="F418" t="s">
        <v>38</v>
      </c>
      <c r="G418" t="str">
        <f>INDEX(Schedule!$Q$2:$R$7, MATCH(ABT!$H418,Schedule!$Q$2:$Q$7, 0), 2)</f>
        <v>15011_DXR_VAV_DXR2M12</v>
      </c>
      <c r="H418">
        <f>INDEX(Joined!$A$3:$M$2000, MATCH($A418, Joined!$I$3:$I$2000, FALSE), 6)</f>
        <v>15011</v>
      </c>
      <c r="I418" t="str">
        <f>INDEX(Joined!$A$3:$M$2000, MATCH($A418, Joined!$I$3:$I$2000, FALSE), 4)</f>
        <v>526</v>
      </c>
      <c r="J418" t="b">
        <v>0</v>
      </c>
      <c r="K418">
        <f>INDEX(Joined!$A$3:$M$2000, MATCH($A418, Joined!$I$3:$I$2000, FALSE), 3)</f>
        <v>10</v>
      </c>
      <c r="L418">
        <v>85</v>
      </c>
      <c r="M418">
        <v>38400</v>
      </c>
      <c r="N418" s="27">
        <f>PI()*(INDEX(Schedule!$A$1:$N$2000, MATCH($C418, VAV_Schedule_5_21[[#All],[UNIT TAG]], FALSE), 4)/2/12)^2</f>
        <v>0.54541539124822802</v>
      </c>
      <c r="O418" s="27">
        <f>INDEX(Schedule!$A$1:$N$2000, MATCH($C418, VAV_Schedule_5_21[[#All],[UNIT TAG]], FALSE), 4)</f>
        <v>10</v>
      </c>
      <c r="P418">
        <v>416.63</v>
      </c>
      <c r="Q418" s="27">
        <f>INDEX(Schedule!$A$1:$N$2000, MATCH($C418, VAV_Schedule_5_21[[#All],[UNIT TAG]], FALSE), 5)</f>
        <v>1050</v>
      </c>
      <c r="R418" s="27">
        <f>INDEX(Schedule!$A$1:$N$2000, MATCH($C418, VAV_Schedule_5_21[[#All],[UNIT TAG]], FALSE), 6)</f>
        <v>160</v>
      </c>
      <c r="S418" s="27">
        <f>INDEX(Schedule!$A$1:$N$2000, MATCH($C418, VAV_Schedule_5_21[[#All],[UNIT TAG]], FALSE), 5)</f>
        <v>1050</v>
      </c>
      <c r="T418" s="27">
        <f>INDEX(Schedule!$A$1:$N$2000, MATCH($C418, VAV_Schedule_5_21[[#All],[UNIT TAG]], FALSE), 6)</f>
        <v>160</v>
      </c>
      <c r="U418" s="27">
        <f>INDEX(Schedule!$A$1:$N$2000, MATCH($C418, VAV_Schedule_5_21[[#All],[UNIT TAG]], FALSE), 5)</f>
        <v>1050</v>
      </c>
      <c r="V418" s="27">
        <f>INDEX(Schedule!$A$1:$N$2000, MATCH($C418, VAV_Schedule_5_21[[#All],[UNIT TAG]], FALSE), 6)</f>
        <v>160</v>
      </c>
      <c r="W418" s="27">
        <f>INDEX(Schedule!$A$1:$N$2000, MATCH($C418, VAV_Schedule_5_21[[#All],[UNIT TAG]], FALSE), 6)</f>
        <v>160</v>
      </c>
      <c r="X418" s="27">
        <f>INDEX(Schedule!$A$1:$N$2000, MATCH($C418, VAV_Schedule_5_21[[#All],[UNIT TAG]], FALSE), 6)</f>
        <v>160</v>
      </c>
      <c r="Y418" s="27">
        <f>INDEX(Schedule!$A$1:$N$2000, MATCH($C418, VAV_Schedule_5_21[[#All],[UNIT TAG]], FALSE), 6)</f>
        <v>160</v>
      </c>
      <c r="Z418" s="27">
        <f>INDEX(Schedule!$A$1:$N$2000, MATCH($C418, VAV_Schedule_5_21[[#All],[UNIT TAG]], FALSE), 6)</f>
        <v>160</v>
      </c>
      <c r="AA418" s="27">
        <v>1000</v>
      </c>
      <c r="AB418" s="27">
        <v>1100</v>
      </c>
      <c r="AC418">
        <v>1400</v>
      </c>
      <c r="AD418" s="29" t="str">
        <f>IF(INDEX(Schedule!$A$1:$N$2000, MATCH($C418, VAV_Schedule_5_21[[#All],[UNIT TAG]], FALSE), 7)="-", 0, INDEX(Schedule!$A$1:$N$2000, MATCH($C418, VAV_Schedule_5_21[[#All],[UNIT TAG]], FALSE), 7))</f>
        <v>7</v>
      </c>
      <c r="AE418" t="str">
        <f>"B_01'" &amp; "Flr_0" &amp; INDEX(Joined!$A$3:$M$2000, MATCH($A418, Joined!$I$3:$I$2000, FALSE), 8)</f>
        <v>B_01'Flr_010</v>
      </c>
      <c r="AF418" t="str">
        <f>"R_" &amp; INDEX(Joined!$A$3:$M$2000, MATCH($A418, Joined!$I$3:$I$2000, FALSE), 7)</f>
        <v>R_VAV-10E-23</v>
      </c>
      <c r="AG418" t="str">
        <f>"B_01'" &amp; "Flr_0" &amp; INDEX(Joined!$A$3:$M$2000, MATCH($A418, Joined!$I$3:$I$2000, FALSE), 8)</f>
        <v>B_01'Flr_010</v>
      </c>
      <c r="AH418" t="str">
        <f>INDEX(Joined!$A$3:$M$2000, MATCH($A418, Joined!$I$3:$I$2000, FALSE), 7)</f>
        <v>VAV-10E-23</v>
      </c>
      <c r="AI418" t="s">
        <v>1746</v>
      </c>
    </row>
    <row r="419" spans="1:35" x14ac:dyDescent="0.2">
      <c r="A419" t="s">
        <v>1280</v>
      </c>
      <c r="B419" t="str">
        <f>"B_01'" &amp; "Flr_0" &amp; INDEX(Joined!$A$3:$M$2000, MATCH($A419, Joined!$I$3:$I$2000, FALSE), 8)</f>
        <v>B_01'Flr_010</v>
      </c>
      <c r="C419" t="str">
        <f>INDEX(Joined!$A$3:$M$2000, MATCH($A419, Joined!$I$3:$I$2000, FALSE), 7)</f>
        <v>VAV-10E-24</v>
      </c>
      <c r="D419">
        <f>INDEX(Joined!$A$3:$M$2000, MATCH($A419, Joined!$I$3:$I$2000, FALSE), 5)</f>
        <v>152611</v>
      </c>
      <c r="E419" t="str">
        <f>INDEX(Joined!$A$3:$M$2000, MATCH($A419, Joined!$I$3:$I$2000, FALSE), 7)</f>
        <v>VAV-10E-24</v>
      </c>
      <c r="F419" t="s">
        <v>38</v>
      </c>
      <c r="G419" t="str">
        <f>INDEX(Schedule!$Q$2:$R$7, MATCH(ABT!$H419,Schedule!$Q$2:$Q$7, 0), 2)</f>
        <v>15011_DXR_VAV_DXR2M12</v>
      </c>
      <c r="H419">
        <f>INDEX(Joined!$A$3:$M$2000, MATCH($A419, Joined!$I$3:$I$2000, FALSE), 6)</f>
        <v>15011</v>
      </c>
      <c r="I419" t="str">
        <f>INDEX(Joined!$A$3:$M$2000, MATCH($A419, Joined!$I$3:$I$2000, FALSE), 4)</f>
        <v>526</v>
      </c>
      <c r="J419" t="b">
        <v>0</v>
      </c>
      <c r="K419">
        <f>INDEX(Joined!$A$3:$M$2000, MATCH($A419, Joined!$I$3:$I$2000, FALSE), 3)</f>
        <v>11</v>
      </c>
      <c r="L419">
        <v>85</v>
      </c>
      <c r="M419">
        <v>38400</v>
      </c>
      <c r="N419" s="27">
        <f>PI()*(INDEX(Schedule!$A$1:$N$2000, MATCH($C419, VAV_Schedule_5_21[[#All],[UNIT TAG]], FALSE), 4)/2/12)^2</f>
        <v>0.3490658503988659</v>
      </c>
      <c r="O419" s="27">
        <f>INDEX(Schedule!$A$1:$N$2000, MATCH($C419, VAV_Schedule_5_21[[#All],[UNIT TAG]], FALSE), 4)</f>
        <v>8</v>
      </c>
      <c r="P419">
        <v>417.63</v>
      </c>
      <c r="Q419" s="27">
        <f>INDEX(Schedule!$A$1:$N$2000, MATCH($C419, VAV_Schedule_5_21[[#All],[UNIT TAG]], FALSE), 5)</f>
        <v>640</v>
      </c>
      <c r="R419" s="27">
        <f>INDEX(Schedule!$A$1:$N$2000, MATCH($C419, VAV_Schedule_5_21[[#All],[UNIT TAG]], FALSE), 6)</f>
        <v>100</v>
      </c>
      <c r="S419" s="27">
        <f>INDEX(Schedule!$A$1:$N$2000, MATCH($C419, VAV_Schedule_5_21[[#All],[UNIT TAG]], FALSE), 5)</f>
        <v>640</v>
      </c>
      <c r="T419" s="27">
        <f>INDEX(Schedule!$A$1:$N$2000, MATCH($C419, VAV_Schedule_5_21[[#All],[UNIT TAG]], FALSE), 6)</f>
        <v>100</v>
      </c>
      <c r="U419" s="27">
        <f>INDEX(Schedule!$A$1:$N$2000, MATCH($C419, VAV_Schedule_5_21[[#All],[UNIT TAG]], FALSE), 5)</f>
        <v>640</v>
      </c>
      <c r="V419" s="27">
        <f>INDEX(Schedule!$A$1:$N$2000, MATCH($C419, VAV_Schedule_5_21[[#All],[UNIT TAG]], FALSE), 6)</f>
        <v>100</v>
      </c>
      <c r="W419" s="27">
        <f>INDEX(Schedule!$A$1:$N$2000, MATCH($C419, VAV_Schedule_5_21[[#All],[UNIT TAG]], FALSE), 6)</f>
        <v>100</v>
      </c>
      <c r="X419" s="27">
        <f>INDEX(Schedule!$A$1:$N$2000, MATCH($C419, VAV_Schedule_5_21[[#All],[UNIT TAG]], FALSE), 6)</f>
        <v>100</v>
      </c>
      <c r="Y419" s="27">
        <f>INDEX(Schedule!$A$1:$N$2000, MATCH($C419, VAV_Schedule_5_21[[#All],[UNIT TAG]], FALSE), 6)</f>
        <v>100</v>
      </c>
      <c r="Z419" s="27">
        <f>INDEX(Schedule!$A$1:$N$2000, MATCH($C419, VAV_Schedule_5_21[[#All],[UNIT TAG]], FALSE), 6)</f>
        <v>100</v>
      </c>
      <c r="AA419" s="27">
        <v>1000</v>
      </c>
      <c r="AB419" s="27">
        <v>1100</v>
      </c>
      <c r="AC419">
        <v>1400</v>
      </c>
      <c r="AD419" s="29" t="str">
        <f>IF(INDEX(Schedule!$A$1:$N$2000, MATCH($C419, VAV_Schedule_5_21[[#All],[UNIT TAG]], FALSE), 7)="-", 0, INDEX(Schedule!$A$1:$N$2000, MATCH($C419, VAV_Schedule_5_21[[#All],[UNIT TAG]], FALSE), 7))</f>
        <v>6</v>
      </c>
      <c r="AE419" t="str">
        <f>"B_01'" &amp; "Flr_0" &amp; INDEX(Joined!$A$3:$M$2000, MATCH($A419, Joined!$I$3:$I$2000, FALSE), 8)</f>
        <v>B_01'Flr_010</v>
      </c>
      <c r="AF419" t="str">
        <f>"R_" &amp; INDEX(Joined!$A$3:$M$2000, MATCH($A419, Joined!$I$3:$I$2000, FALSE), 7)</f>
        <v>R_VAV-10E-24</v>
      </c>
      <c r="AG419" t="str">
        <f>"B_01'" &amp; "Flr_0" &amp; INDEX(Joined!$A$3:$M$2000, MATCH($A419, Joined!$I$3:$I$2000, FALSE), 8)</f>
        <v>B_01'Flr_010</v>
      </c>
      <c r="AH419" t="str">
        <f>INDEX(Joined!$A$3:$M$2000, MATCH($A419, Joined!$I$3:$I$2000, FALSE), 7)</f>
        <v>VAV-10E-24</v>
      </c>
      <c r="AI419" t="s">
        <v>1747</v>
      </c>
    </row>
    <row r="420" spans="1:35" x14ac:dyDescent="0.2">
      <c r="A420" t="s">
        <v>1281</v>
      </c>
      <c r="B420" t="str">
        <f>"B_01'" &amp; "Flr_0" &amp; INDEX(Joined!$A$3:$M$2000, MATCH($A420, Joined!$I$3:$I$2000, FALSE), 8)</f>
        <v>B_01'Flr_010</v>
      </c>
      <c r="C420" t="str">
        <f>INDEX(Joined!$A$3:$M$2000, MATCH($A420, Joined!$I$3:$I$2000, FALSE), 7)</f>
        <v>VAV-10E-25</v>
      </c>
      <c r="D420">
        <f>INDEX(Joined!$A$3:$M$2000, MATCH($A420, Joined!$I$3:$I$2000, FALSE), 5)</f>
        <v>152612</v>
      </c>
      <c r="E420" t="str">
        <f>INDEX(Joined!$A$3:$M$2000, MATCH($A420, Joined!$I$3:$I$2000, FALSE), 7)</f>
        <v>VAV-10E-25</v>
      </c>
      <c r="F420" t="s">
        <v>38</v>
      </c>
      <c r="G420" t="str">
        <f>INDEX(Schedule!$Q$2:$R$7, MATCH(ABT!$H420,Schedule!$Q$2:$Q$7, 0), 2)</f>
        <v>15011_DXR_VAV_DXR2M12</v>
      </c>
      <c r="H420">
        <f>INDEX(Joined!$A$3:$M$2000, MATCH($A420, Joined!$I$3:$I$2000, FALSE), 6)</f>
        <v>15011</v>
      </c>
      <c r="I420" t="str">
        <f>INDEX(Joined!$A$3:$M$2000, MATCH($A420, Joined!$I$3:$I$2000, FALSE), 4)</f>
        <v>526</v>
      </c>
      <c r="J420" t="b">
        <v>0</v>
      </c>
      <c r="K420">
        <f>INDEX(Joined!$A$3:$M$2000, MATCH($A420, Joined!$I$3:$I$2000, FALSE), 3)</f>
        <v>12</v>
      </c>
      <c r="L420">
        <v>85</v>
      </c>
      <c r="M420">
        <v>38400</v>
      </c>
      <c r="N420" s="27">
        <f>PI()*(INDEX(Schedule!$A$1:$N$2000, MATCH($C420, VAV_Schedule_5_21[[#All],[UNIT TAG]], FALSE), 4)/2/12)^2</f>
        <v>0.54541539124822802</v>
      </c>
      <c r="O420" s="27">
        <f>INDEX(Schedule!$A$1:$N$2000, MATCH($C420, VAV_Schedule_5_21[[#All],[UNIT TAG]], FALSE), 4)</f>
        <v>10</v>
      </c>
      <c r="P420">
        <v>418.63</v>
      </c>
      <c r="Q420" s="27">
        <f>INDEX(Schedule!$A$1:$N$2000, MATCH($C420, VAV_Schedule_5_21[[#All],[UNIT TAG]], FALSE), 5)</f>
        <v>860</v>
      </c>
      <c r="R420" s="27">
        <f>INDEX(Schedule!$A$1:$N$2000, MATCH($C420, VAV_Schedule_5_21[[#All],[UNIT TAG]], FALSE), 6)</f>
        <v>130</v>
      </c>
      <c r="S420" s="27">
        <f>INDEX(Schedule!$A$1:$N$2000, MATCH($C420, VAV_Schedule_5_21[[#All],[UNIT TAG]], FALSE), 5)</f>
        <v>860</v>
      </c>
      <c r="T420" s="27">
        <f>INDEX(Schedule!$A$1:$N$2000, MATCH($C420, VAV_Schedule_5_21[[#All],[UNIT TAG]], FALSE), 6)</f>
        <v>130</v>
      </c>
      <c r="U420" s="27">
        <f>INDEX(Schedule!$A$1:$N$2000, MATCH($C420, VAV_Schedule_5_21[[#All],[UNIT TAG]], FALSE), 5)</f>
        <v>860</v>
      </c>
      <c r="V420" s="27">
        <f>INDEX(Schedule!$A$1:$N$2000, MATCH($C420, VAV_Schedule_5_21[[#All],[UNIT TAG]], FALSE), 6)</f>
        <v>130</v>
      </c>
      <c r="W420" s="27">
        <f>INDEX(Schedule!$A$1:$N$2000, MATCH($C420, VAV_Schedule_5_21[[#All],[UNIT TAG]], FALSE), 6)</f>
        <v>130</v>
      </c>
      <c r="X420" s="27">
        <f>INDEX(Schedule!$A$1:$N$2000, MATCH($C420, VAV_Schedule_5_21[[#All],[UNIT TAG]], FALSE), 6)</f>
        <v>130</v>
      </c>
      <c r="Y420" s="27">
        <f>INDEX(Schedule!$A$1:$N$2000, MATCH($C420, VAV_Schedule_5_21[[#All],[UNIT TAG]], FALSE), 6)</f>
        <v>130</v>
      </c>
      <c r="Z420" s="27">
        <f>INDEX(Schedule!$A$1:$N$2000, MATCH($C420, VAV_Schedule_5_21[[#All],[UNIT TAG]], FALSE), 6)</f>
        <v>130</v>
      </c>
      <c r="AA420" s="27">
        <v>1000</v>
      </c>
      <c r="AB420" s="27">
        <v>1100</v>
      </c>
      <c r="AC420">
        <v>1400</v>
      </c>
      <c r="AD420" s="29" t="str">
        <f>IF(INDEX(Schedule!$A$1:$N$2000, MATCH($C420, VAV_Schedule_5_21[[#All],[UNIT TAG]], FALSE), 7)="-", 0, INDEX(Schedule!$A$1:$N$2000, MATCH($C420, VAV_Schedule_5_21[[#All],[UNIT TAG]], FALSE), 7))</f>
        <v>6</v>
      </c>
      <c r="AE420" t="str">
        <f>"B_01'" &amp; "Flr_0" &amp; INDEX(Joined!$A$3:$M$2000, MATCH($A420, Joined!$I$3:$I$2000, FALSE), 8)</f>
        <v>B_01'Flr_010</v>
      </c>
      <c r="AF420" t="str">
        <f>"R_" &amp; INDEX(Joined!$A$3:$M$2000, MATCH($A420, Joined!$I$3:$I$2000, FALSE), 7)</f>
        <v>R_VAV-10E-25</v>
      </c>
      <c r="AG420" t="str">
        <f>"B_01'" &amp; "Flr_0" &amp; INDEX(Joined!$A$3:$M$2000, MATCH($A420, Joined!$I$3:$I$2000, FALSE), 8)</f>
        <v>B_01'Flr_010</v>
      </c>
      <c r="AH420" t="str">
        <f>INDEX(Joined!$A$3:$M$2000, MATCH($A420, Joined!$I$3:$I$2000, FALSE), 7)</f>
        <v>VAV-10E-25</v>
      </c>
      <c r="AI420" t="s">
        <v>1748</v>
      </c>
    </row>
    <row r="421" spans="1:35" x14ac:dyDescent="0.2">
      <c r="A421" t="s">
        <v>1282</v>
      </c>
      <c r="B421" t="str">
        <f>"B_01'" &amp; "Flr_0" &amp; INDEX(Joined!$A$3:$M$2000, MATCH($A421, Joined!$I$3:$I$2000, FALSE), 8)</f>
        <v>B_01'Flr_010</v>
      </c>
      <c r="C421" t="str">
        <f>INDEX(Joined!$A$3:$M$2000, MATCH($A421, Joined!$I$3:$I$2000, FALSE), 7)</f>
        <v>VAV-10E-26</v>
      </c>
      <c r="D421">
        <f>INDEX(Joined!$A$3:$M$2000, MATCH($A421, Joined!$I$3:$I$2000, FALSE), 5)</f>
        <v>152613</v>
      </c>
      <c r="E421" t="str">
        <f>INDEX(Joined!$A$3:$M$2000, MATCH($A421, Joined!$I$3:$I$2000, FALSE), 7)</f>
        <v>VAV-10E-26</v>
      </c>
      <c r="F421" t="s">
        <v>38</v>
      </c>
      <c r="G421" t="str">
        <f>INDEX(Schedule!$Q$2:$R$7, MATCH(ABT!$H421,Schedule!$Q$2:$Q$7, 0), 2)</f>
        <v>15011_DXR_VAV_DXR2M12</v>
      </c>
      <c r="H421">
        <f>INDEX(Joined!$A$3:$M$2000, MATCH($A421, Joined!$I$3:$I$2000, FALSE), 6)</f>
        <v>15011</v>
      </c>
      <c r="I421" t="str">
        <f>INDEX(Joined!$A$3:$M$2000, MATCH($A421, Joined!$I$3:$I$2000, FALSE), 4)</f>
        <v>526</v>
      </c>
      <c r="J421" t="b">
        <v>0</v>
      </c>
      <c r="K421">
        <f>INDEX(Joined!$A$3:$M$2000, MATCH($A421, Joined!$I$3:$I$2000, FALSE), 3)</f>
        <v>13</v>
      </c>
      <c r="L421">
        <v>85</v>
      </c>
      <c r="M421">
        <v>38400</v>
      </c>
      <c r="N421" s="27">
        <f>PI()*(INDEX(Schedule!$A$1:$N$2000, MATCH($C421, VAV_Schedule_5_21[[#All],[UNIT TAG]], FALSE), 4)/2/12)^2</f>
        <v>0.3490658503988659</v>
      </c>
      <c r="O421" s="27">
        <f>INDEX(Schedule!$A$1:$N$2000, MATCH($C421, VAV_Schedule_5_21[[#All],[UNIT TAG]], FALSE), 4)</f>
        <v>8</v>
      </c>
      <c r="P421">
        <v>419.63</v>
      </c>
      <c r="Q421" s="27">
        <f>INDEX(Schedule!$A$1:$N$2000, MATCH($C421, VAV_Schedule_5_21[[#All],[UNIT TAG]], FALSE), 5)</f>
        <v>690</v>
      </c>
      <c r="R421" s="27">
        <f>INDEX(Schedule!$A$1:$N$2000, MATCH($C421, VAV_Schedule_5_21[[#All],[UNIT TAG]], FALSE), 6)</f>
        <v>105</v>
      </c>
      <c r="S421" s="27">
        <f>INDEX(Schedule!$A$1:$N$2000, MATCH($C421, VAV_Schedule_5_21[[#All],[UNIT TAG]], FALSE), 5)</f>
        <v>690</v>
      </c>
      <c r="T421" s="27">
        <f>INDEX(Schedule!$A$1:$N$2000, MATCH($C421, VAV_Schedule_5_21[[#All],[UNIT TAG]], FALSE), 6)</f>
        <v>105</v>
      </c>
      <c r="U421" s="27">
        <f>INDEX(Schedule!$A$1:$N$2000, MATCH($C421, VAV_Schedule_5_21[[#All],[UNIT TAG]], FALSE), 5)</f>
        <v>690</v>
      </c>
      <c r="V421" s="27">
        <f>INDEX(Schedule!$A$1:$N$2000, MATCH($C421, VAV_Schedule_5_21[[#All],[UNIT TAG]], FALSE), 6)</f>
        <v>105</v>
      </c>
      <c r="W421" s="27">
        <f>INDEX(Schedule!$A$1:$N$2000, MATCH($C421, VAV_Schedule_5_21[[#All],[UNIT TAG]], FALSE), 6)</f>
        <v>105</v>
      </c>
      <c r="X421" s="27">
        <f>INDEX(Schedule!$A$1:$N$2000, MATCH($C421, VAV_Schedule_5_21[[#All],[UNIT TAG]], FALSE), 6)</f>
        <v>105</v>
      </c>
      <c r="Y421" s="27">
        <f>INDEX(Schedule!$A$1:$N$2000, MATCH($C421, VAV_Schedule_5_21[[#All],[UNIT TAG]], FALSE), 6)</f>
        <v>105</v>
      </c>
      <c r="Z421" s="27">
        <f>INDEX(Schedule!$A$1:$N$2000, MATCH($C421, VAV_Schedule_5_21[[#All],[UNIT TAG]], FALSE), 6)</f>
        <v>105</v>
      </c>
      <c r="AA421" s="27">
        <v>1000</v>
      </c>
      <c r="AB421" s="27">
        <v>1100</v>
      </c>
      <c r="AC421">
        <v>1400</v>
      </c>
      <c r="AD421" s="29" t="str">
        <f>IF(INDEX(Schedule!$A$1:$N$2000, MATCH($C421, VAV_Schedule_5_21[[#All],[UNIT TAG]], FALSE), 7)="-", 0, INDEX(Schedule!$A$1:$N$2000, MATCH($C421, VAV_Schedule_5_21[[#All],[UNIT TAG]], FALSE), 7))</f>
        <v>6</v>
      </c>
      <c r="AE421" t="str">
        <f>"B_01'" &amp; "Flr_0" &amp; INDEX(Joined!$A$3:$M$2000, MATCH($A421, Joined!$I$3:$I$2000, FALSE), 8)</f>
        <v>B_01'Flr_010</v>
      </c>
      <c r="AF421" t="str">
        <f>"R_" &amp; INDEX(Joined!$A$3:$M$2000, MATCH($A421, Joined!$I$3:$I$2000, FALSE), 7)</f>
        <v>R_VAV-10E-26</v>
      </c>
      <c r="AG421" t="str">
        <f>"B_01'" &amp; "Flr_0" &amp; INDEX(Joined!$A$3:$M$2000, MATCH($A421, Joined!$I$3:$I$2000, FALSE), 8)</f>
        <v>B_01'Flr_010</v>
      </c>
      <c r="AH421" t="str">
        <f>INDEX(Joined!$A$3:$M$2000, MATCH($A421, Joined!$I$3:$I$2000, FALSE), 7)</f>
        <v>VAV-10E-26</v>
      </c>
      <c r="AI421" t="s">
        <v>1749</v>
      </c>
    </row>
    <row r="422" spans="1:35" x14ac:dyDescent="0.2">
      <c r="A422" t="s">
        <v>1283</v>
      </c>
      <c r="B422" t="str">
        <f>"B_01'" &amp; "Flr_0" &amp; INDEX(Joined!$A$3:$M$2000, MATCH($A422, Joined!$I$3:$I$2000, FALSE), 8)</f>
        <v>B_01'Flr_010</v>
      </c>
      <c r="C422" t="str">
        <f>INDEX(Joined!$A$3:$M$2000, MATCH($A422, Joined!$I$3:$I$2000, FALSE), 7)</f>
        <v>VAV-10E-27</v>
      </c>
      <c r="D422">
        <f>INDEX(Joined!$A$3:$M$2000, MATCH($A422, Joined!$I$3:$I$2000, FALSE), 5)</f>
        <v>152614</v>
      </c>
      <c r="E422" t="str">
        <f>INDEX(Joined!$A$3:$M$2000, MATCH($A422, Joined!$I$3:$I$2000, FALSE), 7)</f>
        <v>VAV-10E-27</v>
      </c>
      <c r="F422" t="s">
        <v>38</v>
      </c>
      <c r="G422" t="str">
        <f>INDEX(Schedule!$Q$2:$R$7, MATCH(ABT!$H422,Schedule!$Q$2:$Q$7, 0), 2)</f>
        <v>15010_DXR_VAV_DXR2M12</v>
      </c>
      <c r="H422">
        <f>INDEX(Joined!$A$3:$M$2000, MATCH($A422, Joined!$I$3:$I$2000, FALSE), 6)</f>
        <v>15010</v>
      </c>
      <c r="I422" t="str">
        <f>INDEX(Joined!$A$3:$M$2000, MATCH($A422, Joined!$I$3:$I$2000, FALSE), 4)</f>
        <v>526</v>
      </c>
      <c r="J422" t="b">
        <v>0</v>
      </c>
      <c r="K422">
        <f>INDEX(Joined!$A$3:$M$2000, MATCH($A422, Joined!$I$3:$I$2000, FALSE), 3)</f>
        <v>14</v>
      </c>
      <c r="L422">
        <v>85</v>
      </c>
      <c r="M422">
        <v>38400</v>
      </c>
      <c r="N422" s="27">
        <f>PI()*(INDEX(Schedule!$A$1:$N$2000, MATCH($C422, VAV_Schedule_5_21[[#All],[UNIT TAG]], FALSE), 4)/2/12)^2</f>
        <v>0.78539816339744828</v>
      </c>
      <c r="O422" s="27">
        <f>INDEX(Schedule!$A$1:$N$2000, MATCH($C422, VAV_Schedule_5_21[[#All],[UNIT TAG]], FALSE), 4)</f>
        <v>12</v>
      </c>
      <c r="P422">
        <v>420.63</v>
      </c>
      <c r="Q422" s="27">
        <f>INDEX(Schedule!$A$1:$N$2000, MATCH($C422, VAV_Schedule_5_21[[#All],[UNIT TAG]], FALSE), 5)</f>
        <v>1310</v>
      </c>
      <c r="R422" s="27">
        <f>INDEX(Schedule!$A$1:$N$2000, MATCH($C422, VAV_Schedule_5_21[[#All],[UNIT TAG]], FALSE), 6)</f>
        <v>200</v>
      </c>
      <c r="S422" s="27">
        <f>INDEX(Schedule!$A$1:$N$2000, MATCH($C422, VAV_Schedule_5_21[[#All],[UNIT TAG]], FALSE), 5)</f>
        <v>1310</v>
      </c>
      <c r="T422" s="27">
        <f>INDEX(Schedule!$A$1:$N$2000, MATCH($C422, VAV_Schedule_5_21[[#All],[UNIT TAG]], FALSE), 6)</f>
        <v>200</v>
      </c>
      <c r="U422" s="27">
        <f>INDEX(Schedule!$A$1:$N$2000, MATCH($C422, VAV_Schedule_5_21[[#All],[UNIT TAG]], FALSE), 5)</f>
        <v>1310</v>
      </c>
      <c r="V422" s="27">
        <f>INDEX(Schedule!$A$1:$N$2000, MATCH($C422, VAV_Schedule_5_21[[#All],[UNIT TAG]], FALSE), 6)</f>
        <v>200</v>
      </c>
      <c r="W422" s="27">
        <f>INDEX(Schedule!$A$1:$N$2000, MATCH($C422, VAV_Schedule_5_21[[#All],[UNIT TAG]], FALSE), 6)</f>
        <v>200</v>
      </c>
      <c r="X422" s="27">
        <f>INDEX(Schedule!$A$1:$N$2000, MATCH($C422, VAV_Schedule_5_21[[#All],[UNIT TAG]], FALSE), 6)</f>
        <v>200</v>
      </c>
      <c r="Y422" s="27">
        <f>INDEX(Schedule!$A$1:$N$2000, MATCH($C422, VAV_Schedule_5_21[[#All],[UNIT TAG]], FALSE), 6)</f>
        <v>200</v>
      </c>
      <c r="Z422" s="27">
        <f>INDEX(Schedule!$A$1:$N$2000, MATCH($C422, VAV_Schedule_5_21[[#All],[UNIT TAG]], FALSE), 6)</f>
        <v>200</v>
      </c>
      <c r="AA422" s="27">
        <v>1000</v>
      </c>
      <c r="AB422" s="27">
        <v>1100</v>
      </c>
      <c r="AC422">
        <v>1400</v>
      </c>
      <c r="AD422" s="29">
        <f>IF(INDEX(Schedule!$A$1:$N$2000, MATCH($C422, VAV_Schedule_5_21[[#All],[UNIT TAG]], FALSE), 7)="-", 0, INDEX(Schedule!$A$1:$N$2000, MATCH($C422, VAV_Schedule_5_21[[#All],[UNIT TAG]], FALSE), 7))</f>
        <v>0</v>
      </c>
      <c r="AE422" t="str">
        <f>"B_01'" &amp; "Flr_0" &amp; INDEX(Joined!$A$3:$M$2000, MATCH($A422, Joined!$I$3:$I$2000, FALSE), 8)</f>
        <v>B_01'Flr_010</v>
      </c>
      <c r="AF422" t="str">
        <f>"R_" &amp; INDEX(Joined!$A$3:$M$2000, MATCH($A422, Joined!$I$3:$I$2000, FALSE), 7)</f>
        <v>R_VAV-10E-27</v>
      </c>
      <c r="AG422" t="str">
        <f>"B_01'" &amp; "Flr_0" &amp; INDEX(Joined!$A$3:$M$2000, MATCH($A422, Joined!$I$3:$I$2000, FALSE), 8)</f>
        <v>B_01'Flr_010</v>
      </c>
      <c r="AH422" t="str">
        <f>INDEX(Joined!$A$3:$M$2000, MATCH($A422, Joined!$I$3:$I$2000, FALSE), 7)</f>
        <v>VAV-10E-27</v>
      </c>
      <c r="AI422" t="s">
        <v>1750</v>
      </c>
    </row>
    <row r="423" spans="1:35" x14ac:dyDescent="0.2">
      <c r="A423" t="s">
        <v>1284</v>
      </c>
      <c r="B423" t="str">
        <f>"B_01'" &amp; "Flr_0" &amp; INDEX(Joined!$A$3:$M$2000, MATCH($A423, Joined!$I$3:$I$2000, FALSE), 8)</f>
        <v>B_01'Flr_010</v>
      </c>
      <c r="C423" t="str">
        <f>INDEX(Joined!$A$3:$M$2000, MATCH($A423, Joined!$I$3:$I$2000, FALSE), 7)</f>
        <v>VAV-10E-28</v>
      </c>
      <c r="D423">
        <f>INDEX(Joined!$A$3:$M$2000, MATCH($A423, Joined!$I$3:$I$2000, FALSE), 5)</f>
        <v>152615</v>
      </c>
      <c r="E423" t="str">
        <f>INDEX(Joined!$A$3:$M$2000, MATCH($A423, Joined!$I$3:$I$2000, FALSE), 7)</f>
        <v>VAV-10E-28</v>
      </c>
      <c r="F423" t="s">
        <v>38</v>
      </c>
      <c r="G423" t="str">
        <f>INDEX(Schedule!$Q$2:$R$7, MATCH(ABT!$H423,Schedule!$Q$2:$Q$7, 0), 2)</f>
        <v>15010_DXR_VAV_DXR2M12</v>
      </c>
      <c r="H423">
        <f>INDEX(Joined!$A$3:$M$2000, MATCH($A423, Joined!$I$3:$I$2000, FALSE), 6)</f>
        <v>15010</v>
      </c>
      <c r="I423" t="str">
        <f>INDEX(Joined!$A$3:$M$2000, MATCH($A423, Joined!$I$3:$I$2000, FALSE), 4)</f>
        <v>526</v>
      </c>
      <c r="J423" t="b">
        <v>0</v>
      </c>
      <c r="K423">
        <f>INDEX(Joined!$A$3:$M$2000, MATCH($A423, Joined!$I$3:$I$2000, FALSE), 3)</f>
        <v>15</v>
      </c>
      <c r="L423">
        <v>85</v>
      </c>
      <c r="M423">
        <v>38400</v>
      </c>
      <c r="N423" s="27">
        <f>PI()*(INDEX(Schedule!$A$1:$N$2000, MATCH($C423, VAV_Schedule_5_21[[#All],[UNIT TAG]], FALSE), 4)/2/12)^2</f>
        <v>0.3490658503988659</v>
      </c>
      <c r="O423" s="27">
        <f>INDEX(Schedule!$A$1:$N$2000, MATCH($C423, VAV_Schedule_5_21[[#All],[UNIT TAG]], FALSE), 4)</f>
        <v>8</v>
      </c>
      <c r="P423">
        <v>421.63</v>
      </c>
      <c r="Q423" s="27">
        <f>INDEX(Schedule!$A$1:$N$2000, MATCH($C423, VAV_Schedule_5_21[[#All],[UNIT TAG]], FALSE), 5)</f>
        <v>680</v>
      </c>
      <c r="R423" s="27">
        <f>INDEX(Schedule!$A$1:$N$2000, MATCH($C423, VAV_Schedule_5_21[[#All],[UNIT TAG]], FALSE), 6)</f>
        <v>105</v>
      </c>
      <c r="S423" s="27">
        <f>INDEX(Schedule!$A$1:$N$2000, MATCH($C423, VAV_Schedule_5_21[[#All],[UNIT TAG]], FALSE), 5)</f>
        <v>680</v>
      </c>
      <c r="T423" s="27">
        <f>INDEX(Schedule!$A$1:$N$2000, MATCH($C423, VAV_Schedule_5_21[[#All],[UNIT TAG]], FALSE), 6)</f>
        <v>105</v>
      </c>
      <c r="U423" s="27">
        <f>INDEX(Schedule!$A$1:$N$2000, MATCH($C423, VAV_Schedule_5_21[[#All],[UNIT TAG]], FALSE), 5)</f>
        <v>680</v>
      </c>
      <c r="V423" s="27">
        <f>INDEX(Schedule!$A$1:$N$2000, MATCH($C423, VAV_Schedule_5_21[[#All],[UNIT TAG]], FALSE), 6)</f>
        <v>105</v>
      </c>
      <c r="W423" s="27">
        <f>INDEX(Schedule!$A$1:$N$2000, MATCH($C423, VAV_Schedule_5_21[[#All],[UNIT TAG]], FALSE), 6)</f>
        <v>105</v>
      </c>
      <c r="X423" s="27">
        <f>INDEX(Schedule!$A$1:$N$2000, MATCH($C423, VAV_Schedule_5_21[[#All],[UNIT TAG]], FALSE), 6)</f>
        <v>105</v>
      </c>
      <c r="Y423" s="27">
        <f>INDEX(Schedule!$A$1:$N$2000, MATCH($C423, VAV_Schedule_5_21[[#All],[UNIT TAG]], FALSE), 6)</f>
        <v>105</v>
      </c>
      <c r="Z423" s="27">
        <f>INDEX(Schedule!$A$1:$N$2000, MATCH($C423, VAV_Schedule_5_21[[#All],[UNIT TAG]], FALSE), 6)</f>
        <v>105</v>
      </c>
      <c r="AA423" s="27">
        <v>1000</v>
      </c>
      <c r="AB423" s="27">
        <v>1100</v>
      </c>
      <c r="AC423">
        <v>1400</v>
      </c>
      <c r="AD423" s="29">
        <f>IF(INDEX(Schedule!$A$1:$N$2000, MATCH($C423, VAV_Schedule_5_21[[#All],[UNIT TAG]], FALSE), 7)="-", 0, INDEX(Schedule!$A$1:$N$2000, MATCH($C423, VAV_Schedule_5_21[[#All],[UNIT TAG]], FALSE), 7))</f>
        <v>0</v>
      </c>
      <c r="AE423" t="str">
        <f>"B_01'" &amp; "Flr_0" &amp; INDEX(Joined!$A$3:$M$2000, MATCH($A423, Joined!$I$3:$I$2000, FALSE), 8)</f>
        <v>B_01'Flr_010</v>
      </c>
      <c r="AF423" t="str">
        <f>"R_" &amp; INDEX(Joined!$A$3:$M$2000, MATCH($A423, Joined!$I$3:$I$2000, FALSE), 7)</f>
        <v>R_VAV-10E-28</v>
      </c>
      <c r="AG423" t="str">
        <f>"B_01'" &amp; "Flr_0" &amp; INDEX(Joined!$A$3:$M$2000, MATCH($A423, Joined!$I$3:$I$2000, FALSE), 8)</f>
        <v>B_01'Flr_010</v>
      </c>
      <c r="AH423" t="str">
        <f>INDEX(Joined!$A$3:$M$2000, MATCH($A423, Joined!$I$3:$I$2000, FALSE), 7)</f>
        <v>VAV-10E-28</v>
      </c>
      <c r="AI423" t="s">
        <v>1751</v>
      </c>
    </row>
    <row r="424" spans="1:35" x14ac:dyDescent="0.2">
      <c r="A424" t="s">
        <v>1285</v>
      </c>
      <c r="B424" t="str">
        <f>"B_01'" &amp; "Flr_0" &amp; INDEX(Joined!$A$3:$M$2000, MATCH($A424, Joined!$I$3:$I$2000, FALSE), 8)</f>
        <v>B_01'Flr_010</v>
      </c>
      <c r="C424" t="str">
        <f>INDEX(Joined!$A$3:$M$2000, MATCH($A424, Joined!$I$3:$I$2000, FALSE), 7)</f>
        <v>VAV-10E-29</v>
      </c>
      <c r="D424">
        <f>INDEX(Joined!$A$3:$M$2000, MATCH($A424, Joined!$I$3:$I$2000, FALSE), 5)</f>
        <v>152616</v>
      </c>
      <c r="E424" t="str">
        <f>INDEX(Joined!$A$3:$M$2000, MATCH($A424, Joined!$I$3:$I$2000, FALSE), 7)</f>
        <v>VAV-10E-29</v>
      </c>
      <c r="F424" t="s">
        <v>38</v>
      </c>
      <c r="G424" t="str">
        <f>INDEX(Schedule!$Q$2:$R$7, MATCH(ABT!$H424,Schedule!$Q$2:$Q$7, 0), 2)</f>
        <v>15010_DXR_VAV_DXR2M12</v>
      </c>
      <c r="H424">
        <f>INDEX(Joined!$A$3:$M$2000, MATCH($A424, Joined!$I$3:$I$2000, FALSE), 6)</f>
        <v>15010</v>
      </c>
      <c r="I424" t="str">
        <f>INDEX(Joined!$A$3:$M$2000, MATCH($A424, Joined!$I$3:$I$2000, FALSE), 4)</f>
        <v>526</v>
      </c>
      <c r="J424" t="b">
        <v>0</v>
      </c>
      <c r="K424">
        <f>INDEX(Joined!$A$3:$M$2000, MATCH($A424, Joined!$I$3:$I$2000, FALSE), 3)</f>
        <v>16</v>
      </c>
      <c r="L424">
        <v>85</v>
      </c>
      <c r="M424">
        <v>38400</v>
      </c>
      <c r="N424" s="27">
        <f>PI()*(INDEX(Schedule!$A$1:$N$2000, MATCH($C424, VAV_Schedule_5_21[[#All],[UNIT TAG]], FALSE), 4)/2/12)^2</f>
        <v>0.78539816339744828</v>
      </c>
      <c r="O424" s="27">
        <f>INDEX(Schedule!$A$1:$N$2000, MATCH($C424, VAV_Schedule_5_21[[#All],[UNIT TAG]], FALSE), 4)</f>
        <v>12</v>
      </c>
      <c r="P424">
        <v>422.63</v>
      </c>
      <c r="Q424" s="27">
        <f>INDEX(Schedule!$A$1:$N$2000, MATCH($C424, VAV_Schedule_5_21[[#All],[UNIT TAG]], FALSE), 5)</f>
        <v>1510</v>
      </c>
      <c r="R424" s="27">
        <f>INDEX(Schedule!$A$1:$N$2000, MATCH($C424, VAV_Schedule_5_21[[#All],[UNIT TAG]], FALSE), 6)</f>
        <v>230</v>
      </c>
      <c r="S424" s="27">
        <f>INDEX(Schedule!$A$1:$N$2000, MATCH($C424, VAV_Schedule_5_21[[#All],[UNIT TAG]], FALSE), 5)</f>
        <v>1510</v>
      </c>
      <c r="T424" s="27">
        <f>INDEX(Schedule!$A$1:$N$2000, MATCH($C424, VAV_Schedule_5_21[[#All],[UNIT TAG]], FALSE), 6)</f>
        <v>230</v>
      </c>
      <c r="U424" s="27">
        <f>INDEX(Schedule!$A$1:$N$2000, MATCH($C424, VAV_Schedule_5_21[[#All],[UNIT TAG]], FALSE), 5)</f>
        <v>1510</v>
      </c>
      <c r="V424" s="27">
        <f>INDEX(Schedule!$A$1:$N$2000, MATCH($C424, VAV_Schedule_5_21[[#All],[UNIT TAG]], FALSE), 6)</f>
        <v>230</v>
      </c>
      <c r="W424" s="27">
        <f>INDEX(Schedule!$A$1:$N$2000, MATCH($C424, VAV_Schedule_5_21[[#All],[UNIT TAG]], FALSE), 6)</f>
        <v>230</v>
      </c>
      <c r="X424" s="27">
        <f>INDEX(Schedule!$A$1:$N$2000, MATCH($C424, VAV_Schedule_5_21[[#All],[UNIT TAG]], FALSE), 6)</f>
        <v>230</v>
      </c>
      <c r="Y424" s="27">
        <f>INDEX(Schedule!$A$1:$N$2000, MATCH($C424, VAV_Schedule_5_21[[#All],[UNIT TAG]], FALSE), 6)</f>
        <v>230</v>
      </c>
      <c r="Z424" s="27">
        <f>INDEX(Schedule!$A$1:$N$2000, MATCH($C424, VAV_Schedule_5_21[[#All],[UNIT TAG]], FALSE), 6)</f>
        <v>230</v>
      </c>
      <c r="AA424" s="27">
        <v>1000</v>
      </c>
      <c r="AB424" s="27">
        <v>1100</v>
      </c>
      <c r="AC424">
        <v>1400</v>
      </c>
      <c r="AD424" s="29">
        <f>IF(INDEX(Schedule!$A$1:$N$2000, MATCH($C424, VAV_Schedule_5_21[[#All],[UNIT TAG]], FALSE), 7)="-", 0, INDEX(Schedule!$A$1:$N$2000, MATCH($C424, VAV_Schedule_5_21[[#All],[UNIT TAG]], FALSE), 7))</f>
        <v>0</v>
      </c>
      <c r="AE424" t="str">
        <f>"B_01'" &amp; "Flr_0" &amp; INDEX(Joined!$A$3:$M$2000, MATCH($A424, Joined!$I$3:$I$2000, FALSE), 8)</f>
        <v>B_01'Flr_010</v>
      </c>
      <c r="AF424" t="str">
        <f>"R_" &amp; INDEX(Joined!$A$3:$M$2000, MATCH($A424, Joined!$I$3:$I$2000, FALSE), 7)</f>
        <v>R_VAV-10E-29</v>
      </c>
      <c r="AG424" t="str">
        <f>"B_01'" &amp; "Flr_0" &amp; INDEX(Joined!$A$3:$M$2000, MATCH($A424, Joined!$I$3:$I$2000, FALSE), 8)</f>
        <v>B_01'Flr_010</v>
      </c>
      <c r="AH424" t="str">
        <f>INDEX(Joined!$A$3:$M$2000, MATCH($A424, Joined!$I$3:$I$2000, FALSE), 7)</f>
        <v>VAV-10E-29</v>
      </c>
      <c r="AI424" t="s">
        <v>1752</v>
      </c>
    </row>
    <row r="425" spans="1:35" x14ac:dyDescent="0.2">
      <c r="A425" t="s">
        <v>1286</v>
      </c>
      <c r="B425" t="str">
        <f>"B_01'" &amp; "Flr_0" &amp; INDEX(Joined!$A$3:$M$2000, MATCH($A425, Joined!$I$3:$I$2000, FALSE), 8)</f>
        <v>B_01'Flr_010</v>
      </c>
      <c r="C425" t="str">
        <f>INDEX(Joined!$A$3:$M$2000, MATCH($A425, Joined!$I$3:$I$2000, FALSE), 7)</f>
        <v>VAV-10E-30</v>
      </c>
      <c r="D425">
        <f>INDEX(Joined!$A$3:$M$2000, MATCH($A425, Joined!$I$3:$I$2000, FALSE), 5)</f>
        <v>152617</v>
      </c>
      <c r="E425" t="str">
        <f>INDEX(Joined!$A$3:$M$2000, MATCH($A425, Joined!$I$3:$I$2000, FALSE), 7)</f>
        <v>VAV-10E-30</v>
      </c>
      <c r="F425" t="s">
        <v>38</v>
      </c>
      <c r="G425" t="str">
        <f>INDEX(Schedule!$Q$2:$R$7, MATCH(ABT!$H425,Schedule!$Q$2:$Q$7, 0), 2)</f>
        <v>15011_DXR_VAV_DXR2M12</v>
      </c>
      <c r="H425">
        <f>INDEX(Joined!$A$3:$M$2000, MATCH($A425, Joined!$I$3:$I$2000, FALSE), 6)</f>
        <v>15011</v>
      </c>
      <c r="I425" t="str">
        <f>INDEX(Joined!$A$3:$M$2000, MATCH($A425, Joined!$I$3:$I$2000, FALSE), 4)</f>
        <v>526</v>
      </c>
      <c r="J425" t="b">
        <v>0</v>
      </c>
      <c r="K425">
        <f>INDEX(Joined!$A$3:$M$2000, MATCH($A425, Joined!$I$3:$I$2000, FALSE), 3)</f>
        <v>17</v>
      </c>
      <c r="L425">
        <v>85</v>
      </c>
      <c r="M425">
        <v>38400</v>
      </c>
      <c r="N425" s="27">
        <f>PI()*(INDEX(Schedule!$A$1:$N$2000, MATCH($C425, VAV_Schedule_5_21[[#All],[UNIT TAG]], FALSE), 4)/2/12)^2</f>
        <v>0.54541539124822802</v>
      </c>
      <c r="O425" s="27">
        <f>INDEX(Schedule!$A$1:$N$2000, MATCH($C425, VAV_Schedule_5_21[[#All],[UNIT TAG]], FALSE), 4)</f>
        <v>10</v>
      </c>
      <c r="P425">
        <v>423.63</v>
      </c>
      <c r="Q425" s="27">
        <f>INDEX(Schedule!$A$1:$N$2000, MATCH($C425, VAV_Schedule_5_21[[#All],[UNIT TAG]], FALSE), 5)</f>
        <v>800</v>
      </c>
      <c r="R425" s="27">
        <f>INDEX(Schedule!$A$1:$N$2000, MATCH($C425, VAV_Schedule_5_21[[#All],[UNIT TAG]], FALSE), 6)</f>
        <v>120</v>
      </c>
      <c r="S425" s="27">
        <f>INDEX(Schedule!$A$1:$N$2000, MATCH($C425, VAV_Schedule_5_21[[#All],[UNIT TAG]], FALSE), 5)</f>
        <v>800</v>
      </c>
      <c r="T425" s="27">
        <f>INDEX(Schedule!$A$1:$N$2000, MATCH($C425, VAV_Schedule_5_21[[#All],[UNIT TAG]], FALSE), 6)</f>
        <v>120</v>
      </c>
      <c r="U425" s="27">
        <f>INDEX(Schedule!$A$1:$N$2000, MATCH($C425, VAV_Schedule_5_21[[#All],[UNIT TAG]], FALSE), 5)</f>
        <v>800</v>
      </c>
      <c r="V425" s="27">
        <f>INDEX(Schedule!$A$1:$N$2000, MATCH($C425, VAV_Schedule_5_21[[#All],[UNIT TAG]], FALSE), 6)</f>
        <v>120</v>
      </c>
      <c r="W425" s="27">
        <f>INDEX(Schedule!$A$1:$N$2000, MATCH($C425, VAV_Schedule_5_21[[#All],[UNIT TAG]], FALSE), 6)</f>
        <v>120</v>
      </c>
      <c r="X425" s="27">
        <f>INDEX(Schedule!$A$1:$N$2000, MATCH($C425, VAV_Schedule_5_21[[#All],[UNIT TAG]], FALSE), 6)</f>
        <v>120</v>
      </c>
      <c r="Y425" s="27">
        <f>INDEX(Schedule!$A$1:$N$2000, MATCH($C425, VAV_Schedule_5_21[[#All],[UNIT TAG]], FALSE), 6)</f>
        <v>120</v>
      </c>
      <c r="Z425" s="27">
        <f>INDEX(Schedule!$A$1:$N$2000, MATCH($C425, VAV_Schedule_5_21[[#All],[UNIT TAG]], FALSE), 6)</f>
        <v>120</v>
      </c>
      <c r="AA425" s="27">
        <v>1000</v>
      </c>
      <c r="AB425" s="27">
        <v>1100</v>
      </c>
      <c r="AC425">
        <v>1400</v>
      </c>
      <c r="AD425" s="29" t="str">
        <f>IF(INDEX(Schedule!$A$1:$N$2000, MATCH($C425, VAV_Schedule_5_21[[#All],[UNIT TAG]], FALSE), 7)="-", 0, INDEX(Schedule!$A$1:$N$2000, MATCH($C425, VAV_Schedule_5_21[[#All],[UNIT TAG]], FALSE), 7))</f>
        <v>8</v>
      </c>
      <c r="AE425" t="str">
        <f>"B_01'" &amp; "Flr_0" &amp; INDEX(Joined!$A$3:$M$2000, MATCH($A425, Joined!$I$3:$I$2000, FALSE), 8)</f>
        <v>B_01'Flr_010</v>
      </c>
      <c r="AF425" t="str">
        <f>"R_" &amp; INDEX(Joined!$A$3:$M$2000, MATCH($A425, Joined!$I$3:$I$2000, FALSE), 7)</f>
        <v>R_VAV-10E-30</v>
      </c>
      <c r="AG425" t="str">
        <f>"B_01'" &amp; "Flr_0" &amp; INDEX(Joined!$A$3:$M$2000, MATCH($A425, Joined!$I$3:$I$2000, FALSE), 8)</f>
        <v>B_01'Flr_010</v>
      </c>
      <c r="AH425" t="str">
        <f>INDEX(Joined!$A$3:$M$2000, MATCH($A425, Joined!$I$3:$I$2000, FALSE), 7)</f>
        <v>VAV-10E-30</v>
      </c>
      <c r="AI425" t="s">
        <v>1753</v>
      </c>
    </row>
    <row r="426" spans="1:35" x14ac:dyDescent="0.2">
      <c r="A426" t="s">
        <v>1287</v>
      </c>
      <c r="B426" t="str">
        <f>"B_01'" &amp; "Flr_0" &amp; INDEX(Joined!$A$3:$M$2000, MATCH($A426, Joined!$I$3:$I$2000, FALSE), 8)</f>
        <v>B_01'Flr_010</v>
      </c>
      <c r="C426" t="str">
        <f>INDEX(Joined!$A$3:$M$2000, MATCH($A426, Joined!$I$3:$I$2000, FALSE), 7)</f>
        <v>VAV-10E-31</v>
      </c>
      <c r="D426">
        <f>INDEX(Joined!$A$3:$M$2000, MATCH($A426, Joined!$I$3:$I$2000, FALSE), 5)</f>
        <v>152618</v>
      </c>
      <c r="E426" t="str">
        <f>INDEX(Joined!$A$3:$M$2000, MATCH($A426, Joined!$I$3:$I$2000, FALSE), 7)</f>
        <v>VAV-10E-31</v>
      </c>
      <c r="F426" t="s">
        <v>38</v>
      </c>
      <c r="G426" t="str">
        <f>INDEX(Schedule!$Q$2:$R$7, MATCH(ABT!$H426,Schedule!$Q$2:$Q$7, 0), 2)</f>
        <v>15011_DXR_VAV_DXR2M12</v>
      </c>
      <c r="H426">
        <f>INDEX(Joined!$A$3:$M$2000, MATCH($A426, Joined!$I$3:$I$2000, FALSE), 6)</f>
        <v>15011</v>
      </c>
      <c r="I426" t="str">
        <f>INDEX(Joined!$A$3:$M$2000, MATCH($A426, Joined!$I$3:$I$2000, FALSE), 4)</f>
        <v>526</v>
      </c>
      <c r="J426" t="b">
        <v>0</v>
      </c>
      <c r="K426">
        <f>INDEX(Joined!$A$3:$M$2000, MATCH($A426, Joined!$I$3:$I$2000, FALSE), 3)</f>
        <v>18</v>
      </c>
      <c r="L426">
        <v>85</v>
      </c>
      <c r="M426">
        <v>38400</v>
      </c>
      <c r="N426" s="27">
        <f>PI()*(INDEX(Schedule!$A$1:$N$2000, MATCH($C426, VAV_Schedule_5_21[[#All],[UNIT TAG]], FALSE), 4)/2/12)^2</f>
        <v>0.78539816339744828</v>
      </c>
      <c r="O426" s="27">
        <f>INDEX(Schedule!$A$1:$N$2000, MATCH($C426, VAV_Schedule_5_21[[#All],[UNIT TAG]], FALSE), 4)</f>
        <v>12</v>
      </c>
      <c r="P426">
        <v>424.63</v>
      </c>
      <c r="Q426" s="27">
        <f>INDEX(Schedule!$A$1:$N$2000, MATCH($C426, VAV_Schedule_5_21[[#All],[UNIT TAG]], FALSE), 5)</f>
        <v>1400</v>
      </c>
      <c r="R426" s="27">
        <f>INDEX(Schedule!$A$1:$N$2000, MATCH($C426, VAV_Schedule_5_21[[#All],[UNIT TAG]], FALSE), 6)</f>
        <v>210</v>
      </c>
      <c r="S426" s="27">
        <f>INDEX(Schedule!$A$1:$N$2000, MATCH($C426, VAV_Schedule_5_21[[#All],[UNIT TAG]], FALSE), 5)</f>
        <v>1400</v>
      </c>
      <c r="T426" s="27">
        <f>INDEX(Schedule!$A$1:$N$2000, MATCH($C426, VAV_Schedule_5_21[[#All],[UNIT TAG]], FALSE), 6)</f>
        <v>210</v>
      </c>
      <c r="U426" s="27">
        <f>INDEX(Schedule!$A$1:$N$2000, MATCH($C426, VAV_Schedule_5_21[[#All],[UNIT TAG]], FALSE), 5)</f>
        <v>1400</v>
      </c>
      <c r="V426" s="27">
        <f>INDEX(Schedule!$A$1:$N$2000, MATCH($C426, VAV_Schedule_5_21[[#All],[UNIT TAG]], FALSE), 6)</f>
        <v>210</v>
      </c>
      <c r="W426" s="27">
        <f>INDEX(Schedule!$A$1:$N$2000, MATCH($C426, VAV_Schedule_5_21[[#All],[UNIT TAG]], FALSE), 6)</f>
        <v>210</v>
      </c>
      <c r="X426" s="27">
        <f>INDEX(Schedule!$A$1:$N$2000, MATCH($C426, VAV_Schedule_5_21[[#All],[UNIT TAG]], FALSE), 6)</f>
        <v>210</v>
      </c>
      <c r="Y426" s="27">
        <f>INDEX(Schedule!$A$1:$N$2000, MATCH($C426, VAV_Schedule_5_21[[#All],[UNIT TAG]], FALSE), 6)</f>
        <v>210</v>
      </c>
      <c r="Z426" s="27">
        <f>INDEX(Schedule!$A$1:$N$2000, MATCH($C426, VAV_Schedule_5_21[[#All],[UNIT TAG]], FALSE), 6)</f>
        <v>210</v>
      </c>
      <c r="AA426" s="27">
        <v>1000</v>
      </c>
      <c r="AB426" s="27">
        <v>1100</v>
      </c>
      <c r="AC426">
        <v>1400</v>
      </c>
      <c r="AD426" s="29" t="str">
        <f>IF(INDEX(Schedule!$A$1:$N$2000, MATCH($C426, VAV_Schedule_5_21[[#All],[UNIT TAG]], FALSE), 7)="-", 0, INDEX(Schedule!$A$1:$N$2000, MATCH($C426, VAV_Schedule_5_21[[#All],[UNIT TAG]], FALSE), 7))</f>
        <v>8</v>
      </c>
      <c r="AE426" t="str">
        <f>"B_01'" &amp; "Flr_0" &amp; INDEX(Joined!$A$3:$M$2000, MATCH($A426, Joined!$I$3:$I$2000, FALSE), 8)</f>
        <v>B_01'Flr_010</v>
      </c>
      <c r="AF426" t="str">
        <f>"R_" &amp; INDEX(Joined!$A$3:$M$2000, MATCH($A426, Joined!$I$3:$I$2000, FALSE), 7)</f>
        <v>R_VAV-10E-31</v>
      </c>
      <c r="AG426" t="str">
        <f>"B_01'" &amp; "Flr_0" &amp; INDEX(Joined!$A$3:$M$2000, MATCH($A426, Joined!$I$3:$I$2000, FALSE), 8)</f>
        <v>B_01'Flr_010</v>
      </c>
      <c r="AH426" t="str">
        <f>INDEX(Joined!$A$3:$M$2000, MATCH($A426, Joined!$I$3:$I$2000, FALSE), 7)</f>
        <v>VAV-10E-31</v>
      </c>
      <c r="AI426" t="s">
        <v>1754</v>
      </c>
    </row>
    <row r="427" spans="1:35" x14ac:dyDescent="0.2">
      <c r="A427" t="s">
        <v>1288</v>
      </c>
      <c r="B427" t="str">
        <f>"B_01'" &amp; "Flr_0" &amp; INDEX(Joined!$A$3:$M$2000, MATCH($A427, Joined!$I$3:$I$2000, FALSE), 8)</f>
        <v>B_01'Flr_010</v>
      </c>
      <c r="C427" t="str">
        <f>INDEX(Joined!$A$3:$M$2000, MATCH($A427, Joined!$I$3:$I$2000, FALSE), 7)</f>
        <v>VAV-10W-32</v>
      </c>
      <c r="D427">
        <f>INDEX(Joined!$A$3:$M$2000, MATCH($A427, Joined!$I$3:$I$2000, FALSE), 5)</f>
        <v>152705</v>
      </c>
      <c r="E427" t="str">
        <f>INDEX(Joined!$A$3:$M$2000, MATCH($A427, Joined!$I$3:$I$2000, FALSE), 7)</f>
        <v>VAV-10W-32</v>
      </c>
      <c r="F427" t="s">
        <v>38</v>
      </c>
      <c r="G427" t="str">
        <f>INDEX(Schedule!$Q$2:$R$7, MATCH(ABT!$H427,Schedule!$Q$2:$Q$7, 0), 2)</f>
        <v>15010_DXR_VAV_DXR2M12</v>
      </c>
      <c r="H427">
        <f>INDEX(Joined!$A$3:$M$2000, MATCH($A427, Joined!$I$3:$I$2000, FALSE), 6)</f>
        <v>15010</v>
      </c>
      <c r="I427" t="str">
        <f>INDEX(Joined!$A$3:$M$2000, MATCH($A427, Joined!$I$3:$I$2000, FALSE), 4)</f>
        <v>527</v>
      </c>
      <c r="J427" t="b">
        <v>0</v>
      </c>
      <c r="K427">
        <f>INDEX(Joined!$A$3:$M$2000, MATCH($A427, Joined!$I$3:$I$2000, FALSE), 3)</f>
        <v>5</v>
      </c>
      <c r="L427">
        <v>85</v>
      </c>
      <c r="M427">
        <v>38400</v>
      </c>
      <c r="N427" s="27">
        <f>PI()*(INDEX(Schedule!$A$1:$N$2000, MATCH($C427, VAV_Schedule_5_21[[#All],[UNIT TAG]], FALSE), 4)/2/12)^2</f>
        <v>0.3490658503988659</v>
      </c>
      <c r="O427" s="27">
        <f>INDEX(Schedule!$A$1:$N$2000, MATCH($C427, VAV_Schedule_5_21[[#All],[UNIT TAG]], FALSE), 4)</f>
        <v>8</v>
      </c>
      <c r="P427">
        <v>425.63</v>
      </c>
      <c r="Q427" s="27">
        <f>INDEX(Schedule!$A$1:$N$2000, MATCH($C427, VAV_Schedule_5_21[[#All],[UNIT TAG]], FALSE), 5)</f>
        <v>595</v>
      </c>
      <c r="R427" s="27">
        <f>INDEX(Schedule!$A$1:$N$2000, MATCH($C427, VAV_Schedule_5_21[[#All],[UNIT TAG]], FALSE), 6)</f>
        <v>90</v>
      </c>
      <c r="S427" s="27">
        <f>INDEX(Schedule!$A$1:$N$2000, MATCH($C427, VAV_Schedule_5_21[[#All],[UNIT TAG]], FALSE), 5)</f>
        <v>595</v>
      </c>
      <c r="T427" s="27">
        <f>INDEX(Schedule!$A$1:$N$2000, MATCH($C427, VAV_Schedule_5_21[[#All],[UNIT TAG]], FALSE), 6)</f>
        <v>90</v>
      </c>
      <c r="U427" s="27">
        <f>INDEX(Schedule!$A$1:$N$2000, MATCH($C427, VAV_Schedule_5_21[[#All],[UNIT TAG]], FALSE), 5)</f>
        <v>595</v>
      </c>
      <c r="V427" s="27">
        <f>INDEX(Schedule!$A$1:$N$2000, MATCH($C427, VAV_Schedule_5_21[[#All],[UNIT TAG]], FALSE), 6)</f>
        <v>90</v>
      </c>
      <c r="W427" s="27">
        <f>INDEX(Schedule!$A$1:$N$2000, MATCH($C427, VAV_Schedule_5_21[[#All],[UNIT TAG]], FALSE), 6)</f>
        <v>90</v>
      </c>
      <c r="X427" s="27">
        <f>INDEX(Schedule!$A$1:$N$2000, MATCH($C427, VAV_Schedule_5_21[[#All],[UNIT TAG]], FALSE), 6)</f>
        <v>90</v>
      </c>
      <c r="Y427" s="27">
        <f>INDEX(Schedule!$A$1:$N$2000, MATCH($C427, VAV_Schedule_5_21[[#All],[UNIT TAG]], FALSE), 6)</f>
        <v>90</v>
      </c>
      <c r="Z427" s="27">
        <f>INDEX(Schedule!$A$1:$N$2000, MATCH($C427, VAV_Schedule_5_21[[#All],[UNIT TAG]], FALSE), 6)</f>
        <v>90</v>
      </c>
      <c r="AA427" s="27">
        <v>1000</v>
      </c>
      <c r="AB427" s="27">
        <v>1100</v>
      </c>
      <c r="AC427">
        <v>1400</v>
      </c>
      <c r="AD427" s="29">
        <f>IF(INDEX(Schedule!$A$1:$N$2000, MATCH($C427, VAV_Schedule_5_21[[#All],[UNIT TAG]], FALSE), 7)="-", 0, INDEX(Schedule!$A$1:$N$2000, MATCH($C427, VAV_Schedule_5_21[[#All],[UNIT TAG]], FALSE), 7))</f>
        <v>0</v>
      </c>
      <c r="AE427" t="str">
        <f>"B_01'" &amp; "Flr_0" &amp; INDEX(Joined!$A$3:$M$2000, MATCH($A427, Joined!$I$3:$I$2000, FALSE), 8)</f>
        <v>B_01'Flr_010</v>
      </c>
      <c r="AF427" t="str">
        <f>"R_" &amp; INDEX(Joined!$A$3:$M$2000, MATCH($A427, Joined!$I$3:$I$2000, FALSE), 7)</f>
        <v>R_VAV-10W-32</v>
      </c>
      <c r="AG427" t="str">
        <f>"B_01'" &amp; "Flr_0" &amp; INDEX(Joined!$A$3:$M$2000, MATCH($A427, Joined!$I$3:$I$2000, FALSE), 8)</f>
        <v>B_01'Flr_010</v>
      </c>
      <c r="AH427" t="str">
        <f>INDEX(Joined!$A$3:$M$2000, MATCH($A427, Joined!$I$3:$I$2000, FALSE), 7)</f>
        <v>VAV-10W-32</v>
      </c>
      <c r="AI427" t="s">
        <v>1755</v>
      </c>
    </row>
    <row r="428" spans="1:35" x14ac:dyDescent="0.2">
      <c r="A428" t="s">
        <v>1289</v>
      </c>
      <c r="B428" t="str">
        <f>"B_01'" &amp; "Flr_0" &amp; INDEX(Joined!$A$3:$M$2000, MATCH($A428, Joined!$I$3:$I$2000, FALSE), 8)</f>
        <v>B_01'Flr_010</v>
      </c>
      <c r="C428" t="str">
        <f>INDEX(Joined!$A$3:$M$2000, MATCH($A428, Joined!$I$3:$I$2000, FALSE), 7)</f>
        <v>VAV-10W-33</v>
      </c>
      <c r="D428">
        <f>INDEX(Joined!$A$3:$M$2000, MATCH($A428, Joined!$I$3:$I$2000, FALSE), 5)</f>
        <v>152706</v>
      </c>
      <c r="E428" t="str">
        <f>INDEX(Joined!$A$3:$M$2000, MATCH($A428, Joined!$I$3:$I$2000, FALSE), 7)</f>
        <v>VAV-10W-33</v>
      </c>
      <c r="F428" t="s">
        <v>38</v>
      </c>
      <c r="G428" t="str">
        <f>INDEX(Schedule!$Q$2:$R$7, MATCH(ABT!$H428,Schedule!$Q$2:$Q$7, 0), 2)</f>
        <v>15010_DXR_VAV_DXR2M12</v>
      </c>
      <c r="H428">
        <f>INDEX(Joined!$A$3:$M$2000, MATCH($A428, Joined!$I$3:$I$2000, FALSE), 6)</f>
        <v>15010</v>
      </c>
      <c r="I428" t="str">
        <f>INDEX(Joined!$A$3:$M$2000, MATCH($A428, Joined!$I$3:$I$2000, FALSE), 4)</f>
        <v>527</v>
      </c>
      <c r="J428" t="b">
        <v>0</v>
      </c>
      <c r="K428">
        <f>INDEX(Joined!$A$3:$M$2000, MATCH($A428, Joined!$I$3:$I$2000, FALSE), 3)</f>
        <v>6</v>
      </c>
      <c r="L428">
        <v>85</v>
      </c>
      <c r="M428">
        <v>38400</v>
      </c>
      <c r="N428" s="27">
        <f>PI()*(INDEX(Schedule!$A$1:$N$2000, MATCH($C428, VAV_Schedule_5_21[[#All],[UNIT TAG]], FALSE), 4)/2/12)^2</f>
        <v>0.78539816339744828</v>
      </c>
      <c r="O428" s="27">
        <f>INDEX(Schedule!$A$1:$N$2000, MATCH($C428, VAV_Schedule_5_21[[#All],[UNIT TAG]], FALSE), 4)</f>
        <v>12</v>
      </c>
      <c r="P428">
        <v>426.63</v>
      </c>
      <c r="Q428" s="27">
        <f>INDEX(Schedule!$A$1:$N$2000, MATCH($C428, VAV_Schedule_5_21[[#All],[UNIT TAG]], FALSE), 5)</f>
        <v>1350</v>
      </c>
      <c r="R428" s="27">
        <f>INDEX(Schedule!$A$1:$N$2000, MATCH($C428, VAV_Schedule_5_21[[#All],[UNIT TAG]], FALSE), 6)</f>
        <v>205</v>
      </c>
      <c r="S428" s="27">
        <f>INDEX(Schedule!$A$1:$N$2000, MATCH($C428, VAV_Schedule_5_21[[#All],[UNIT TAG]], FALSE), 5)</f>
        <v>1350</v>
      </c>
      <c r="T428" s="27">
        <f>INDEX(Schedule!$A$1:$N$2000, MATCH($C428, VAV_Schedule_5_21[[#All],[UNIT TAG]], FALSE), 6)</f>
        <v>205</v>
      </c>
      <c r="U428" s="27">
        <f>INDEX(Schedule!$A$1:$N$2000, MATCH($C428, VAV_Schedule_5_21[[#All],[UNIT TAG]], FALSE), 5)</f>
        <v>1350</v>
      </c>
      <c r="V428" s="27">
        <f>INDEX(Schedule!$A$1:$N$2000, MATCH($C428, VAV_Schedule_5_21[[#All],[UNIT TAG]], FALSE), 6)</f>
        <v>205</v>
      </c>
      <c r="W428" s="27">
        <f>INDEX(Schedule!$A$1:$N$2000, MATCH($C428, VAV_Schedule_5_21[[#All],[UNIT TAG]], FALSE), 6)</f>
        <v>205</v>
      </c>
      <c r="X428" s="27">
        <f>INDEX(Schedule!$A$1:$N$2000, MATCH($C428, VAV_Schedule_5_21[[#All],[UNIT TAG]], FALSE), 6)</f>
        <v>205</v>
      </c>
      <c r="Y428" s="27">
        <f>INDEX(Schedule!$A$1:$N$2000, MATCH($C428, VAV_Schedule_5_21[[#All],[UNIT TAG]], FALSE), 6)</f>
        <v>205</v>
      </c>
      <c r="Z428" s="27">
        <f>INDEX(Schedule!$A$1:$N$2000, MATCH($C428, VAV_Schedule_5_21[[#All],[UNIT TAG]], FALSE), 6)</f>
        <v>205</v>
      </c>
      <c r="AA428" s="27">
        <v>1000</v>
      </c>
      <c r="AB428" s="27">
        <v>1100</v>
      </c>
      <c r="AC428">
        <v>1400</v>
      </c>
      <c r="AD428" s="29">
        <f>IF(INDEX(Schedule!$A$1:$N$2000, MATCH($C428, VAV_Schedule_5_21[[#All],[UNIT TAG]], FALSE), 7)="-", 0, INDEX(Schedule!$A$1:$N$2000, MATCH($C428, VAV_Schedule_5_21[[#All],[UNIT TAG]], FALSE), 7))</f>
        <v>0</v>
      </c>
      <c r="AE428" t="str">
        <f>"B_01'" &amp; "Flr_0" &amp; INDEX(Joined!$A$3:$M$2000, MATCH($A428, Joined!$I$3:$I$2000, FALSE), 8)</f>
        <v>B_01'Flr_010</v>
      </c>
      <c r="AF428" t="str">
        <f>"R_" &amp; INDEX(Joined!$A$3:$M$2000, MATCH($A428, Joined!$I$3:$I$2000, FALSE), 7)</f>
        <v>R_VAV-10W-33</v>
      </c>
      <c r="AG428" t="str">
        <f>"B_01'" &amp; "Flr_0" &amp; INDEX(Joined!$A$3:$M$2000, MATCH($A428, Joined!$I$3:$I$2000, FALSE), 8)</f>
        <v>B_01'Flr_010</v>
      </c>
      <c r="AH428" t="str">
        <f>INDEX(Joined!$A$3:$M$2000, MATCH($A428, Joined!$I$3:$I$2000, FALSE), 7)</f>
        <v>VAV-10W-33</v>
      </c>
      <c r="AI428" t="s">
        <v>1756</v>
      </c>
    </row>
    <row r="429" spans="1:35" x14ac:dyDescent="0.2">
      <c r="A429" t="s">
        <v>1290</v>
      </c>
      <c r="B429" t="str">
        <f>"B_01'" &amp; "Flr_0" &amp; INDEX(Joined!$A$3:$M$2000, MATCH($A429, Joined!$I$3:$I$2000, FALSE), 8)</f>
        <v>B_01'Flr_010</v>
      </c>
      <c r="C429" t="str">
        <f>INDEX(Joined!$A$3:$M$2000, MATCH($A429, Joined!$I$3:$I$2000, FALSE), 7)</f>
        <v>VAV-10W-34</v>
      </c>
      <c r="D429">
        <f>INDEX(Joined!$A$3:$M$2000, MATCH($A429, Joined!$I$3:$I$2000, FALSE), 5)</f>
        <v>152707</v>
      </c>
      <c r="E429" t="str">
        <f>INDEX(Joined!$A$3:$M$2000, MATCH($A429, Joined!$I$3:$I$2000, FALSE), 7)</f>
        <v>VAV-10W-34</v>
      </c>
      <c r="F429" t="s">
        <v>38</v>
      </c>
      <c r="G429" t="str">
        <f>INDEX(Schedule!$Q$2:$R$7, MATCH(ABT!$H429,Schedule!$Q$2:$Q$7, 0), 2)</f>
        <v>15010_DXR_VAV_DXR2M12</v>
      </c>
      <c r="H429">
        <f>INDEX(Joined!$A$3:$M$2000, MATCH($A429, Joined!$I$3:$I$2000, FALSE), 6)</f>
        <v>15010</v>
      </c>
      <c r="I429" t="str">
        <f>INDEX(Joined!$A$3:$M$2000, MATCH($A429, Joined!$I$3:$I$2000, FALSE), 4)</f>
        <v>527</v>
      </c>
      <c r="J429" t="b">
        <v>0</v>
      </c>
      <c r="K429">
        <f>INDEX(Joined!$A$3:$M$2000, MATCH($A429, Joined!$I$3:$I$2000, FALSE), 3)</f>
        <v>7</v>
      </c>
      <c r="L429">
        <v>85</v>
      </c>
      <c r="M429">
        <v>38400</v>
      </c>
      <c r="N429" s="27">
        <f>PI()*(INDEX(Schedule!$A$1:$N$2000, MATCH($C429, VAV_Schedule_5_21[[#All],[UNIT TAG]], FALSE), 4)/2/12)^2</f>
        <v>0.78539816339744828</v>
      </c>
      <c r="O429" s="27">
        <f>INDEX(Schedule!$A$1:$N$2000, MATCH($C429, VAV_Schedule_5_21[[#All],[UNIT TAG]], FALSE), 4)</f>
        <v>12</v>
      </c>
      <c r="P429">
        <v>427.63</v>
      </c>
      <c r="Q429" s="27">
        <f>INDEX(Schedule!$A$1:$N$2000, MATCH($C429, VAV_Schedule_5_21[[#All],[UNIT TAG]], FALSE), 5)</f>
        <v>1200</v>
      </c>
      <c r="R429" s="27">
        <f>INDEX(Schedule!$A$1:$N$2000, MATCH($C429, VAV_Schedule_5_21[[#All],[UNIT TAG]], FALSE), 6)</f>
        <v>180</v>
      </c>
      <c r="S429" s="27">
        <f>INDEX(Schedule!$A$1:$N$2000, MATCH($C429, VAV_Schedule_5_21[[#All],[UNIT TAG]], FALSE), 5)</f>
        <v>1200</v>
      </c>
      <c r="T429" s="27">
        <f>INDEX(Schedule!$A$1:$N$2000, MATCH($C429, VAV_Schedule_5_21[[#All],[UNIT TAG]], FALSE), 6)</f>
        <v>180</v>
      </c>
      <c r="U429" s="27">
        <f>INDEX(Schedule!$A$1:$N$2000, MATCH($C429, VAV_Schedule_5_21[[#All],[UNIT TAG]], FALSE), 5)</f>
        <v>1200</v>
      </c>
      <c r="V429" s="27">
        <f>INDEX(Schedule!$A$1:$N$2000, MATCH($C429, VAV_Schedule_5_21[[#All],[UNIT TAG]], FALSE), 6)</f>
        <v>180</v>
      </c>
      <c r="W429" s="27">
        <f>INDEX(Schedule!$A$1:$N$2000, MATCH($C429, VAV_Schedule_5_21[[#All],[UNIT TAG]], FALSE), 6)</f>
        <v>180</v>
      </c>
      <c r="X429" s="27">
        <f>INDEX(Schedule!$A$1:$N$2000, MATCH($C429, VAV_Schedule_5_21[[#All],[UNIT TAG]], FALSE), 6)</f>
        <v>180</v>
      </c>
      <c r="Y429" s="27">
        <f>INDEX(Schedule!$A$1:$N$2000, MATCH($C429, VAV_Schedule_5_21[[#All],[UNIT TAG]], FALSE), 6)</f>
        <v>180</v>
      </c>
      <c r="Z429" s="27">
        <f>INDEX(Schedule!$A$1:$N$2000, MATCH($C429, VAV_Schedule_5_21[[#All],[UNIT TAG]], FALSE), 6)</f>
        <v>180</v>
      </c>
      <c r="AA429" s="27">
        <v>1000</v>
      </c>
      <c r="AB429" s="27">
        <v>1100</v>
      </c>
      <c r="AC429">
        <v>1400</v>
      </c>
      <c r="AD429" s="29">
        <f>IF(INDEX(Schedule!$A$1:$N$2000, MATCH($C429, VAV_Schedule_5_21[[#All],[UNIT TAG]], FALSE), 7)="-", 0, INDEX(Schedule!$A$1:$N$2000, MATCH($C429, VAV_Schedule_5_21[[#All],[UNIT TAG]], FALSE), 7))</f>
        <v>0</v>
      </c>
      <c r="AE429" t="str">
        <f>"B_01'" &amp; "Flr_0" &amp; INDEX(Joined!$A$3:$M$2000, MATCH($A429, Joined!$I$3:$I$2000, FALSE), 8)</f>
        <v>B_01'Flr_010</v>
      </c>
      <c r="AF429" t="str">
        <f>"R_" &amp; INDEX(Joined!$A$3:$M$2000, MATCH($A429, Joined!$I$3:$I$2000, FALSE), 7)</f>
        <v>R_VAV-10W-34</v>
      </c>
      <c r="AG429" t="str">
        <f>"B_01'" &amp; "Flr_0" &amp; INDEX(Joined!$A$3:$M$2000, MATCH($A429, Joined!$I$3:$I$2000, FALSE), 8)</f>
        <v>B_01'Flr_010</v>
      </c>
      <c r="AH429" t="str">
        <f>INDEX(Joined!$A$3:$M$2000, MATCH($A429, Joined!$I$3:$I$2000, FALSE), 7)</f>
        <v>VAV-10W-34</v>
      </c>
      <c r="AI429" t="s">
        <v>1757</v>
      </c>
    </row>
    <row r="430" spans="1:35" x14ac:dyDescent="0.2">
      <c r="A430" t="s">
        <v>1291</v>
      </c>
      <c r="B430" t="str">
        <f>"B_01'" &amp; "Flr_0" &amp; INDEX(Joined!$A$3:$M$2000, MATCH($A430, Joined!$I$3:$I$2000, FALSE), 8)</f>
        <v>B_01'Flr_010</v>
      </c>
      <c r="C430" t="str">
        <f>INDEX(Joined!$A$3:$M$2000, MATCH($A430, Joined!$I$3:$I$2000, FALSE), 7)</f>
        <v>VAV-10W-35</v>
      </c>
      <c r="D430">
        <f>INDEX(Joined!$A$3:$M$2000, MATCH($A430, Joined!$I$3:$I$2000, FALSE), 5)</f>
        <v>152708</v>
      </c>
      <c r="E430" t="str">
        <f>INDEX(Joined!$A$3:$M$2000, MATCH($A430, Joined!$I$3:$I$2000, FALSE), 7)</f>
        <v>VAV-10W-35</v>
      </c>
      <c r="F430" t="s">
        <v>38</v>
      </c>
      <c r="G430" t="str">
        <f>INDEX(Schedule!$Q$2:$R$7, MATCH(ABT!$H430,Schedule!$Q$2:$Q$7, 0), 2)</f>
        <v>15011_DXR_VAV_DXR2M12</v>
      </c>
      <c r="H430">
        <f>INDEX(Joined!$A$3:$M$2000, MATCH($A430, Joined!$I$3:$I$2000, FALSE), 6)</f>
        <v>15011</v>
      </c>
      <c r="I430" t="str">
        <f>INDEX(Joined!$A$3:$M$2000, MATCH($A430, Joined!$I$3:$I$2000, FALSE), 4)</f>
        <v>527</v>
      </c>
      <c r="J430" t="b">
        <v>0</v>
      </c>
      <c r="K430">
        <f>INDEX(Joined!$A$3:$M$2000, MATCH($A430, Joined!$I$3:$I$2000, FALSE), 3)</f>
        <v>8</v>
      </c>
      <c r="L430">
        <v>85</v>
      </c>
      <c r="M430">
        <v>38400</v>
      </c>
      <c r="N430" s="27">
        <f>PI()*(INDEX(Schedule!$A$1:$N$2000, MATCH($C430, VAV_Schedule_5_21[[#All],[UNIT TAG]], FALSE), 4)/2/12)^2</f>
        <v>0.54541539124822802</v>
      </c>
      <c r="O430" s="27">
        <f>INDEX(Schedule!$A$1:$N$2000, MATCH($C430, VAV_Schedule_5_21[[#All],[UNIT TAG]], FALSE), 4)</f>
        <v>10</v>
      </c>
      <c r="P430">
        <v>428.63</v>
      </c>
      <c r="Q430" s="27">
        <f>INDEX(Schedule!$A$1:$N$2000, MATCH($C430, VAV_Schedule_5_21[[#All],[UNIT TAG]], FALSE), 5)</f>
        <v>800</v>
      </c>
      <c r="R430" s="27">
        <f>INDEX(Schedule!$A$1:$N$2000, MATCH($C430, VAV_Schedule_5_21[[#All],[UNIT TAG]], FALSE), 6)</f>
        <v>120</v>
      </c>
      <c r="S430" s="27">
        <f>INDEX(Schedule!$A$1:$N$2000, MATCH($C430, VAV_Schedule_5_21[[#All],[UNIT TAG]], FALSE), 5)</f>
        <v>800</v>
      </c>
      <c r="T430" s="27">
        <f>INDEX(Schedule!$A$1:$N$2000, MATCH($C430, VAV_Schedule_5_21[[#All],[UNIT TAG]], FALSE), 6)</f>
        <v>120</v>
      </c>
      <c r="U430" s="27">
        <f>INDEX(Schedule!$A$1:$N$2000, MATCH($C430, VAV_Schedule_5_21[[#All],[UNIT TAG]], FALSE), 5)</f>
        <v>800</v>
      </c>
      <c r="V430" s="27">
        <f>INDEX(Schedule!$A$1:$N$2000, MATCH($C430, VAV_Schedule_5_21[[#All],[UNIT TAG]], FALSE), 6)</f>
        <v>120</v>
      </c>
      <c r="W430" s="27">
        <f>INDEX(Schedule!$A$1:$N$2000, MATCH($C430, VAV_Schedule_5_21[[#All],[UNIT TAG]], FALSE), 6)</f>
        <v>120</v>
      </c>
      <c r="X430" s="27">
        <f>INDEX(Schedule!$A$1:$N$2000, MATCH($C430, VAV_Schedule_5_21[[#All],[UNIT TAG]], FALSE), 6)</f>
        <v>120</v>
      </c>
      <c r="Y430" s="27">
        <f>INDEX(Schedule!$A$1:$N$2000, MATCH($C430, VAV_Schedule_5_21[[#All],[UNIT TAG]], FALSE), 6)</f>
        <v>120</v>
      </c>
      <c r="Z430" s="27">
        <f>INDEX(Schedule!$A$1:$N$2000, MATCH($C430, VAV_Schedule_5_21[[#All],[UNIT TAG]], FALSE), 6)</f>
        <v>120</v>
      </c>
      <c r="AA430" s="27">
        <v>1000</v>
      </c>
      <c r="AB430" s="27">
        <v>1100</v>
      </c>
      <c r="AC430">
        <v>1400</v>
      </c>
      <c r="AD430" s="29" t="str">
        <f>IF(INDEX(Schedule!$A$1:$N$2000, MATCH($C430, VAV_Schedule_5_21[[#All],[UNIT TAG]], FALSE), 7)="-", 0, INDEX(Schedule!$A$1:$N$2000, MATCH($C430, VAV_Schedule_5_21[[#All],[UNIT TAG]], FALSE), 7))</f>
        <v>8</v>
      </c>
      <c r="AE430" t="str">
        <f>"B_01'" &amp; "Flr_0" &amp; INDEX(Joined!$A$3:$M$2000, MATCH($A430, Joined!$I$3:$I$2000, FALSE), 8)</f>
        <v>B_01'Flr_010</v>
      </c>
      <c r="AF430" t="str">
        <f>"R_" &amp; INDEX(Joined!$A$3:$M$2000, MATCH($A430, Joined!$I$3:$I$2000, FALSE), 7)</f>
        <v>R_VAV-10W-35</v>
      </c>
      <c r="AG430" t="str">
        <f>"B_01'" &amp; "Flr_0" &amp; INDEX(Joined!$A$3:$M$2000, MATCH($A430, Joined!$I$3:$I$2000, FALSE), 8)</f>
        <v>B_01'Flr_010</v>
      </c>
      <c r="AH430" t="str">
        <f>INDEX(Joined!$A$3:$M$2000, MATCH($A430, Joined!$I$3:$I$2000, FALSE), 7)</f>
        <v>VAV-10W-35</v>
      </c>
      <c r="AI430" t="s">
        <v>1758</v>
      </c>
    </row>
    <row r="431" spans="1:35" x14ac:dyDescent="0.2">
      <c r="A431" t="s">
        <v>1292</v>
      </c>
      <c r="B431" t="str">
        <f>"B_01'" &amp; "Flr_0" &amp; INDEX(Joined!$A$3:$M$2000, MATCH($A431, Joined!$I$3:$I$2000, FALSE), 8)</f>
        <v>B_01'Flr_010</v>
      </c>
      <c r="C431" t="str">
        <f>INDEX(Joined!$A$3:$M$2000, MATCH($A431, Joined!$I$3:$I$2000, FALSE), 7)</f>
        <v>VAV-10W-36</v>
      </c>
      <c r="D431">
        <f>INDEX(Joined!$A$3:$M$2000, MATCH($A431, Joined!$I$3:$I$2000, FALSE), 5)</f>
        <v>152709</v>
      </c>
      <c r="E431" t="str">
        <f>INDEX(Joined!$A$3:$M$2000, MATCH($A431, Joined!$I$3:$I$2000, FALSE), 7)</f>
        <v>VAV-10W-36</v>
      </c>
      <c r="F431" t="s">
        <v>38</v>
      </c>
      <c r="G431" t="str">
        <f>INDEX(Schedule!$Q$2:$R$7, MATCH(ABT!$H431,Schedule!$Q$2:$Q$7, 0), 2)</f>
        <v>15011_DXR_VAV_DXR2M12</v>
      </c>
      <c r="H431">
        <f>INDEX(Joined!$A$3:$M$2000, MATCH($A431, Joined!$I$3:$I$2000, FALSE), 6)</f>
        <v>15011</v>
      </c>
      <c r="I431" t="str">
        <f>INDEX(Joined!$A$3:$M$2000, MATCH($A431, Joined!$I$3:$I$2000, FALSE), 4)</f>
        <v>527</v>
      </c>
      <c r="J431" t="b">
        <v>0</v>
      </c>
      <c r="K431">
        <f>INDEX(Joined!$A$3:$M$2000, MATCH($A431, Joined!$I$3:$I$2000, FALSE), 3)</f>
        <v>9</v>
      </c>
      <c r="L431">
        <v>85</v>
      </c>
      <c r="M431">
        <v>38400</v>
      </c>
      <c r="N431" s="27">
        <f>PI()*(INDEX(Schedule!$A$1:$N$2000, MATCH($C431, VAV_Schedule_5_21[[#All],[UNIT TAG]], FALSE), 4)/2/12)^2</f>
        <v>0.3490658503988659</v>
      </c>
      <c r="O431" s="27">
        <f>INDEX(Schedule!$A$1:$N$2000, MATCH($C431, VAV_Schedule_5_21[[#All],[UNIT TAG]], FALSE), 4)</f>
        <v>8</v>
      </c>
      <c r="P431">
        <v>429.63</v>
      </c>
      <c r="Q431" s="27">
        <f>INDEX(Schedule!$A$1:$N$2000, MATCH($C431, VAV_Schedule_5_21[[#All],[UNIT TAG]], FALSE), 5)</f>
        <v>640</v>
      </c>
      <c r="R431" s="27">
        <f>INDEX(Schedule!$A$1:$N$2000, MATCH($C431, VAV_Schedule_5_21[[#All],[UNIT TAG]], FALSE), 6)</f>
        <v>100</v>
      </c>
      <c r="S431" s="27">
        <f>INDEX(Schedule!$A$1:$N$2000, MATCH($C431, VAV_Schedule_5_21[[#All],[UNIT TAG]], FALSE), 5)</f>
        <v>640</v>
      </c>
      <c r="T431" s="27">
        <f>INDEX(Schedule!$A$1:$N$2000, MATCH($C431, VAV_Schedule_5_21[[#All],[UNIT TAG]], FALSE), 6)</f>
        <v>100</v>
      </c>
      <c r="U431" s="27">
        <f>INDEX(Schedule!$A$1:$N$2000, MATCH($C431, VAV_Schedule_5_21[[#All],[UNIT TAG]], FALSE), 5)</f>
        <v>640</v>
      </c>
      <c r="V431" s="27">
        <f>INDEX(Schedule!$A$1:$N$2000, MATCH($C431, VAV_Schedule_5_21[[#All],[UNIT TAG]], FALSE), 6)</f>
        <v>100</v>
      </c>
      <c r="W431" s="27">
        <f>INDEX(Schedule!$A$1:$N$2000, MATCH($C431, VAV_Schedule_5_21[[#All],[UNIT TAG]], FALSE), 6)</f>
        <v>100</v>
      </c>
      <c r="X431" s="27">
        <f>INDEX(Schedule!$A$1:$N$2000, MATCH($C431, VAV_Schedule_5_21[[#All],[UNIT TAG]], FALSE), 6)</f>
        <v>100</v>
      </c>
      <c r="Y431" s="27">
        <f>INDEX(Schedule!$A$1:$N$2000, MATCH($C431, VAV_Schedule_5_21[[#All],[UNIT TAG]], FALSE), 6)</f>
        <v>100</v>
      </c>
      <c r="Z431" s="27">
        <f>INDEX(Schedule!$A$1:$N$2000, MATCH($C431, VAV_Schedule_5_21[[#All],[UNIT TAG]], FALSE), 6)</f>
        <v>100</v>
      </c>
      <c r="AA431" s="27">
        <v>1000</v>
      </c>
      <c r="AB431" s="27">
        <v>1100</v>
      </c>
      <c r="AC431">
        <v>1400</v>
      </c>
      <c r="AD431" s="29" t="str">
        <f>IF(INDEX(Schedule!$A$1:$N$2000, MATCH($C431, VAV_Schedule_5_21[[#All],[UNIT TAG]], FALSE), 7)="-", 0, INDEX(Schedule!$A$1:$N$2000, MATCH($C431, VAV_Schedule_5_21[[#All],[UNIT TAG]], FALSE), 7))</f>
        <v>6</v>
      </c>
      <c r="AE431" t="str">
        <f>"B_01'" &amp; "Flr_0" &amp; INDEX(Joined!$A$3:$M$2000, MATCH($A431, Joined!$I$3:$I$2000, FALSE), 8)</f>
        <v>B_01'Flr_010</v>
      </c>
      <c r="AF431" t="str">
        <f>"R_" &amp; INDEX(Joined!$A$3:$M$2000, MATCH($A431, Joined!$I$3:$I$2000, FALSE), 7)</f>
        <v>R_VAV-10W-36</v>
      </c>
      <c r="AG431" t="str">
        <f>"B_01'" &amp; "Flr_0" &amp; INDEX(Joined!$A$3:$M$2000, MATCH($A431, Joined!$I$3:$I$2000, FALSE), 8)</f>
        <v>B_01'Flr_010</v>
      </c>
      <c r="AH431" t="str">
        <f>INDEX(Joined!$A$3:$M$2000, MATCH($A431, Joined!$I$3:$I$2000, FALSE), 7)</f>
        <v>VAV-10W-36</v>
      </c>
      <c r="AI431" t="s">
        <v>1759</v>
      </c>
    </row>
    <row r="432" spans="1:35" x14ac:dyDescent="0.2">
      <c r="A432" t="s">
        <v>1293</v>
      </c>
      <c r="B432" t="str">
        <f>"B_01'" &amp; "Flr_0" &amp; INDEX(Joined!$A$3:$M$2000, MATCH($A432, Joined!$I$3:$I$2000, FALSE), 8)</f>
        <v>B_01'Flr_010</v>
      </c>
      <c r="C432" t="str">
        <f>INDEX(Joined!$A$3:$M$2000, MATCH($A432, Joined!$I$3:$I$2000, FALSE), 7)</f>
        <v>VAV-10W-37</v>
      </c>
      <c r="D432">
        <f>INDEX(Joined!$A$3:$M$2000, MATCH($A432, Joined!$I$3:$I$2000, FALSE), 5)</f>
        <v>152710</v>
      </c>
      <c r="E432" t="str">
        <f>INDEX(Joined!$A$3:$M$2000, MATCH($A432, Joined!$I$3:$I$2000, FALSE), 7)</f>
        <v>VAV-10W-37</v>
      </c>
      <c r="F432" t="s">
        <v>38</v>
      </c>
      <c r="G432" t="str">
        <f>INDEX(Schedule!$Q$2:$R$7, MATCH(ABT!$H432,Schedule!$Q$2:$Q$7, 0), 2)</f>
        <v>15011_DXR_VAV_DXR2M12</v>
      </c>
      <c r="H432">
        <f>INDEX(Joined!$A$3:$M$2000, MATCH($A432, Joined!$I$3:$I$2000, FALSE), 6)</f>
        <v>15011</v>
      </c>
      <c r="I432" t="str">
        <f>INDEX(Joined!$A$3:$M$2000, MATCH($A432, Joined!$I$3:$I$2000, FALSE), 4)</f>
        <v>527</v>
      </c>
      <c r="J432" t="b">
        <v>0</v>
      </c>
      <c r="K432">
        <f>INDEX(Joined!$A$3:$M$2000, MATCH($A432, Joined!$I$3:$I$2000, FALSE), 3)</f>
        <v>10</v>
      </c>
      <c r="L432">
        <v>85</v>
      </c>
      <c r="M432">
        <v>38400</v>
      </c>
      <c r="N432" s="27">
        <f>PI()*(INDEX(Schedule!$A$1:$N$2000, MATCH($C432, VAV_Schedule_5_21[[#All],[UNIT TAG]], FALSE), 4)/2/12)^2</f>
        <v>0.54541539124822802</v>
      </c>
      <c r="O432" s="27">
        <f>INDEX(Schedule!$A$1:$N$2000, MATCH($C432, VAV_Schedule_5_21[[#All],[UNIT TAG]], FALSE), 4)</f>
        <v>10</v>
      </c>
      <c r="P432">
        <v>430.63</v>
      </c>
      <c r="Q432" s="27">
        <f>INDEX(Schedule!$A$1:$N$2000, MATCH($C432, VAV_Schedule_5_21[[#All],[UNIT TAG]], FALSE), 5)</f>
        <v>860</v>
      </c>
      <c r="R432" s="27">
        <f>INDEX(Schedule!$A$1:$N$2000, MATCH($C432, VAV_Schedule_5_21[[#All],[UNIT TAG]], FALSE), 6)</f>
        <v>130</v>
      </c>
      <c r="S432" s="27">
        <f>INDEX(Schedule!$A$1:$N$2000, MATCH($C432, VAV_Schedule_5_21[[#All],[UNIT TAG]], FALSE), 5)</f>
        <v>860</v>
      </c>
      <c r="T432" s="27">
        <f>INDEX(Schedule!$A$1:$N$2000, MATCH($C432, VAV_Schedule_5_21[[#All],[UNIT TAG]], FALSE), 6)</f>
        <v>130</v>
      </c>
      <c r="U432" s="27">
        <f>INDEX(Schedule!$A$1:$N$2000, MATCH($C432, VAV_Schedule_5_21[[#All],[UNIT TAG]], FALSE), 5)</f>
        <v>860</v>
      </c>
      <c r="V432" s="27">
        <f>INDEX(Schedule!$A$1:$N$2000, MATCH($C432, VAV_Schedule_5_21[[#All],[UNIT TAG]], FALSE), 6)</f>
        <v>130</v>
      </c>
      <c r="W432" s="27">
        <f>INDEX(Schedule!$A$1:$N$2000, MATCH($C432, VAV_Schedule_5_21[[#All],[UNIT TAG]], FALSE), 6)</f>
        <v>130</v>
      </c>
      <c r="X432" s="27">
        <f>INDEX(Schedule!$A$1:$N$2000, MATCH($C432, VAV_Schedule_5_21[[#All],[UNIT TAG]], FALSE), 6)</f>
        <v>130</v>
      </c>
      <c r="Y432" s="27">
        <f>INDEX(Schedule!$A$1:$N$2000, MATCH($C432, VAV_Schedule_5_21[[#All],[UNIT TAG]], FALSE), 6)</f>
        <v>130</v>
      </c>
      <c r="Z432" s="27">
        <f>INDEX(Schedule!$A$1:$N$2000, MATCH($C432, VAV_Schedule_5_21[[#All],[UNIT TAG]], FALSE), 6)</f>
        <v>130</v>
      </c>
      <c r="AA432" s="27">
        <v>1000</v>
      </c>
      <c r="AB432" s="27">
        <v>1100</v>
      </c>
      <c r="AC432">
        <v>1400</v>
      </c>
      <c r="AD432" s="29" t="str">
        <f>IF(INDEX(Schedule!$A$1:$N$2000, MATCH($C432, VAV_Schedule_5_21[[#All],[UNIT TAG]], FALSE), 7)="-", 0, INDEX(Schedule!$A$1:$N$2000, MATCH($C432, VAV_Schedule_5_21[[#All],[UNIT TAG]], FALSE), 7))</f>
        <v>6</v>
      </c>
      <c r="AE432" t="str">
        <f>"B_01'" &amp; "Flr_0" &amp; INDEX(Joined!$A$3:$M$2000, MATCH($A432, Joined!$I$3:$I$2000, FALSE), 8)</f>
        <v>B_01'Flr_010</v>
      </c>
      <c r="AF432" t="str">
        <f>"R_" &amp; INDEX(Joined!$A$3:$M$2000, MATCH($A432, Joined!$I$3:$I$2000, FALSE), 7)</f>
        <v>R_VAV-10W-37</v>
      </c>
      <c r="AG432" t="str">
        <f>"B_01'" &amp; "Flr_0" &amp; INDEX(Joined!$A$3:$M$2000, MATCH($A432, Joined!$I$3:$I$2000, FALSE), 8)</f>
        <v>B_01'Flr_010</v>
      </c>
      <c r="AH432" t="str">
        <f>INDEX(Joined!$A$3:$M$2000, MATCH($A432, Joined!$I$3:$I$2000, FALSE), 7)</f>
        <v>VAV-10W-37</v>
      </c>
      <c r="AI432" t="s">
        <v>1760</v>
      </c>
    </row>
    <row r="433" spans="1:35" x14ac:dyDescent="0.2">
      <c r="A433" t="s">
        <v>1294</v>
      </c>
      <c r="B433" t="str">
        <f>"B_01'" &amp; "Flr_0" &amp; INDEX(Joined!$A$3:$M$2000, MATCH($A433, Joined!$I$3:$I$2000, FALSE), 8)</f>
        <v>B_01'Flr_010</v>
      </c>
      <c r="C433" t="str">
        <f>INDEX(Joined!$A$3:$M$2000, MATCH($A433, Joined!$I$3:$I$2000, FALSE), 7)</f>
        <v>VAV-10W-38</v>
      </c>
      <c r="D433">
        <f>INDEX(Joined!$A$3:$M$2000, MATCH($A433, Joined!$I$3:$I$2000, FALSE), 5)</f>
        <v>152711</v>
      </c>
      <c r="E433" t="str">
        <f>INDEX(Joined!$A$3:$M$2000, MATCH($A433, Joined!$I$3:$I$2000, FALSE), 7)</f>
        <v>VAV-10W-38</v>
      </c>
      <c r="F433" t="s">
        <v>38</v>
      </c>
      <c r="G433" t="str">
        <f>INDEX(Schedule!$Q$2:$R$7, MATCH(ABT!$H433,Schedule!$Q$2:$Q$7, 0), 2)</f>
        <v>15011_DXR_VAV_DXR2M12</v>
      </c>
      <c r="H433">
        <f>INDEX(Joined!$A$3:$M$2000, MATCH($A433, Joined!$I$3:$I$2000, FALSE), 6)</f>
        <v>15011</v>
      </c>
      <c r="I433" t="str">
        <f>INDEX(Joined!$A$3:$M$2000, MATCH($A433, Joined!$I$3:$I$2000, FALSE), 4)</f>
        <v>527</v>
      </c>
      <c r="J433" t="b">
        <v>0</v>
      </c>
      <c r="K433">
        <f>INDEX(Joined!$A$3:$M$2000, MATCH($A433, Joined!$I$3:$I$2000, FALSE), 3)</f>
        <v>11</v>
      </c>
      <c r="L433">
        <v>85</v>
      </c>
      <c r="M433">
        <v>38400</v>
      </c>
      <c r="N433" s="27">
        <f>PI()*(INDEX(Schedule!$A$1:$N$2000, MATCH($C433, VAV_Schedule_5_21[[#All],[UNIT TAG]], FALSE), 4)/2/12)^2</f>
        <v>0.3490658503988659</v>
      </c>
      <c r="O433" s="27">
        <f>INDEX(Schedule!$A$1:$N$2000, MATCH($C433, VAV_Schedule_5_21[[#All],[UNIT TAG]], FALSE), 4)</f>
        <v>8</v>
      </c>
      <c r="P433">
        <v>431.63</v>
      </c>
      <c r="Q433" s="27">
        <f>INDEX(Schedule!$A$1:$N$2000, MATCH($C433, VAV_Schedule_5_21[[#All],[UNIT TAG]], FALSE), 5)</f>
        <v>700</v>
      </c>
      <c r="R433" s="27">
        <f>INDEX(Schedule!$A$1:$N$2000, MATCH($C433, VAV_Schedule_5_21[[#All],[UNIT TAG]], FALSE), 6)</f>
        <v>105</v>
      </c>
      <c r="S433" s="27">
        <f>INDEX(Schedule!$A$1:$N$2000, MATCH($C433, VAV_Schedule_5_21[[#All],[UNIT TAG]], FALSE), 5)</f>
        <v>700</v>
      </c>
      <c r="T433" s="27">
        <f>INDEX(Schedule!$A$1:$N$2000, MATCH($C433, VAV_Schedule_5_21[[#All],[UNIT TAG]], FALSE), 6)</f>
        <v>105</v>
      </c>
      <c r="U433" s="27">
        <f>INDEX(Schedule!$A$1:$N$2000, MATCH($C433, VAV_Schedule_5_21[[#All],[UNIT TAG]], FALSE), 5)</f>
        <v>700</v>
      </c>
      <c r="V433" s="27">
        <f>INDEX(Schedule!$A$1:$N$2000, MATCH($C433, VAV_Schedule_5_21[[#All],[UNIT TAG]], FALSE), 6)</f>
        <v>105</v>
      </c>
      <c r="W433" s="27">
        <f>INDEX(Schedule!$A$1:$N$2000, MATCH($C433, VAV_Schedule_5_21[[#All],[UNIT TAG]], FALSE), 6)</f>
        <v>105</v>
      </c>
      <c r="X433" s="27">
        <f>INDEX(Schedule!$A$1:$N$2000, MATCH($C433, VAV_Schedule_5_21[[#All],[UNIT TAG]], FALSE), 6)</f>
        <v>105</v>
      </c>
      <c r="Y433" s="27">
        <f>INDEX(Schedule!$A$1:$N$2000, MATCH($C433, VAV_Schedule_5_21[[#All],[UNIT TAG]], FALSE), 6)</f>
        <v>105</v>
      </c>
      <c r="Z433" s="27">
        <f>INDEX(Schedule!$A$1:$N$2000, MATCH($C433, VAV_Schedule_5_21[[#All],[UNIT TAG]], FALSE), 6)</f>
        <v>105</v>
      </c>
      <c r="AA433" s="27">
        <v>1000</v>
      </c>
      <c r="AB433" s="27">
        <v>1100</v>
      </c>
      <c r="AC433">
        <v>1400</v>
      </c>
      <c r="AD433" s="29" t="str">
        <f>IF(INDEX(Schedule!$A$1:$N$2000, MATCH($C433, VAV_Schedule_5_21[[#All],[UNIT TAG]], FALSE), 7)="-", 0, INDEX(Schedule!$A$1:$N$2000, MATCH($C433, VAV_Schedule_5_21[[#All],[UNIT TAG]], FALSE), 7))</f>
        <v>6</v>
      </c>
      <c r="AE433" t="str">
        <f>"B_01'" &amp; "Flr_0" &amp; INDEX(Joined!$A$3:$M$2000, MATCH($A433, Joined!$I$3:$I$2000, FALSE), 8)</f>
        <v>B_01'Flr_010</v>
      </c>
      <c r="AF433" t="str">
        <f>"R_" &amp; INDEX(Joined!$A$3:$M$2000, MATCH($A433, Joined!$I$3:$I$2000, FALSE), 7)</f>
        <v>R_VAV-10W-38</v>
      </c>
      <c r="AG433" t="str">
        <f>"B_01'" &amp; "Flr_0" &amp; INDEX(Joined!$A$3:$M$2000, MATCH($A433, Joined!$I$3:$I$2000, FALSE), 8)</f>
        <v>B_01'Flr_010</v>
      </c>
      <c r="AH433" t="str">
        <f>INDEX(Joined!$A$3:$M$2000, MATCH($A433, Joined!$I$3:$I$2000, FALSE), 7)</f>
        <v>VAV-10W-38</v>
      </c>
      <c r="AI433" t="s">
        <v>1761</v>
      </c>
    </row>
    <row r="434" spans="1:35" x14ac:dyDescent="0.2">
      <c r="A434" t="s">
        <v>1295</v>
      </c>
      <c r="B434" t="str">
        <f>"B_01'" &amp; "Flr_0" &amp; INDEX(Joined!$A$3:$M$2000, MATCH($A434, Joined!$I$3:$I$2000, FALSE), 8)</f>
        <v>B_01'Flr_010</v>
      </c>
      <c r="C434" t="str">
        <f>INDEX(Joined!$A$3:$M$2000, MATCH($A434, Joined!$I$3:$I$2000, FALSE), 7)</f>
        <v>VAV-10W-39</v>
      </c>
      <c r="D434">
        <f>INDEX(Joined!$A$3:$M$2000, MATCH($A434, Joined!$I$3:$I$2000, FALSE), 5)</f>
        <v>152712</v>
      </c>
      <c r="E434" t="str">
        <f>INDEX(Joined!$A$3:$M$2000, MATCH($A434, Joined!$I$3:$I$2000, FALSE), 7)</f>
        <v>VAV-10W-39</v>
      </c>
      <c r="F434" t="s">
        <v>38</v>
      </c>
      <c r="G434" t="str">
        <f>INDEX(Schedule!$Q$2:$R$7, MATCH(ABT!$H434,Schedule!$Q$2:$Q$7, 0), 2)</f>
        <v>15010_DXR_VAV_DXR2M12</v>
      </c>
      <c r="H434">
        <f>INDEX(Joined!$A$3:$M$2000, MATCH($A434, Joined!$I$3:$I$2000, FALSE), 6)</f>
        <v>15010</v>
      </c>
      <c r="I434" t="str">
        <f>INDEX(Joined!$A$3:$M$2000, MATCH($A434, Joined!$I$3:$I$2000, FALSE), 4)</f>
        <v>527</v>
      </c>
      <c r="J434" t="b">
        <v>0</v>
      </c>
      <c r="K434">
        <f>INDEX(Joined!$A$3:$M$2000, MATCH($A434, Joined!$I$3:$I$2000, FALSE), 3)</f>
        <v>12</v>
      </c>
      <c r="L434">
        <v>85</v>
      </c>
      <c r="M434">
        <v>38400</v>
      </c>
      <c r="N434" s="27">
        <f>PI()*(INDEX(Schedule!$A$1:$N$2000, MATCH($C434, VAV_Schedule_5_21[[#All],[UNIT TAG]], FALSE), 4)/2/12)^2</f>
        <v>0.54541539124822802</v>
      </c>
      <c r="O434" s="27">
        <f>INDEX(Schedule!$A$1:$N$2000, MATCH($C434, VAV_Schedule_5_21[[#All],[UNIT TAG]], FALSE), 4)</f>
        <v>10</v>
      </c>
      <c r="P434">
        <v>432.63</v>
      </c>
      <c r="Q434" s="27">
        <f>INDEX(Schedule!$A$1:$N$2000, MATCH($C434, VAV_Schedule_5_21[[#All],[UNIT TAG]], FALSE), 5)</f>
        <v>835</v>
      </c>
      <c r="R434" s="27">
        <f>INDEX(Schedule!$A$1:$N$2000, MATCH($C434, VAV_Schedule_5_21[[#All],[UNIT TAG]], FALSE), 6)</f>
        <v>130</v>
      </c>
      <c r="S434" s="27">
        <f>INDEX(Schedule!$A$1:$N$2000, MATCH($C434, VAV_Schedule_5_21[[#All],[UNIT TAG]], FALSE), 5)</f>
        <v>835</v>
      </c>
      <c r="T434" s="27">
        <f>INDEX(Schedule!$A$1:$N$2000, MATCH($C434, VAV_Schedule_5_21[[#All],[UNIT TAG]], FALSE), 6)</f>
        <v>130</v>
      </c>
      <c r="U434" s="27">
        <f>INDEX(Schedule!$A$1:$N$2000, MATCH($C434, VAV_Schedule_5_21[[#All],[UNIT TAG]], FALSE), 5)</f>
        <v>835</v>
      </c>
      <c r="V434" s="27">
        <f>INDEX(Schedule!$A$1:$N$2000, MATCH($C434, VAV_Schedule_5_21[[#All],[UNIT TAG]], FALSE), 6)</f>
        <v>130</v>
      </c>
      <c r="W434" s="27">
        <f>INDEX(Schedule!$A$1:$N$2000, MATCH($C434, VAV_Schedule_5_21[[#All],[UNIT TAG]], FALSE), 6)</f>
        <v>130</v>
      </c>
      <c r="X434" s="27">
        <f>INDEX(Schedule!$A$1:$N$2000, MATCH($C434, VAV_Schedule_5_21[[#All],[UNIT TAG]], FALSE), 6)</f>
        <v>130</v>
      </c>
      <c r="Y434" s="27">
        <f>INDEX(Schedule!$A$1:$N$2000, MATCH($C434, VAV_Schedule_5_21[[#All],[UNIT TAG]], FALSE), 6)</f>
        <v>130</v>
      </c>
      <c r="Z434" s="27">
        <f>INDEX(Schedule!$A$1:$N$2000, MATCH($C434, VAV_Schedule_5_21[[#All],[UNIT TAG]], FALSE), 6)</f>
        <v>130</v>
      </c>
      <c r="AA434" s="27">
        <v>1000</v>
      </c>
      <c r="AB434" s="27">
        <v>1100</v>
      </c>
      <c r="AC434">
        <v>1400</v>
      </c>
      <c r="AD434" s="29">
        <f>IF(INDEX(Schedule!$A$1:$N$2000, MATCH($C434, VAV_Schedule_5_21[[#All],[UNIT TAG]], FALSE), 7)="-", 0, INDEX(Schedule!$A$1:$N$2000, MATCH($C434, VAV_Schedule_5_21[[#All],[UNIT TAG]], FALSE), 7))</f>
        <v>0</v>
      </c>
      <c r="AE434" t="str">
        <f>"B_01'" &amp; "Flr_0" &amp; INDEX(Joined!$A$3:$M$2000, MATCH($A434, Joined!$I$3:$I$2000, FALSE), 8)</f>
        <v>B_01'Flr_010</v>
      </c>
      <c r="AF434" t="str">
        <f>"R_" &amp; INDEX(Joined!$A$3:$M$2000, MATCH($A434, Joined!$I$3:$I$2000, FALSE), 7)</f>
        <v>R_VAV-10W-39</v>
      </c>
      <c r="AG434" t="str">
        <f>"B_01'" &amp; "Flr_0" &amp; INDEX(Joined!$A$3:$M$2000, MATCH($A434, Joined!$I$3:$I$2000, FALSE), 8)</f>
        <v>B_01'Flr_010</v>
      </c>
      <c r="AH434" t="str">
        <f>INDEX(Joined!$A$3:$M$2000, MATCH($A434, Joined!$I$3:$I$2000, FALSE), 7)</f>
        <v>VAV-10W-39</v>
      </c>
      <c r="AI434" t="s">
        <v>1762</v>
      </c>
    </row>
    <row r="435" spans="1:35" x14ac:dyDescent="0.2">
      <c r="A435" t="s">
        <v>1296</v>
      </c>
      <c r="B435" t="str">
        <f>"B_01'" &amp; "Flr_0" &amp; INDEX(Joined!$A$3:$M$2000, MATCH($A435, Joined!$I$3:$I$2000, FALSE), 8)</f>
        <v>B_01'Flr_010</v>
      </c>
      <c r="C435" t="str">
        <f>INDEX(Joined!$A$3:$M$2000, MATCH($A435, Joined!$I$3:$I$2000, FALSE), 7)</f>
        <v>VAV-10W-40</v>
      </c>
      <c r="D435">
        <f>INDEX(Joined!$A$3:$M$2000, MATCH($A435, Joined!$I$3:$I$2000, FALSE), 5)</f>
        <v>152713</v>
      </c>
      <c r="E435" t="str">
        <f>INDEX(Joined!$A$3:$M$2000, MATCH($A435, Joined!$I$3:$I$2000, FALSE), 7)</f>
        <v>VAV-10W-40</v>
      </c>
      <c r="F435" t="s">
        <v>38</v>
      </c>
      <c r="G435" t="str">
        <f>INDEX(Schedule!$Q$2:$R$7, MATCH(ABT!$H435,Schedule!$Q$2:$Q$7, 0), 2)</f>
        <v>15010_DXR_VAV_DXR2M12</v>
      </c>
      <c r="H435">
        <f>INDEX(Joined!$A$3:$M$2000, MATCH($A435, Joined!$I$3:$I$2000, FALSE), 6)</f>
        <v>15010</v>
      </c>
      <c r="I435" t="str">
        <f>INDEX(Joined!$A$3:$M$2000, MATCH($A435, Joined!$I$3:$I$2000, FALSE), 4)</f>
        <v>527</v>
      </c>
      <c r="J435" t="b">
        <v>0</v>
      </c>
      <c r="K435">
        <f>INDEX(Joined!$A$3:$M$2000, MATCH($A435, Joined!$I$3:$I$2000, FALSE), 3)</f>
        <v>13</v>
      </c>
      <c r="L435">
        <v>85</v>
      </c>
      <c r="M435">
        <v>38400</v>
      </c>
      <c r="N435" s="27">
        <f>PI()*(INDEX(Schedule!$A$1:$N$2000, MATCH($C435, VAV_Schedule_5_21[[#All],[UNIT TAG]], FALSE), 4)/2/12)^2</f>
        <v>0.19634954084936207</v>
      </c>
      <c r="O435" s="27">
        <f>INDEX(Schedule!$A$1:$N$2000, MATCH($C435, VAV_Schedule_5_21[[#All],[UNIT TAG]], FALSE), 4)</f>
        <v>6</v>
      </c>
      <c r="P435">
        <v>433.63</v>
      </c>
      <c r="Q435" s="27">
        <f>INDEX(Schedule!$A$1:$N$2000, MATCH($C435, VAV_Schedule_5_21[[#All],[UNIT TAG]], FALSE), 5)</f>
        <v>185</v>
      </c>
      <c r="R435" s="27">
        <f>INDEX(Schedule!$A$1:$N$2000, MATCH($C435, VAV_Schedule_5_21[[#All],[UNIT TAG]], FALSE), 6)</f>
        <v>30</v>
      </c>
      <c r="S435" s="27">
        <f>INDEX(Schedule!$A$1:$N$2000, MATCH($C435, VAV_Schedule_5_21[[#All],[UNIT TAG]], FALSE), 5)</f>
        <v>185</v>
      </c>
      <c r="T435" s="27">
        <f>INDEX(Schedule!$A$1:$N$2000, MATCH($C435, VAV_Schedule_5_21[[#All],[UNIT TAG]], FALSE), 6)</f>
        <v>30</v>
      </c>
      <c r="U435" s="27">
        <f>INDEX(Schedule!$A$1:$N$2000, MATCH($C435, VAV_Schedule_5_21[[#All],[UNIT TAG]], FALSE), 5)</f>
        <v>185</v>
      </c>
      <c r="V435" s="27">
        <f>INDEX(Schedule!$A$1:$N$2000, MATCH($C435, VAV_Schedule_5_21[[#All],[UNIT TAG]], FALSE), 6)</f>
        <v>30</v>
      </c>
      <c r="W435" s="27">
        <f>INDEX(Schedule!$A$1:$N$2000, MATCH($C435, VAV_Schedule_5_21[[#All],[UNIT TAG]], FALSE), 6)</f>
        <v>30</v>
      </c>
      <c r="X435" s="27">
        <f>INDEX(Schedule!$A$1:$N$2000, MATCH($C435, VAV_Schedule_5_21[[#All],[UNIT TAG]], FALSE), 6)</f>
        <v>30</v>
      </c>
      <c r="Y435" s="27">
        <f>INDEX(Schedule!$A$1:$N$2000, MATCH($C435, VAV_Schedule_5_21[[#All],[UNIT TAG]], FALSE), 6)</f>
        <v>30</v>
      </c>
      <c r="Z435" s="27">
        <f>INDEX(Schedule!$A$1:$N$2000, MATCH($C435, VAV_Schedule_5_21[[#All],[UNIT TAG]], FALSE), 6)</f>
        <v>30</v>
      </c>
      <c r="AA435" s="27">
        <v>1000</v>
      </c>
      <c r="AB435" s="27">
        <v>1100</v>
      </c>
      <c r="AC435">
        <v>1400</v>
      </c>
      <c r="AD435" s="29">
        <f>IF(INDEX(Schedule!$A$1:$N$2000, MATCH($C435, VAV_Schedule_5_21[[#All],[UNIT TAG]], FALSE), 7)="-", 0, INDEX(Schedule!$A$1:$N$2000, MATCH($C435, VAV_Schedule_5_21[[#All],[UNIT TAG]], FALSE), 7))</f>
        <v>0</v>
      </c>
      <c r="AE435" t="str">
        <f>"B_01'" &amp; "Flr_0" &amp; INDEX(Joined!$A$3:$M$2000, MATCH($A435, Joined!$I$3:$I$2000, FALSE), 8)</f>
        <v>B_01'Flr_010</v>
      </c>
      <c r="AF435" t="str">
        <f>"R_" &amp; INDEX(Joined!$A$3:$M$2000, MATCH($A435, Joined!$I$3:$I$2000, FALSE), 7)</f>
        <v>R_VAV-10W-40</v>
      </c>
      <c r="AG435" t="str">
        <f>"B_01'" &amp; "Flr_0" &amp; INDEX(Joined!$A$3:$M$2000, MATCH($A435, Joined!$I$3:$I$2000, FALSE), 8)</f>
        <v>B_01'Flr_010</v>
      </c>
      <c r="AH435" t="str">
        <f>INDEX(Joined!$A$3:$M$2000, MATCH($A435, Joined!$I$3:$I$2000, FALSE), 7)</f>
        <v>VAV-10W-40</v>
      </c>
      <c r="AI435" t="s">
        <v>1763</v>
      </c>
    </row>
    <row r="436" spans="1:35" x14ac:dyDescent="0.2">
      <c r="A436" t="s">
        <v>1297</v>
      </c>
      <c r="B436" t="str">
        <f>"B_01'" &amp; "Flr_0" &amp; INDEX(Joined!$A$3:$M$2000, MATCH($A436, Joined!$I$3:$I$2000, FALSE), 8)</f>
        <v>B_01'Flr_010</v>
      </c>
      <c r="C436" t="str">
        <f>INDEX(Joined!$A$3:$M$2000, MATCH($A436, Joined!$I$3:$I$2000, FALSE), 7)</f>
        <v>VAV-10W-41</v>
      </c>
      <c r="D436">
        <f>INDEX(Joined!$A$3:$M$2000, MATCH($A436, Joined!$I$3:$I$2000, FALSE), 5)</f>
        <v>152714</v>
      </c>
      <c r="E436" t="str">
        <f>INDEX(Joined!$A$3:$M$2000, MATCH($A436, Joined!$I$3:$I$2000, FALSE), 7)</f>
        <v>VAV-10W-41</v>
      </c>
      <c r="F436" t="s">
        <v>38</v>
      </c>
      <c r="G436" t="str">
        <f>INDEX(Schedule!$Q$2:$R$7, MATCH(ABT!$H436,Schedule!$Q$2:$Q$7, 0), 2)</f>
        <v>15011_DXR_VAV_DXR2M12</v>
      </c>
      <c r="H436">
        <f>INDEX(Joined!$A$3:$M$2000, MATCH($A436, Joined!$I$3:$I$2000, FALSE), 6)</f>
        <v>15011</v>
      </c>
      <c r="I436" t="str">
        <f>INDEX(Joined!$A$3:$M$2000, MATCH($A436, Joined!$I$3:$I$2000, FALSE), 4)</f>
        <v>527</v>
      </c>
      <c r="J436" t="b">
        <v>0</v>
      </c>
      <c r="K436">
        <f>INDEX(Joined!$A$3:$M$2000, MATCH($A436, Joined!$I$3:$I$2000, FALSE), 3)</f>
        <v>14</v>
      </c>
      <c r="L436">
        <v>85</v>
      </c>
      <c r="M436">
        <v>38400</v>
      </c>
      <c r="N436" s="27">
        <f>PI()*(INDEX(Schedule!$A$1:$N$2000, MATCH($C436, VAV_Schedule_5_21[[#All],[UNIT TAG]], FALSE), 4)/2/12)^2</f>
        <v>0.78539816339744828</v>
      </c>
      <c r="O436" s="27">
        <f>INDEX(Schedule!$A$1:$N$2000, MATCH($C436, VAV_Schedule_5_21[[#All],[UNIT TAG]], FALSE), 4)</f>
        <v>12</v>
      </c>
      <c r="P436">
        <v>434.63</v>
      </c>
      <c r="Q436" s="27">
        <f>INDEX(Schedule!$A$1:$N$2000, MATCH($C436, VAV_Schedule_5_21[[#All],[UNIT TAG]], FALSE), 5)</f>
        <v>1220</v>
      </c>
      <c r="R436" s="27">
        <f>INDEX(Schedule!$A$1:$N$2000, MATCH($C436, VAV_Schedule_5_21[[#All],[UNIT TAG]], FALSE), 6)</f>
        <v>185</v>
      </c>
      <c r="S436" s="27">
        <f>INDEX(Schedule!$A$1:$N$2000, MATCH($C436, VAV_Schedule_5_21[[#All],[UNIT TAG]], FALSE), 5)</f>
        <v>1220</v>
      </c>
      <c r="T436" s="27">
        <f>INDEX(Schedule!$A$1:$N$2000, MATCH($C436, VAV_Schedule_5_21[[#All],[UNIT TAG]], FALSE), 6)</f>
        <v>185</v>
      </c>
      <c r="U436" s="27">
        <f>INDEX(Schedule!$A$1:$N$2000, MATCH($C436, VAV_Schedule_5_21[[#All],[UNIT TAG]], FALSE), 5)</f>
        <v>1220</v>
      </c>
      <c r="V436" s="27">
        <f>INDEX(Schedule!$A$1:$N$2000, MATCH($C436, VAV_Schedule_5_21[[#All],[UNIT TAG]], FALSE), 6)</f>
        <v>185</v>
      </c>
      <c r="W436" s="27">
        <f>INDEX(Schedule!$A$1:$N$2000, MATCH($C436, VAV_Schedule_5_21[[#All],[UNIT TAG]], FALSE), 6)</f>
        <v>185</v>
      </c>
      <c r="X436" s="27">
        <f>INDEX(Schedule!$A$1:$N$2000, MATCH($C436, VAV_Schedule_5_21[[#All],[UNIT TAG]], FALSE), 6)</f>
        <v>185</v>
      </c>
      <c r="Y436" s="27">
        <f>INDEX(Schedule!$A$1:$N$2000, MATCH($C436, VAV_Schedule_5_21[[#All],[UNIT TAG]], FALSE), 6)</f>
        <v>185</v>
      </c>
      <c r="Z436" s="27">
        <f>INDEX(Schedule!$A$1:$N$2000, MATCH($C436, VAV_Schedule_5_21[[#All],[UNIT TAG]], FALSE), 6)</f>
        <v>185</v>
      </c>
      <c r="AA436" s="27">
        <v>1000</v>
      </c>
      <c r="AB436" s="27">
        <v>1100</v>
      </c>
      <c r="AC436">
        <v>1400</v>
      </c>
      <c r="AD436" s="29" t="str">
        <f>IF(INDEX(Schedule!$A$1:$N$2000, MATCH($C436, VAV_Schedule_5_21[[#All],[UNIT TAG]], FALSE), 7)="-", 0, INDEX(Schedule!$A$1:$N$2000, MATCH($C436, VAV_Schedule_5_21[[#All],[UNIT TAG]], FALSE), 7))</f>
        <v>7</v>
      </c>
      <c r="AE436" t="str">
        <f>"B_01'" &amp; "Flr_0" &amp; INDEX(Joined!$A$3:$M$2000, MATCH($A436, Joined!$I$3:$I$2000, FALSE), 8)</f>
        <v>B_01'Flr_010</v>
      </c>
      <c r="AF436" t="str">
        <f>"R_" &amp; INDEX(Joined!$A$3:$M$2000, MATCH($A436, Joined!$I$3:$I$2000, FALSE), 7)</f>
        <v>R_VAV-10W-41</v>
      </c>
      <c r="AG436" t="str">
        <f>"B_01'" &amp; "Flr_0" &amp; INDEX(Joined!$A$3:$M$2000, MATCH($A436, Joined!$I$3:$I$2000, FALSE), 8)</f>
        <v>B_01'Flr_010</v>
      </c>
      <c r="AH436" t="str">
        <f>INDEX(Joined!$A$3:$M$2000, MATCH($A436, Joined!$I$3:$I$2000, FALSE), 7)</f>
        <v>VAV-10W-41</v>
      </c>
      <c r="AI436" t="s">
        <v>1764</v>
      </c>
    </row>
    <row r="437" spans="1:35" x14ac:dyDescent="0.2">
      <c r="A437" t="s">
        <v>1298</v>
      </c>
      <c r="B437" t="str">
        <f>"B_01'" &amp; "Flr_0" &amp; INDEX(Joined!$A$3:$M$2000, MATCH($A437, Joined!$I$3:$I$2000, FALSE), 8)</f>
        <v>B_01'Flr_010</v>
      </c>
      <c r="C437" t="str">
        <f>INDEX(Joined!$A$3:$M$2000, MATCH($A437, Joined!$I$3:$I$2000, FALSE), 7)</f>
        <v>VAV-10W-42</v>
      </c>
      <c r="D437">
        <f>INDEX(Joined!$A$3:$M$2000, MATCH($A437, Joined!$I$3:$I$2000, FALSE), 5)</f>
        <v>152715</v>
      </c>
      <c r="E437" t="str">
        <f>INDEX(Joined!$A$3:$M$2000, MATCH($A437, Joined!$I$3:$I$2000, FALSE), 7)</f>
        <v>VAV-10W-42</v>
      </c>
      <c r="F437" t="s">
        <v>38</v>
      </c>
      <c r="G437" t="str">
        <f>INDEX(Schedule!$Q$2:$R$7, MATCH(ABT!$H437,Schedule!$Q$2:$Q$7, 0), 2)</f>
        <v>15011_DXR_VAV_DXR2M12</v>
      </c>
      <c r="H437">
        <f>INDEX(Joined!$A$3:$M$2000, MATCH($A437, Joined!$I$3:$I$2000, FALSE), 6)</f>
        <v>15011</v>
      </c>
      <c r="I437" t="str">
        <f>INDEX(Joined!$A$3:$M$2000, MATCH($A437, Joined!$I$3:$I$2000, FALSE), 4)</f>
        <v>527</v>
      </c>
      <c r="J437" t="b">
        <v>0</v>
      </c>
      <c r="K437">
        <f>INDEX(Joined!$A$3:$M$2000, MATCH($A437, Joined!$I$3:$I$2000, FALSE), 3)</f>
        <v>15</v>
      </c>
      <c r="L437">
        <v>85</v>
      </c>
      <c r="M437">
        <v>38400</v>
      </c>
      <c r="N437" s="27">
        <f>PI()*(INDEX(Schedule!$A$1:$N$2000, MATCH($C437, VAV_Schedule_5_21[[#All],[UNIT TAG]], FALSE), 4)/2/12)^2</f>
        <v>0.54541539124822802</v>
      </c>
      <c r="O437" s="27">
        <f>INDEX(Schedule!$A$1:$N$2000, MATCH($C437, VAV_Schedule_5_21[[#All],[UNIT TAG]], FALSE), 4)</f>
        <v>10</v>
      </c>
      <c r="P437">
        <v>435.63</v>
      </c>
      <c r="Q437" s="27">
        <f>INDEX(Schedule!$A$1:$N$2000, MATCH($C437, VAV_Schedule_5_21[[#All],[UNIT TAG]], FALSE), 5)</f>
        <v>960</v>
      </c>
      <c r="R437" s="27">
        <f>INDEX(Schedule!$A$1:$N$2000, MATCH($C437, VAV_Schedule_5_21[[#All],[UNIT TAG]], FALSE), 6)</f>
        <v>145</v>
      </c>
      <c r="S437" s="27">
        <f>INDEX(Schedule!$A$1:$N$2000, MATCH($C437, VAV_Schedule_5_21[[#All],[UNIT TAG]], FALSE), 5)</f>
        <v>960</v>
      </c>
      <c r="T437" s="27">
        <f>INDEX(Schedule!$A$1:$N$2000, MATCH($C437, VAV_Schedule_5_21[[#All],[UNIT TAG]], FALSE), 6)</f>
        <v>145</v>
      </c>
      <c r="U437" s="27">
        <f>INDEX(Schedule!$A$1:$N$2000, MATCH($C437, VAV_Schedule_5_21[[#All],[UNIT TAG]], FALSE), 5)</f>
        <v>960</v>
      </c>
      <c r="V437" s="27">
        <f>INDEX(Schedule!$A$1:$N$2000, MATCH($C437, VAV_Schedule_5_21[[#All],[UNIT TAG]], FALSE), 6)</f>
        <v>145</v>
      </c>
      <c r="W437" s="27">
        <f>INDEX(Schedule!$A$1:$N$2000, MATCH($C437, VAV_Schedule_5_21[[#All],[UNIT TAG]], FALSE), 6)</f>
        <v>145</v>
      </c>
      <c r="X437" s="27">
        <f>INDEX(Schedule!$A$1:$N$2000, MATCH($C437, VAV_Schedule_5_21[[#All],[UNIT TAG]], FALSE), 6)</f>
        <v>145</v>
      </c>
      <c r="Y437" s="27">
        <f>INDEX(Schedule!$A$1:$N$2000, MATCH($C437, VAV_Schedule_5_21[[#All],[UNIT TAG]], FALSE), 6)</f>
        <v>145</v>
      </c>
      <c r="Z437" s="27">
        <f>INDEX(Schedule!$A$1:$N$2000, MATCH($C437, VAV_Schedule_5_21[[#All],[UNIT TAG]], FALSE), 6)</f>
        <v>145</v>
      </c>
      <c r="AA437" s="27">
        <v>1000</v>
      </c>
      <c r="AB437" s="27">
        <v>1100</v>
      </c>
      <c r="AC437">
        <v>1400</v>
      </c>
      <c r="AD437" s="29" t="str">
        <f>IF(INDEX(Schedule!$A$1:$N$2000, MATCH($C437, VAV_Schedule_5_21[[#All],[UNIT TAG]], FALSE), 7)="-", 0, INDEX(Schedule!$A$1:$N$2000, MATCH($C437, VAV_Schedule_5_21[[#All],[UNIT TAG]], FALSE), 7))</f>
        <v>6</v>
      </c>
      <c r="AE437" t="str">
        <f>"B_01'" &amp; "Flr_0" &amp; INDEX(Joined!$A$3:$M$2000, MATCH($A437, Joined!$I$3:$I$2000, FALSE), 8)</f>
        <v>B_01'Flr_010</v>
      </c>
      <c r="AF437" t="str">
        <f>"R_" &amp; INDEX(Joined!$A$3:$M$2000, MATCH($A437, Joined!$I$3:$I$2000, FALSE), 7)</f>
        <v>R_VAV-10W-42</v>
      </c>
      <c r="AG437" t="str">
        <f>"B_01'" &amp; "Flr_0" &amp; INDEX(Joined!$A$3:$M$2000, MATCH($A437, Joined!$I$3:$I$2000, FALSE), 8)</f>
        <v>B_01'Flr_010</v>
      </c>
      <c r="AH437" t="str">
        <f>INDEX(Joined!$A$3:$M$2000, MATCH($A437, Joined!$I$3:$I$2000, FALSE), 7)</f>
        <v>VAV-10W-42</v>
      </c>
      <c r="AI437" t="s">
        <v>1765</v>
      </c>
    </row>
    <row r="438" spans="1:35" x14ac:dyDescent="0.2">
      <c r="A438" t="s">
        <v>1299</v>
      </c>
      <c r="B438" t="str">
        <f>"B_01'" &amp; "Flr_0" &amp; INDEX(Joined!$A$3:$M$2000, MATCH($A438, Joined!$I$3:$I$2000, FALSE), 8)</f>
        <v>B_01'Flr_010</v>
      </c>
      <c r="C438" t="str">
        <f>INDEX(Joined!$A$3:$M$2000, MATCH($A438, Joined!$I$3:$I$2000, FALSE), 7)</f>
        <v>VAV-10W-43</v>
      </c>
      <c r="D438">
        <f>INDEX(Joined!$A$3:$M$2000, MATCH($A438, Joined!$I$3:$I$2000, FALSE), 5)</f>
        <v>152716</v>
      </c>
      <c r="E438" t="str">
        <f>INDEX(Joined!$A$3:$M$2000, MATCH($A438, Joined!$I$3:$I$2000, FALSE), 7)</f>
        <v>VAV-10W-43</v>
      </c>
      <c r="F438" t="s">
        <v>38</v>
      </c>
      <c r="G438" t="str">
        <f>INDEX(Schedule!$Q$2:$R$7, MATCH(ABT!$H438,Schedule!$Q$2:$Q$7, 0), 2)</f>
        <v>15011_DXR_VAV_DXR2M12</v>
      </c>
      <c r="H438">
        <f>INDEX(Joined!$A$3:$M$2000, MATCH($A438, Joined!$I$3:$I$2000, FALSE), 6)</f>
        <v>15011</v>
      </c>
      <c r="I438" t="str">
        <f>INDEX(Joined!$A$3:$M$2000, MATCH($A438, Joined!$I$3:$I$2000, FALSE), 4)</f>
        <v>527</v>
      </c>
      <c r="J438" t="b">
        <v>0</v>
      </c>
      <c r="K438">
        <f>INDEX(Joined!$A$3:$M$2000, MATCH($A438, Joined!$I$3:$I$2000, FALSE), 3)</f>
        <v>16</v>
      </c>
      <c r="L438">
        <v>85</v>
      </c>
      <c r="M438">
        <v>38400</v>
      </c>
      <c r="N438" s="27">
        <f>PI()*(INDEX(Schedule!$A$1:$N$2000, MATCH($C438, VAV_Schedule_5_21[[#All],[UNIT TAG]], FALSE), 4)/2/12)^2</f>
        <v>0.78539816339744828</v>
      </c>
      <c r="O438" s="27">
        <f>INDEX(Schedule!$A$1:$N$2000, MATCH($C438, VAV_Schedule_5_21[[#All],[UNIT TAG]], FALSE), 4)</f>
        <v>12</v>
      </c>
      <c r="P438">
        <v>436.63</v>
      </c>
      <c r="Q438" s="27">
        <f>INDEX(Schedule!$A$1:$N$2000, MATCH($C438, VAV_Schedule_5_21[[#All],[UNIT TAG]], FALSE), 5)</f>
        <v>1220</v>
      </c>
      <c r="R438" s="27">
        <f>INDEX(Schedule!$A$1:$N$2000, MATCH($C438, VAV_Schedule_5_21[[#All],[UNIT TAG]], FALSE), 6)</f>
        <v>185</v>
      </c>
      <c r="S438" s="27">
        <f>INDEX(Schedule!$A$1:$N$2000, MATCH($C438, VAV_Schedule_5_21[[#All],[UNIT TAG]], FALSE), 5)</f>
        <v>1220</v>
      </c>
      <c r="T438" s="27">
        <f>INDEX(Schedule!$A$1:$N$2000, MATCH($C438, VAV_Schedule_5_21[[#All],[UNIT TAG]], FALSE), 6)</f>
        <v>185</v>
      </c>
      <c r="U438" s="27">
        <f>INDEX(Schedule!$A$1:$N$2000, MATCH($C438, VAV_Schedule_5_21[[#All],[UNIT TAG]], FALSE), 5)</f>
        <v>1220</v>
      </c>
      <c r="V438" s="27">
        <f>INDEX(Schedule!$A$1:$N$2000, MATCH($C438, VAV_Schedule_5_21[[#All],[UNIT TAG]], FALSE), 6)</f>
        <v>185</v>
      </c>
      <c r="W438" s="27">
        <f>INDEX(Schedule!$A$1:$N$2000, MATCH($C438, VAV_Schedule_5_21[[#All],[UNIT TAG]], FALSE), 6)</f>
        <v>185</v>
      </c>
      <c r="X438" s="27">
        <f>INDEX(Schedule!$A$1:$N$2000, MATCH($C438, VAV_Schedule_5_21[[#All],[UNIT TAG]], FALSE), 6)</f>
        <v>185</v>
      </c>
      <c r="Y438" s="27">
        <f>INDEX(Schedule!$A$1:$N$2000, MATCH($C438, VAV_Schedule_5_21[[#All],[UNIT TAG]], FALSE), 6)</f>
        <v>185</v>
      </c>
      <c r="Z438" s="27">
        <f>INDEX(Schedule!$A$1:$N$2000, MATCH($C438, VAV_Schedule_5_21[[#All],[UNIT TAG]], FALSE), 6)</f>
        <v>185</v>
      </c>
      <c r="AA438" s="27">
        <v>1000</v>
      </c>
      <c r="AB438" s="27">
        <v>1100</v>
      </c>
      <c r="AC438">
        <v>1400</v>
      </c>
      <c r="AD438" s="29" t="str">
        <f>IF(INDEX(Schedule!$A$1:$N$2000, MATCH($C438, VAV_Schedule_5_21[[#All],[UNIT TAG]], FALSE), 7)="-", 0, INDEX(Schedule!$A$1:$N$2000, MATCH($C438, VAV_Schedule_5_21[[#All],[UNIT TAG]], FALSE), 7))</f>
        <v>7</v>
      </c>
      <c r="AE438" t="str">
        <f>"B_01'" &amp; "Flr_0" &amp; INDEX(Joined!$A$3:$M$2000, MATCH($A438, Joined!$I$3:$I$2000, FALSE), 8)</f>
        <v>B_01'Flr_010</v>
      </c>
      <c r="AF438" t="str">
        <f>"R_" &amp; INDEX(Joined!$A$3:$M$2000, MATCH($A438, Joined!$I$3:$I$2000, FALSE), 7)</f>
        <v>R_VAV-10W-43</v>
      </c>
      <c r="AG438" t="str">
        <f>"B_01'" &amp; "Flr_0" &amp; INDEX(Joined!$A$3:$M$2000, MATCH($A438, Joined!$I$3:$I$2000, FALSE), 8)</f>
        <v>B_01'Flr_010</v>
      </c>
      <c r="AH438" t="str">
        <f>INDEX(Joined!$A$3:$M$2000, MATCH($A438, Joined!$I$3:$I$2000, FALSE), 7)</f>
        <v>VAV-10W-43</v>
      </c>
      <c r="AI438" t="s">
        <v>1766</v>
      </c>
    </row>
    <row r="439" spans="1:35" x14ac:dyDescent="0.2">
      <c r="A439" t="s">
        <v>1300</v>
      </c>
      <c r="B439" t="str">
        <f>"B_01'" &amp; "Flr_0" &amp; INDEX(Joined!$A$3:$M$2000, MATCH($A439, Joined!$I$3:$I$2000, FALSE), 8)</f>
        <v>B_01'Flr_010</v>
      </c>
      <c r="C439" t="str">
        <f>INDEX(Joined!$A$3:$M$2000, MATCH($A439, Joined!$I$3:$I$2000, FALSE), 7)</f>
        <v>VAV-10W-44</v>
      </c>
      <c r="D439">
        <f>INDEX(Joined!$A$3:$M$2000, MATCH($A439, Joined!$I$3:$I$2000, FALSE), 5)</f>
        <v>152717</v>
      </c>
      <c r="E439" t="str">
        <f>INDEX(Joined!$A$3:$M$2000, MATCH($A439, Joined!$I$3:$I$2000, FALSE), 7)</f>
        <v>VAV-10W-44</v>
      </c>
      <c r="F439" t="s">
        <v>38</v>
      </c>
      <c r="G439" t="str">
        <f>INDEX(Schedule!$Q$2:$R$7, MATCH(ABT!$H439,Schedule!$Q$2:$Q$7, 0), 2)</f>
        <v>15010_DXR_VAV_DXR2M12</v>
      </c>
      <c r="H439">
        <f>INDEX(Joined!$A$3:$M$2000, MATCH($A439, Joined!$I$3:$I$2000, FALSE), 6)</f>
        <v>15010</v>
      </c>
      <c r="I439" t="str">
        <f>INDEX(Joined!$A$3:$M$2000, MATCH($A439, Joined!$I$3:$I$2000, FALSE), 4)</f>
        <v>527</v>
      </c>
      <c r="J439" t="b">
        <v>0</v>
      </c>
      <c r="K439">
        <f>INDEX(Joined!$A$3:$M$2000, MATCH($A439, Joined!$I$3:$I$2000, FALSE), 3)</f>
        <v>17</v>
      </c>
      <c r="L439">
        <v>85</v>
      </c>
      <c r="M439">
        <v>38400</v>
      </c>
      <c r="N439" s="27">
        <f>PI()*(INDEX(Schedule!$A$1:$N$2000, MATCH($C439, VAV_Schedule_5_21[[#All],[UNIT TAG]], FALSE), 4)/2/12)^2</f>
        <v>0.19634954084936207</v>
      </c>
      <c r="O439" s="27">
        <f>INDEX(Schedule!$A$1:$N$2000, MATCH($C439, VAV_Schedule_5_21[[#All],[UNIT TAG]], FALSE), 4)</f>
        <v>6</v>
      </c>
      <c r="P439">
        <v>437.63</v>
      </c>
      <c r="Q439" s="27">
        <f>INDEX(Schedule!$A$1:$N$2000, MATCH($C439, VAV_Schedule_5_21[[#All],[UNIT TAG]], FALSE), 5)</f>
        <v>200</v>
      </c>
      <c r="R439" s="27">
        <f>INDEX(Schedule!$A$1:$N$2000, MATCH($C439, VAV_Schedule_5_21[[#All],[UNIT TAG]], FALSE), 6)</f>
        <v>30</v>
      </c>
      <c r="S439" s="27">
        <f>INDEX(Schedule!$A$1:$N$2000, MATCH($C439, VAV_Schedule_5_21[[#All],[UNIT TAG]], FALSE), 5)</f>
        <v>200</v>
      </c>
      <c r="T439" s="27">
        <f>INDEX(Schedule!$A$1:$N$2000, MATCH($C439, VAV_Schedule_5_21[[#All],[UNIT TAG]], FALSE), 6)</f>
        <v>30</v>
      </c>
      <c r="U439" s="27">
        <f>INDEX(Schedule!$A$1:$N$2000, MATCH($C439, VAV_Schedule_5_21[[#All],[UNIT TAG]], FALSE), 5)</f>
        <v>200</v>
      </c>
      <c r="V439" s="27">
        <f>INDEX(Schedule!$A$1:$N$2000, MATCH($C439, VAV_Schedule_5_21[[#All],[UNIT TAG]], FALSE), 6)</f>
        <v>30</v>
      </c>
      <c r="W439" s="27">
        <f>INDEX(Schedule!$A$1:$N$2000, MATCH($C439, VAV_Schedule_5_21[[#All],[UNIT TAG]], FALSE), 6)</f>
        <v>30</v>
      </c>
      <c r="X439" s="27">
        <f>INDEX(Schedule!$A$1:$N$2000, MATCH($C439, VAV_Schedule_5_21[[#All],[UNIT TAG]], FALSE), 6)</f>
        <v>30</v>
      </c>
      <c r="Y439" s="27">
        <f>INDEX(Schedule!$A$1:$N$2000, MATCH($C439, VAV_Schedule_5_21[[#All],[UNIT TAG]], FALSE), 6)</f>
        <v>30</v>
      </c>
      <c r="Z439" s="27">
        <f>INDEX(Schedule!$A$1:$N$2000, MATCH($C439, VAV_Schedule_5_21[[#All],[UNIT TAG]], FALSE), 6)</f>
        <v>30</v>
      </c>
      <c r="AA439" s="27">
        <v>1000</v>
      </c>
      <c r="AB439" s="27">
        <v>1100</v>
      </c>
      <c r="AC439">
        <v>1400</v>
      </c>
      <c r="AD439" s="29">
        <f>IF(INDEX(Schedule!$A$1:$N$2000, MATCH($C439, VAV_Schedule_5_21[[#All],[UNIT TAG]], FALSE), 7)="-", 0, INDEX(Schedule!$A$1:$N$2000, MATCH($C439, VAV_Schedule_5_21[[#All],[UNIT TAG]], FALSE), 7))</f>
        <v>0</v>
      </c>
      <c r="AE439" t="str">
        <f>"B_01'" &amp; "Flr_0" &amp; INDEX(Joined!$A$3:$M$2000, MATCH($A439, Joined!$I$3:$I$2000, FALSE), 8)</f>
        <v>B_01'Flr_010</v>
      </c>
      <c r="AF439" t="str">
        <f>"R_" &amp; INDEX(Joined!$A$3:$M$2000, MATCH($A439, Joined!$I$3:$I$2000, FALSE), 7)</f>
        <v>R_VAV-10W-44</v>
      </c>
      <c r="AG439" t="str">
        <f>"B_01'" &amp; "Flr_0" &amp; INDEX(Joined!$A$3:$M$2000, MATCH($A439, Joined!$I$3:$I$2000, FALSE), 8)</f>
        <v>B_01'Flr_010</v>
      </c>
      <c r="AH439" t="str">
        <f>INDEX(Joined!$A$3:$M$2000, MATCH($A439, Joined!$I$3:$I$2000, FALSE), 7)</f>
        <v>VAV-10W-44</v>
      </c>
      <c r="AI439" t="s">
        <v>1767</v>
      </c>
    </row>
    <row r="440" spans="1:35" x14ac:dyDescent="0.2">
      <c r="A440" t="s">
        <v>1301</v>
      </c>
      <c r="B440" t="str">
        <f>"B_01'" &amp; "Flr_0" &amp; INDEX(Joined!$A$3:$M$2000, MATCH($A440, Joined!$I$3:$I$2000, FALSE), 8)</f>
        <v>B_01'Flr_011</v>
      </c>
      <c r="C440" t="str">
        <f>INDEX(Joined!$A$3:$M$2000, MATCH($A440, Joined!$I$3:$I$2000, FALSE), 7)</f>
        <v>VAV-11W-1</v>
      </c>
      <c r="D440">
        <f>INDEX(Joined!$A$3:$M$2000, MATCH($A440, Joined!$I$3:$I$2000, FALSE), 5)</f>
        <v>153001</v>
      </c>
      <c r="E440" t="str">
        <f>INDEX(Joined!$A$3:$M$2000, MATCH($A440, Joined!$I$3:$I$2000, FALSE), 7)</f>
        <v>VAV-11W-1</v>
      </c>
      <c r="F440" t="s">
        <v>38</v>
      </c>
      <c r="G440" t="str">
        <f>INDEX(Schedule!$Q$2:$R$7, MATCH(ABT!$H440,Schedule!$Q$2:$Q$7, 0), 2)</f>
        <v>15011_DXR_VAV_DXR2M12</v>
      </c>
      <c r="H440">
        <f>INDEX(Joined!$A$3:$M$2000, MATCH($A440, Joined!$I$3:$I$2000, FALSE), 6)</f>
        <v>15011</v>
      </c>
      <c r="I440" t="str">
        <f>INDEX(Joined!$A$3:$M$2000, MATCH($A440, Joined!$I$3:$I$2000, FALSE), 4)</f>
        <v>530</v>
      </c>
      <c r="J440" t="b">
        <v>0</v>
      </c>
      <c r="K440">
        <f>INDEX(Joined!$A$3:$M$2000, MATCH($A440, Joined!$I$3:$I$2000, FALSE), 3)</f>
        <v>1</v>
      </c>
      <c r="L440">
        <v>85</v>
      </c>
      <c r="M440">
        <v>38400</v>
      </c>
      <c r="N440" s="27">
        <f>PI()*(INDEX(Schedule!$A$1:$N$2000, MATCH($C440, VAV_Schedule_5_21[[#All],[UNIT TAG]], FALSE), 4)/2/12)^2</f>
        <v>0.3490658503988659</v>
      </c>
      <c r="O440" s="27">
        <f>INDEX(Schedule!$A$1:$N$2000, MATCH($C440, VAV_Schedule_5_21[[#All],[UNIT TAG]], FALSE), 4)</f>
        <v>8</v>
      </c>
      <c r="P440">
        <v>438.63</v>
      </c>
      <c r="Q440" s="27">
        <f>INDEX(Schedule!$A$1:$N$2000, MATCH($C440, VAV_Schedule_5_21[[#All],[UNIT TAG]], FALSE), 5)</f>
        <v>640</v>
      </c>
      <c r="R440" s="27">
        <f>INDEX(Schedule!$A$1:$N$2000, MATCH($C440, VAV_Schedule_5_21[[#All],[UNIT TAG]], FALSE), 6)</f>
        <v>100</v>
      </c>
      <c r="S440" s="27">
        <f>INDEX(Schedule!$A$1:$N$2000, MATCH($C440, VAV_Schedule_5_21[[#All],[UNIT TAG]], FALSE), 5)</f>
        <v>640</v>
      </c>
      <c r="T440" s="27">
        <f>INDEX(Schedule!$A$1:$N$2000, MATCH($C440, VAV_Schedule_5_21[[#All],[UNIT TAG]], FALSE), 6)</f>
        <v>100</v>
      </c>
      <c r="U440" s="27">
        <f>INDEX(Schedule!$A$1:$N$2000, MATCH($C440, VAV_Schedule_5_21[[#All],[UNIT TAG]], FALSE), 5)</f>
        <v>640</v>
      </c>
      <c r="V440" s="27">
        <f>INDEX(Schedule!$A$1:$N$2000, MATCH($C440, VAV_Schedule_5_21[[#All],[UNIT TAG]], FALSE), 6)</f>
        <v>100</v>
      </c>
      <c r="W440" s="27">
        <f>INDEX(Schedule!$A$1:$N$2000, MATCH($C440, VAV_Schedule_5_21[[#All],[UNIT TAG]], FALSE), 6)</f>
        <v>100</v>
      </c>
      <c r="X440" s="27">
        <f>INDEX(Schedule!$A$1:$N$2000, MATCH($C440, VAV_Schedule_5_21[[#All],[UNIT TAG]], FALSE), 6)</f>
        <v>100</v>
      </c>
      <c r="Y440" s="27">
        <f>INDEX(Schedule!$A$1:$N$2000, MATCH($C440, VAV_Schedule_5_21[[#All],[UNIT TAG]], FALSE), 6)</f>
        <v>100</v>
      </c>
      <c r="Z440" s="27">
        <f>INDEX(Schedule!$A$1:$N$2000, MATCH($C440, VAV_Schedule_5_21[[#All],[UNIT TAG]], FALSE), 6)</f>
        <v>100</v>
      </c>
      <c r="AA440" s="27">
        <v>1000</v>
      </c>
      <c r="AB440" s="27">
        <v>1100</v>
      </c>
      <c r="AC440">
        <v>1400</v>
      </c>
      <c r="AD440" s="29" t="str">
        <f>IF(INDEX(Schedule!$A$1:$N$2000, MATCH($C440, VAV_Schedule_5_21[[#All],[UNIT TAG]], FALSE), 7)="-", 0, INDEX(Schedule!$A$1:$N$2000, MATCH($C440, VAV_Schedule_5_21[[#All],[UNIT TAG]], FALSE), 7))</f>
        <v>6</v>
      </c>
      <c r="AE440" t="str">
        <f>"B_01'" &amp; "Flr_0" &amp; INDEX(Joined!$A$3:$M$2000, MATCH($A440, Joined!$I$3:$I$2000, FALSE), 8)</f>
        <v>B_01'Flr_011</v>
      </c>
      <c r="AF440" t="str">
        <f>"R_" &amp; INDEX(Joined!$A$3:$M$2000, MATCH($A440, Joined!$I$3:$I$2000, FALSE), 7)</f>
        <v>R_VAV-11W-1</v>
      </c>
      <c r="AG440" t="str">
        <f>"B_01'" &amp; "Flr_0" &amp; INDEX(Joined!$A$3:$M$2000, MATCH($A440, Joined!$I$3:$I$2000, FALSE), 8)</f>
        <v>B_01'Flr_011</v>
      </c>
      <c r="AH440" t="str">
        <f>INDEX(Joined!$A$3:$M$2000, MATCH($A440, Joined!$I$3:$I$2000, FALSE), 7)</f>
        <v>VAV-11W-1</v>
      </c>
      <c r="AI440" t="s">
        <v>1768</v>
      </c>
    </row>
    <row r="441" spans="1:35" x14ac:dyDescent="0.2">
      <c r="A441" t="s">
        <v>1302</v>
      </c>
      <c r="B441" t="str">
        <f>"B_01'" &amp; "Flr_0" &amp; INDEX(Joined!$A$3:$M$2000, MATCH($A441, Joined!$I$3:$I$2000, FALSE), 8)</f>
        <v>B_01'Flr_011</v>
      </c>
      <c r="C441" t="str">
        <f>INDEX(Joined!$A$3:$M$2000, MATCH($A441, Joined!$I$3:$I$2000, FALSE), 7)</f>
        <v>VAV-11W-2</v>
      </c>
      <c r="D441">
        <f>INDEX(Joined!$A$3:$M$2000, MATCH($A441, Joined!$I$3:$I$2000, FALSE), 5)</f>
        <v>153002</v>
      </c>
      <c r="E441" t="str">
        <f>INDEX(Joined!$A$3:$M$2000, MATCH($A441, Joined!$I$3:$I$2000, FALSE), 7)</f>
        <v>VAV-11W-2</v>
      </c>
      <c r="F441" t="s">
        <v>38</v>
      </c>
      <c r="G441" t="str">
        <f>INDEX(Schedule!$Q$2:$R$7, MATCH(ABT!$H441,Schedule!$Q$2:$Q$7, 0), 2)</f>
        <v>15011_DXR_VAV_DXR2M12</v>
      </c>
      <c r="H441">
        <f>INDEX(Joined!$A$3:$M$2000, MATCH($A441, Joined!$I$3:$I$2000, FALSE), 6)</f>
        <v>15011</v>
      </c>
      <c r="I441" t="str">
        <f>INDEX(Joined!$A$3:$M$2000, MATCH($A441, Joined!$I$3:$I$2000, FALSE), 4)</f>
        <v>530</v>
      </c>
      <c r="J441" t="b">
        <v>0</v>
      </c>
      <c r="K441">
        <f>INDEX(Joined!$A$3:$M$2000, MATCH($A441, Joined!$I$3:$I$2000, FALSE), 3)</f>
        <v>2</v>
      </c>
      <c r="L441">
        <v>85</v>
      </c>
      <c r="M441">
        <v>38400</v>
      </c>
      <c r="N441" s="27">
        <f>PI()*(INDEX(Schedule!$A$1:$N$2000, MATCH($C441, VAV_Schedule_5_21[[#All],[UNIT TAG]], FALSE), 4)/2/12)^2</f>
        <v>0.3490658503988659</v>
      </c>
      <c r="O441" s="27">
        <f>INDEX(Schedule!$A$1:$N$2000, MATCH($C441, VAV_Schedule_5_21[[#All],[UNIT TAG]], FALSE), 4)</f>
        <v>8</v>
      </c>
      <c r="P441">
        <v>439.63</v>
      </c>
      <c r="Q441" s="27">
        <f>INDEX(Schedule!$A$1:$N$2000, MATCH($C441, VAV_Schedule_5_21[[#All],[UNIT TAG]], FALSE), 5)</f>
        <v>680</v>
      </c>
      <c r="R441" s="27">
        <f>INDEX(Schedule!$A$1:$N$2000, MATCH($C441, VAV_Schedule_5_21[[#All],[UNIT TAG]], FALSE), 6)</f>
        <v>105</v>
      </c>
      <c r="S441" s="27">
        <f>INDEX(Schedule!$A$1:$N$2000, MATCH($C441, VAV_Schedule_5_21[[#All],[UNIT TAG]], FALSE), 5)</f>
        <v>680</v>
      </c>
      <c r="T441" s="27">
        <f>INDEX(Schedule!$A$1:$N$2000, MATCH($C441, VAV_Schedule_5_21[[#All],[UNIT TAG]], FALSE), 6)</f>
        <v>105</v>
      </c>
      <c r="U441" s="27">
        <f>INDEX(Schedule!$A$1:$N$2000, MATCH($C441, VAV_Schedule_5_21[[#All],[UNIT TAG]], FALSE), 5)</f>
        <v>680</v>
      </c>
      <c r="V441" s="27">
        <f>INDEX(Schedule!$A$1:$N$2000, MATCH($C441, VAV_Schedule_5_21[[#All],[UNIT TAG]], FALSE), 6)</f>
        <v>105</v>
      </c>
      <c r="W441" s="27">
        <f>INDEX(Schedule!$A$1:$N$2000, MATCH($C441, VAV_Schedule_5_21[[#All],[UNIT TAG]], FALSE), 6)</f>
        <v>105</v>
      </c>
      <c r="X441" s="27">
        <f>INDEX(Schedule!$A$1:$N$2000, MATCH($C441, VAV_Schedule_5_21[[#All],[UNIT TAG]], FALSE), 6)</f>
        <v>105</v>
      </c>
      <c r="Y441" s="27">
        <f>INDEX(Schedule!$A$1:$N$2000, MATCH($C441, VAV_Schedule_5_21[[#All],[UNIT TAG]], FALSE), 6)</f>
        <v>105</v>
      </c>
      <c r="Z441" s="27">
        <f>INDEX(Schedule!$A$1:$N$2000, MATCH($C441, VAV_Schedule_5_21[[#All],[UNIT TAG]], FALSE), 6)</f>
        <v>105</v>
      </c>
      <c r="AA441" s="27">
        <v>1000</v>
      </c>
      <c r="AB441" s="27">
        <v>1100</v>
      </c>
      <c r="AC441">
        <v>1400</v>
      </c>
      <c r="AD441" s="29" t="str">
        <f>IF(INDEX(Schedule!$A$1:$N$2000, MATCH($C441, VAV_Schedule_5_21[[#All],[UNIT TAG]], FALSE), 7)="-", 0, INDEX(Schedule!$A$1:$N$2000, MATCH($C441, VAV_Schedule_5_21[[#All],[UNIT TAG]], FALSE), 7))</f>
        <v>6</v>
      </c>
      <c r="AE441" t="str">
        <f>"B_01'" &amp; "Flr_0" &amp; INDEX(Joined!$A$3:$M$2000, MATCH($A441, Joined!$I$3:$I$2000, FALSE), 8)</f>
        <v>B_01'Flr_011</v>
      </c>
      <c r="AF441" t="str">
        <f>"R_" &amp; INDEX(Joined!$A$3:$M$2000, MATCH($A441, Joined!$I$3:$I$2000, FALSE), 7)</f>
        <v>R_VAV-11W-2</v>
      </c>
      <c r="AG441" t="str">
        <f>"B_01'" &amp; "Flr_0" &amp; INDEX(Joined!$A$3:$M$2000, MATCH($A441, Joined!$I$3:$I$2000, FALSE), 8)</f>
        <v>B_01'Flr_011</v>
      </c>
      <c r="AH441" t="str">
        <f>INDEX(Joined!$A$3:$M$2000, MATCH($A441, Joined!$I$3:$I$2000, FALSE), 7)</f>
        <v>VAV-11W-2</v>
      </c>
      <c r="AI441" t="s">
        <v>1769</v>
      </c>
    </row>
    <row r="442" spans="1:35" x14ac:dyDescent="0.2">
      <c r="A442" t="s">
        <v>1303</v>
      </c>
      <c r="B442" t="str">
        <f>"B_01'" &amp; "Flr_0" &amp; INDEX(Joined!$A$3:$M$2000, MATCH($A442, Joined!$I$3:$I$2000, FALSE), 8)</f>
        <v>B_01'Flr_011</v>
      </c>
      <c r="C442" t="str">
        <f>INDEX(Joined!$A$3:$M$2000, MATCH($A442, Joined!$I$3:$I$2000, FALSE), 7)</f>
        <v>VAV-11W-3</v>
      </c>
      <c r="D442">
        <f>INDEX(Joined!$A$3:$M$2000, MATCH($A442, Joined!$I$3:$I$2000, FALSE), 5)</f>
        <v>153003</v>
      </c>
      <c r="E442" t="str">
        <f>INDEX(Joined!$A$3:$M$2000, MATCH($A442, Joined!$I$3:$I$2000, FALSE), 7)</f>
        <v>VAV-11W-3</v>
      </c>
      <c r="F442" t="s">
        <v>38</v>
      </c>
      <c r="G442" t="str">
        <f>INDEX(Schedule!$Q$2:$R$7, MATCH(ABT!$H442,Schedule!$Q$2:$Q$7, 0), 2)</f>
        <v>15011_DXR_VAV_DXR2M12</v>
      </c>
      <c r="H442">
        <f>INDEX(Joined!$A$3:$M$2000, MATCH($A442, Joined!$I$3:$I$2000, FALSE), 6)</f>
        <v>15011</v>
      </c>
      <c r="I442" t="str">
        <f>INDEX(Joined!$A$3:$M$2000, MATCH($A442, Joined!$I$3:$I$2000, FALSE), 4)</f>
        <v>530</v>
      </c>
      <c r="J442" t="b">
        <v>0</v>
      </c>
      <c r="K442">
        <f>INDEX(Joined!$A$3:$M$2000, MATCH($A442, Joined!$I$3:$I$2000, FALSE), 3)</f>
        <v>3</v>
      </c>
      <c r="L442">
        <v>85</v>
      </c>
      <c r="M442">
        <v>38400</v>
      </c>
      <c r="N442" s="27">
        <f>PI()*(INDEX(Schedule!$A$1:$N$2000, MATCH($C442, VAV_Schedule_5_21[[#All],[UNIT TAG]], FALSE), 4)/2/12)^2</f>
        <v>0.3490658503988659</v>
      </c>
      <c r="O442" s="27">
        <f>INDEX(Schedule!$A$1:$N$2000, MATCH($C442, VAV_Schedule_5_21[[#All],[UNIT TAG]], FALSE), 4)</f>
        <v>8</v>
      </c>
      <c r="P442">
        <v>440.63</v>
      </c>
      <c r="Q442" s="27">
        <f>INDEX(Schedule!$A$1:$N$2000, MATCH($C442, VAV_Schedule_5_21[[#All],[UNIT TAG]], FALSE), 5)</f>
        <v>600</v>
      </c>
      <c r="R442" s="27">
        <f>INDEX(Schedule!$A$1:$N$2000, MATCH($C442, VAV_Schedule_5_21[[#All],[UNIT TAG]], FALSE), 6)</f>
        <v>90</v>
      </c>
      <c r="S442" s="27">
        <f>INDEX(Schedule!$A$1:$N$2000, MATCH($C442, VAV_Schedule_5_21[[#All],[UNIT TAG]], FALSE), 5)</f>
        <v>600</v>
      </c>
      <c r="T442" s="27">
        <f>INDEX(Schedule!$A$1:$N$2000, MATCH($C442, VAV_Schedule_5_21[[#All],[UNIT TAG]], FALSE), 6)</f>
        <v>90</v>
      </c>
      <c r="U442" s="27">
        <f>INDEX(Schedule!$A$1:$N$2000, MATCH($C442, VAV_Schedule_5_21[[#All],[UNIT TAG]], FALSE), 5)</f>
        <v>600</v>
      </c>
      <c r="V442" s="27">
        <f>INDEX(Schedule!$A$1:$N$2000, MATCH($C442, VAV_Schedule_5_21[[#All],[UNIT TAG]], FALSE), 6)</f>
        <v>90</v>
      </c>
      <c r="W442" s="27">
        <f>INDEX(Schedule!$A$1:$N$2000, MATCH($C442, VAV_Schedule_5_21[[#All],[UNIT TAG]], FALSE), 6)</f>
        <v>90</v>
      </c>
      <c r="X442" s="27">
        <f>INDEX(Schedule!$A$1:$N$2000, MATCH($C442, VAV_Schedule_5_21[[#All],[UNIT TAG]], FALSE), 6)</f>
        <v>90</v>
      </c>
      <c r="Y442" s="27">
        <f>INDEX(Schedule!$A$1:$N$2000, MATCH($C442, VAV_Schedule_5_21[[#All],[UNIT TAG]], FALSE), 6)</f>
        <v>90</v>
      </c>
      <c r="Z442" s="27">
        <f>INDEX(Schedule!$A$1:$N$2000, MATCH($C442, VAV_Schedule_5_21[[#All],[UNIT TAG]], FALSE), 6)</f>
        <v>90</v>
      </c>
      <c r="AA442" s="27">
        <v>1000</v>
      </c>
      <c r="AB442" s="27">
        <v>1100</v>
      </c>
      <c r="AC442">
        <v>1400</v>
      </c>
      <c r="AD442" s="29" t="str">
        <f>IF(INDEX(Schedule!$A$1:$N$2000, MATCH($C442, VAV_Schedule_5_21[[#All],[UNIT TAG]], FALSE), 7)="-", 0, INDEX(Schedule!$A$1:$N$2000, MATCH($C442, VAV_Schedule_5_21[[#All],[UNIT TAG]], FALSE), 7))</f>
        <v>6</v>
      </c>
      <c r="AE442" t="str">
        <f>"B_01'" &amp; "Flr_0" &amp; INDEX(Joined!$A$3:$M$2000, MATCH($A442, Joined!$I$3:$I$2000, FALSE), 8)</f>
        <v>B_01'Flr_011</v>
      </c>
      <c r="AF442" t="str">
        <f>"R_" &amp; INDEX(Joined!$A$3:$M$2000, MATCH($A442, Joined!$I$3:$I$2000, FALSE), 7)</f>
        <v>R_VAV-11W-3</v>
      </c>
      <c r="AG442" t="str">
        <f>"B_01'" &amp; "Flr_0" &amp; INDEX(Joined!$A$3:$M$2000, MATCH($A442, Joined!$I$3:$I$2000, FALSE), 8)</f>
        <v>B_01'Flr_011</v>
      </c>
      <c r="AH442" t="str">
        <f>INDEX(Joined!$A$3:$M$2000, MATCH($A442, Joined!$I$3:$I$2000, FALSE), 7)</f>
        <v>VAV-11W-3</v>
      </c>
      <c r="AI442" t="s">
        <v>1770</v>
      </c>
    </row>
    <row r="443" spans="1:35" x14ac:dyDescent="0.2">
      <c r="A443" t="s">
        <v>1304</v>
      </c>
      <c r="B443" t="str">
        <f>"B_01'" &amp; "Flr_0" &amp; INDEX(Joined!$A$3:$M$2000, MATCH($A443, Joined!$I$3:$I$2000, FALSE), 8)</f>
        <v>B_01'Flr_011</v>
      </c>
      <c r="C443" t="str">
        <f>INDEX(Joined!$A$3:$M$2000, MATCH($A443, Joined!$I$3:$I$2000, FALSE), 7)</f>
        <v>VAV-11W-4</v>
      </c>
      <c r="D443">
        <f>INDEX(Joined!$A$3:$M$2000, MATCH($A443, Joined!$I$3:$I$2000, FALSE), 5)</f>
        <v>153004</v>
      </c>
      <c r="E443" t="str">
        <f>INDEX(Joined!$A$3:$M$2000, MATCH($A443, Joined!$I$3:$I$2000, FALSE), 7)</f>
        <v>VAV-11W-4</v>
      </c>
      <c r="F443" t="s">
        <v>38</v>
      </c>
      <c r="G443" t="str">
        <f>INDEX(Schedule!$Q$2:$R$7, MATCH(ABT!$H443,Schedule!$Q$2:$Q$7, 0), 2)</f>
        <v>15011_DXR_VAV_DXR2M12</v>
      </c>
      <c r="H443">
        <f>INDEX(Joined!$A$3:$M$2000, MATCH($A443, Joined!$I$3:$I$2000, FALSE), 6)</f>
        <v>15011</v>
      </c>
      <c r="I443" t="str">
        <f>INDEX(Joined!$A$3:$M$2000, MATCH($A443, Joined!$I$3:$I$2000, FALSE), 4)</f>
        <v>530</v>
      </c>
      <c r="J443" t="b">
        <v>0</v>
      </c>
      <c r="K443">
        <f>INDEX(Joined!$A$3:$M$2000, MATCH($A443, Joined!$I$3:$I$2000, FALSE), 3)</f>
        <v>4</v>
      </c>
      <c r="L443">
        <v>85</v>
      </c>
      <c r="M443">
        <v>38400</v>
      </c>
      <c r="N443" s="27">
        <f>PI()*(INDEX(Schedule!$A$1:$N$2000, MATCH($C443, VAV_Schedule_5_21[[#All],[UNIT TAG]], FALSE), 4)/2/12)^2</f>
        <v>0.54541539124822802</v>
      </c>
      <c r="O443" s="27">
        <f>INDEX(Schedule!$A$1:$N$2000, MATCH($C443, VAV_Schedule_5_21[[#All],[UNIT TAG]], FALSE), 4)</f>
        <v>10</v>
      </c>
      <c r="P443">
        <v>441.63</v>
      </c>
      <c r="Q443" s="27">
        <f>INDEX(Schedule!$A$1:$N$2000, MATCH($C443, VAV_Schedule_5_21[[#All],[UNIT TAG]], FALSE), 5)</f>
        <v>840</v>
      </c>
      <c r="R443" s="27">
        <f>INDEX(Schedule!$A$1:$N$2000, MATCH($C443, VAV_Schedule_5_21[[#All],[UNIT TAG]], FALSE), 6)</f>
        <v>130</v>
      </c>
      <c r="S443" s="27">
        <f>INDEX(Schedule!$A$1:$N$2000, MATCH($C443, VAV_Schedule_5_21[[#All],[UNIT TAG]], FALSE), 5)</f>
        <v>840</v>
      </c>
      <c r="T443" s="27">
        <f>INDEX(Schedule!$A$1:$N$2000, MATCH($C443, VAV_Schedule_5_21[[#All],[UNIT TAG]], FALSE), 6)</f>
        <v>130</v>
      </c>
      <c r="U443" s="27">
        <f>INDEX(Schedule!$A$1:$N$2000, MATCH($C443, VAV_Schedule_5_21[[#All],[UNIT TAG]], FALSE), 5)</f>
        <v>840</v>
      </c>
      <c r="V443" s="27">
        <f>INDEX(Schedule!$A$1:$N$2000, MATCH($C443, VAV_Schedule_5_21[[#All],[UNIT TAG]], FALSE), 6)</f>
        <v>130</v>
      </c>
      <c r="W443" s="27">
        <f>INDEX(Schedule!$A$1:$N$2000, MATCH($C443, VAV_Schedule_5_21[[#All],[UNIT TAG]], FALSE), 6)</f>
        <v>130</v>
      </c>
      <c r="X443" s="27">
        <f>INDEX(Schedule!$A$1:$N$2000, MATCH($C443, VAV_Schedule_5_21[[#All],[UNIT TAG]], FALSE), 6)</f>
        <v>130</v>
      </c>
      <c r="Y443" s="27">
        <f>INDEX(Schedule!$A$1:$N$2000, MATCH($C443, VAV_Schedule_5_21[[#All],[UNIT TAG]], FALSE), 6)</f>
        <v>130</v>
      </c>
      <c r="Z443" s="27">
        <f>INDEX(Schedule!$A$1:$N$2000, MATCH($C443, VAV_Schedule_5_21[[#All],[UNIT TAG]], FALSE), 6)</f>
        <v>130</v>
      </c>
      <c r="AA443" s="27">
        <v>1000</v>
      </c>
      <c r="AB443" s="27">
        <v>1100</v>
      </c>
      <c r="AC443">
        <v>1400</v>
      </c>
      <c r="AD443" s="29" t="str">
        <f>IF(INDEX(Schedule!$A$1:$N$2000, MATCH($C443, VAV_Schedule_5_21[[#All],[UNIT TAG]], FALSE), 7)="-", 0, INDEX(Schedule!$A$1:$N$2000, MATCH($C443, VAV_Schedule_5_21[[#All],[UNIT TAG]], FALSE), 7))</f>
        <v>6</v>
      </c>
      <c r="AE443" t="str">
        <f>"B_01'" &amp; "Flr_0" &amp; INDEX(Joined!$A$3:$M$2000, MATCH($A443, Joined!$I$3:$I$2000, FALSE), 8)</f>
        <v>B_01'Flr_011</v>
      </c>
      <c r="AF443" t="str">
        <f>"R_" &amp; INDEX(Joined!$A$3:$M$2000, MATCH($A443, Joined!$I$3:$I$2000, FALSE), 7)</f>
        <v>R_VAV-11W-4</v>
      </c>
      <c r="AG443" t="str">
        <f>"B_01'" &amp; "Flr_0" &amp; INDEX(Joined!$A$3:$M$2000, MATCH($A443, Joined!$I$3:$I$2000, FALSE), 8)</f>
        <v>B_01'Flr_011</v>
      </c>
      <c r="AH443" t="str">
        <f>INDEX(Joined!$A$3:$M$2000, MATCH($A443, Joined!$I$3:$I$2000, FALSE), 7)</f>
        <v>VAV-11W-4</v>
      </c>
      <c r="AI443" t="s">
        <v>1771</v>
      </c>
    </row>
    <row r="444" spans="1:35" x14ac:dyDescent="0.2">
      <c r="A444" t="s">
        <v>1305</v>
      </c>
      <c r="B444" t="str">
        <f>"B_01'" &amp; "Flr_0" &amp; INDEX(Joined!$A$3:$M$2000, MATCH($A444, Joined!$I$3:$I$2000, FALSE), 8)</f>
        <v>B_01'Flr_011</v>
      </c>
      <c r="C444" t="str">
        <f>INDEX(Joined!$A$3:$M$2000, MATCH($A444, Joined!$I$3:$I$2000, FALSE), 7)</f>
        <v>VAV-11N-5</v>
      </c>
      <c r="D444">
        <f>INDEX(Joined!$A$3:$M$2000, MATCH($A444, Joined!$I$3:$I$2000, FALSE), 5)</f>
        <v>152801</v>
      </c>
      <c r="E444" t="str">
        <f>INDEX(Joined!$A$3:$M$2000, MATCH($A444, Joined!$I$3:$I$2000, FALSE), 7)</f>
        <v>VAV-11N-5</v>
      </c>
      <c r="F444" t="s">
        <v>38</v>
      </c>
      <c r="G444" t="str">
        <f>INDEX(Schedule!$Q$2:$R$7, MATCH(ABT!$H444,Schedule!$Q$2:$Q$7, 0), 2)</f>
        <v>15010_DXR_VAV_DXR2M12</v>
      </c>
      <c r="H444">
        <f>INDEX(Joined!$A$3:$M$2000, MATCH($A444, Joined!$I$3:$I$2000, FALSE), 6)</f>
        <v>15010</v>
      </c>
      <c r="I444" t="str">
        <f>INDEX(Joined!$A$3:$M$2000, MATCH($A444, Joined!$I$3:$I$2000, FALSE), 4)</f>
        <v>528</v>
      </c>
      <c r="J444" t="b">
        <v>0</v>
      </c>
      <c r="K444">
        <f>INDEX(Joined!$A$3:$M$2000, MATCH($A444, Joined!$I$3:$I$2000, FALSE), 3)</f>
        <v>1</v>
      </c>
      <c r="L444">
        <v>85</v>
      </c>
      <c r="M444">
        <v>38400</v>
      </c>
      <c r="N444" s="27">
        <f>PI()*(INDEX(Schedule!$A$1:$N$2000, MATCH($C444, VAV_Schedule_5_21[[#All],[UNIT TAG]], FALSE), 4)/2/12)^2</f>
        <v>0.78539816339744828</v>
      </c>
      <c r="O444" s="27">
        <f>INDEX(Schedule!$A$1:$N$2000, MATCH($C444, VAV_Schedule_5_21[[#All],[UNIT TAG]], FALSE), 4)</f>
        <v>12</v>
      </c>
      <c r="P444">
        <v>442.63</v>
      </c>
      <c r="Q444" s="27">
        <f>INDEX(Schedule!$A$1:$N$2000, MATCH($C444, VAV_Schedule_5_21[[#All],[UNIT TAG]], FALSE), 5)</f>
        <v>1330</v>
      </c>
      <c r="R444" s="27">
        <f>INDEX(Schedule!$A$1:$N$2000, MATCH($C444, VAV_Schedule_5_21[[#All],[UNIT TAG]], FALSE), 6)</f>
        <v>200</v>
      </c>
      <c r="S444" s="27">
        <f>INDEX(Schedule!$A$1:$N$2000, MATCH($C444, VAV_Schedule_5_21[[#All],[UNIT TAG]], FALSE), 5)</f>
        <v>1330</v>
      </c>
      <c r="T444" s="27">
        <f>INDEX(Schedule!$A$1:$N$2000, MATCH($C444, VAV_Schedule_5_21[[#All],[UNIT TAG]], FALSE), 6)</f>
        <v>200</v>
      </c>
      <c r="U444" s="27">
        <f>INDEX(Schedule!$A$1:$N$2000, MATCH($C444, VAV_Schedule_5_21[[#All],[UNIT TAG]], FALSE), 5)</f>
        <v>1330</v>
      </c>
      <c r="V444" s="27">
        <f>INDEX(Schedule!$A$1:$N$2000, MATCH($C444, VAV_Schedule_5_21[[#All],[UNIT TAG]], FALSE), 6)</f>
        <v>200</v>
      </c>
      <c r="W444" s="27">
        <f>INDEX(Schedule!$A$1:$N$2000, MATCH($C444, VAV_Schedule_5_21[[#All],[UNIT TAG]], FALSE), 6)</f>
        <v>200</v>
      </c>
      <c r="X444" s="27">
        <f>INDEX(Schedule!$A$1:$N$2000, MATCH($C444, VAV_Schedule_5_21[[#All],[UNIT TAG]], FALSE), 6)</f>
        <v>200</v>
      </c>
      <c r="Y444" s="27">
        <f>INDEX(Schedule!$A$1:$N$2000, MATCH($C444, VAV_Schedule_5_21[[#All],[UNIT TAG]], FALSE), 6)</f>
        <v>200</v>
      </c>
      <c r="Z444" s="27">
        <f>INDEX(Schedule!$A$1:$N$2000, MATCH($C444, VAV_Schedule_5_21[[#All],[UNIT TAG]], FALSE), 6)</f>
        <v>200</v>
      </c>
      <c r="AA444" s="27">
        <v>1000</v>
      </c>
      <c r="AB444" s="27">
        <v>1100</v>
      </c>
      <c r="AC444">
        <v>1400</v>
      </c>
      <c r="AD444" s="29">
        <f>IF(INDEX(Schedule!$A$1:$N$2000, MATCH($C444, VAV_Schedule_5_21[[#All],[UNIT TAG]], FALSE), 7)="-", 0, INDEX(Schedule!$A$1:$N$2000, MATCH($C444, VAV_Schedule_5_21[[#All],[UNIT TAG]], FALSE), 7))</f>
        <v>0</v>
      </c>
      <c r="AE444" t="str">
        <f>"B_01'" &amp; "Flr_0" &amp; INDEX(Joined!$A$3:$M$2000, MATCH($A444, Joined!$I$3:$I$2000, FALSE), 8)</f>
        <v>B_01'Flr_011</v>
      </c>
      <c r="AF444" t="str">
        <f>"R_" &amp; INDEX(Joined!$A$3:$M$2000, MATCH($A444, Joined!$I$3:$I$2000, FALSE), 7)</f>
        <v>R_VAV-11N-5</v>
      </c>
      <c r="AG444" t="str">
        <f>"B_01'" &amp; "Flr_0" &amp; INDEX(Joined!$A$3:$M$2000, MATCH($A444, Joined!$I$3:$I$2000, FALSE), 8)</f>
        <v>B_01'Flr_011</v>
      </c>
      <c r="AH444" t="str">
        <f>INDEX(Joined!$A$3:$M$2000, MATCH($A444, Joined!$I$3:$I$2000, FALSE), 7)</f>
        <v>VAV-11N-5</v>
      </c>
      <c r="AI444" t="s">
        <v>1772</v>
      </c>
    </row>
    <row r="445" spans="1:35" x14ac:dyDescent="0.2">
      <c r="A445" t="s">
        <v>1306</v>
      </c>
      <c r="B445" t="str">
        <f>"B_01'" &amp; "Flr_0" &amp; INDEX(Joined!$A$3:$M$2000, MATCH($A445, Joined!$I$3:$I$2000, FALSE), 8)</f>
        <v>B_01'Flr_011</v>
      </c>
      <c r="C445" t="str">
        <f>INDEX(Joined!$A$3:$M$2000, MATCH($A445, Joined!$I$3:$I$2000, FALSE), 7)</f>
        <v>VAV-11N-6</v>
      </c>
      <c r="D445">
        <f>INDEX(Joined!$A$3:$M$2000, MATCH($A445, Joined!$I$3:$I$2000, FALSE), 5)</f>
        <v>152802</v>
      </c>
      <c r="E445" t="str">
        <f>INDEX(Joined!$A$3:$M$2000, MATCH($A445, Joined!$I$3:$I$2000, FALSE), 7)</f>
        <v>VAV-11N-6</v>
      </c>
      <c r="F445" t="s">
        <v>38</v>
      </c>
      <c r="G445" t="str">
        <f>INDEX(Schedule!$Q$2:$R$7, MATCH(ABT!$H445,Schedule!$Q$2:$Q$7, 0), 2)</f>
        <v>15010_DXR_VAV_DXR2M12</v>
      </c>
      <c r="H445">
        <f>INDEX(Joined!$A$3:$M$2000, MATCH($A445, Joined!$I$3:$I$2000, FALSE), 6)</f>
        <v>15010</v>
      </c>
      <c r="I445" t="str">
        <f>INDEX(Joined!$A$3:$M$2000, MATCH($A445, Joined!$I$3:$I$2000, FALSE), 4)</f>
        <v>528</v>
      </c>
      <c r="J445" t="b">
        <v>0</v>
      </c>
      <c r="K445">
        <f>INDEX(Joined!$A$3:$M$2000, MATCH($A445, Joined!$I$3:$I$2000, FALSE), 3)</f>
        <v>2</v>
      </c>
      <c r="L445">
        <v>85</v>
      </c>
      <c r="M445">
        <v>38400</v>
      </c>
      <c r="N445" s="27">
        <f>PI()*(INDEX(Schedule!$A$1:$N$2000, MATCH($C445, VAV_Schedule_5_21[[#All],[UNIT TAG]], FALSE), 4)/2/12)^2</f>
        <v>0.54541539124822802</v>
      </c>
      <c r="O445" s="27">
        <f>INDEX(Schedule!$A$1:$N$2000, MATCH($C445, VAV_Schedule_5_21[[#All],[UNIT TAG]], FALSE), 4)</f>
        <v>10</v>
      </c>
      <c r="P445">
        <v>443.63</v>
      </c>
      <c r="Q445" s="27">
        <f>INDEX(Schedule!$A$1:$N$2000, MATCH($C445, VAV_Schedule_5_21[[#All],[UNIT TAG]], FALSE), 5)</f>
        <v>1120</v>
      </c>
      <c r="R445" s="27">
        <f>INDEX(Schedule!$A$1:$N$2000, MATCH($C445, VAV_Schedule_5_21[[#All],[UNIT TAG]], FALSE), 6)</f>
        <v>170</v>
      </c>
      <c r="S445" s="27">
        <f>INDEX(Schedule!$A$1:$N$2000, MATCH($C445, VAV_Schedule_5_21[[#All],[UNIT TAG]], FALSE), 5)</f>
        <v>1120</v>
      </c>
      <c r="T445" s="27">
        <f>INDEX(Schedule!$A$1:$N$2000, MATCH($C445, VAV_Schedule_5_21[[#All],[UNIT TAG]], FALSE), 6)</f>
        <v>170</v>
      </c>
      <c r="U445" s="27">
        <f>INDEX(Schedule!$A$1:$N$2000, MATCH($C445, VAV_Schedule_5_21[[#All],[UNIT TAG]], FALSE), 5)</f>
        <v>1120</v>
      </c>
      <c r="V445" s="27">
        <f>INDEX(Schedule!$A$1:$N$2000, MATCH($C445, VAV_Schedule_5_21[[#All],[UNIT TAG]], FALSE), 6)</f>
        <v>170</v>
      </c>
      <c r="W445" s="27">
        <f>INDEX(Schedule!$A$1:$N$2000, MATCH($C445, VAV_Schedule_5_21[[#All],[UNIT TAG]], FALSE), 6)</f>
        <v>170</v>
      </c>
      <c r="X445" s="27">
        <f>INDEX(Schedule!$A$1:$N$2000, MATCH($C445, VAV_Schedule_5_21[[#All],[UNIT TAG]], FALSE), 6)</f>
        <v>170</v>
      </c>
      <c r="Y445" s="27">
        <f>INDEX(Schedule!$A$1:$N$2000, MATCH($C445, VAV_Schedule_5_21[[#All],[UNIT TAG]], FALSE), 6)</f>
        <v>170</v>
      </c>
      <c r="Z445" s="27">
        <f>INDEX(Schedule!$A$1:$N$2000, MATCH($C445, VAV_Schedule_5_21[[#All],[UNIT TAG]], FALSE), 6)</f>
        <v>170</v>
      </c>
      <c r="AA445" s="27">
        <v>1000</v>
      </c>
      <c r="AB445" s="27">
        <v>1100</v>
      </c>
      <c r="AC445">
        <v>1400</v>
      </c>
      <c r="AD445" s="29">
        <f>IF(INDEX(Schedule!$A$1:$N$2000, MATCH($C445, VAV_Schedule_5_21[[#All],[UNIT TAG]], FALSE), 7)="-", 0, INDEX(Schedule!$A$1:$N$2000, MATCH($C445, VAV_Schedule_5_21[[#All],[UNIT TAG]], FALSE), 7))</f>
        <v>0</v>
      </c>
      <c r="AE445" t="str">
        <f>"B_01'" &amp; "Flr_0" &amp; INDEX(Joined!$A$3:$M$2000, MATCH($A445, Joined!$I$3:$I$2000, FALSE), 8)</f>
        <v>B_01'Flr_011</v>
      </c>
      <c r="AF445" t="str">
        <f>"R_" &amp; INDEX(Joined!$A$3:$M$2000, MATCH($A445, Joined!$I$3:$I$2000, FALSE), 7)</f>
        <v>R_VAV-11N-6</v>
      </c>
      <c r="AG445" t="str">
        <f>"B_01'" &amp; "Flr_0" &amp; INDEX(Joined!$A$3:$M$2000, MATCH($A445, Joined!$I$3:$I$2000, FALSE), 8)</f>
        <v>B_01'Flr_011</v>
      </c>
      <c r="AH445" t="str">
        <f>INDEX(Joined!$A$3:$M$2000, MATCH($A445, Joined!$I$3:$I$2000, FALSE), 7)</f>
        <v>VAV-11N-6</v>
      </c>
      <c r="AI445" t="s">
        <v>1773</v>
      </c>
    </row>
    <row r="446" spans="1:35" x14ac:dyDescent="0.2">
      <c r="A446" t="s">
        <v>1307</v>
      </c>
      <c r="B446" t="str">
        <f>"B_01'" &amp; "Flr_0" &amp; INDEX(Joined!$A$3:$M$2000, MATCH($A446, Joined!$I$3:$I$2000, FALSE), 8)</f>
        <v>B_01'Flr_011</v>
      </c>
      <c r="C446" t="str">
        <f>INDEX(Joined!$A$3:$M$2000, MATCH($A446, Joined!$I$3:$I$2000, FALSE), 7)</f>
        <v>VAV-11N-7</v>
      </c>
      <c r="D446">
        <f>INDEX(Joined!$A$3:$M$2000, MATCH($A446, Joined!$I$3:$I$2000, FALSE), 5)</f>
        <v>152803</v>
      </c>
      <c r="E446" t="str">
        <f>INDEX(Joined!$A$3:$M$2000, MATCH($A446, Joined!$I$3:$I$2000, FALSE), 7)</f>
        <v>VAV-11N-7</v>
      </c>
      <c r="F446" t="s">
        <v>38</v>
      </c>
      <c r="G446" t="str">
        <f>INDEX(Schedule!$Q$2:$R$7, MATCH(ABT!$H446,Schedule!$Q$2:$Q$7, 0), 2)</f>
        <v>15010_DXR_VAV_DXR2M12</v>
      </c>
      <c r="H446">
        <f>INDEX(Joined!$A$3:$M$2000, MATCH($A446, Joined!$I$3:$I$2000, FALSE), 6)</f>
        <v>15010</v>
      </c>
      <c r="I446" t="str">
        <f>INDEX(Joined!$A$3:$M$2000, MATCH($A446, Joined!$I$3:$I$2000, FALSE), 4)</f>
        <v>528</v>
      </c>
      <c r="J446" t="b">
        <v>0</v>
      </c>
      <c r="K446">
        <f>INDEX(Joined!$A$3:$M$2000, MATCH($A446, Joined!$I$3:$I$2000, FALSE), 3)</f>
        <v>3</v>
      </c>
      <c r="L446">
        <v>85</v>
      </c>
      <c r="M446">
        <v>38400</v>
      </c>
      <c r="N446" s="27">
        <f>PI()*(INDEX(Schedule!$A$1:$N$2000, MATCH($C446, VAV_Schedule_5_21[[#All],[UNIT TAG]], FALSE), 4)/2/12)^2</f>
        <v>0.3490658503988659</v>
      </c>
      <c r="O446" s="27">
        <f>INDEX(Schedule!$A$1:$N$2000, MATCH($C446, VAV_Schedule_5_21[[#All],[UNIT TAG]], FALSE), 4)</f>
        <v>8</v>
      </c>
      <c r="P446">
        <v>444.63</v>
      </c>
      <c r="Q446" s="27">
        <f>INDEX(Schedule!$A$1:$N$2000, MATCH($C446, VAV_Schedule_5_21[[#All],[UNIT TAG]], FALSE), 5)</f>
        <v>600</v>
      </c>
      <c r="R446" s="27">
        <f>INDEX(Schedule!$A$1:$N$2000, MATCH($C446, VAV_Schedule_5_21[[#All],[UNIT TAG]], FALSE), 6)</f>
        <v>90</v>
      </c>
      <c r="S446" s="27">
        <f>INDEX(Schedule!$A$1:$N$2000, MATCH($C446, VAV_Schedule_5_21[[#All],[UNIT TAG]], FALSE), 5)</f>
        <v>600</v>
      </c>
      <c r="T446" s="27">
        <f>INDEX(Schedule!$A$1:$N$2000, MATCH($C446, VAV_Schedule_5_21[[#All],[UNIT TAG]], FALSE), 6)</f>
        <v>90</v>
      </c>
      <c r="U446" s="27">
        <f>INDEX(Schedule!$A$1:$N$2000, MATCH($C446, VAV_Schedule_5_21[[#All],[UNIT TAG]], FALSE), 5)</f>
        <v>600</v>
      </c>
      <c r="V446" s="27">
        <f>INDEX(Schedule!$A$1:$N$2000, MATCH($C446, VAV_Schedule_5_21[[#All],[UNIT TAG]], FALSE), 6)</f>
        <v>90</v>
      </c>
      <c r="W446" s="27">
        <f>INDEX(Schedule!$A$1:$N$2000, MATCH($C446, VAV_Schedule_5_21[[#All],[UNIT TAG]], FALSE), 6)</f>
        <v>90</v>
      </c>
      <c r="X446" s="27">
        <f>INDEX(Schedule!$A$1:$N$2000, MATCH($C446, VAV_Schedule_5_21[[#All],[UNIT TAG]], FALSE), 6)</f>
        <v>90</v>
      </c>
      <c r="Y446" s="27">
        <f>INDEX(Schedule!$A$1:$N$2000, MATCH($C446, VAV_Schedule_5_21[[#All],[UNIT TAG]], FALSE), 6)</f>
        <v>90</v>
      </c>
      <c r="Z446" s="27">
        <f>INDEX(Schedule!$A$1:$N$2000, MATCH($C446, VAV_Schedule_5_21[[#All],[UNIT TAG]], FALSE), 6)</f>
        <v>90</v>
      </c>
      <c r="AA446" s="27">
        <v>1000</v>
      </c>
      <c r="AB446" s="27">
        <v>1100</v>
      </c>
      <c r="AC446">
        <v>1400</v>
      </c>
      <c r="AD446" s="29">
        <f>IF(INDEX(Schedule!$A$1:$N$2000, MATCH($C446, VAV_Schedule_5_21[[#All],[UNIT TAG]], FALSE), 7)="-", 0, INDEX(Schedule!$A$1:$N$2000, MATCH($C446, VAV_Schedule_5_21[[#All],[UNIT TAG]], FALSE), 7))</f>
        <v>0</v>
      </c>
      <c r="AE446" t="str">
        <f>"B_01'" &amp; "Flr_0" &amp; INDEX(Joined!$A$3:$M$2000, MATCH($A446, Joined!$I$3:$I$2000, FALSE), 8)</f>
        <v>B_01'Flr_011</v>
      </c>
      <c r="AF446" t="str">
        <f>"R_" &amp; INDEX(Joined!$A$3:$M$2000, MATCH($A446, Joined!$I$3:$I$2000, FALSE), 7)</f>
        <v>R_VAV-11N-7</v>
      </c>
      <c r="AG446" t="str">
        <f>"B_01'" &amp; "Flr_0" &amp; INDEX(Joined!$A$3:$M$2000, MATCH($A446, Joined!$I$3:$I$2000, FALSE), 8)</f>
        <v>B_01'Flr_011</v>
      </c>
      <c r="AH446" t="str">
        <f>INDEX(Joined!$A$3:$M$2000, MATCH($A446, Joined!$I$3:$I$2000, FALSE), 7)</f>
        <v>VAV-11N-7</v>
      </c>
      <c r="AI446" t="s">
        <v>1774</v>
      </c>
    </row>
    <row r="447" spans="1:35" x14ac:dyDescent="0.2">
      <c r="A447" t="s">
        <v>1308</v>
      </c>
      <c r="B447" t="str">
        <f>"B_01'" &amp; "Flr_0" &amp; INDEX(Joined!$A$3:$M$2000, MATCH($A447, Joined!$I$3:$I$2000, FALSE), 8)</f>
        <v>B_01'Flr_011</v>
      </c>
      <c r="C447" t="str">
        <f>INDEX(Joined!$A$3:$M$2000, MATCH($A447, Joined!$I$3:$I$2000, FALSE), 7)</f>
        <v>VAV-11N-8</v>
      </c>
      <c r="D447">
        <f>INDEX(Joined!$A$3:$M$2000, MATCH($A447, Joined!$I$3:$I$2000, FALSE), 5)</f>
        <v>152804</v>
      </c>
      <c r="E447" t="str">
        <f>INDEX(Joined!$A$3:$M$2000, MATCH($A447, Joined!$I$3:$I$2000, FALSE), 7)</f>
        <v>VAV-11N-8</v>
      </c>
      <c r="F447" t="s">
        <v>38</v>
      </c>
      <c r="G447" t="str">
        <f>INDEX(Schedule!$Q$2:$R$7, MATCH(ABT!$H447,Schedule!$Q$2:$Q$7, 0), 2)</f>
        <v>15010_DXR_VAV_DXR2M12</v>
      </c>
      <c r="H447">
        <f>INDEX(Joined!$A$3:$M$2000, MATCH($A447, Joined!$I$3:$I$2000, FALSE), 6)</f>
        <v>15010</v>
      </c>
      <c r="I447" t="str">
        <f>INDEX(Joined!$A$3:$M$2000, MATCH($A447, Joined!$I$3:$I$2000, FALSE), 4)</f>
        <v>528</v>
      </c>
      <c r="J447" t="b">
        <v>0</v>
      </c>
      <c r="K447">
        <f>INDEX(Joined!$A$3:$M$2000, MATCH($A447, Joined!$I$3:$I$2000, FALSE), 3)</f>
        <v>4</v>
      </c>
      <c r="L447">
        <v>85</v>
      </c>
      <c r="M447">
        <v>38400</v>
      </c>
      <c r="N447" s="27">
        <f>PI()*(INDEX(Schedule!$A$1:$N$2000, MATCH($C447, VAV_Schedule_5_21[[#All],[UNIT TAG]], FALSE), 4)/2/12)^2</f>
        <v>0.3490658503988659</v>
      </c>
      <c r="O447" s="27">
        <f>INDEX(Schedule!$A$1:$N$2000, MATCH($C447, VAV_Schedule_5_21[[#All],[UNIT TAG]], FALSE), 4)</f>
        <v>8</v>
      </c>
      <c r="P447">
        <v>445.63</v>
      </c>
      <c r="Q447" s="27">
        <f>INDEX(Schedule!$A$1:$N$2000, MATCH($C447, VAV_Schedule_5_21[[#All],[UNIT TAG]], FALSE), 5)</f>
        <v>500</v>
      </c>
      <c r="R447" s="27">
        <f>INDEX(Schedule!$A$1:$N$2000, MATCH($C447, VAV_Schedule_5_21[[#All],[UNIT TAG]], FALSE), 6)</f>
        <v>75</v>
      </c>
      <c r="S447" s="27">
        <f>INDEX(Schedule!$A$1:$N$2000, MATCH($C447, VAV_Schedule_5_21[[#All],[UNIT TAG]], FALSE), 5)</f>
        <v>500</v>
      </c>
      <c r="T447" s="27">
        <f>INDEX(Schedule!$A$1:$N$2000, MATCH($C447, VAV_Schedule_5_21[[#All],[UNIT TAG]], FALSE), 6)</f>
        <v>75</v>
      </c>
      <c r="U447" s="27">
        <f>INDEX(Schedule!$A$1:$N$2000, MATCH($C447, VAV_Schedule_5_21[[#All],[UNIT TAG]], FALSE), 5)</f>
        <v>500</v>
      </c>
      <c r="V447" s="27">
        <f>INDEX(Schedule!$A$1:$N$2000, MATCH($C447, VAV_Schedule_5_21[[#All],[UNIT TAG]], FALSE), 6)</f>
        <v>75</v>
      </c>
      <c r="W447" s="27">
        <f>INDEX(Schedule!$A$1:$N$2000, MATCH($C447, VAV_Schedule_5_21[[#All],[UNIT TAG]], FALSE), 6)</f>
        <v>75</v>
      </c>
      <c r="X447" s="27">
        <f>INDEX(Schedule!$A$1:$N$2000, MATCH($C447, VAV_Schedule_5_21[[#All],[UNIT TAG]], FALSE), 6)</f>
        <v>75</v>
      </c>
      <c r="Y447" s="27">
        <f>INDEX(Schedule!$A$1:$N$2000, MATCH($C447, VAV_Schedule_5_21[[#All],[UNIT TAG]], FALSE), 6)</f>
        <v>75</v>
      </c>
      <c r="Z447" s="27">
        <f>INDEX(Schedule!$A$1:$N$2000, MATCH($C447, VAV_Schedule_5_21[[#All],[UNIT TAG]], FALSE), 6)</f>
        <v>75</v>
      </c>
      <c r="AA447" s="27">
        <v>1000</v>
      </c>
      <c r="AB447" s="27">
        <v>1100</v>
      </c>
      <c r="AC447">
        <v>1400</v>
      </c>
      <c r="AD447" s="29">
        <f>IF(INDEX(Schedule!$A$1:$N$2000, MATCH($C447, VAV_Schedule_5_21[[#All],[UNIT TAG]], FALSE), 7)="-", 0, INDEX(Schedule!$A$1:$N$2000, MATCH($C447, VAV_Schedule_5_21[[#All],[UNIT TAG]], FALSE), 7))</f>
        <v>0</v>
      </c>
      <c r="AE447" t="str">
        <f>"B_01'" &amp; "Flr_0" &amp; INDEX(Joined!$A$3:$M$2000, MATCH($A447, Joined!$I$3:$I$2000, FALSE), 8)</f>
        <v>B_01'Flr_011</v>
      </c>
      <c r="AF447" t="str">
        <f>"R_" &amp; INDEX(Joined!$A$3:$M$2000, MATCH($A447, Joined!$I$3:$I$2000, FALSE), 7)</f>
        <v>R_VAV-11N-8</v>
      </c>
      <c r="AG447" t="str">
        <f>"B_01'" &amp; "Flr_0" &amp; INDEX(Joined!$A$3:$M$2000, MATCH($A447, Joined!$I$3:$I$2000, FALSE), 8)</f>
        <v>B_01'Flr_011</v>
      </c>
      <c r="AH447" t="str">
        <f>INDEX(Joined!$A$3:$M$2000, MATCH($A447, Joined!$I$3:$I$2000, FALSE), 7)</f>
        <v>VAV-11N-8</v>
      </c>
      <c r="AI447" t="s">
        <v>1775</v>
      </c>
    </row>
    <row r="448" spans="1:35" x14ac:dyDescent="0.2">
      <c r="A448" t="s">
        <v>1309</v>
      </c>
      <c r="B448" t="str">
        <f>"B_01'" &amp; "Flr_0" &amp; INDEX(Joined!$A$3:$M$2000, MATCH($A448, Joined!$I$3:$I$2000, FALSE), 8)</f>
        <v>B_01'Flr_011</v>
      </c>
      <c r="C448" t="str">
        <f>INDEX(Joined!$A$3:$M$2000, MATCH($A448, Joined!$I$3:$I$2000, FALSE), 7)</f>
        <v>VAV-11N-9</v>
      </c>
      <c r="D448">
        <f>INDEX(Joined!$A$3:$M$2000, MATCH($A448, Joined!$I$3:$I$2000, FALSE), 5)</f>
        <v>152805</v>
      </c>
      <c r="E448" t="str">
        <f>INDEX(Joined!$A$3:$M$2000, MATCH($A448, Joined!$I$3:$I$2000, FALSE), 7)</f>
        <v>VAV-11N-9</v>
      </c>
      <c r="F448" t="s">
        <v>38</v>
      </c>
      <c r="G448" t="str">
        <f>INDEX(Schedule!$Q$2:$R$7, MATCH(ABT!$H448,Schedule!$Q$2:$Q$7, 0), 2)</f>
        <v>15010_DXR_VAV_DXR2M12</v>
      </c>
      <c r="H448">
        <f>INDEX(Joined!$A$3:$M$2000, MATCH($A448, Joined!$I$3:$I$2000, FALSE), 6)</f>
        <v>15010</v>
      </c>
      <c r="I448" t="str">
        <f>INDEX(Joined!$A$3:$M$2000, MATCH($A448, Joined!$I$3:$I$2000, FALSE), 4)</f>
        <v>528</v>
      </c>
      <c r="J448" t="b">
        <v>0</v>
      </c>
      <c r="K448">
        <f>INDEX(Joined!$A$3:$M$2000, MATCH($A448, Joined!$I$3:$I$2000, FALSE), 3)</f>
        <v>5</v>
      </c>
      <c r="L448">
        <v>85</v>
      </c>
      <c r="M448">
        <v>38400</v>
      </c>
      <c r="N448" s="27">
        <f>PI()*(INDEX(Schedule!$A$1:$N$2000, MATCH($C448, VAV_Schedule_5_21[[#All],[UNIT TAG]], FALSE), 4)/2/12)^2</f>
        <v>0.78539816339744828</v>
      </c>
      <c r="O448" s="27">
        <f>INDEX(Schedule!$A$1:$N$2000, MATCH($C448, VAV_Schedule_5_21[[#All],[UNIT TAG]], FALSE), 4)</f>
        <v>12</v>
      </c>
      <c r="P448">
        <v>446.63</v>
      </c>
      <c r="Q448" s="27">
        <f>INDEX(Schedule!$A$1:$N$2000, MATCH($C448, VAV_Schedule_5_21[[#All],[UNIT TAG]], FALSE), 5)</f>
        <v>1200</v>
      </c>
      <c r="R448" s="27">
        <f>INDEX(Schedule!$A$1:$N$2000, MATCH($C448, VAV_Schedule_5_21[[#All],[UNIT TAG]], FALSE), 6)</f>
        <v>180</v>
      </c>
      <c r="S448" s="27">
        <f>INDEX(Schedule!$A$1:$N$2000, MATCH($C448, VAV_Schedule_5_21[[#All],[UNIT TAG]], FALSE), 5)</f>
        <v>1200</v>
      </c>
      <c r="T448" s="27">
        <f>INDEX(Schedule!$A$1:$N$2000, MATCH($C448, VAV_Schedule_5_21[[#All],[UNIT TAG]], FALSE), 6)</f>
        <v>180</v>
      </c>
      <c r="U448" s="27">
        <f>INDEX(Schedule!$A$1:$N$2000, MATCH($C448, VAV_Schedule_5_21[[#All],[UNIT TAG]], FALSE), 5)</f>
        <v>1200</v>
      </c>
      <c r="V448" s="27">
        <f>INDEX(Schedule!$A$1:$N$2000, MATCH($C448, VAV_Schedule_5_21[[#All],[UNIT TAG]], FALSE), 6)</f>
        <v>180</v>
      </c>
      <c r="W448" s="27">
        <f>INDEX(Schedule!$A$1:$N$2000, MATCH($C448, VAV_Schedule_5_21[[#All],[UNIT TAG]], FALSE), 6)</f>
        <v>180</v>
      </c>
      <c r="X448" s="27">
        <f>INDEX(Schedule!$A$1:$N$2000, MATCH($C448, VAV_Schedule_5_21[[#All],[UNIT TAG]], FALSE), 6)</f>
        <v>180</v>
      </c>
      <c r="Y448" s="27">
        <f>INDEX(Schedule!$A$1:$N$2000, MATCH($C448, VAV_Schedule_5_21[[#All],[UNIT TAG]], FALSE), 6)</f>
        <v>180</v>
      </c>
      <c r="Z448" s="27">
        <f>INDEX(Schedule!$A$1:$N$2000, MATCH($C448, VAV_Schedule_5_21[[#All],[UNIT TAG]], FALSE), 6)</f>
        <v>180</v>
      </c>
      <c r="AA448" s="27">
        <v>1000</v>
      </c>
      <c r="AB448" s="27">
        <v>1100</v>
      </c>
      <c r="AC448">
        <v>1400</v>
      </c>
      <c r="AD448" s="29">
        <f>IF(INDEX(Schedule!$A$1:$N$2000, MATCH($C448, VAV_Schedule_5_21[[#All],[UNIT TAG]], FALSE), 7)="-", 0, INDEX(Schedule!$A$1:$N$2000, MATCH($C448, VAV_Schedule_5_21[[#All],[UNIT TAG]], FALSE), 7))</f>
        <v>0</v>
      </c>
      <c r="AE448" t="str">
        <f>"B_01'" &amp; "Flr_0" &amp; INDEX(Joined!$A$3:$M$2000, MATCH($A448, Joined!$I$3:$I$2000, FALSE), 8)</f>
        <v>B_01'Flr_011</v>
      </c>
      <c r="AF448" t="str">
        <f>"R_" &amp; INDEX(Joined!$A$3:$M$2000, MATCH($A448, Joined!$I$3:$I$2000, FALSE), 7)</f>
        <v>R_VAV-11N-9</v>
      </c>
      <c r="AG448" t="str">
        <f>"B_01'" &amp; "Flr_0" &amp; INDEX(Joined!$A$3:$M$2000, MATCH($A448, Joined!$I$3:$I$2000, FALSE), 8)</f>
        <v>B_01'Flr_011</v>
      </c>
      <c r="AH448" t="str">
        <f>INDEX(Joined!$A$3:$M$2000, MATCH($A448, Joined!$I$3:$I$2000, FALSE), 7)</f>
        <v>VAV-11N-9</v>
      </c>
      <c r="AI448" t="s">
        <v>1776</v>
      </c>
    </row>
    <row r="449" spans="1:35" x14ac:dyDescent="0.2">
      <c r="A449" t="s">
        <v>1310</v>
      </c>
      <c r="B449" t="str">
        <f>"B_01'" &amp; "Flr_0" &amp; INDEX(Joined!$A$3:$M$2000, MATCH($A449, Joined!$I$3:$I$2000, FALSE), 8)</f>
        <v>B_01'Flr_011</v>
      </c>
      <c r="C449" t="str">
        <f>INDEX(Joined!$A$3:$M$2000, MATCH($A449, Joined!$I$3:$I$2000, FALSE), 7)</f>
        <v>VAV-11N-9A</v>
      </c>
      <c r="D449">
        <f>INDEX(Joined!$A$3:$M$2000, MATCH($A449, Joined!$I$3:$I$2000, FALSE), 5)</f>
        <v>152806</v>
      </c>
      <c r="E449" t="str">
        <f>INDEX(Joined!$A$3:$M$2000, MATCH($A449, Joined!$I$3:$I$2000, FALSE), 7)</f>
        <v>VAV-11N-9A</v>
      </c>
      <c r="F449" t="s">
        <v>38</v>
      </c>
      <c r="G449" t="str">
        <f>INDEX(Schedule!$Q$2:$R$7, MATCH(ABT!$H449,Schedule!$Q$2:$Q$7, 0), 2)</f>
        <v>15010_DXR_VAV_DXR2M12</v>
      </c>
      <c r="H449">
        <f>INDEX(Joined!$A$3:$M$2000, MATCH($A449, Joined!$I$3:$I$2000, FALSE), 6)</f>
        <v>15010</v>
      </c>
      <c r="I449" t="str">
        <f>INDEX(Joined!$A$3:$M$2000, MATCH($A449, Joined!$I$3:$I$2000, FALSE), 4)</f>
        <v>528</v>
      </c>
      <c r="J449" t="b">
        <v>0</v>
      </c>
      <c r="K449">
        <f>INDEX(Joined!$A$3:$M$2000, MATCH($A449, Joined!$I$3:$I$2000, FALSE), 3)</f>
        <v>6</v>
      </c>
      <c r="L449">
        <v>85</v>
      </c>
      <c r="M449">
        <v>38400</v>
      </c>
      <c r="N449" s="27">
        <f>PI()*(INDEX(Schedule!$A$1:$N$2000, MATCH($C449, VAV_Schedule_5_21[[#All],[UNIT TAG]], FALSE), 4)/2/12)^2</f>
        <v>0.3490658503988659</v>
      </c>
      <c r="O449" s="27">
        <f>INDEX(Schedule!$A$1:$N$2000, MATCH($C449, VAV_Schedule_5_21[[#All],[UNIT TAG]], FALSE), 4)</f>
        <v>8</v>
      </c>
      <c r="P449">
        <v>447.63</v>
      </c>
      <c r="Q449" s="27">
        <f>INDEX(Schedule!$A$1:$N$2000, MATCH($C449, VAV_Schedule_5_21[[#All],[UNIT TAG]], FALSE), 5)</f>
        <v>550</v>
      </c>
      <c r="R449" s="27">
        <f>INDEX(Schedule!$A$1:$N$2000, MATCH($C449, VAV_Schedule_5_21[[#All],[UNIT TAG]], FALSE), 6)</f>
        <v>85</v>
      </c>
      <c r="S449" s="27">
        <f>INDEX(Schedule!$A$1:$N$2000, MATCH($C449, VAV_Schedule_5_21[[#All],[UNIT TAG]], FALSE), 5)</f>
        <v>550</v>
      </c>
      <c r="T449" s="27">
        <f>INDEX(Schedule!$A$1:$N$2000, MATCH($C449, VAV_Schedule_5_21[[#All],[UNIT TAG]], FALSE), 6)</f>
        <v>85</v>
      </c>
      <c r="U449" s="27">
        <f>INDEX(Schedule!$A$1:$N$2000, MATCH($C449, VAV_Schedule_5_21[[#All],[UNIT TAG]], FALSE), 5)</f>
        <v>550</v>
      </c>
      <c r="V449" s="27">
        <f>INDEX(Schedule!$A$1:$N$2000, MATCH($C449, VAV_Schedule_5_21[[#All],[UNIT TAG]], FALSE), 6)</f>
        <v>85</v>
      </c>
      <c r="W449" s="27">
        <f>INDEX(Schedule!$A$1:$N$2000, MATCH($C449, VAV_Schedule_5_21[[#All],[UNIT TAG]], FALSE), 6)</f>
        <v>85</v>
      </c>
      <c r="X449" s="27">
        <f>INDEX(Schedule!$A$1:$N$2000, MATCH($C449, VAV_Schedule_5_21[[#All],[UNIT TAG]], FALSE), 6)</f>
        <v>85</v>
      </c>
      <c r="Y449" s="27">
        <f>INDEX(Schedule!$A$1:$N$2000, MATCH($C449, VAV_Schedule_5_21[[#All],[UNIT TAG]], FALSE), 6)</f>
        <v>85</v>
      </c>
      <c r="Z449" s="27">
        <f>INDEX(Schedule!$A$1:$N$2000, MATCH($C449, VAV_Schedule_5_21[[#All],[UNIT TAG]], FALSE), 6)</f>
        <v>85</v>
      </c>
      <c r="AA449" s="27">
        <v>1000</v>
      </c>
      <c r="AB449" s="27">
        <v>1100</v>
      </c>
      <c r="AC449">
        <v>1400</v>
      </c>
      <c r="AD449" s="29">
        <f>IF(INDEX(Schedule!$A$1:$N$2000, MATCH($C449, VAV_Schedule_5_21[[#All],[UNIT TAG]], FALSE), 7)="-", 0, INDEX(Schedule!$A$1:$N$2000, MATCH($C449, VAV_Schedule_5_21[[#All],[UNIT TAG]], FALSE), 7))</f>
        <v>0</v>
      </c>
      <c r="AE449" t="str">
        <f>"B_01'" &amp; "Flr_0" &amp; INDEX(Joined!$A$3:$M$2000, MATCH($A449, Joined!$I$3:$I$2000, FALSE), 8)</f>
        <v>B_01'Flr_011</v>
      </c>
      <c r="AF449" t="str">
        <f>"R_" &amp; INDEX(Joined!$A$3:$M$2000, MATCH($A449, Joined!$I$3:$I$2000, FALSE), 7)</f>
        <v>R_VAV-11N-9A</v>
      </c>
      <c r="AG449" t="str">
        <f>"B_01'" &amp; "Flr_0" &amp; INDEX(Joined!$A$3:$M$2000, MATCH($A449, Joined!$I$3:$I$2000, FALSE), 8)</f>
        <v>B_01'Flr_011</v>
      </c>
      <c r="AH449" t="str">
        <f>INDEX(Joined!$A$3:$M$2000, MATCH($A449, Joined!$I$3:$I$2000, FALSE), 7)</f>
        <v>VAV-11N-9A</v>
      </c>
      <c r="AI449" t="s">
        <v>1777</v>
      </c>
    </row>
    <row r="450" spans="1:35" x14ac:dyDescent="0.2">
      <c r="A450" t="s">
        <v>1311</v>
      </c>
      <c r="B450" t="str">
        <f>"B_01'" &amp; "Flr_0" &amp; INDEX(Joined!$A$3:$M$2000, MATCH($A450, Joined!$I$3:$I$2000, FALSE), 8)</f>
        <v>B_01'Flr_011</v>
      </c>
      <c r="C450" t="str">
        <f>INDEX(Joined!$A$3:$M$2000, MATCH($A450, Joined!$I$3:$I$2000, FALSE), 7)</f>
        <v>VAV-11N-10</v>
      </c>
      <c r="D450">
        <f>INDEX(Joined!$A$3:$M$2000, MATCH($A450, Joined!$I$3:$I$2000, FALSE), 5)</f>
        <v>152807</v>
      </c>
      <c r="E450" t="str">
        <f>INDEX(Joined!$A$3:$M$2000, MATCH($A450, Joined!$I$3:$I$2000, FALSE), 7)</f>
        <v>VAV-11N-10</v>
      </c>
      <c r="F450" t="s">
        <v>38</v>
      </c>
      <c r="G450" t="str">
        <f>INDEX(Schedule!$Q$2:$R$7, MATCH(ABT!$H450,Schedule!$Q$2:$Q$7, 0), 2)</f>
        <v>15010_DXR_VAV_DXR2M12</v>
      </c>
      <c r="H450">
        <f>INDEX(Joined!$A$3:$M$2000, MATCH($A450, Joined!$I$3:$I$2000, FALSE), 6)</f>
        <v>15010</v>
      </c>
      <c r="I450" t="str">
        <f>INDEX(Joined!$A$3:$M$2000, MATCH($A450, Joined!$I$3:$I$2000, FALSE), 4)</f>
        <v>528</v>
      </c>
      <c r="J450" t="b">
        <v>0</v>
      </c>
      <c r="K450">
        <f>INDEX(Joined!$A$3:$M$2000, MATCH($A450, Joined!$I$3:$I$2000, FALSE), 3)</f>
        <v>7</v>
      </c>
      <c r="L450">
        <v>85</v>
      </c>
      <c r="M450">
        <v>38400</v>
      </c>
      <c r="N450" s="27">
        <f>PI()*(INDEX(Schedule!$A$1:$N$2000, MATCH($C450, VAV_Schedule_5_21[[#All],[UNIT TAG]], FALSE), 4)/2/12)^2</f>
        <v>0.3490658503988659</v>
      </c>
      <c r="O450" s="27">
        <f>INDEX(Schedule!$A$1:$N$2000, MATCH($C450, VAV_Schedule_5_21[[#All],[UNIT TAG]], FALSE), 4)</f>
        <v>8</v>
      </c>
      <c r="P450">
        <v>448.63</v>
      </c>
      <c r="Q450" s="27">
        <f>INDEX(Schedule!$A$1:$N$2000, MATCH($C450, VAV_Schedule_5_21[[#All],[UNIT TAG]], FALSE), 5)</f>
        <v>410</v>
      </c>
      <c r="R450" s="27">
        <f>INDEX(Schedule!$A$1:$N$2000, MATCH($C450, VAV_Schedule_5_21[[#All],[UNIT TAG]], FALSE), 6)</f>
        <v>65</v>
      </c>
      <c r="S450" s="27">
        <f>INDEX(Schedule!$A$1:$N$2000, MATCH($C450, VAV_Schedule_5_21[[#All],[UNIT TAG]], FALSE), 5)</f>
        <v>410</v>
      </c>
      <c r="T450" s="27">
        <f>INDEX(Schedule!$A$1:$N$2000, MATCH($C450, VAV_Schedule_5_21[[#All],[UNIT TAG]], FALSE), 6)</f>
        <v>65</v>
      </c>
      <c r="U450" s="27">
        <f>INDEX(Schedule!$A$1:$N$2000, MATCH($C450, VAV_Schedule_5_21[[#All],[UNIT TAG]], FALSE), 5)</f>
        <v>410</v>
      </c>
      <c r="V450" s="27">
        <f>INDEX(Schedule!$A$1:$N$2000, MATCH($C450, VAV_Schedule_5_21[[#All],[UNIT TAG]], FALSE), 6)</f>
        <v>65</v>
      </c>
      <c r="W450" s="27">
        <f>INDEX(Schedule!$A$1:$N$2000, MATCH($C450, VAV_Schedule_5_21[[#All],[UNIT TAG]], FALSE), 6)</f>
        <v>65</v>
      </c>
      <c r="X450" s="27">
        <f>INDEX(Schedule!$A$1:$N$2000, MATCH($C450, VAV_Schedule_5_21[[#All],[UNIT TAG]], FALSE), 6)</f>
        <v>65</v>
      </c>
      <c r="Y450" s="27">
        <f>INDEX(Schedule!$A$1:$N$2000, MATCH($C450, VAV_Schedule_5_21[[#All],[UNIT TAG]], FALSE), 6)</f>
        <v>65</v>
      </c>
      <c r="Z450" s="27">
        <f>INDEX(Schedule!$A$1:$N$2000, MATCH($C450, VAV_Schedule_5_21[[#All],[UNIT TAG]], FALSE), 6)</f>
        <v>65</v>
      </c>
      <c r="AA450" s="27">
        <v>1000</v>
      </c>
      <c r="AB450" s="27">
        <v>1100</v>
      </c>
      <c r="AC450">
        <v>1400</v>
      </c>
      <c r="AD450" s="29">
        <f>IF(INDEX(Schedule!$A$1:$N$2000, MATCH($C450, VAV_Schedule_5_21[[#All],[UNIT TAG]], FALSE), 7)="-", 0, INDEX(Schedule!$A$1:$N$2000, MATCH($C450, VAV_Schedule_5_21[[#All],[UNIT TAG]], FALSE), 7))</f>
        <v>0</v>
      </c>
      <c r="AE450" t="str">
        <f>"B_01'" &amp; "Flr_0" &amp; INDEX(Joined!$A$3:$M$2000, MATCH($A450, Joined!$I$3:$I$2000, FALSE), 8)</f>
        <v>B_01'Flr_011</v>
      </c>
      <c r="AF450" t="str">
        <f>"R_" &amp; INDEX(Joined!$A$3:$M$2000, MATCH($A450, Joined!$I$3:$I$2000, FALSE), 7)</f>
        <v>R_VAV-11N-10</v>
      </c>
      <c r="AG450" t="str">
        <f>"B_01'" &amp; "Flr_0" &amp; INDEX(Joined!$A$3:$M$2000, MATCH($A450, Joined!$I$3:$I$2000, FALSE), 8)</f>
        <v>B_01'Flr_011</v>
      </c>
      <c r="AH450" t="str">
        <f>INDEX(Joined!$A$3:$M$2000, MATCH($A450, Joined!$I$3:$I$2000, FALSE), 7)</f>
        <v>VAV-11N-10</v>
      </c>
      <c r="AI450" t="s">
        <v>1778</v>
      </c>
    </row>
    <row r="451" spans="1:35" x14ac:dyDescent="0.2">
      <c r="A451" t="s">
        <v>1312</v>
      </c>
      <c r="B451" t="str">
        <f>"B_01'" &amp; "Flr_0" &amp; INDEX(Joined!$A$3:$M$2000, MATCH($A451, Joined!$I$3:$I$2000, FALSE), 8)</f>
        <v>B_01'Flr_011</v>
      </c>
      <c r="C451" t="str">
        <f>INDEX(Joined!$A$3:$M$2000, MATCH($A451, Joined!$I$3:$I$2000, FALSE), 7)</f>
        <v>VAV-11N-11</v>
      </c>
      <c r="D451">
        <f>INDEX(Joined!$A$3:$M$2000, MATCH($A451, Joined!$I$3:$I$2000, FALSE), 5)</f>
        <v>152808</v>
      </c>
      <c r="E451" t="str">
        <f>INDEX(Joined!$A$3:$M$2000, MATCH($A451, Joined!$I$3:$I$2000, FALSE), 7)</f>
        <v>VAV-11N-11</v>
      </c>
      <c r="F451" t="s">
        <v>38</v>
      </c>
      <c r="G451" t="str">
        <f>INDEX(Schedule!$Q$2:$R$7, MATCH(ABT!$H451,Schedule!$Q$2:$Q$7, 0), 2)</f>
        <v>15010_DXR_VAV_DXR2M12</v>
      </c>
      <c r="H451">
        <f>INDEX(Joined!$A$3:$M$2000, MATCH($A451, Joined!$I$3:$I$2000, FALSE), 6)</f>
        <v>15010</v>
      </c>
      <c r="I451" t="str">
        <f>INDEX(Joined!$A$3:$M$2000, MATCH($A451, Joined!$I$3:$I$2000, FALSE), 4)</f>
        <v>528</v>
      </c>
      <c r="J451" t="b">
        <v>0</v>
      </c>
      <c r="K451">
        <f>INDEX(Joined!$A$3:$M$2000, MATCH($A451, Joined!$I$3:$I$2000, FALSE), 3)</f>
        <v>8</v>
      </c>
      <c r="L451">
        <v>85</v>
      </c>
      <c r="M451">
        <v>38400</v>
      </c>
      <c r="N451" s="27">
        <f>PI()*(INDEX(Schedule!$A$1:$N$2000, MATCH($C451, VAV_Schedule_5_21[[#All],[UNIT TAG]], FALSE), 4)/2/12)^2</f>
        <v>0.78539816339744828</v>
      </c>
      <c r="O451" s="27">
        <f>INDEX(Schedule!$A$1:$N$2000, MATCH($C451, VAV_Schedule_5_21[[#All],[UNIT TAG]], FALSE), 4)</f>
        <v>12</v>
      </c>
      <c r="P451">
        <v>449.63</v>
      </c>
      <c r="Q451" s="27">
        <f>INDEX(Schedule!$A$1:$N$2000, MATCH($C451, VAV_Schedule_5_21[[#All],[UNIT TAG]], FALSE), 5)</f>
        <v>1380</v>
      </c>
      <c r="R451" s="27">
        <f>INDEX(Schedule!$A$1:$N$2000, MATCH($C451, VAV_Schedule_5_21[[#All],[UNIT TAG]], FALSE), 6)</f>
        <v>210</v>
      </c>
      <c r="S451" s="27">
        <f>INDEX(Schedule!$A$1:$N$2000, MATCH($C451, VAV_Schedule_5_21[[#All],[UNIT TAG]], FALSE), 5)</f>
        <v>1380</v>
      </c>
      <c r="T451" s="27">
        <f>INDEX(Schedule!$A$1:$N$2000, MATCH($C451, VAV_Schedule_5_21[[#All],[UNIT TAG]], FALSE), 6)</f>
        <v>210</v>
      </c>
      <c r="U451" s="27">
        <f>INDEX(Schedule!$A$1:$N$2000, MATCH($C451, VAV_Schedule_5_21[[#All],[UNIT TAG]], FALSE), 5)</f>
        <v>1380</v>
      </c>
      <c r="V451" s="27">
        <f>INDEX(Schedule!$A$1:$N$2000, MATCH($C451, VAV_Schedule_5_21[[#All],[UNIT TAG]], FALSE), 6)</f>
        <v>210</v>
      </c>
      <c r="W451" s="27">
        <f>INDEX(Schedule!$A$1:$N$2000, MATCH($C451, VAV_Schedule_5_21[[#All],[UNIT TAG]], FALSE), 6)</f>
        <v>210</v>
      </c>
      <c r="X451" s="27">
        <f>INDEX(Schedule!$A$1:$N$2000, MATCH($C451, VAV_Schedule_5_21[[#All],[UNIT TAG]], FALSE), 6)</f>
        <v>210</v>
      </c>
      <c r="Y451" s="27">
        <f>INDEX(Schedule!$A$1:$N$2000, MATCH($C451, VAV_Schedule_5_21[[#All],[UNIT TAG]], FALSE), 6)</f>
        <v>210</v>
      </c>
      <c r="Z451" s="27">
        <f>INDEX(Schedule!$A$1:$N$2000, MATCH($C451, VAV_Schedule_5_21[[#All],[UNIT TAG]], FALSE), 6)</f>
        <v>210</v>
      </c>
      <c r="AA451" s="27">
        <v>1000</v>
      </c>
      <c r="AB451" s="27">
        <v>1100</v>
      </c>
      <c r="AC451">
        <v>1400</v>
      </c>
      <c r="AD451" s="29">
        <f>IF(INDEX(Schedule!$A$1:$N$2000, MATCH($C451, VAV_Schedule_5_21[[#All],[UNIT TAG]], FALSE), 7)="-", 0, INDEX(Schedule!$A$1:$N$2000, MATCH($C451, VAV_Schedule_5_21[[#All],[UNIT TAG]], FALSE), 7))</f>
        <v>0</v>
      </c>
      <c r="AE451" t="str">
        <f>"B_01'" &amp; "Flr_0" &amp; INDEX(Joined!$A$3:$M$2000, MATCH($A451, Joined!$I$3:$I$2000, FALSE), 8)</f>
        <v>B_01'Flr_011</v>
      </c>
      <c r="AF451" t="str">
        <f>"R_" &amp; INDEX(Joined!$A$3:$M$2000, MATCH($A451, Joined!$I$3:$I$2000, FALSE), 7)</f>
        <v>R_VAV-11N-11</v>
      </c>
      <c r="AG451" t="str">
        <f>"B_01'" &amp; "Flr_0" &amp; INDEX(Joined!$A$3:$M$2000, MATCH($A451, Joined!$I$3:$I$2000, FALSE), 8)</f>
        <v>B_01'Flr_011</v>
      </c>
      <c r="AH451" t="str">
        <f>INDEX(Joined!$A$3:$M$2000, MATCH($A451, Joined!$I$3:$I$2000, FALSE), 7)</f>
        <v>VAV-11N-11</v>
      </c>
      <c r="AI451" t="s">
        <v>1779</v>
      </c>
    </row>
    <row r="452" spans="1:35" x14ac:dyDescent="0.2">
      <c r="A452" t="s">
        <v>1313</v>
      </c>
      <c r="B452" t="str">
        <f>"B_01'" &amp; "Flr_0" &amp; INDEX(Joined!$A$3:$M$2000, MATCH($A452, Joined!$I$3:$I$2000, FALSE), 8)</f>
        <v>B_01'Flr_011</v>
      </c>
      <c r="C452" t="str">
        <f>INDEX(Joined!$A$3:$M$2000, MATCH($A452, Joined!$I$3:$I$2000, FALSE), 7)</f>
        <v>VAV-11N-12</v>
      </c>
      <c r="D452">
        <f>INDEX(Joined!$A$3:$M$2000, MATCH($A452, Joined!$I$3:$I$2000, FALSE), 5)</f>
        <v>152809</v>
      </c>
      <c r="E452" t="str">
        <f>INDEX(Joined!$A$3:$M$2000, MATCH($A452, Joined!$I$3:$I$2000, FALSE), 7)</f>
        <v>VAV-11N-12</v>
      </c>
      <c r="F452" t="s">
        <v>38</v>
      </c>
      <c r="G452" t="str">
        <f>INDEX(Schedule!$Q$2:$R$7, MATCH(ABT!$H452,Schedule!$Q$2:$Q$7, 0), 2)</f>
        <v>15010_DXR_VAV_DXR2M12</v>
      </c>
      <c r="H452">
        <f>INDEX(Joined!$A$3:$M$2000, MATCH($A452, Joined!$I$3:$I$2000, FALSE), 6)</f>
        <v>15010</v>
      </c>
      <c r="I452" t="str">
        <f>INDEX(Joined!$A$3:$M$2000, MATCH($A452, Joined!$I$3:$I$2000, FALSE), 4)</f>
        <v>528</v>
      </c>
      <c r="J452" t="b">
        <v>0</v>
      </c>
      <c r="K452">
        <f>INDEX(Joined!$A$3:$M$2000, MATCH($A452, Joined!$I$3:$I$2000, FALSE), 3)</f>
        <v>9</v>
      </c>
      <c r="L452">
        <v>85</v>
      </c>
      <c r="M452">
        <v>38400</v>
      </c>
      <c r="N452" s="27">
        <f>PI()*(INDEX(Schedule!$A$1:$N$2000, MATCH($C452, VAV_Schedule_5_21[[#All],[UNIT TAG]], FALSE), 4)/2/12)^2</f>
        <v>0.54541539124822802</v>
      </c>
      <c r="O452" s="27">
        <f>INDEX(Schedule!$A$1:$N$2000, MATCH($C452, VAV_Schedule_5_21[[#All],[UNIT TAG]], FALSE), 4)</f>
        <v>10</v>
      </c>
      <c r="P452">
        <v>450.63</v>
      </c>
      <c r="Q452" s="27">
        <f>INDEX(Schedule!$A$1:$N$2000, MATCH($C452, VAV_Schedule_5_21[[#All],[UNIT TAG]], FALSE), 5)</f>
        <v>1120</v>
      </c>
      <c r="R452" s="27">
        <f>INDEX(Schedule!$A$1:$N$2000, MATCH($C452, VAV_Schedule_5_21[[#All],[UNIT TAG]], FALSE), 6)</f>
        <v>170</v>
      </c>
      <c r="S452" s="27">
        <f>INDEX(Schedule!$A$1:$N$2000, MATCH($C452, VAV_Schedule_5_21[[#All],[UNIT TAG]], FALSE), 5)</f>
        <v>1120</v>
      </c>
      <c r="T452" s="27">
        <f>INDEX(Schedule!$A$1:$N$2000, MATCH($C452, VAV_Schedule_5_21[[#All],[UNIT TAG]], FALSE), 6)</f>
        <v>170</v>
      </c>
      <c r="U452" s="27">
        <f>INDEX(Schedule!$A$1:$N$2000, MATCH($C452, VAV_Schedule_5_21[[#All],[UNIT TAG]], FALSE), 5)</f>
        <v>1120</v>
      </c>
      <c r="V452" s="27">
        <f>INDEX(Schedule!$A$1:$N$2000, MATCH($C452, VAV_Schedule_5_21[[#All],[UNIT TAG]], FALSE), 6)</f>
        <v>170</v>
      </c>
      <c r="W452" s="27">
        <f>INDEX(Schedule!$A$1:$N$2000, MATCH($C452, VAV_Schedule_5_21[[#All],[UNIT TAG]], FALSE), 6)</f>
        <v>170</v>
      </c>
      <c r="X452" s="27">
        <f>INDEX(Schedule!$A$1:$N$2000, MATCH($C452, VAV_Schedule_5_21[[#All],[UNIT TAG]], FALSE), 6)</f>
        <v>170</v>
      </c>
      <c r="Y452" s="27">
        <f>INDEX(Schedule!$A$1:$N$2000, MATCH($C452, VAV_Schedule_5_21[[#All],[UNIT TAG]], FALSE), 6)</f>
        <v>170</v>
      </c>
      <c r="Z452" s="27">
        <f>INDEX(Schedule!$A$1:$N$2000, MATCH($C452, VAV_Schedule_5_21[[#All],[UNIT TAG]], FALSE), 6)</f>
        <v>170</v>
      </c>
      <c r="AA452" s="27">
        <v>1000</v>
      </c>
      <c r="AB452" s="27">
        <v>1100</v>
      </c>
      <c r="AC452">
        <v>1400</v>
      </c>
      <c r="AD452" s="29">
        <f>IF(INDEX(Schedule!$A$1:$N$2000, MATCH($C452, VAV_Schedule_5_21[[#All],[UNIT TAG]], FALSE), 7)="-", 0, INDEX(Schedule!$A$1:$N$2000, MATCH($C452, VAV_Schedule_5_21[[#All],[UNIT TAG]], FALSE), 7))</f>
        <v>0</v>
      </c>
      <c r="AE452" t="str">
        <f>"B_01'" &amp; "Flr_0" &amp; INDEX(Joined!$A$3:$M$2000, MATCH($A452, Joined!$I$3:$I$2000, FALSE), 8)</f>
        <v>B_01'Flr_011</v>
      </c>
      <c r="AF452" t="str">
        <f>"R_" &amp; INDEX(Joined!$A$3:$M$2000, MATCH($A452, Joined!$I$3:$I$2000, FALSE), 7)</f>
        <v>R_VAV-11N-12</v>
      </c>
      <c r="AG452" t="str">
        <f>"B_01'" &amp; "Flr_0" &amp; INDEX(Joined!$A$3:$M$2000, MATCH($A452, Joined!$I$3:$I$2000, FALSE), 8)</f>
        <v>B_01'Flr_011</v>
      </c>
      <c r="AH452" t="str">
        <f>INDEX(Joined!$A$3:$M$2000, MATCH($A452, Joined!$I$3:$I$2000, FALSE), 7)</f>
        <v>VAV-11N-12</v>
      </c>
      <c r="AI452" t="s">
        <v>1780</v>
      </c>
    </row>
    <row r="453" spans="1:35" x14ac:dyDescent="0.2">
      <c r="A453" t="s">
        <v>1314</v>
      </c>
      <c r="B453" t="str">
        <f>"B_01'" &amp; "Flr_0" &amp; INDEX(Joined!$A$3:$M$2000, MATCH($A453, Joined!$I$3:$I$2000, FALSE), 8)</f>
        <v>B_01'Flr_011</v>
      </c>
      <c r="C453" t="str">
        <f>INDEX(Joined!$A$3:$M$2000, MATCH($A453, Joined!$I$3:$I$2000, FALSE), 7)</f>
        <v>VAV-11N-13</v>
      </c>
      <c r="D453">
        <f>INDEX(Joined!$A$3:$M$2000, MATCH($A453, Joined!$I$3:$I$2000, FALSE), 5)</f>
        <v>152810</v>
      </c>
      <c r="E453" t="str">
        <f>INDEX(Joined!$A$3:$M$2000, MATCH($A453, Joined!$I$3:$I$2000, FALSE), 7)</f>
        <v>VAV-11N-13</v>
      </c>
      <c r="F453" t="s">
        <v>38</v>
      </c>
      <c r="G453" t="str">
        <f>INDEX(Schedule!$Q$2:$R$7, MATCH(ABT!$H453,Schedule!$Q$2:$Q$7, 0), 2)</f>
        <v>15010_DXR_VAV_DXR2M12</v>
      </c>
      <c r="H453">
        <f>INDEX(Joined!$A$3:$M$2000, MATCH($A453, Joined!$I$3:$I$2000, FALSE), 6)</f>
        <v>15010</v>
      </c>
      <c r="I453" t="str">
        <f>INDEX(Joined!$A$3:$M$2000, MATCH($A453, Joined!$I$3:$I$2000, FALSE), 4)</f>
        <v>528</v>
      </c>
      <c r="J453" t="b">
        <v>0</v>
      </c>
      <c r="K453">
        <f>INDEX(Joined!$A$3:$M$2000, MATCH($A453, Joined!$I$3:$I$2000, FALSE), 3)</f>
        <v>10</v>
      </c>
      <c r="L453">
        <v>85</v>
      </c>
      <c r="M453">
        <v>38400</v>
      </c>
      <c r="N453" s="27">
        <f>PI()*(INDEX(Schedule!$A$1:$N$2000, MATCH($C453, VAV_Schedule_5_21[[#All],[UNIT TAG]], FALSE), 4)/2/12)^2</f>
        <v>0.78539816339744828</v>
      </c>
      <c r="O453" s="27">
        <f>INDEX(Schedule!$A$1:$N$2000, MATCH($C453, VAV_Schedule_5_21[[#All],[UNIT TAG]], FALSE), 4)</f>
        <v>12</v>
      </c>
      <c r="P453">
        <v>451.63</v>
      </c>
      <c r="Q453" s="27">
        <f>INDEX(Schedule!$A$1:$N$2000, MATCH($C453, VAV_Schedule_5_21[[#All],[UNIT TAG]], FALSE), 5)</f>
        <v>1385</v>
      </c>
      <c r="R453" s="27">
        <f>INDEX(Schedule!$A$1:$N$2000, MATCH($C453, VAV_Schedule_5_21[[#All],[UNIT TAG]], FALSE), 6)</f>
        <v>210</v>
      </c>
      <c r="S453" s="27">
        <f>INDEX(Schedule!$A$1:$N$2000, MATCH($C453, VAV_Schedule_5_21[[#All],[UNIT TAG]], FALSE), 5)</f>
        <v>1385</v>
      </c>
      <c r="T453" s="27">
        <f>INDEX(Schedule!$A$1:$N$2000, MATCH($C453, VAV_Schedule_5_21[[#All],[UNIT TAG]], FALSE), 6)</f>
        <v>210</v>
      </c>
      <c r="U453" s="27">
        <f>INDEX(Schedule!$A$1:$N$2000, MATCH($C453, VAV_Schedule_5_21[[#All],[UNIT TAG]], FALSE), 5)</f>
        <v>1385</v>
      </c>
      <c r="V453" s="27">
        <f>INDEX(Schedule!$A$1:$N$2000, MATCH($C453, VAV_Schedule_5_21[[#All],[UNIT TAG]], FALSE), 6)</f>
        <v>210</v>
      </c>
      <c r="W453" s="27">
        <f>INDEX(Schedule!$A$1:$N$2000, MATCH($C453, VAV_Schedule_5_21[[#All],[UNIT TAG]], FALSE), 6)</f>
        <v>210</v>
      </c>
      <c r="X453" s="27">
        <f>INDEX(Schedule!$A$1:$N$2000, MATCH($C453, VAV_Schedule_5_21[[#All],[UNIT TAG]], FALSE), 6)</f>
        <v>210</v>
      </c>
      <c r="Y453" s="27">
        <f>INDEX(Schedule!$A$1:$N$2000, MATCH($C453, VAV_Schedule_5_21[[#All],[UNIT TAG]], FALSE), 6)</f>
        <v>210</v>
      </c>
      <c r="Z453" s="27">
        <f>INDEX(Schedule!$A$1:$N$2000, MATCH($C453, VAV_Schedule_5_21[[#All],[UNIT TAG]], FALSE), 6)</f>
        <v>210</v>
      </c>
      <c r="AA453" s="27">
        <v>1000</v>
      </c>
      <c r="AB453" s="27">
        <v>1100</v>
      </c>
      <c r="AC453">
        <v>1400</v>
      </c>
      <c r="AD453" s="29">
        <f>IF(INDEX(Schedule!$A$1:$N$2000, MATCH($C453, VAV_Schedule_5_21[[#All],[UNIT TAG]], FALSE), 7)="-", 0, INDEX(Schedule!$A$1:$N$2000, MATCH($C453, VAV_Schedule_5_21[[#All],[UNIT TAG]], FALSE), 7))</f>
        <v>0</v>
      </c>
      <c r="AE453" t="str">
        <f>"B_01'" &amp; "Flr_0" &amp; INDEX(Joined!$A$3:$M$2000, MATCH($A453, Joined!$I$3:$I$2000, FALSE), 8)</f>
        <v>B_01'Flr_011</v>
      </c>
      <c r="AF453" t="str">
        <f>"R_" &amp; INDEX(Joined!$A$3:$M$2000, MATCH($A453, Joined!$I$3:$I$2000, FALSE), 7)</f>
        <v>R_VAV-11N-13</v>
      </c>
      <c r="AG453" t="str">
        <f>"B_01'" &amp; "Flr_0" &amp; INDEX(Joined!$A$3:$M$2000, MATCH($A453, Joined!$I$3:$I$2000, FALSE), 8)</f>
        <v>B_01'Flr_011</v>
      </c>
      <c r="AH453" t="str">
        <f>INDEX(Joined!$A$3:$M$2000, MATCH($A453, Joined!$I$3:$I$2000, FALSE), 7)</f>
        <v>VAV-11N-13</v>
      </c>
      <c r="AI453" t="s">
        <v>1781</v>
      </c>
    </row>
    <row r="454" spans="1:35" x14ac:dyDescent="0.2">
      <c r="A454" t="s">
        <v>1315</v>
      </c>
      <c r="B454" t="str">
        <f>"B_01'" &amp; "Flr_0" &amp; INDEX(Joined!$A$3:$M$2000, MATCH($A454, Joined!$I$3:$I$2000, FALSE), 8)</f>
        <v>B_01'Flr_011</v>
      </c>
      <c r="C454" t="str">
        <f>INDEX(Joined!$A$3:$M$2000, MATCH($A454, Joined!$I$3:$I$2000, FALSE), 7)</f>
        <v>VAV-11E-14</v>
      </c>
      <c r="D454">
        <f>INDEX(Joined!$A$3:$M$2000, MATCH($A454, Joined!$I$3:$I$2000, FALSE), 5)</f>
        <v>152901</v>
      </c>
      <c r="E454" t="str">
        <f>INDEX(Joined!$A$3:$M$2000, MATCH($A454, Joined!$I$3:$I$2000, FALSE), 7)</f>
        <v>VAV-11E-14</v>
      </c>
      <c r="F454" t="s">
        <v>38</v>
      </c>
      <c r="G454" t="str">
        <f>INDEX(Schedule!$Q$2:$R$7, MATCH(ABT!$H454,Schedule!$Q$2:$Q$7, 0), 2)</f>
        <v>15011_DXR_VAV_DXR2M12</v>
      </c>
      <c r="H454">
        <f>INDEX(Joined!$A$3:$M$2000, MATCH($A454, Joined!$I$3:$I$2000, FALSE), 6)</f>
        <v>15011</v>
      </c>
      <c r="I454" t="str">
        <f>INDEX(Joined!$A$3:$M$2000, MATCH($A454, Joined!$I$3:$I$2000, FALSE), 4)</f>
        <v>529</v>
      </c>
      <c r="J454" t="b">
        <v>0</v>
      </c>
      <c r="K454">
        <f>INDEX(Joined!$A$3:$M$2000, MATCH($A454, Joined!$I$3:$I$2000, FALSE), 3)</f>
        <v>1</v>
      </c>
      <c r="L454">
        <v>85</v>
      </c>
      <c r="M454">
        <v>38400</v>
      </c>
      <c r="N454" s="27">
        <f>PI()*(INDEX(Schedule!$A$1:$N$2000, MATCH($C454, VAV_Schedule_5_21[[#All],[UNIT TAG]], FALSE), 4)/2/12)^2</f>
        <v>0.54541539124822802</v>
      </c>
      <c r="O454" s="27">
        <f>INDEX(Schedule!$A$1:$N$2000, MATCH($C454, VAV_Schedule_5_21[[#All],[UNIT TAG]], FALSE), 4)</f>
        <v>10</v>
      </c>
      <c r="P454">
        <v>452.63</v>
      </c>
      <c r="Q454" s="27">
        <f>INDEX(Schedule!$A$1:$N$2000, MATCH($C454, VAV_Schedule_5_21[[#All],[UNIT TAG]], FALSE), 5)</f>
        <v>840</v>
      </c>
      <c r="R454" s="27">
        <f>INDEX(Schedule!$A$1:$N$2000, MATCH($C454, VAV_Schedule_5_21[[#All],[UNIT TAG]], FALSE), 6)</f>
        <v>130</v>
      </c>
      <c r="S454" s="27">
        <f>INDEX(Schedule!$A$1:$N$2000, MATCH($C454, VAV_Schedule_5_21[[#All],[UNIT TAG]], FALSE), 5)</f>
        <v>840</v>
      </c>
      <c r="T454" s="27">
        <f>INDEX(Schedule!$A$1:$N$2000, MATCH($C454, VAV_Schedule_5_21[[#All],[UNIT TAG]], FALSE), 6)</f>
        <v>130</v>
      </c>
      <c r="U454" s="27">
        <f>INDEX(Schedule!$A$1:$N$2000, MATCH($C454, VAV_Schedule_5_21[[#All],[UNIT TAG]], FALSE), 5)</f>
        <v>840</v>
      </c>
      <c r="V454" s="27">
        <f>INDEX(Schedule!$A$1:$N$2000, MATCH($C454, VAV_Schedule_5_21[[#All],[UNIT TAG]], FALSE), 6)</f>
        <v>130</v>
      </c>
      <c r="W454" s="27">
        <f>INDEX(Schedule!$A$1:$N$2000, MATCH($C454, VAV_Schedule_5_21[[#All],[UNIT TAG]], FALSE), 6)</f>
        <v>130</v>
      </c>
      <c r="X454" s="27">
        <f>INDEX(Schedule!$A$1:$N$2000, MATCH($C454, VAV_Schedule_5_21[[#All],[UNIT TAG]], FALSE), 6)</f>
        <v>130</v>
      </c>
      <c r="Y454" s="27">
        <f>INDEX(Schedule!$A$1:$N$2000, MATCH($C454, VAV_Schedule_5_21[[#All],[UNIT TAG]], FALSE), 6)</f>
        <v>130</v>
      </c>
      <c r="Z454" s="27">
        <f>INDEX(Schedule!$A$1:$N$2000, MATCH($C454, VAV_Schedule_5_21[[#All],[UNIT TAG]], FALSE), 6)</f>
        <v>130</v>
      </c>
      <c r="AA454" s="27">
        <v>1000</v>
      </c>
      <c r="AB454" s="27">
        <v>1100</v>
      </c>
      <c r="AC454">
        <v>1400</v>
      </c>
      <c r="AD454" s="29" t="str">
        <f>IF(INDEX(Schedule!$A$1:$N$2000, MATCH($C454, VAV_Schedule_5_21[[#All],[UNIT TAG]], FALSE), 7)="-", 0, INDEX(Schedule!$A$1:$N$2000, MATCH($C454, VAV_Schedule_5_21[[#All],[UNIT TAG]], FALSE), 7))</f>
        <v>6</v>
      </c>
      <c r="AE454" t="str">
        <f>"B_01'" &amp; "Flr_0" &amp; INDEX(Joined!$A$3:$M$2000, MATCH($A454, Joined!$I$3:$I$2000, FALSE), 8)</f>
        <v>B_01'Flr_011</v>
      </c>
      <c r="AF454" t="str">
        <f>"R_" &amp; INDEX(Joined!$A$3:$M$2000, MATCH($A454, Joined!$I$3:$I$2000, FALSE), 7)</f>
        <v>R_VAV-11E-14</v>
      </c>
      <c r="AG454" t="str">
        <f>"B_01'" &amp; "Flr_0" &amp; INDEX(Joined!$A$3:$M$2000, MATCH($A454, Joined!$I$3:$I$2000, FALSE), 8)</f>
        <v>B_01'Flr_011</v>
      </c>
      <c r="AH454" t="str">
        <f>INDEX(Joined!$A$3:$M$2000, MATCH($A454, Joined!$I$3:$I$2000, FALSE), 7)</f>
        <v>VAV-11E-14</v>
      </c>
      <c r="AI454" t="s">
        <v>1782</v>
      </c>
    </row>
    <row r="455" spans="1:35" x14ac:dyDescent="0.2">
      <c r="A455" t="s">
        <v>1316</v>
      </c>
      <c r="B455" t="str">
        <f>"B_01'" &amp; "Flr_0" &amp; INDEX(Joined!$A$3:$M$2000, MATCH($A455, Joined!$I$3:$I$2000, FALSE), 8)</f>
        <v>B_01'Flr_011</v>
      </c>
      <c r="C455" t="str">
        <f>INDEX(Joined!$A$3:$M$2000, MATCH($A455, Joined!$I$3:$I$2000, FALSE), 7)</f>
        <v>VAV-11E-15</v>
      </c>
      <c r="D455">
        <f>INDEX(Joined!$A$3:$M$2000, MATCH($A455, Joined!$I$3:$I$2000, FALSE), 5)</f>
        <v>152902</v>
      </c>
      <c r="E455" t="str">
        <f>INDEX(Joined!$A$3:$M$2000, MATCH($A455, Joined!$I$3:$I$2000, FALSE), 7)</f>
        <v>VAV-11E-15</v>
      </c>
      <c r="F455" t="s">
        <v>38</v>
      </c>
      <c r="G455" t="str">
        <f>INDEX(Schedule!$Q$2:$R$7, MATCH(ABT!$H455,Schedule!$Q$2:$Q$7, 0), 2)</f>
        <v>15011_DXR_VAV_DXR2M12</v>
      </c>
      <c r="H455">
        <f>INDEX(Joined!$A$3:$M$2000, MATCH($A455, Joined!$I$3:$I$2000, FALSE), 6)</f>
        <v>15011</v>
      </c>
      <c r="I455" t="str">
        <f>INDEX(Joined!$A$3:$M$2000, MATCH($A455, Joined!$I$3:$I$2000, FALSE), 4)</f>
        <v>529</v>
      </c>
      <c r="J455" t="b">
        <v>0</v>
      </c>
      <c r="K455">
        <f>INDEX(Joined!$A$3:$M$2000, MATCH($A455, Joined!$I$3:$I$2000, FALSE), 3)</f>
        <v>2</v>
      </c>
      <c r="L455">
        <v>85</v>
      </c>
      <c r="M455">
        <v>38400</v>
      </c>
      <c r="N455" s="27">
        <f>PI()*(INDEX(Schedule!$A$1:$N$2000, MATCH($C455, VAV_Schedule_5_21[[#All],[UNIT TAG]], FALSE), 4)/2/12)^2</f>
        <v>0.3490658503988659</v>
      </c>
      <c r="O455" s="27">
        <f>INDEX(Schedule!$A$1:$N$2000, MATCH($C455, VAV_Schedule_5_21[[#All],[UNIT TAG]], FALSE), 4)</f>
        <v>8</v>
      </c>
      <c r="P455">
        <v>453.63</v>
      </c>
      <c r="Q455" s="27">
        <f>INDEX(Schedule!$A$1:$N$2000, MATCH($C455, VAV_Schedule_5_21[[#All],[UNIT TAG]], FALSE), 5)</f>
        <v>640</v>
      </c>
      <c r="R455" s="27">
        <f>INDEX(Schedule!$A$1:$N$2000, MATCH($C455, VAV_Schedule_5_21[[#All],[UNIT TAG]], FALSE), 6)</f>
        <v>100</v>
      </c>
      <c r="S455" s="27">
        <f>INDEX(Schedule!$A$1:$N$2000, MATCH($C455, VAV_Schedule_5_21[[#All],[UNIT TAG]], FALSE), 5)</f>
        <v>640</v>
      </c>
      <c r="T455" s="27">
        <f>INDEX(Schedule!$A$1:$N$2000, MATCH($C455, VAV_Schedule_5_21[[#All],[UNIT TAG]], FALSE), 6)</f>
        <v>100</v>
      </c>
      <c r="U455" s="27">
        <f>INDEX(Schedule!$A$1:$N$2000, MATCH($C455, VAV_Schedule_5_21[[#All],[UNIT TAG]], FALSE), 5)</f>
        <v>640</v>
      </c>
      <c r="V455" s="27">
        <f>INDEX(Schedule!$A$1:$N$2000, MATCH($C455, VAV_Schedule_5_21[[#All],[UNIT TAG]], FALSE), 6)</f>
        <v>100</v>
      </c>
      <c r="W455" s="27">
        <f>INDEX(Schedule!$A$1:$N$2000, MATCH($C455, VAV_Schedule_5_21[[#All],[UNIT TAG]], FALSE), 6)</f>
        <v>100</v>
      </c>
      <c r="X455" s="27">
        <f>INDEX(Schedule!$A$1:$N$2000, MATCH($C455, VAV_Schedule_5_21[[#All],[UNIT TAG]], FALSE), 6)</f>
        <v>100</v>
      </c>
      <c r="Y455" s="27">
        <f>INDEX(Schedule!$A$1:$N$2000, MATCH($C455, VAV_Schedule_5_21[[#All],[UNIT TAG]], FALSE), 6)</f>
        <v>100</v>
      </c>
      <c r="Z455" s="27">
        <f>INDEX(Schedule!$A$1:$N$2000, MATCH($C455, VAV_Schedule_5_21[[#All],[UNIT TAG]], FALSE), 6)</f>
        <v>100</v>
      </c>
      <c r="AA455" s="27">
        <v>1000</v>
      </c>
      <c r="AB455" s="27">
        <v>1100</v>
      </c>
      <c r="AC455">
        <v>1400</v>
      </c>
      <c r="AD455" s="29" t="str">
        <f>IF(INDEX(Schedule!$A$1:$N$2000, MATCH($C455, VAV_Schedule_5_21[[#All],[UNIT TAG]], FALSE), 7)="-", 0, INDEX(Schedule!$A$1:$N$2000, MATCH($C455, VAV_Schedule_5_21[[#All],[UNIT TAG]], FALSE), 7))</f>
        <v>6</v>
      </c>
      <c r="AE455" t="str">
        <f>"B_01'" &amp; "Flr_0" &amp; INDEX(Joined!$A$3:$M$2000, MATCH($A455, Joined!$I$3:$I$2000, FALSE), 8)</f>
        <v>B_01'Flr_011</v>
      </c>
      <c r="AF455" t="str">
        <f>"R_" &amp; INDEX(Joined!$A$3:$M$2000, MATCH($A455, Joined!$I$3:$I$2000, FALSE), 7)</f>
        <v>R_VAV-11E-15</v>
      </c>
      <c r="AG455" t="str">
        <f>"B_01'" &amp; "Flr_0" &amp; INDEX(Joined!$A$3:$M$2000, MATCH($A455, Joined!$I$3:$I$2000, FALSE), 8)</f>
        <v>B_01'Flr_011</v>
      </c>
      <c r="AH455" t="str">
        <f>INDEX(Joined!$A$3:$M$2000, MATCH($A455, Joined!$I$3:$I$2000, FALSE), 7)</f>
        <v>VAV-11E-15</v>
      </c>
      <c r="AI455" t="s">
        <v>1783</v>
      </c>
    </row>
    <row r="456" spans="1:35" x14ac:dyDescent="0.2">
      <c r="A456" t="s">
        <v>1317</v>
      </c>
      <c r="B456" t="str">
        <f>"B_01'" &amp; "Flr_0" &amp; INDEX(Joined!$A$3:$M$2000, MATCH($A456, Joined!$I$3:$I$2000, FALSE), 8)</f>
        <v>B_01'Flr_011</v>
      </c>
      <c r="C456" t="str">
        <f>INDEX(Joined!$A$3:$M$2000, MATCH($A456, Joined!$I$3:$I$2000, FALSE), 7)</f>
        <v>VAV-11E-16</v>
      </c>
      <c r="D456">
        <f>INDEX(Joined!$A$3:$M$2000, MATCH($A456, Joined!$I$3:$I$2000, FALSE), 5)</f>
        <v>152903</v>
      </c>
      <c r="E456" t="str">
        <f>INDEX(Joined!$A$3:$M$2000, MATCH($A456, Joined!$I$3:$I$2000, FALSE), 7)</f>
        <v>VAV-11E-16</v>
      </c>
      <c r="F456" t="s">
        <v>38</v>
      </c>
      <c r="G456" t="str">
        <f>INDEX(Schedule!$Q$2:$R$7, MATCH(ABT!$H456,Schedule!$Q$2:$Q$7, 0), 2)</f>
        <v>15011_DXR_VAV_DXR2M12</v>
      </c>
      <c r="H456">
        <f>INDEX(Joined!$A$3:$M$2000, MATCH($A456, Joined!$I$3:$I$2000, FALSE), 6)</f>
        <v>15011</v>
      </c>
      <c r="I456" t="str">
        <f>INDEX(Joined!$A$3:$M$2000, MATCH($A456, Joined!$I$3:$I$2000, FALSE), 4)</f>
        <v>529</v>
      </c>
      <c r="J456" t="b">
        <v>0</v>
      </c>
      <c r="K456">
        <f>INDEX(Joined!$A$3:$M$2000, MATCH($A456, Joined!$I$3:$I$2000, FALSE), 3)</f>
        <v>3</v>
      </c>
      <c r="L456">
        <v>85</v>
      </c>
      <c r="M456">
        <v>38400</v>
      </c>
      <c r="N456" s="27">
        <f>PI()*(INDEX(Schedule!$A$1:$N$2000, MATCH($C456, VAV_Schedule_5_21[[#All],[UNIT TAG]], FALSE), 4)/2/12)^2</f>
        <v>0.3490658503988659</v>
      </c>
      <c r="O456" s="27">
        <f>INDEX(Schedule!$A$1:$N$2000, MATCH($C456, VAV_Schedule_5_21[[#All],[UNIT TAG]], FALSE), 4)</f>
        <v>8</v>
      </c>
      <c r="P456">
        <v>454.63</v>
      </c>
      <c r="Q456" s="27">
        <f>INDEX(Schedule!$A$1:$N$2000, MATCH($C456, VAV_Schedule_5_21[[#All],[UNIT TAG]], FALSE), 5)</f>
        <v>685</v>
      </c>
      <c r="R456" s="27">
        <f>INDEX(Schedule!$A$1:$N$2000, MATCH($C456, VAV_Schedule_5_21[[#All],[UNIT TAG]], FALSE), 6)</f>
        <v>105</v>
      </c>
      <c r="S456" s="27">
        <f>INDEX(Schedule!$A$1:$N$2000, MATCH($C456, VAV_Schedule_5_21[[#All],[UNIT TAG]], FALSE), 5)</f>
        <v>685</v>
      </c>
      <c r="T456" s="27">
        <f>INDEX(Schedule!$A$1:$N$2000, MATCH($C456, VAV_Schedule_5_21[[#All],[UNIT TAG]], FALSE), 6)</f>
        <v>105</v>
      </c>
      <c r="U456" s="27">
        <f>INDEX(Schedule!$A$1:$N$2000, MATCH($C456, VAV_Schedule_5_21[[#All],[UNIT TAG]], FALSE), 5)</f>
        <v>685</v>
      </c>
      <c r="V456" s="27">
        <f>INDEX(Schedule!$A$1:$N$2000, MATCH($C456, VAV_Schedule_5_21[[#All],[UNIT TAG]], FALSE), 6)</f>
        <v>105</v>
      </c>
      <c r="W456" s="27">
        <f>INDEX(Schedule!$A$1:$N$2000, MATCH($C456, VAV_Schedule_5_21[[#All],[UNIT TAG]], FALSE), 6)</f>
        <v>105</v>
      </c>
      <c r="X456" s="27">
        <f>INDEX(Schedule!$A$1:$N$2000, MATCH($C456, VAV_Schedule_5_21[[#All],[UNIT TAG]], FALSE), 6)</f>
        <v>105</v>
      </c>
      <c r="Y456" s="27">
        <f>INDEX(Schedule!$A$1:$N$2000, MATCH($C456, VAV_Schedule_5_21[[#All],[UNIT TAG]], FALSE), 6)</f>
        <v>105</v>
      </c>
      <c r="Z456" s="27">
        <f>INDEX(Schedule!$A$1:$N$2000, MATCH($C456, VAV_Schedule_5_21[[#All],[UNIT TAG]], FALSE), 6)</f>
        <v>105</v>
      </c>
      <c r="AA456" s="27">
        <v>1000</v>
      </c>
      <c r="AB456" s="27">
        <v>1100</v>
      </c>
      <c r="AC456">
        <v>1400</v>
      </c>
      <c r="AD456" s="29" t="str">
        <f>IF(INDEX(Schedule!$A$1:$N$2000, MATCH($C456, VAV_Schedule_5_21[[#All],[UNIT TAG]], FALSE), 7)="-", 0, INDEX(Schedule!$A$1:$N$2000, MATCH($C456, VAV_Schedule_5_21[[#All],[UNIT TAG]], FALSE), 7))</f>
        <v>6</v>
      </c>
      <c r="AE456" t="str">
        <f>"B_01'" &amp; "Flr_0" &amp; INDEX(Joined!$A$3:$M$2000, MATCH($A456, Joined!$I$3:$I$2000, FALSE), 8)</f>
        <v>B_01'Flr_011</v>
      </c>
      <c r="AF456" t="str">
        <f>"R_" &amp; INDEX(Joined!$A$3:$M$2000, MATCH($A456, Joined!$I$3:$I$2000, FALSE), 7)</f>
        <v>R_VAV-11E-16</v>
      </c>
      <c r="AG456" t="str">
        <f>"B_01'" &amp; "Flr_0" &amp; INDEX(Joined!$A$3:$M$2000, MATCH($A456, Joined!$I$3:$I$2000, FALSE), 8)</f>
        <v>B_01'Flr_011</v>
      </c>
      <c r="AH456" t="str">
        <f>INDEX(Joined!$A$3:$M$2000, MATCH($A456, Joined!$I$3:$I$2000, FALSE), 7)</f>
        <v>VAV-11E-16</v>
      </c>
      <c r="AI456" t="s">
        <v>1784</v>
      </c>
    </row>
    <row r="457" spans="1:35" x14ac:dyDescent="0.2">
      <c r="A457" t="s">
        <v>1318</v>
      </c>
      <c r="B457" t="str">
        <f>"B_01'" &amp; "Flr_0" &amp; INDEX(Joined!$A$3:$M$2000, MATCH($A457, Joined!$I$3:$I$2000, FALSE), 8)</f>
        <v>B_01'Flr_011</v>
      </c>
      <c r="C457" t="str">
        <f>INDEX(Joined!$A$3:$M$2000, MATCH($A457, Joined!$I$3:$I$2000, FALSE), 7)</f>
        <v>VAV-11E-17</v>
      </c>
      <c r="D457">
        <f>INDEX(Joined!$A$3:$M$2000, MATCH($A457, Joined!$I$3:$I$2000, FALSE), 5)</f>
        <v>152904</v>
      </c>
      <c r="E457" t="str">
        <f>INDEX(Joined!$A$3:$M$2000, MATCH($A457, Joined!$I$3:$I$2000, FALSE), 7)</f>
        <v>VAV-11E-17</v>
      </c>
      <c r="F457" t="s">
        <v>38</v>
      </c>
      <c r="G457" t="str">
        <f>INDEX(Schedule!$Q$2:$R$7, MATCH(ABT!$H457,Schedule!$Q$2:$Q$7, 0), 2)</f>
        <v>15011_DXR_VAV_DXR2M12</v>
      </c>
      <c r="H457">
        <f>INDEX(Joined!$A$3:$M$2000, MATCH($A457, Joined!$I$3:$I$2000, FALSE), 6)</f>
        <v>15011</v>
      </c>
      <c r="I457" t="str">
        <f>INDEX(Joined!$A$3:$M$2000, MATCH($A457, Joined!$I$3:$I$2000, FALSE), 4)</f>
        <v>529</v>
      </c>
      <c r="J457" t="b">
        <v>0</v>
      </c>
      <c r="K457">
        <f>INDEX(Joined!$A$3:$M$2000, MATCH($A457, Joined!$I$3:$I$2000, FALSE), 3)</f>
        <v>4</v>
      </c>
      <c r="L457">
        <v>85</v>
      </c>
      <c r="M457">
        <v>38400</v>
      </c>
      <c r="N457" s="27">
        <f>PI()*(INDEX(Schedule!$A$1:$N$2000, MATCH($C457, VAV_Schedule_5_21[[#All],[UNIT TAG]], FALSE), 4)/2/12)^2</f>
        <v>0.3490658503988659</v>
      </c>
      <c r="O457" s="27">
        <f>INDEX(Schedule!$A$1:$N$2000, MATCH($C457, VAV_Schedule_5_21[[#All],[UNIT TAG]], FALSE), 4)</f>
        <v>8</v>
      </c>
      <c r="P457">
        <v>455.63</v>
      </c>
      <c r="Q457" s="27">
        <f>INDEX(Schedule!$A$1:$N$2000, MATCH($C457, VAV_Schedule_5_21[[#All],[UNIT TAG]], FALSE), 5)</f>
        <v>600</v>
      </c>
      <c r="R457" s="27">
        <f>INDEX(Schedule!$A$1:$N$2000, MATCH($C457, VAV_Schedule_5_21[[#All],[UNIT TAG]], FALSE), 6)</f>
        <v>90</v>
      </c>
      <c r="S457" s="27">
        <f>INDEX(Schedule!$A$1:$N$2000, MATCH($C457, VAV_Schedule_5_21[[#All],[UNIT TAG]], FALSE), 5)</f>
        <v>600</v>
      </c>
      <c r="T457" s="27">
        <f>INDEX(Schedule!$A$1:$N$2000, MATCH($C457, VAV_Schedule_5_21[[#All],[UNIT TAG]], FALSE), 6)</f>
        <v>90</v>
      </c>
      <c r="U457" s="27">
        <f>INDEX(Schedule!$A$1:$N$2000, MATCH($C457, VAV_Schedule_5_21[[#All],[UNIT TAG]], FALSE), 5)</f>
        <v>600</v>
      </c>
      <c r="V457" s="27">
        <f>INDEX(Schedule!$A$1:$N$2000, MATCH($C457, VAV_Schedule_5_21[[#All],[UNIT TAG]], FALSE), 6)</f>
        <v>90</v>
      </c>
      <c r="W457" s="27">
        <f>INDEX(Schedule!$A$1:$N$2000, MATCH($C457, VAV_Schedule_5_21[[#All],[UNIT TAG]], FALSE), 6)</f>
        <v>90</v>
      </c>
      <c r="X457" s="27">
        <f>INDEX(Schedule!$A$1:$N$2000, MATCH($C457, VAV_Schedule_5_21[[#All],[UNIT TAG]], FALSE), 6)</f>
        <v>90</v>
      </c>
      <c r="Y457" s="27">
        <f>INDEX(Schedule!$A$1:$N$2000, MATCH($C457, VAV_Schedule_5_21[[#All],[UNIT TAG]], FALSE), 6)</f>
        <v>90</v>
      </c>
      <c r="Z457" s="27">
        <f>INDEX(Schedule!$A$1:$N$2000, MATCH($C457, VAV_Schedule_5_21[[#All],[UNIT TAG]], FALSE), 6)</f>
        <v>90</v>
      </c>
      <c r="AA457" s="27">
        <v>1000</v>
      </c>
      <c r="AB457" s="27">
        <v>1100</v>
      </c>
      <c r="AC457">
        <v>1400</v>
      </c>
      <c r="AD457" s="29" t="str">
        <f>IF(INDEX(Schedule!$A$1:$N$2000, MATCH($C457, VAV_Schedule_5_21[[#All],[UNIT TAG]], FALSE), 7)="-", 0, INDEX(Schedule!$A$1:$N$2000, MATCH($C457, VAV_Schedule_5_21[[#All],[UNIT TAG]], FALSE), 7))</f>
        <v>6</v>
      </c>
      <c r="AE457" t="str">
        <f>"B_01'" &amp; "Flr_0" &amp; INDEX(Joined!$A$3:$M$2000, MATCH($A457, Joined!$I$3:$I$2000, FALSE), 8)</f>
        <v>B_01'Flr_011</v>
      </c>
      <c r="AF457" t="str">
        <f>"R_" &amp; INDEX(Joined!$A$3:$M$2000, MATCH($A457, Joined!$I$3:$I$2000, FALSE), 7)</f>
        <v>R_VAV-11E-17</v>
      </c>
      <c r="AG457" t="str">
        <f>"B_01'" &amp; "Flr_0" &amp; INDEX(Joined!$A$3:$M$2000, MATCH($A457, Joined!$I$3:$I$2000, FALSE), 8)</f>
        <v>B_01'Flr_011</v>
      </c>
      <c r="AH457" t="str">
        <f>INDEX(Joined!$A$3:$M$2000, MATCH($A457, Joined!$I$3:$I$2000, FALSE), 7)</f>
        <v>VAV-11E-17</v>
      </c>
      <c r="AI457" t="s">
        <v>1785</v>
      </c>
    </row>
    <row r="458" spans="1:35" x14ac:dyDescent="0.2">
      <c r="A458" t="s">
        <v>1319</v>
      </c>
      <c r="B458" t="str">
        <f>"B_01'" &amp; "Flr_0" &amp; INDEX(Joined!$A$3:$M$2000, MATCH($A458, Joined!$I$3:$I$2000, FALSE), 8)</f>
        <v>B_01'Flr_011</v>
      </c>
      <c r="C458" t="str">
        <f>INDEX(Joined!$A$3:$M$2000, MATCH($A458, Joined!$I$3:$I$2000, FALSE), 7)</f>
        <v>VAV-11E-18</v>
      </c>
      <c r="D458">
        <f>INDEX(Joined!$A$3:$M$2000, MATCH($A458, Joined!$I$3:$I$2000, FALSE), 5)</f>
        <v>152905</v>
      </c>
      <c r="E458" t="str">
        <f>INDEX(Joined!$A$3:$M$2000, MATCH($A458, Joined!$I$3:$I$2000, FALSE), 7)</f>
        <v>VAV-11E-18</v>
      </c>
      <c r="F458" t="s">
        <v>38</v>
      </c>
      <c r="G458" t="str">
        <f>INDEX(Schedule!$Q$2:$R$7, MATCH(ABT!$H458,Schedule!$Q$2:$Q$7, 0), 2)</f>
        <v>15010_DXR_VAV_DXR2M12</v>
      </c>
      <c r="H458">
        <f>INDEX(Joined!$A$3:$M$2000, MATCH($A458, Joined!$I$3:$I$2000, FALSE), 6)</f>
        <v>15010</v>
      </c>
      <c r="I458" t="str">
        <f>INDEX(Joined!$A$3:$M$2000, MATCH($A458, Joined!$I$3:$I$2000, FALSE), 4)</f>
        <v>529</v>
      </c>
      <c r="J458" t="b">
        <v>0</v>
      </c>
      <c r="K458">
        <f>INDEX(Joined!$A$3:$M$2000, MATCH($A458, Joined!$I$3:$I$2000, FALSE), 3)</f>
        <v>5</v>
      </c>
      <c r="L458">
        <v>85</v>
      </c>
      <c r="M458">
        <v>38400</v>
      </c>
      <c r="N458" s="27">
        <f>PI()*(INDEX(Schedule!$A$1:$N$2000, MATCH($C458, VAV_Schedule_5_21[[#All],[UNIT TAG]], FALSE), 4)/2/12)^2</f>
        <v>0.19634954084936207</v>
      </c>
      <c r="O458" s="27">
        <f>INDEX(Schedule!$A$1:$N$2000, MATCH($C458, VAV_Schedule_5_21[[#All],[UNIT TAG]], FALSE), 4)</f>
        <v>6</v>
      </c>
      <c r="P458">
        <v>456.63</v>
      </c>
      <c r="Q458" s="27">
        <f>INDEX(Schedule!$A$1:$N$2000, MATCH($C458, VAV_Schedule_5_21[[#All],[UNIT TAG]], FALSE), 5)</f>
        <v>200</v>
      </c>
      <c r="R458" s="27">
        <f>INDEX(Schedule!$A$1:$N$2000, MATCH($C458, VAV_Schedule_5_21[[#All],[UNIT TAG]], FALSE), 6)</f>
        <v>30</v>
      </c>
      <c r="S458" s="27">
        <f>INDEX(Schedule!$A$1:$N$2000, MATCH($C458, VAV_Schedule_5_21[[#All],[UNIT TAG]], FALSE), 5)</f>
        <v>200</v>
      </c>
      <c r="T458" s="27">
        <f>INDEX(Schedule!$A$1:$N$2000, MATCH($C458, VAV_Schedule_5_21[[#All],[UNIT TAG]], FALSE), 6)</f>
        <v>30</v>
      </c>
      <c r="U458" s="27">
        <f>INDEX(Schedule!$A$1:$N$2000, MATCH($C458, VAV_Schedule_5_21[[#All],[UNIT TAG]], FALSE), 5)</f>
        <v>200</v>
      </c>
      <c r="V458" s="27">
        <f>INDEX(Schedule!$A$1:$N$2000, MATCH($C458, VAV_Schedule_5_21[[#All],[UNIT TAG]], FALSE), 6)</f>
        <v>30</v>
      </c>
      <c r="W458" s="27">
        <f>INDEX(Schedule!$A$1:$N$2000, MATCH($C458, VAV_Schedule_5_21[[#All],[UNIT TAG]], FALSE), 6)</f>
        <v>30</v>
      </c>
      <c r="X458" s="27">
        <f>INDEX(Schedule!$A$1:$N$2000, MATCH($C458, VAV_Schedule_5_21[[#All],[UNIT TAG]], FALSE), 6)</f>
        <v>30</v>
      </c>
      <c r="Y458" s="27">
        <f>INDEX(Schedule!$A$1:$N$2000, MATCH($C458, VAV_Schedule_5_21[[#All],[UNIT TAG]], FALSE), 6)</f>
        <v>30</v>
      </c>
      <c r="Z458" s="27">
        <f>INDEX(Schedule!$A$1:$N$2000, MATCH($C458, VAV_Schedule_5_21[[#All],[UNIT TAG]], FALSE), 6)</f>
        <v>30</v>
      </c>
      <c r="AA458" s="27">
        <v>1000</v>
      </c>
      <c r="AB458" s="27">
        <v>1100</v>
      </c>
      <c r="AC458">
        <v>1400</v>
      </c>
      <c r="AD458" s="29">
        <f>IF(INDEX(Schedule!$A$1:$N$2000, MATCH($C458, VAV_Schedule_5_21[[#All],[UNIT TAG]], FALSE), 7)="-", 0, INDEX(Schedule!$A$1:$N$2000, MATCH($C458, VAV_Schedule_5_21[[#All],[UNIT TAG]], FALSE), 7))</f>
        <v>0</v>
      </c>
      <c r="AE458" t="str">
        <f>"B_01'" &amp; "Flr_0" &amp; INDEX(Joined!$A$3:$M$2000, MATCH($A458, Joined!$I$3:$I$2000, FALSE), 8)</f>
        <v>B_01'Flr_011</v>
      </c>
      <c r="AF458" t="str">
        <f>"R_" &amp; INDEX(Joined!$A$3:$M$2000, MATCH($A458, Joined!$I$3:$I$2000, FALSE), 7)</f>
        <v>R_VAV-11E-18</v>
      </c>
      <c r="AG458" t="str">
        <f>"B_01'" &amp; "Flr_0" &amp; INDEX(Joined!$A$3:$M$2000, MATCH($A458, Joined!$I$3:$I$2000, FALSE), 8)</f>
        <v>B_01'Flr_011</v>
      </c>
      <c r="AH458" t="str">
        <f>INDEX(Joined!$A$3:$M$2000, MATCH($A458, Joined!$I$3:$I$2000, FALSE), 7)</f>
        <v>VAV-11E-18</v>
      </c>
      <c r="AI458" t="s">
        <v>1786</v>
      </c>
    </row>
    <row r="459" spans="1:35" x14ac:dyDescent="0.2">
      <c r="A459" t="s">
        <v>1320</v>
      </c>
      <c r="B459" t="str">
        <f>"B_01'" &amp; "Flr_0" &amp; INDEX(Joined!$A$3:$M$2000, MATCH($A459, Joined!$I$3:$I$2000, FALSE), 8)</f>
        <v>B_01'Flr_011</v>
      </c>
      <c r="C459" t="str">
        <f>INDEX(Joined!$A$3:$M$2000, MATCH($A459, Joined!$I$3:$I$2000, FALSE), 7)</f>
        <v>VAV-11E-19</v>
      </c>
      <c r="D459">
        <f>INDEX(Joined!$A$3:$M$2000, MATCH($A459, Joined!$I$3:$I$2000, FALSE), 5)</f>
        <v>152906</v>
      </c>
      <c r="E459" t="str">
        <f>INDEX(Joined!$A$3:$M$2000, MATCH($A459, Joined!$I$3:$I$2000, FALSE), 7)</f>
        <v>VAV-11E-19</v>
      </c>
      <c r="F459" t="s">
        <v>38</v>
      </c>
      <c r="G459" t="str">
        <f>INDEX(Schedule!$Q$2:$R$7, MATCH(ABT!$H459,Schedule!$Q$2:$Q$7, 0), 2)</f>
        <v>15010_DXR_VAV_DXR2M12</v>
      </c>
      <c r="H459">
        <f>INDEX(Joined!$A$3:$M$2000, MATCH($A459, Joined!$I$3:$I$2000, FALSE), 6)</f>
        <v>15010</v>
      </c>
      <c r="I459" t="str">
        <f>INDEX(Joined!$A$3:$M$2000, MATCH($A459, Joined!$I$3:$I$2000, FALSE), 4)</f>
        <v>529</v>
      </c>
      <c r="J459" t="b">
        <v>0</v>
      </c>
      <c r="K459">
        <f>INDEX(Joined!$A$3:$M$2000, MATCH($A459, Joined!$I$3:$I$2000, FALSE), 3)</f>
        <v>6</v>
      </c>
      <c r="L459">
        <v>85</v>
      </c>
      <c r="M459">
        <v>38400</v>
      </c>
      <c r="N459" s="27">
        <f>PI()*(INDEX(Schedule!$A$1:$N$2000, MATCH($C459, VAV_Schedule_5_21[[#All],[UNIT TAG]], FALSE), 4)/2/12)^2</f>
        <v>0.3490658503988659</v>
      </c>
      <c r="O459" s="27">
        <f>INDEX(Schedule!$A$1:$N$2000, MATCH($C459, VAV_Schedule_5_21[[#All],[UNIT TAG]], FALSE), 4)</f>
        <v>8</v>
      </c>
      <c r="P459">
        <v>457.63</v>
      </c>
      <c r="Q459" s="27">
        <f>INDEX(Schedule!$A$1:$N$2000, MATCH($C459, VAV_Schedule_5_21[[#All],[UNIT TAG]], FALSE), 5)</f>
        <v>680</v>
      </c>
      <c r="R459" s="27">
        <f>INDEX(Schedule!$A$1:$N$2000, MATCH($C459, VAV_Schedule_5_21[[#All],[UNIT TAG]], FALSE), 6)</f>
        <v>105</v>
      </c>
      <c r="S459" s="27">
        <f>INDEX(Schedule!$A$1:$N$2000, MATCH($C459, VAV_Schedule_5_21[[#All],[UNIT TAG]], FALSE), 5)</f>
        <v>680</v>
      </c>
      <c r="T459" s="27">
        <f>INDEX(Schedule!$A$1:$N$2000, MATCH($C459, VAV_Schedule_5_21[[#All],[UNIT TAG]], FALSE), 6)</f>
        <v>105</v>
      </c>
      <c r="U459" s="27">
        <f>INDEX(Schedule!$A$1:$N$2000, MATCH($C459, VAV_Schedule_5_21[[#All],[UNIT TAG]], FALSE), 5)</f>
        <v>680</v>
      </c>
      <c r="V459" s="27">
        <f>INDEX(Schedule!$A$1:$N$2000, MATCH($C459, VAV_Schedule_5_21[[#All],[UNIT TAG]], FALSE), 6)</f>
        <v>105</v>
      </c>
      <c r="W459" s="27">
        <f>INDEX(Schedule!$A$1:$N$2000, MATCH($C459, VAV_Schedule_5_21[[#All],[UNIT TAG]], FALSE), 6)</f>
        <v>105</v>
      </c>
      <c r="X459" s="27">
        <f>INDEX(Schedule!$A$1:$N$2000, MATCH($C459, VAV_Schedule_5_21[[#All],[UNIT TAG]], FALSE), 6)</f>
        <v>105</v>
      </c>
      <c r="Y459" s="27">
        <f>INDEX(Schedule!$A$1:$N$2000, MATCH($C459, VAV_Schedule_5_21[[#All],[UNIT TAG]], FALSE), 6)</f>
        <v>105</v>
      </c>
      <c r="Z459" s="27">
        <f>INDEX(Schedule!$A$1:$N$2000, MATCH($C459, VAV_Schedule_5_21[[#All],[UNIT TAG]], FALSE), 6)</f>
        <v>105</v>
      </c>
      <c r="AA459" s="27">
        <v>1000</v>
      </c>
      <c r="AB459" s="27">
        <v>1100</v>
      </c>
      <c r="AC459">
        <v>1400</v>
      </c>
      <c r="AD459" s="29">
        <f>IF(INDEX(Schedule!$A$1:$N$2000, MATCH($C459, VAV_Schedule_5_21[[#All],[UNIT TAG]], FALSE), 7)="-", 0, INDEX(Schedule!$A$1:$N$2000, MATCH($C459, VAV_Schedule_5_21[[#All],[UNIT TAG]], FALSE), 7))</f>
        <v>0</v>
      </c>
      <c r="AE459" t="str">
        <f>"B_01'" &amp; "Flr_0" &amp; INDEX(Joined!$A$3:$M$2000, MATCH($A459, Joined!$I$3:$I$2000, FALSE), 8)</f>
        <v>B_01'Flr_011</v>
      </c>
      <c r="AF459" t="str">
        <f>"R_" &amp; INDEX(Joined!$A$3:$M$2000, MATCH($A459, Joined!$I$3:$I$2000, FALSE), 7)</f>
        <v>R_VAV-11E-19</v>
      </c>
      <c r="AG459" t="str">
        <f>"B_01'" &amp; "Flr_0" &amp; INDEX(Joined!$A$3:$M$2000, MATCH($A459, Joined!$I$3:$I$2000, FALSE), 8)</f>
        <v>B_01'Flr_011</v>
      </c>
      <c r="AH459" t="str">
        <f>INDEX(Joined!$A$3:$M$2000, MATCH($A459, Joined!$I$3:$I$2000, FALSE), 7)</f>
        <v>VAV-11E-19</v>
      </c>
      <c r="AI459" t="s">
        <v>1787</v>
      </c>
    </row>
    <row r="460" spans="1:35" x14ac:dyDescent="0.2">
      <c r="A460" t="s">
        <v>1321</v>
      </c>
      <c r="B460" t="str">
        <f>"B_01'" &amp; "Flr_0" &amp; INDEX(Joined!$A$3:$M$2000, MATCH($A460, Joined!$I$3:$I$2000, FALSE), 8)</f>
        <v>B_01'Flr_011</v>
      </c>
      <c r="C460" t="str">
        <f>INDEX(Joined!$A$3:$M$2000, MATCH($A460, Joined!$I$3:$I$2000, FALSE), 7)</f>
        <v>VAV-11E-20</v>
      </c>
      <c r="D460">
        <f>INDEX(Joined!$A$3:$M$2000, MATCH($A460, Joined!$I$3:$I$2000, FALSE), 5)</f>
        <v>152907</v>
      </c>
      <c r="E460" t="str">
        <f>INDEX(Joined!$A$3:$M$2000, MATCH($A460, Joined!$I$3:$I$2000, FALSE), 7)</f>
        <v>VAV-11E-20</v>
      </c>
      <c r="F460" t="s">
        <v>38</v>
      </c>
      <c r="G460" t="str">
        <f>INDEX(Schedule!$Q$2:$R$7, MATCH(ABT!$H460,Schedule!$Q$2:$Q$7, 0), 2)</f>
        <v>15011_DXR_VAV_DXR2M12</v>
      </c>
      <c r="H460">
        <f>INDEX(Joined!$A$3:$M$2000, MATCH($A460, Joined!$I$3:$I$2000, FALSE), 6)</f>
        <v>15011</v>
      </c>
      <c r="I460" t="str">
        <f>INDEX(Joined!$A$3:$M$2000, MATCH($A460, Joined!$I$3:$I$2000, FALSE), 4)</f>
        <v>529</v>
      </c>
      <c r="J460" t="b">
        <v>0</v>
      </c>
      <c r="K460">
        <f>INDEX(Joined!$A$3:$M$2000, MATCH($A460, Joined!$I$3:$I$2000, FALSE), 3)</f>
        <v>7</v>
      </c>
      <c r="L460">
        <v>85</v>
      </c>
      <c r="M460">
        <v>38400</v>
      </c>
      <c r="N460" s="27">
        <f>PI()*(INDEX(Schedule!$A$1:$N$2000, MATCH($C460, VAV_Schedule_5_21[[#All],[UNIT TAG]], FALSE), 4)/2/12)^2</f>
        <v>0.54541539124822802</v>
      </c>
      <c r="O460" s="27">
        <f>INDEX(Schedule!$A$1:$N$2000, MATCH($C460, VAV_Schedule_5_21[[#All],[UNIT TAG]], FALSE), 4)</f>
        <v>10</v>
      </c>
      <c r="P460">
        <v>458.63</v>
      </c>
      <c r="Q460" s="27">
        <f>INDEX(Schedule!$A$1:$N$2000, MATCH($C460, VAV_Schedule_5_21[[#All],[UNIT TAG]], FALSE), 5)</f>
        <v>1085</v>
      </c>
      <c r="R460" s="27">
        <f>INDEX(Schedule!$A$1:$N$2000, MATCH($C460, VAV_Schedule_5_21[[#All],[UNIT TAG]], FALSE), 6)</f>
        <v>165</v>
      </c>
      <c r="S460" s="27">
        <f>INDEX(Schedule!$A$1:$N$2000, MATCH($C460, VAV_Schedule_5_21[[#All],[UNIT TAG]], FALSE), 5)</f>
        <v>1085</v>
      </c>
      <c r="T460" s="27">
        <f>INDEX(Schedule!$A$1:$N$2000, MATCH($C460, VAV_Schedule_5_21[[#All],[UNIT TAG]], FALSE), 6)</f>
        <v>165</v>
      </c>
      <c r="U460" s="27">
        <f>INDEX(Schedule!$A$1:$N$2000, MATCH($C460, VAV_Schedule_5_21[[#All],[UNIT TAG]], FALSE), 5)</f>
        <v>1085</v>
      </c>
      <c r="V460" s="27">
        <f>INDEX(Schedule!$A$1:$N$2000, MATCH($C460, VAV_Schedule_5_21[[#All],[UNIT TAG]], FALSE), 6)</f>
        <v>165</v>
      </c>
      <c r="W460" s="27">
        <f>INDEX(Schedule!$A$1:$N$2000, MATCH($C460, VAV_Schedule_5_21[[#All],[UNIT TAG]], FALSE), 6)</f>
        <v>165</v>
      </c>
      <c r="X460" s="27">
        <f>INDEX(Schedule!$A$1:$N$2000, MATCH($C460, VAV_Schedule_5_21[[#All],[UNIT TAG]], FALSE), 6)</f>
        <v>165</v>
      </c>
      <c r="Y460" s="27">
        <f>INDEX(Schedule!$A$1:$N$2000, MATCH($C460, VAV_Schedule_5_21[[#All],[UNIT TAG]], FALSE), 6)</f>
        <v>165</v>
      </c>
      <c r="Z460" s="27">
        <f>INDEX(Schedule!$A$1:$N$2000, MATCH($C460, VAV_Schedule_5_21[[#All],[UNIT TAG]], FALSE), 6)</f>
        <v>165</v>
      </c>
      <c r="AA460" s="27">
        <v>1000</v>
      </c>
      <c r="AB460" s="27">
        <v>1100</v>
      </c>
      <c r="AC460">
        <v>1400</v>
      </c>
      <c r="AD460" s="29" t="str">
        <f>IF(INDEX(Schedule!$A$1:$N$2000, MATCH($C460, VAV_Schedule_5_21[[#All],[UNIT TAG]], FALSE), 7)="-", 0, INDEX(Schedule!$A$1:$N$2000, MATCH($C460, VAV_Schedule_5_21[[#All],[UNIT TAG]], FALSE), 7))</f>
        <v>7</v>
      </c>
      <c r="AE460" t="str">
        <f>"B_01'" &amp; "Flr_0" &amp; INDEX(Joined!$A$3:$M$2000, MATCH($A460, Joined!$I$3:$I$2000, FALSE), 8)</f>
        <v>B_01'Flr_011</v>
      </c>
      <c r="AF460" t="str">
        <f>"R_" &amp; INDEX(Joined!$A$3:$M$2000, MATCH($A460, Joined!$I$3:$I$2000, FALSE), 7)</f>
        <v>R_VAV-11E-20</v>
      </c>
      <c r="AG460" t="str">
        <f>"B_01'" &amp; "Flr_0" &amp; INDEX(Joined!$A$3:$M$2000, MATCH($A460, Joined!$I$3:$I$2000, FALSE), 8)</f>
        <v>B_01'Flr_011</v>
      </c>
      <c r="AH460" t="str">
        <f>INDEX(Joined!$A$3:$M$2000, MATCH($A460, Joined!$I$3:$I$2000, FALSE), 7)</f>
        <v>VAV-11E-20</v>
      </c>
      <c r="AI460" t="s">
        <v>1788</v>
      </c>
    </row>
    <row r="461" spans="1:35" x14ac:dyDescent="0.2">
      <c r="A461" t="s">
        <v>1322</v>
      </c>
      <c r="B461" t="str">
        <f>"B_01'" &amp; "Flr_0" &amp; INDEX(Joined!$A$3:$M$2000, MATCH($A461, Joined!$I$3:$I$2000, FALSE), 8)</f>
        <v>B_01'Flr_011</v>
      </c>
      <c r="C461" t="str">
        <f>INDEX(Joined!$A$3:$M$2000, MATCH($A461, Joined!$I$3:$I$2000, FALSE), 7)</f>
        <v>VAV-11E-21</v>
      </c>
      <c r="D461">
        <f>INDEX(Joined!$A$3:$M$2000, MATCH($A461, Joined!$I$3:$I$2000, FALSE), 5)</f>
        <v>152908</v>
      </c>
      <c r="E461" t="str">
        <f>INDEX(Joined!$A$3:$M$2000, MATCH($A461, Joined!$I$3:$I$2000, FALSE), 7)</f>
        <v>VAV-11E-21</v>
      </c>
      <c r="F461" t="s">
        <v>38</v>
      </c>
      <c r="G461" t="str">
        <f>INDEX(Schedule!$Q$2:$R$7, MATCH(ABT!$H461,Schedule!$Q$2:$Q$7, 0), 2)</f>
        <v>15011_DXR_VAV_DXR2M12</v>
      </c>
      <c r="H461">
        <f>INDEX(Joined!$A$3:$M$2000, MATCH($A461, Joined!$I$3:$I$2000, FALSE), 6)</f>
        <v>15011</v>
      </c>
      <c r="I461" t="str">
        <f>INDEX(Joined!$A$3:$M$2000, MATCH($A461, Joined!$I$3:$I$2000, FALSE), 4)</f>
        <v>529</v>
      </c>
      <c r="J461" t="b">
        <v>0</v>
      </c>
      <c r="K461">
        <f>INDEX(Joined!$A$3:$M$2000, MATCH($A461, Joined!$I$3:$I$2000, FALSE), 3)</f>
        <v>8</v>
      </c>
      <c r="L461">
        <v>85</v>
      </c>
      <c r="M461">
        <v>38400</v>
      </c>
      <c r="N461" s="27">
        <f>PI()*(INDEX(Schedule!$A$1:$N$2000, MATCH($C461, VAV_Schedule_5_21[[#All],[UNIT TAG]], FALSE), 4)/2/12)^2</f>
        <v>0.54541539124822802</v>
      </c>
      <c r="O461" s="27">
        <f>INDEX(Schedule!$A$1:$N$2000, MATCH($C461, VAV_Schedule_5_21[[#All],[UNIT TAG]], FALSE), 4)</f>
        <v>10</v>
      </c>
      <c r="P461">
        <v>459.63</v>
      </c>
      <c r="Q461" s="27">
        <f>INDEX(Schedule!$A$1:$N$2000, MATCH($C461, VAV_Schedule_5_21[[#All],[UNIT TAG]], FALSE), 5)</f>
        <v>840</v>
      </c>
      <c r="R461" s="27">
        <f>INDEX(Schedule!$A$1:$N$2000, MATCH($C461, VAV_Schedule_5_21[[#All],[UNIT TAG]], FALSE), 6)</f>
        <v>130</v>
      </c>
      <c r="S461" s="27">
        <f>INDEX(Schedule!$A$1:$N$2000, MATCH($C461, VAV_Schedule_5_21[[#All],[UNIT TAG]], FALSE), 5)</f>
        <v>840</v>
      </c>
      <c r="T461" s="27">
        <f>INDEX(Schedule!$A$1:$N$2000, MATCH($C461, VAV_Schedule_5_21[[#All],[UNIT TAG]], FALSE), 6)</f>
        <v>130</v>
      </c>
      <c r="U461" s="27">
        <f>INDEX(Schedule!$A$1:$N$2000, MATCH($C461, VAV_Schedule_5_21[[#All],[UNIT TAG]], FALSE), 5)</f>
        <v>840</v>
      </c>
      <c r="V461" s="27">
        <f>INDEX(Schedule!$A$1:$N$2000, MATCH($C461, VAV_Schedule_5_21[[#All],[UNIT TAG]], FALSE), 6)</f>
        <v>130</v>
      </c>
      <c r="W461" s="27">
        <f>INDEX(Schedule!$A$1:$N$2000, MATCH($C461, VAV_Schedule_5_21[[#All],[UNIT TAG]], FALSE), 6)</f>
        <v>130</v>
      </c>
      <c r="X461" s="27">
        <f>INDEX(Schedule!$A$1:$N$2000, MATCH($C461, VAV_Schedule_5_21[[#All],[UNIT TAG]], FALSE), 6)</f>
        <v>130</v>
      </c>
      <c r="Y461" s="27">
        <f>INDEX(Schedule!$A$1:$N$2000, MATCH($C461, VAV_Schedule_5_21[[#All],[UNIT TAG]], FALSE), 6)</f>
        <v>130</v>
      </c>
      <c r="Z461" s="27">
        <f>INDEX(Schedule!$A$1:$N$2000, MATCH($C461, VAV_Schedule_5_21[[#All],[UNIT TAG]], FALSE), 6)</f>
        <v>130</v>
      </c>
      <c r="AA461" s="27">
        <v>1000</v>
      </c>
      <c r="AB461" s="27">
        <v>1100</v>
      </c>
      <c r="AC461">
        <v>1400</v>
      </c>
      <c r="AD461" s="29" t="str">
        <f>IF(INDEX(Schedule!$A$1:$N$2000, MATCH($C461, VAV_Schedule_5_21[[#All],[UNIT TAG]], FALSE), 7)="-", 0, INDEX(Schedule!$A$1:$N$2000, MATCH($C461, VAV_Schedule_5_21[[#All],[UNIT TAG]], FALSE), 7))</f>
        <v>6</v>
      </c>
      <c r="AE461" t="str">
        <f>"B_01'" &amp; "Flr_0" &amp; INDEX(Joined!$A$3:$M$2000, MATCH($A461, Joined!$I$3:$I$2000, FALSE), 8)</f>
        <v>B_01'Flr_011</v>
      </c>
      <c r="AF461" t="str">
        <f>"R_" &amp; INDEX(Joined!$A$3:$M$2000, MATCH($A461, Joined!$I$3:$I$2000, FALSE), 7)</f>
        <v>R_VAV-11E-21</v>
      </c>
      <c r="AG461" t="str">
        <f>"B_01'" &amp; "Flr_0" &amp; INDEX(Joined!$A$3:$M$2000, MATCH($A461, Joined!$I$3:$I$2000, FALSE), 8)</f>
        <v>B_01'Flr_011</v>
      </c>
      <c r="AH461" t="str">
        <f>INDEX(Joined!$A$3:$M$2000, MATCH($A461, Joined!$I$3:$I$2000, FALSE), 7)</f>
        <v>VAV-11E-21</v>
      </c>
      <c r="AI461" t="s">
        <v>1789</v>
      </c>
    </row>
    <row r="462" spans="1:35" x14ac:dyDescent="0.2">
      <c r="A462" t="s">
        <v>1323</v>
      </c>
      <c r="B462" t="str">
        <f>"B_01'" &amp; "Flr_0" &amp; INDEX(Joined!$A$3:$M$2000, MATCH($A462, Joined!$I$3:$I$2000, FALSE), 8)</f>
        <v>B_01'Flr_011</v>
      </c>
      <c r="C462" t="str">
        <f>INDEX(Joined!$A$3:$M$2000, MATCH($A462, Joined!$I$3:$I$2000, FALSE), 7)</f>
        <v>VAV-11E-22</v>
      </c>
      <c r="D462">
        <f>INDEX(Joined!$A$3:$M$2000, MATCH($A462, Joined!$I$3:$I$2000, FALSE), 5)</f>
        <v>152909</v>
      </c>
      <c r="E462" t="str">
        <f>INDEX(Joined!$A$3:$M$2000, MATCH($A462, Joined!$I$3:$I$2000, FALSE), 7)</f>
        <v>VAV-11E-22</v>
      </c>
      <c r="F462" t="s">
        <v>38</v>
      </c>
      <c r="G462" t="str">
        <f>INDEX(Schedule!$Q$2:$R$7, MATCH(ABT!$H462,Schedule!$Q$2:$Q$7, 0), 2)</f>
        <v>15011_DXR_VAV_DXR2M12</v>
      </c>
      <c r="H462">
        <f>INDEX(Joined!$A$3:$M$2000, MATCH($A462, Joined!$I$3:$I$2000, FALSE), 6)</f>
        <v>15011</v>
      </c>
      <c r="I462" t="str">
        <f>INDEX(Joined!$A$3:$M$2000, MATCH($A462, Joined!$I$3:$I$2000, FALSE), 4)</f>
        <v>529</v>
      </c>
      <c r="J462" t="b">
        <v>0</v>
      </c>
      <c r="K462">
        <f>INDEX(Joined!$A$3:$M$2000, MATCH($A462, Joined!$I$3:$I$2000, FALSE), 3)</f>
        <v>9</v>
      </c>
      <c r="L462">
        <v>85</v>
      </c>
      <c r="M462">
        <v>38400</v>
      </c>
      <c r="N462" s="27">
        <f>PI()*(INDEX(Schedule!$A$1:$N$2000, MATCH($C462, VAV_Schedule_5_21[[#All],[UNIT TAG]], FALSE), 4)/2/12)^2</f>
        <v>0.54541539124822802</v>
      </c>
      <c r="O462" s="27">
        <f>INDEX(Schedule!$A$1:$N$2000, MATCH($C462, VAV_Schedule_5_21[[#All],[UNIT TAG]], FALSE), 4)</f>
        <v>10</v>
      </c>
      <c r="P462">
        <v>460.63</v>
      </c>
      <c r="Q462" s="27">
        <f>INDEX(Schedule!$A$1:$N$2000, MATCH($C462, VAV_Schedule_5_21[[#All],[UNIT TAG]], FALSE), 5)</f>
        <v>1050</v>
      </c>
      <c r="R462" s="27">
        <f>INDEX(Schedule!$A$1:$N$2000, MATCH($C462, VAV_Schedule_5_21[[#All],[UNIT TAG]], FALSE), 6)</f>
        <v>160</v>
      </c>
      <c r="S462" s="27">
        <f>INDEX(Schedule!$A$1:$N$2000, MATCH($C462, VAV_Schedule_5_21[[#All],[UNIT TAG]], FALSE), 5)</f>
        <v>1050</v>
      </c>
      <c r="T462" s="27">
        <f>INDEX(Schedule!$A$1:$N$2000, MATCH($C462, VAV_Schedule_5_21[[#All],[UNIT TAG]], FALSE), 6)</f>
        <v>160</v>
      </c>
      <c r="U462" s="27">
        <f>INDEX(Schedule!$A$1:$N$2000, MATCH($C462, VAV_Schedule_5_21[[#All],[UNIT TAG]], FALSE), 5)</f>
        <v>1050</v>
      </c>
      <c r="V462" s="27">
        <f>INDEX(Schedule!$A$1:$N$2000, MATCH($C462, VAV_Schedule_5_21[[#All],[UNIT TAG]], FALSE), 6)</f>
        <v>160</v>
      </c>
      <c r="W462" s="27">
        <f>INDEX(Schedule!$A$1:$N$2000, MATCH($C462, VAV_Schedule_5_21[[#All],[UNIT TAG]], FALSE), 6)</f>
        <v>160</v>
      </c>
      <c r="X462" s="27">
        <f>INDEX(Schedule!$A$1:$N$2000, MATCH($C462, VAV_Schedule_5_21[[#All],[UNIT TAG]], FALSE), 6)</f>
        <v>160</v>
      </c>
      <c r="Y462" s="27">
        <f>INDEX(Schedule!$A$1:$N$2000, MATCH($C462, VAV_Schedule_5_21[[#All],[UNIT TAG]], FALSE), 6)</f>
        <v>160</v>
      </c>
      <c r="Z462" s="27">
        <f>INDEX(Schedule!$A$1:$N$2000, MATCH($C462, VAV_Schedule_5_21[[#All],[UNIT TAG]], FALSE), 6)</f>
        <v>160</v>
      </c>
      <c r="AA462" s="27">
        <v>1000</v>
      </c>
      <c r="AB462" s="27">
        <v>1100</v>
      </c>
      <c r="AC462">
        <v>1400</v>
      </c>
      <c r="AD462" s="29" t="str">
        <f>IF(INDEX(Schedule!$A$1:$N$2000, MATCH($C462, VAV_Schedule_5_21[[#All],[UNIT TAG]], FALSE), 7)="-", 0, INDEX(Schedule!$A$1:$N$2000, MATCH($C462, VAV_Schedule_5_21[[#All],[UNIT TAG]], FALSE), 7))</f>
        <v>7</v>
      </c>
      <c r="AE462" t="str">
        <f>"B_01'" &amp; "Flr_0" &amp; INDEX(Joined!$A$3:$M$2000, MATCH($A462, Joined!$I$3:$I$2000, FALSE), 8)</f>
        <v>B_01'Flr_011</v>
      </c>
      <c r="AF462" t="str">
        <f>"R_" &amp; INDEX(Joined!$A$3:$M$2000, MATCH($A462, Joined!$I$3:$I$2000, FALSE), 7)</f>
        <v>R_VAV-11E-22</v>
      </c>
      <c r="AG462" t="str">
        <f>"B_01'" &amp; "Flr_0" &amp; INDEX(Joined!$A$3:$M$2000, MATCH($A462, Joined!$I$3:$I$2000, FALSE), 8)</f>
        <v>B_01'Flr_011</v>
      </c>
      <c r="AH462" t="str">
        <f>INDEX(Joined!$A$3:$M$2000, MATCH($A462, Joined!$I$3:$I$2000, FALSE), 7)</f>
        <v>VAV-11E-22</v>
      </c>
      <c r="AI462" t="s">
        <v>1790</v>
      </c>
    </row>
    <row r="463" spans="1:35" x14ac:dyDescent="0.2">
      <c r="A463" t="s">
        <v>1324</v>
      </c>
      <c r="B463" t="str">
        <f>"B_01'" &amp; "Flr_0" &amp; INDEX(Joined!$A$3:$M$2000, MATCH($A463, Joined!$I$3:$I$2000, FALSE), 8)</f>
        <v>B_01'Flr_011</v>
      </c>
      <c r="C463" t="str">
        <f>INDEX(Joined!$A$3:$M$2000, MATCH($A463, Joined!$I$3:$I$2000, FALSE), 7)</f>
        <v>VAV-11E-23</v>
      </c>
      <c r="D463">
        <f>INDEX(Joined!$A$3:$M$2000, MATCH($A463, Joined!$I$3:$I$2000, FALSE), 5)</f>
        <v>152910</v>
      </c>
      <c r="E463" t="str">
        <f>INDEX(Joined!$A$3:$M$2000, MATCH($A463, Joined!$I$3:$I$2000, FALSE), 7)</f>
        <v>VAV-11E-23</v>
      </c>
      <c r="F463" t="s">
        <v>38</v>
      </c>
      <c r="G463" t="str">
        <f>INDEX(Schedule!$Q$2:$R$7, MATCH(ABT!$H463,Schedule!$Q$2:$Q$7, 0), 2)</f>
        <v>15010_DXR_VAV_DXR2M12</v>
      </c>
      <c r="H463">
        <f>INDEX(Joined!$A$3:$M$2000, MATCH($A463, Joined!$I$3:$I$2000, FALSE), 6)</f>
        <v>15010</v>
      </c>
      <c r="I463" t="str">
        <f>INDEX(Joined!$A$3:$M$2000, MATCH($A463, Joined!$I$3:$I$2000, FALSE), 4)</f>
        <v>529</v>
      </c>
      <c r="J463" t="b">
        <v>0</v>
      </c>
      <c r="K463">
        <f>INDEX(Joined!$A$3:$M$2000, MATCH($A463, Joined!$I$3:$I$2000, FALSE), 3)</f>
        <v>10</v>
      </c>
      <c r="L463">
        <v>85</v>
      </c>
      <c r="M463">
        <v>38400</v>
      </c>
      <c r="N463" s="27">
        <f>PI()*(INDEX(Schedule!$A$1:$N$2000, MATCH($C463, VAV_Schedule_5_21[[#All],[UNIT TAG]], FALSE), 4)/2/12)^2</f>
        <v>0.19634954084936207</v>
      </c>
      <c r="O463" s="27">
        <f>INDEX(Schedule!$A$1:$N$2000, MATCH($C463, VAV_Schedule_5_21[[#All],[UNIT TAG]], FALSE), 4)</f>
        <v>6</v>
      </c>
      <c r="P463">
        <v>461.63</v>
      </c>
      <c r="Q463" s="27">
        <f>INDEX(Schedule!$A$1:$N$2000, MATCH($C463, VAV_Schedule_5_21[[#All],[UNIT TAG]], FALSE), 5)</f>
        <v>185</v>
      </c>
      <c r="R463" s="27">
        <f>INDEX(Schedule!$A$1:$N$2000, MATCH($C463, VAV_Schedule_5_21[[#All],[UNIT TAG]], FALSE), 6)</f>
        <v>30</v>
      </c>
      <c r="S463" s="27">
        <f>INDEX(Schedule!$A$1:$N$2000, MATCH($C463, VAV_Schedule_5_21[[#All],[UNIT TAG]], FALSE), 5)</f>
        <v>185</v>
      </c>
      <c r="T463" s="27">
        <f>INDEX(Schedule!$A$1:$N$2000, MATCH($C463, VAV_Schedule_5_21[[#All],[UNIT TAG]], FALSE), 6)</f>
        <v>30</v>
      </c>
      <c r="U463" s="27">
        <f>INDEX(Schedule!$A$1:$N$2000, MATCH($C463, VAV_Schedule_5_21[[#All],[UNIT TAG]], FALSE), 5)</f>
        <v>185</v>
      </c>
      <c r="V463" s="27">
        <f>INDEX(Schedule!$A$1:$N$2000, MATCH($C463, VAV_Schedule_5_21[[#All],[UNIT TAG]], FALSE), 6)</f>
        <v>30</v>
      </c>
      <c r="W463" s="27">
        <f>INDEX(Schedule!$A$1:$N$2000, MATCH($C463, VAV_Schedule_5_21[[#All],[UNIT TAG]], FALSE), 6)</f>
        <v>30</v>
      </c>
      <c r="X463" s="27">
        <f>INDEX(Schedule!$A$1:$N$2000, MATCH($C463, VAV_Schedule_5_21[[#All],[UNIT TAG]], FALSE), 6)</f>
        <v>30</v>
      </c>
      <c r="Y463" s="27">
        <f>INDEX(Schedule!$A$1:$N$2000, MATCH($C463, VAV_Schedule_5_21[[#All],[UNIT TAG]], FALSE), 6)</f>
        <v>30</v>
      </c>
      <c r="Z463" s="27">
        <f>INDEX(Schedule!$A$1:$N$2000, MATCH($C463, VAV_Schedule_5_21[[#All],[UNIT TAG]], FALSE), 6)</f>
        <v>30</v>
      </c>
      <c r="AA463" s="27">
        <v>1000</v>
      </c>
      <c r="AB463" s="27">
        <v>1100</v>
      </c>
      <c r="AC463">
        <v>1400</v>
      </c>
      <c r="AD463" s="29">
        <f>IF(INDEX(Schedule!$A$1:$N$2000, MATCH($C463, VAV_Schedule_5_21[[#All],[UNIT TAG]], FALSE), 7)="-", 0, INDEX(Schedule!$A$1:$N$2000, MATCH($C463, VAV_Schedule_5_21[[#All],[UNIT TAG]], FALSE), 7))</f>
        <v>0</v>
      </c>
      <c r="AE463" t="str">
        <f>"B_01'" &amp; "Flr_0" &amp; INDEX(Joined!$A$3:$M$2000, MATCH($A463, Joined!$I$3:$I$2000, FALSE), 8)</f>
        <v>B_01'Flr_011</v>
      </c>
      <c r="AF463" t="str">
        <f>"R_" &amp; INDEX(Joined!$A$3:$M$2000, MATCH($A463, Joined!$I$3:$I$2000, FALSE), 7)</f>
        <v>R_VAV-11E-23</v>
      </c>
      <c r="AG463" t="str">
        <f>"B_01'" &amp; "Flr_0" &amp; INDEX(Joined!$A$3:$M$2000, MATCH($A463, Joined!$I$3:$I$2000, FALSE), 8)</f>
        <v>B_01'Flr_011</v>
      </c>
      <c r="AH463" t="str">
        <f>INDEX(Joined!$A$3:$M$2000, MATCH($A463, Joined!$I$3:$I$2000, FALSE), 7)</f>
        <v>VAV-11E-23</v>
      </c>
      <c r="AI463" t="s">
        <v>1791</v>
      </c>
    </row>
    <row r="464" spans="1:35" x14ac:dyDescent="0.2">
      <c r="A464" t="s">
        <v>1325</v>
      </c>
      <c r="B464" t="str">
        <f>"B_01'" &amp; "Flr_0" &amp; INDEX(Joined!$A$3:$M$2000, MATCH($A464, Joined!$I$3:$I$2000, FALSE), 8)</f>
        <v>B_01'Flr_011</v>
      </c>
      <c r="C464" t="str">
        <f>INDEX(Joined!$A$3:$M$2000, MATCH($A464, Joined!$I$3:$I$2000, FALSE), 7)</f>
        <v>VAV-11E-24</v>
      </c>
      <c r="D464">
        <f>INDEX(Joined!$A$3:$M$2000, MATCH($A464, Joined!$I$3:$I$2000, FALSE), 5)</f>
        <v>152911</v>
      </c>
      <c r="E464" t="str">
        <f>INDEX(Joined!$A$3:$M$2000, MATCH($A464, Joined!$I$3:$I$2000, FALSE), 7)</f>
        <v>VAV-11E-24</v>
      </c>
      <c r="F464" t="s">
        <v>38</v>
      </c>
      <c r="G464" t="str">
        <f>INDEX(Schedule!$Q$2:$R$7, MATCH(ABT!$H464,Schedule!$Q$2:$Q$7, 0), 2)</f>
        <v>15011_DXR_VAV_DXR2M12</v>
      </c>
      <c r="H464">
        <f>INDEX(Joined!$A$3:$M$2000, MATCH($A464, Joined!$I$3:$I$2000, FALSE), 6)</f>
        <v>15011</v>
      </c>
      <c r="I464" t="str">
        <f>INDEX(Joined!$A$3:$M$2000, MATCH($A464, Joined!$I$3:$I$2000, FALSE), 4)</f>
        <v>529</v>
      </c>
      <c r="J464" t="b">
        <v>0</v>
      </c>
      <c r="K464">
        <f>INDEX(Joined!$A$3:$M$2000, MATCH($A464, Joined!$I$3:$I$2000, FALSE), 3)</f>
        <v>11</v>
      </c>
      <c r="L464">
        <v>85</v>
      </c>
      <c r="M464">
        <v>38400</v>
      </c>
      <c r="N464" s="27">
        <f>PI()*(INDEX(Schedule!$A$1:$N$2000, MATCH($C464, VAV_Schedule_5_21[[#All],[UNIT TAG]], FALSE), 4)/2/12)^2</f>
        <v>0.3490658503988659</v>
      </c>
      <c r="O464" s="27">
        <f>INDEX(Schedule!$A$1:$N$2000, MATCH($C464, VAV_Schedule_5_21[[#All],[UNIT TAG]], FALSE), 4)</f>
        <v>8</v>
      </c>
      <c r="P464">
        <v>462.63</v>
      </c>
      <c r="Q464" s="27">
        <f>INDEX(Schedule!$A$1:$N$2000, MATCH($C464, VAV_Schedule_5_21[[#All],[UNIT TAG]], FALSE), 5)</f>
        <v>640</v>
      </c>
      <c r="R464" s="27">
        <f>INDEX(Schedule!$A$1:$N$2000, MATCH($C464, VAV_Schedule_5_21[[#All],[UNIT TAG]], FALSE), 6)</f>
        <v>100</v>
      </c>
      <c r="S464" s="27">
        <f>INDEX(Schedule!$A$1:$N$2000, MATCH($C464, VAV_Schedule_5_21[[#All],[UNIT TAG]], FALSE), 5)</f>
        <v>640</v>
      </c>
      <c r="T464" s="27">
        <f>INDEX(Schedule!$A$1:$N$2000, MATCH($C464, VAV_Schedule_5_21[[#All],[UNIT TAG]], FALSE), 6)</f>
        <v>100</v>
      </c>
      <c r="U464" s="27">
        <f>INDEX(Schedule!$A$1:$N$2000, MATCH($C464, VAV_Schedule_5_21[[#All],[UNIT TAG]], FALSE), 5)</f>
        <v>640</v>
      </c>
      <c r="V464" s="27">
        <f>INDEX(Schedule!$A$1:$N$2000, MATCH($C464, VAV_Schedule_5_21[[#All],[UNIT TAG]], FALSE), 6)</f>
        <v>100</v>
      </c>
      <c r="W464" s="27">
        <f>INDEX(Schedule!$A$1:$N$2000, MATCH($C464, VAV_Schedule_5_21[[#All],[UNIT TAG]], FALSE), 6)</f>
        <v>100</v>
      </c>
      <c r="X464" s="27">
        <f>INDEX(Schedule!$A$1:$N$2000, MATCH($C464, VAV_Schedule_5_21[[#All],[UNIT TAG]], FALSE), 6)</f>
        <v>100</v>
      </c>
      <c r="Y464" s="27">
        <f>INDEX(Schedule!$A$1:$N$2000, MATCH($C464, VAV_Schedule_5_21[[#All],[UNIT TAG]], FALSE), 6)</f>
        <v>100</v>
      </c>
      <c r="Z464" s="27">
        <f>INDEX(Schedule!$A$1:$N$2000, MATCH($C464, VAV_Schedule_5_21[[#All],[UNIT TAG]], FALSE), 6)</f>
        <v>100</v>
      </c>
      <c r="AA464" s="27">
        <v>1000</v>
      </c>
      <c r="AB464" s="27">
        <v>1100</v>
      </c>
      <c r="AC464">
        <v>1400</v>
      </c>
      <c r="AD464" s="29" t="str">
        <f>IF(INDEX(Schedule!$A$1:$N$2000, MATCH($C464, VAV_Schedule_5_21[[#All],[UNIT TAG]], FALSE), 7)="-", 0, INDEX(Schedule!$A$1:$N$2000, MATCH($C464, VAV_Schedule_5_21[[#All],[UNIT TAG]], FALSE), 7))</f>
        <v>6</v>
      </c>
      <c r="AE464" t="str">
        <f>"B_01'" &amp; "Flr_0" &amp; INDEX(Joined!$A$3:$M$2000, MATCH($A464, Joined!$I$3:$I$2000, FALSE), 8)</f>
        <v>B_01'Flr_011</v>
      </c>
      <c r="AF464" t="str">
        <f>"R_" &amp; INDEX(Joined!$A$3:$M$2000, MATCH($A464, Joined!$I$3:$I$2000, FALSE), 7)</f>
        <v>R_VAV-11E-24</v>
      </c>
      <c r="AG464" t="str">
        <f>"B_01'" &amp; "Flr_0" &amp; INDEX(Joined!$A$3:$M$2000, MATCH($A464, Joined!$I$3:$I$2000, FALSE), 8)</f>
        <v>B_01'Flr_011</v>
      </c>
      <c r="AH464" t="str">
        <f>INDEX(Joined!$A$3:$M$2000, MATCH($A464, Joined!$I$3:$I$2000, FALSE), 7)</f>
        <v>VAV-11E-24</v>
      </c>
      <c r="AI464" t="s">
        <v>1792</v>
      </c>
    </row>
    <row r="465" spans="1:35" x14ac:dyDescent="0.2">
      <c r="A465" t="s">
        <v>1326</v>
      </c>
      <c r="B465" t="str">
        <f>"B_01'" &amp; "Flr_0" &amp; INDEX(Joined!$A$3:$M$2000, MATCH($A465, Joined!$I$3:$I$2000, FALSE), 8)</f>
        <v>B_01'Flr_011</v>
      </c>
      <c r="C465" t="str">
        <f>INDEX(Joined!$A$3:$M$2000, MATCH($A465, Joined!$I$3:$I$2000, FALSE), 7)</f>
        <v>VAV-11E-25</v>
      </c>
      <c r="D465">
        <f>INDEX(Joined!$A$3:$M$2000, MATCH($A465, Joined!$I$3:$I$2000, FALSE), 5)</f>
        <v>152912</v>
      </c>
      <c r="E465" t="str">
        <f>INDEX(Joined!$A$3:$M$2000, MATCH($A465, Joined!$I$3:$I$2000, FALSE), 7)</f>
        <v>VAV-11E-25</v>
      </c>
      <c r="F465" t="s">
        <v>38</v>
      </c>
      <c r="G465" t="str">
        <f>INDEX(Schedule!$Q$2:$R$7, MATCH(ABT!$H465,Schedule!$Q$2:$Q$7, 0), 2)</f>
        <v>15011_DXR_VAV_DXR2M12</v>
      </c>
      <c r="H465">
        <f>INDEX(Joined!$A$3:$M$2000, MATCH($A465, Joined!$I$3:$I$2000, FALSE), 6)</f>
        <v>15011</v>
      </c>
      <c r="I465" t="str">
        <f>INDEX(Joined!$A$3:$M$2000, MATCH($A465, Joined!$I$3:$I$2000, FALSE), 4)</f>
        <v>529</v>
      </c>
      <c r="J465" t="b">
        <v>0</v>
      </c>
      <c r="K465">
        <f>INDEX(Joined!$A$3:$M$2000, MATCH($A465, Joined!$I$3:$I$2000, FALSE), 3)</f>
        <v>12</v>
      </c>
      <c r="L465">
        <v>85</v>
      </c>
      <c r="M465">
        <v>38400</v>
      </c>
      <c r="N465" s="27">
        <f>PI()*(INDEX(Schedule!$A$1:$N$2000, MATCH($C465, VAV_Schedule_5_21[[#All],[UNIT TAG]], FALSE), 4)/2/12)^2</f>
        <v>0.54541539124822802</v>
      </c>
      <c r="O465" s="27">
        <f>INDEX(Schedule!$A$1:$N$2000, MATCH($C465, VAV_Schedule_5_21[[#All],[UNIT TAG]], FALSE), 4)</f>
        <v>10</v>
      </c>
      <c r="P465">
        <v>463.63</v>
      </c>
      <c r="Q465" s="27">
        <f>INDEX(Schedule!$A$1:$N$2000, MATCH($C465, VAV_Schedule_5_21[[#All],[UNIT TAG]], FALSE), 5)</f>
        <v>860</v>
      </c>
      <c r="R465" s="27">
        <f>INDEX(Schedule!$A$1:$N$2000, MATCH($C465, VAV_Schedule_5_21[[#All],[UNIT TAG]], FALSE), 6)</f>
        <v>130</v>
      </c>
      <c r="S465" s="27">
        <f>INDEX(Schedule!$A$1:$N$2000, MATCH($C465, VAV_Schedule_5_21[[#All],[UNIT TAG]], FALSE), 5)</f>
        <v>860</v>
      </c>
      <c r="T465" s="27">
        <f>INDEX(Schedule!$A$1:$N$2000, MATCH($C465, VAV_Schedule_5_21[[#All],[UNIT TAG]], FALSE), 6)</f>
        <v>130</v>
      </c>
      <c r="U465" s="27">
        <f>INDEX(Schedule!$A$1:$N$2000, MATCH($C465, VAV_Schedule_5_21[[#All],[UNIT TAG]], FALSE), 5)</f>
        <v>860</v>
      </c>
      <c r="V465" s="27">
        <f>INDEX(Schedule!$A$1:$N$2000, MATCH($C465, VAV_Schedule_5_21[[#All],[UNIT TAG]], FALSE), 6)</f>
        <v>130</v>
      </c>
      <c r="W465" s="27">
        <f>INDEX(Schedule!$A$1:$N$2000, MATCH($C465, VAV_Schedule_5_21[[#All],[UNIT TAG]], FALSE), 6)</f>
        <v>130</v>
      </c>
      <c r="X465" s="27">
        <f>INDEX(Schedule!$A$1:$N$2000, MATCH($C465, VAV_Schedule_5_21[[#All],[UNIT TAG]], FALSE), 6)</f>
        <v>130</v>
      </c>
      <c r="Y465" s="27">
        <f>INDEX(Schedule!$A$1:$N$2000, MATCH($C465, VAV_Schedule_5_21[[#All],[UNIT TAG]], FALSE), 6)</f>
        <v>130</v>
      </c>
      <c r="Z465" s="27">
        <f>INDEX(Schedule!$A$1:$N$2000, MATCH($C465, VAV_Schedule_5_21[[#All],[UNIT TAG]], FALSE), 6)</f>
        <v>130</v>
      </c>
      <c r="AA465" s="27">
        <v>1000</v>
      </c>
      <c r="AB465" s="27">
        <v>1100</v>
      </c>
      <c r="AC465">
        <v>1400</v>
      </c>
      <c r="AD465" s="29" t="str">
        <f>IF(INDEX(Schedule!$A$1:$N$2000, MATCH($C465, VAV_Schedule_5_21[[#All],[UNIT TAG]], FALSE), 7)="-", 0, INDEX(Schedule!$A$1:$N$2000, MATCH($C465, VAV_Schedule_5_21[[#All],[UNIT TAG]], FALSE), 7))</f>
        <v>6</v>
      </c>
      <c r="AE465" t="str">
        <f>"B_01'" &amp; "Flr_0" &amp; INDEX(Joined!$A$3:$M$2000, MATCH($A465, Joined!$I$3:$I$2000, FALSE), 8)</f>
        <v>B_01'Flr_011</v>
      </c>
      <c r="AF465" t="str">
        <f>"R_" &amp; INDEX(Joined!$A$3:$M$2000, MATCH($A465, Joined!$I$3:$I$2000, FALSE), 7)</f>
        <v>R_VAV-11E-25</v>
      </c>
      <c r="AG465" t="str">
        <f>"B_01'" &amp; "Flr_0" &amp; INDEX(Joined!$A$3:$M$2000, MATCH($A465, Joined!$I$3:$I$2000, FALSE), 8)</f>
        <v>B_01'Flr_011</v>
      </c>
      <c r="AH465" t="str">
        <f>INDEX(Joined!$A$3:$M$2000, MATCH($A465, Joined!$I$3:$I$2000, FALSE), 7)</f>
        <v>VAV-11E-25</v>
      </c>
      <c r="AI465" t="s">
        <v>1793</v>
      </c>
    </row>
    <row r="466" spans="1:35" x14ac:dyDescent="0.2">
      <c r="A466" t="s">
        <v>1327</v>
      </c>
      <c r="B466" t="str">
        <f>"B_01'" &amp; "Flr_0" &amp; INDEX(Joined!$A$3:$M$2000, MATCH($A466, Joined!$I$3:$I$2000, FALSE), 8)</f>
        <v>B_01'Flr_011</v>
      </c>
      <c r="C466" t="str">
        <f>INDEX(Joined!$A$3:$M$2000, MATCH($A466, Joined!$I$3:$I$2000, FALSE), 7)</f>
        <v>VAV-11E-26</v>
      </c>
      <c r="D466">
        <f>INDEX(Joined!$A$3:$M$2000, MATCH($A466, Joined!$I$3:$I$2000, FALSE), 5)</f>
        <v>152913</v>
      </c>
      <c r="E466" t="str">
        <f>INDEX(Joined!$A$3:$M$2000, MATCH($A466, Joined!$I$3:$I$2000, FALSE), 7)</f>
        <v>VAV-11E-26</v>
      </c>
      <c r="F466" t="s">
        <v>38</v>
      </c>
      <c r="G466" t="str">
        <f>INDEX(Schedule!$Q$2:$R$7, MATCH(ABT!$H466,Schedule!$Q$2:$Q$7, 0), 2)</f>
        <v>15011_DXR_VAV_DXR2M12</v>
      </c>
      <c r="H466">
        <f>INDEX(Joined!$A$3:$M$2000, MATCH($A466, Joined!$I$3:$I$2000, FALSE), 6)</f>
        <v>15011</v>
      </c>
      <c r="I466" t="str">
        <f>INDEX(Joined!$A$3:$M$2000, MATCH($A466, Joined!$I$3:$I$2000, FALSE), 4)</f>
        <v>529</v>
      </c>
      <c r="J466" t="b">
        <v>0</v>
      </c>
      <c r="K466">
        <f>INDEX(Joined!$A$3:$M$2000, MATCH($A466, Joined!$I$3:$I$2000, FALSE), 3)</f>
        <v>13</v>
      </c>
      <c r="L466">
        <v>85</v>
      </c>
      <c r="M466">
        <v>38400</v>
      </c>
      <c r="N466" s="27">
        <f>PI()*(INDEX(Schedule!$A$1:$N$2000, MATCH($C466, VAV_Schedule_5_21[[#All],[UNIT TAG]], FALSE), 4)/2/12)^2</f>
        <v>0.3490658503988659</v>
      </c>
      <c r="O466" s="27">
        <f>INDEX(Schedule!$A$1:$N$2000, MATCH($C466, VAV_Schedule_5_21[[#All],[UNIT TAG]], FALSE), 4)</f>
        <v>8</v>
      </c>
      <c r="P466">
        <v>464.63</v>
      </c>
      <c r="Q466" s="27">
        <f>INDEX(Schedule!$A$1:$N$2000, MATCH($C466, VAV_Schedule_5_21[[#All],[UNIT TAG]], FALSE), 5)</f>
        <v>690</v>
      </c>
      <c r="R466" s="27">
        <f>INDEX(Schedule!$A$1:$N$2000, MATCH($C466, VAV_Schedule_5_21[[#All],[UNIT TAG]], FALSE), 6)</f>
        <v>105</v>
      </c>
      <c r="S466" s="27">
        <f>INDEX(Schedule!$A$1:$N$2000, MATCH($C466, VAV_Schedule_5_21[[#All],[UNIT TAG]], FALSE), 5)</f>
        <v>690</v>
      </c>
      <c r="T466" s="27">
        <f>INDEX(Schedule!$A$1:$N$2000, MATCH($C466, VAV_Schedule_5_21[[#All],[UNIT TAG]], FALSE), 6)</f>
        <v>105</v>
      </c>
      <c r="U466" s="27">
        <f>INDEX(Schedule!$A$1:$N$2000, MATCH($C466, VAV_Schedule_5_21[[#All],[UNIT TAG]], FALSE), 5)</f>
        <v>690</v>
      </c>
      <c r="V466" s="27">
        <f>INDEX(Schedule!$A$1:$N$2000, MATCH($C466, VAV_Schedule_5_21[[#All],[UNIT TAG]], FALSE), 6)</f>
        <v>105</v>
      </c>
      <c r="W466" s="27">
        <f>INDEX(Schedule!$A$1:$N$2000, MATCH($C466, VAV_Schedule_5_21[[#All],[UNIT TAG]], FALSE), 6)</f>
        <v>105</v>
      </c>
      <c r="X466" s="27">
        <f>INDEX(Schedule!$A$1:$N$2000, MATCH($C466, VAV_Schedule_5_21[[#All],[UNIT TAG]], FALSE), 6)</f>
        <v>105</v>
      </c>
      <c r="Y466" s="27">
        <f>INDEX(Schedule!$A$1:$N$2000, MATCH($C466, VAV_Schedule_5_21[[#All],[UNIT TAG]], FALSE), 6)</f>
        <v>105</v>
      </c>
      <c r="Z466" s="27">
        <f>INDEX(Schedule!$A$1:$N$2000, MATCH($C466, VAV_Schedule_5_21[[#All],[UNIT TAG]], FALSE), 6)</f>
        <v>105</v>
      </c>
      <c r="AA466" s="27">
        <v>1000</v>
      </c>
      <c r="AB466" s="27">
        <v>1100</v>
      </c>
      <c r="AC466">
        <v>1400</v>
      </c>
      <c r="AD466" s="29" t="str">
        <f>IF(INDEX(Schedule!$A$1:$N$2000, MATCH($C466, VAV_Schedule_5_21[[#All],[UNIT TAG]], FALSE), 7)="-", 0, INDEX(Schedule!$A$1:$N$2000, MATCH($C466, VAV_Schedule_5_21[[#All],[UNIT TAG]], FALSE), 7))</f>
        <v>6</v>
      </c>
      <c r="AE466" t="str">
        <f>"B_01'" &amp; "Flr_0" &amp; INDEX(Joined!$A$3:$M$2000, MATCH($A466, Joined!$I$3:$I$2000, FALSE), 8)</f>
        <v>B_01'Flr_011</v>
      </c>
      <c r="AF466" t="str">
        <f>"R_" &amp; INDEX(Joined!$A$3:$M$2000, MATCH($A466, Joined!$I$3:$I$2000, FALSE), 7)</f>
        <v>R_VAV-11E-26</v>
      </c>
      <c r="AG466" t="str">
        <f>"B_01'" &amp; "Flr_0" &amp; INDEX(Joined!$A$3:$M$2000, MATCH($A466, Joined!$I$3:$I$2000, FALSE), 8)</f>
        <v>B_01'Flr_011</v>
      </c>
      <c r="AH466" t="str">
        <f>INDEX(Joined!$A$3:$M$2000, MATCH($A466, Joined!$I$3:$I$2000, FALSE), 7)</f>
        <v>VAV-11E-26</v>
      </c>
      <c r="AI466" t="s">
        <v>1794</v>
      </c>
    </row>
    <row r="467" spans="1:35" x14ac:dyDescent="0.2">
      <c r="A467" t="s">
        <v>1328</v>
      </c>
      <c r="B467" t="str">
        <f>"B_01'" &amp; "Flr_0" &amp; INDEX(Joined!$A$3:$M$2000, MATCH($A467, Joined!$I$3:$I$2000, FALSE), 8)</f>
        <v>B_01'Flr_011</v>
      </c>
      <c r="C467" t="str">
        <f>INDEX(Joined!$A$3:$M$2000, MATCH($A467, Joined!$I$3:$I$2000, FALSE), 7)</f>
        <v>VAV-11E-27</v>
      </c>
      <c r="D467">
        <f>INDEX(Joined!$A$3:$M$2000, MATCH($A467, Joined!$I$3:$I$2000, FALSE), 5)</f>
        <v>152914</v>
      </c>
      <c r="E467" t="str">
        <f>INDEX(Joined!$A$3:$M$2000, MATCH($A467, Joined!$I$3:$I$2000, FALSE), 7)</f>
        <v>VAV-11E-27</v>
      </c>
      <c r="F467" t="s">
        <v>38</v>
      </c>
      <c r="G467" t="str">
        <f>INDEX(Schedule!$Q$2:$R$7, MATCH(ABT!$H467,Schedule!$Q$2:$Q$7, 0), 2)</f>
        <v>15010_DXR_VAV_DXR2M12</v>
      </c>
      <c r="H467">
        <f>INDEX(Joined!$A$3:$M$2000, MATCH($A467, Joined!$I$3:$I$2000, FALSE), 6)</f>
        <v>15010</v>
      </c>
      <c r="I467" t="str">
        <f>INDEX(Joined!$A$3:$M$2000, MATCH($A467, Joined!$I$3:$I$2000, FALSE), 4)</f>
        <v>529</v>
      </c>
      <c r="J467" t="b">
        <v>0</v>
      </c>
      <c r="K467">
        <f>INDEX(Joined!$A$3:$M$2000, MATCH($A467, Joined!$I$3:$I$2000, FALSE), 3)</f>
        <v>14</v>
      </c>
      <c r="L467">
        <v>85</v>
      </c>
      <c r="M467">
        <v>38400</v>
      </c>
      <c r="N467" s="27">
        <f>PI()*(INDEX(Schedule!$A$1:$N$2000, MATCH($C467, VAV_Schedule_5_21[[#All],[UNIT TAG]], FALSE), 4)/2/12)^2</f>
        <v>0.78539816339744828</v>
      </c>
      <c r="O467" s="27">
        <f>INDEX(Schedule!$A$1:$N$2000, MATCH($C467, VAV_Schedule_5_21[[#All],[UNIT TAG]], FALSE), 4)</f>
        <v>12</v>
      </c>
      <c r="P467">
        <v>465.63</v>
      </c>
      <c r="Q467" s="27">
        <f>INDEX(Schedule!$A$1:$N$2000, MATCH($C467, VAV_Schedule_5_21[[#All],[UNIT TAG]], FALSE), 5)</f>
        <v>1310</v>
      </c>
      <c r="R467" s="27">
        <f>INDEX(Schedule!$A$1:$N$2000, MATCH($C467, VAV_Schedule_5_21[[#All],[UNIT TAG]], FALSE), 6)</f>
        <v>200</v>
      </c>
      <c r="S467" s="27">
        <f>INDEX(Schedule!$A$1:$N$2000, MATCH($C467, VAV_Schedule_5_21[[#All],[UNIT TAG]], FALSE), 5)</f>
        <v>1310</v>
      </c>
      <c r="T467" s="27">
        <f>INDEX(Schedule!$A$1:$N$2000, MATCH($C467, VAV_Schedule_5_21[[#All],[UNIT TAG]], FALSE), 6)</f>
        <v>200</v>
      </c>
      <c r="U467" s="27">
        <f>INDEX(Schedule!$A$1:$N$2000, MATCH($C467, VAV_Schedule_5_21[[#All],[UNIT TAG]], FALSE), 5)</f>
        <v>1310</v>
      </c>
      <c r="V467" s="27">
        <f>INDEX(Schedule!$A$1:$N$2000, MATCH($C467, VAV_Schedule_5_21[[#All],[UNIT TAG]], FALSE), 6)</f>
        <v>200</v>
      </c>
      <c r="W467" s="27">
        <f>INDEX(Schedule!$A$1:$N$2000, MATCH($C467, VAV_Schedule_5_21[[#All],[UNIT TAG]], FALSE), 6)</f>
        <v>200</v>
      </c>
      <c r="X467" s="27">
        <f>INDEX(Schedule!$A$1:$N$2000, MATCH($C467, VAV_Schedule_5_21[[#All],[UNIT TAG]], FALSE), 6)</f>
        <v>200</v>
      </c>
      <c r="Y467" s="27">
        <f>INDEX(Schedule!$A$1:$N$2000, MATCH($C467, VAV_Schedule_5_21[[#All],[UNIT TAG]], FALSE), 6)</f>
        <v>200</v>
      </c>
      <c r="Z467" s="27">
        <f>INDEX(Schedule!$A$1:$N$2000, MATCH($C467, VAV_Schedule_5_21[[#All],[UNIT TAG]], FALSE), 6)</f>
        <v>200</v>
      </c>
      <c r="AA467" s="27">
        <v>1000</v>
      </c>
      <c r="AB467" s="27">
        <v>1100</v>
      </c>
      <c r="AC467">
        <v>1400</v>
      </c>
      <c r="AD467" s="29">
        <f>IF(INDEX(Schedule!$A$1:$N$2000, MATCH($C467, VAV_Schedule_5_21[[#All],[UNIT TAG]], FALSE), 7)="-", 0, INDEX(Schedule!$A$1:$N$2000, MATCH($C467, VAV_Schedule_5_21[[#All],[UNIT TAG]], FALSE), 7))</f>
        <v>0</v>
      </c>
      <c r="AE467" t="str">
        <f>"B_01'" &amp; "Flr_0" &amp; INDEX(Joined!$A$3:$M$2000, MATCH($A467, Joined!$I$3:$I$2000, FALSE), 8)</f>
        <v>B_01'Flr_011</v>
      </c>
      <c r="AF467" t="str">
        <f>"R_" &amp; INDEX(Joined!$A$3:$M$2000, MATCH($A467, Joined!$I$3:$I$2000, FALSE), 7)</f>
        <v>R_VAV-11E-27</v>
      </c>
      <c r="AG467" t="str">
        <f>"B_01'" &amp; "Flr_0" &amp; INDEX(Joined!$A$3:$M$2000, MATCH($A467, Joined!$I$3:$I$2000, FALSE), 8)</f>
        <v>B_01'Flr_011</v>
      </c>
      <c r="AH467" t="str">
        <f>INDEX(Joined!$A$3:$M$2000, MATCH($A467, Joined!$I$3:$I$2000, FALSE), 7)</f>
        <v>VAV-11E-27</v>
      </c>
      <c r="AI467" t="s">
        <v>1795</v>
      </c>
    </row>
    <row r="468" spans="1:35" x14ac:dyDescent="0.2">
      <c r="A468" t="s">
        <v>1329</v>
      </c>
      <c r="B468" t="str">
        <f>"B_01'" &amp; "Flr_0" &amp; INDEX(Joined!$A$3:$M$2000, MATCH($A468, Joined!$I$3:$I$2000, FALSE), 8)</f>
        <v>B_01'Flr_011</v>
      </c>
      <c r="C468" t="str">
        <f>INDEX(Joined!$A$3:$M$2000, MATCH($A468, Joined!$I$3:$I$2000, FALSE), 7)</f>
        <v>VAV-11E-28</v>
      </c>
      <c r="D468">
        <f>INDEX(Joined!$A$3:$M$2000, MATCH($A468, Joined!$I$3:$I$2000, FALSE), 5)</f>
        <v>152915</v>
      </c>
      <c r="E468" t="str">
        <f>INDEX(Joined!$A$3:$M$2000, MATCH($A468, Joined!$I$3:$I$2000, FALSE), 7)</f>
        <v>VAV-11E-28</v>
      </c>
      <c r="F468" t="s">
        <v>38</v>
      </c>
      <c r="G468" t="str">
        <f>INDEX(Schedule!$Q$2:$R$7, MATCH(ABT!$H468,Schedule!$Q$2:$Q$7, 0), 2)</f>
        <v>15010_DXR_VAV_DXR2M12</v>
      </c>
      <c r="H468">
        <f>INDEX(Joined!$A$3:$M$2000, MATCH($A468, Joined!$I$3:$I$2000, FALSE), 6)</f>
        <v>15010</v>
      </c>
      <c r="I468" t="str">
        <f>INDEX(Joined!$A$3:$M$2000, MATCH($A468, Joined!$I$3:$I$2000, FALSE), 4)</f>
        <v>529</v>
      </c>
      <c r="J468" t="b">
        <v>0</v>
      </c>
      <c r="K468">
        <f>INDEX(Joined!$A$3:$M$2000, MATCH($A468, Joined!$I$3:$I$2000, FALSE), 3)</f>
        <v>15</v>
      </c>
      <c r="L468">
        <v>85</v>
      </c>
      <c r="M468">
        <v>38400</v>
      </c>
      <c r="N468" s="27">
        <f>PI()*(INDEX(Schedule!$A$1:$N$2000, MATCH($C468, VAV_Schedule_5_21[[#All],[UNIT TAG]], FALSE), 4)/2/12)^2</f>
        <v>0.3490658503988659</v>
      </c>
      <c r="O468" s="27">
        <f>INDEX(Schedule!$A$1:$N$2000, MATCH($C468, VAV_Schedule_5_21[[#All],[UNIT TAG]], FALSE), 4)</f>
        <v>8</v>
      </c>
      <c r="P468">
        <v>466.63</v>
      </c>
      <c r="Q468" s="27">
        <f>INDEX(Schedule!$A$1:$N$2000, MATCH($C468, VAV_Schedule_5_21[[#All],[UNIT TAG]], FALSE), 5)</f>
        <v>680</v>
      </c>
      <c r="R468" s="27">
        <f>INDEX(Schedule!$A$1:$N$2000, MATCH($C468, VAV_Schedule_5_21[[#All],[UNIT TAG]], FALSE), 6)</f>
        <v>105</v>
      </c>
      <c r="S468" s="27">
        <f>INDEX(Schedule!$A$1:$N$2000, MATCH($C468, VAV_Schedule_5_21[[#All],[UNIT TAG]], FALSE), 5)</f>
        <v>680</v>
      </c>
      <c r="T468" s="27">
        <f>INDEX(Schedule!$A$1:$N$2000, MATCH($C468, VAV_Schedule_5_21[[#All],[UNIT TAG]], FALSE), 6)</f>
        <v>105</v>
      </c>
      <c r="U468" s="27">
        <f>INDEX(Schedule!$A$1:$N$2000, MATCH($C468, VAV_Schedule_5_21[[#All],[UNIT TAG]], FALSE), 5)</f>
        <v>680</v>
      </c>
      <c r="V468" s="27">
        <f>INDEX(Schedule!$A$1:$N$2000, MATCH($C468, VAV_Schedule_5_21[[#All],[UNIT TAG]], FALSE), 6)</f>
        <v>105</v>
      </c>
      <c r="W468" s="27">
        <f>INDEX(Schedule!$A$1:$N$2000, MATCH($C468, VAV_Schedule_5_21[[#All],[UNIT TAG]], FALSE), 6)</f>
        <v>105</v>
      </c>
      <c r="X468" s="27">
        <f>INDEX(Schedule!$A$1:$N$2000, MATCH($C468, VAV_Schedule_5_21[[#All],[UNIT TAG]], FALSE), 6)</f>
        <v>105</v>
      </c>
      <c r="Y468" s="27">
        <f>INDEX(Schedule!$A$1:$N$2000, MATCH($C468, VAV_Schedule_5_21[[#All],[UNIT TAG]], FALSE), 6)</f>
        <v>105</v>
      </c>
      <c r="Z468" s="27">
        <f>INDEX(Schedule!$A$1:$N$2000, MATCH($C468, VAV_Schedule_5_21[[#All],[UNIT TAG]], FALSE), 6)</f>
        <v>105</v>
      </c>
      <c r="AA468" s="27">
        <v>1000</v>
      </c>
      <c r="AB468" s="27">
        <v>1100</v>
      </c>
      <c r="AC468">
        <v>1400</v>
      </c>
      <c r="AD468" s="29">
        <f>IF(INDEX(Schedule!$A$1:$N$2000, MATCH($C468, VAV_Schedule_5_21[[#All],[UNIT TAG]], FALSE), 7)="-", 0, INDEX(Schedule!$A$1:$N$2000, MATCH($C468, VAV_Schedule_5_21[[#All],[UNIT TAG]], FALSE), 7))</f>
        <v>0</v>
      </c>
      <c r="AE468" t="str">
        <f>"B_01'" &amp; "Flr_0" &amp; INDEX(Joined!$A$3:$M$2000, MATCH($A468, Joined!$I$3:$I$2000, FALSE), 8)</f>
        <v>B_01'Flr_011</v>
      </c>
      <c r="AF468" t="str">
        <f>"R_" &amp; INDEX(Joined!$A$3:$M$2000, MATCH($A468, Joined!$I$3:$I$2000, FALSE), 7)</f>
        <v>R_VAV-11E-28</v>
      </c>
      <c r="AG468" t="str">
        <f>"B_01'" &amp; "Flr_0" &amp; INDEX(Joined!$A$3:$M$2000, MATCH($A468, Joined!$I$3:$I$2000, FALSE), 8)</f>
        <v>B_01'Flr_011</v>
      </c>
      <c r="AH468" t="str">
        <f>INDEX(Joined!$A$3:$M$2000, MATCH($A468, Joined!$I$3:$I$2000, FALSE), 7)</f>
        <v>VAV-11E-28</v>
      </c>
      <c r="AI468" t="s">
        <v>1796</v>
      </c>
    </row>
    <row r="469" spans="1:35" x14ac:dyDescent="0.2">
      <c r="A469" t="s">
        <v>1330</v>
      </c>
      <c r="B469" t="str">
        <f>"B_01'" &amp; "Flr_0" &amp; INDEX(Joined!$A$3:$M$2000, MATCH($A469, Joined!$I$3:$I$2000, FALSE), 8)</f>
        <v>B_01'Flr_011</v>
      </c>
      <c r="C469" t="str">
        <f>INDEX(Joined!$A$3:$M$2000, MATCH($A469, Joined!$I$3:$I$2000, FALSE), 7)</f>
        <v>VAV-11E-29</v>
      </c>
      <c r="D469">
        <f>INDEX(Joined!$A$3:$M$2000, MATCH($A469, Joined!$I$3:$I$2000, FALSE), 5)</f>
        <v>152916</v>
      </c>
      <c r="E469" t="str">
        <f>INDEX(Joined!$A$3:$M$2000, MATCH($A469, Joined!$I$3:$I$2000, FALSE), 7)</f>
        <v>VAV-11E-29</v>
      </c>
      <c r="F469" t="s">
        <v>38</v>
      </c>
      <c r="G469" t="str">
        <f>INDEX(Schedule!$Q$2:$R$7, MATCH(ABT!$H469,Schedule!$Q$2:$Q$7, 0), 2)</f>
        <v>15010_DXR_VAV_DXR2M12</v>
      </c>
      <c r="H469">
        <f>INDEX(Joined!$A$3:$M$2000, MATCH($A469, Joined!$I$3:$I$2000, FALSE), 6)</f>
        <v>15010</v>
      </c>
      <c r="I469" t="str">
        <f>INDEX(Joined!$A$3:$M$2000, MATCH($A469, Joined!$I$3:$I$2000, FALSE), 4)</f>
        <v>529</v>
      </c>
      <c r="J469" t="b">
        <v>0</v>
      </c>
      <c r="K469">
        <f>INDEX(Joined!$A$3:$M$2000, MATCH($A469, Joined!$I$3:$I$2000, FALSE), 3)</f>
        <v>16</v>
      </c>
      <c r="L469">
        <v>85</v>
      </c>
      <c r="M469">
        <v>38400</v>
      </c>
      <c r="N469" s="27">
        <f>PI()*(INDEX(Schedule!$A$1:$N$2000, MATCH($C469, VAV_Schedule_5_21[[#All],[UNIT TAG]], FALSE), 4)/2/12)^2</f>
        <v>0.78539816339744828</v>
      </c>
      <c r="O469" s="27">
        <f>INDEX(Schedule!$A$1:$N$2000, MATCH($C469, VAV_Schedule_5_21[[#All],[UNIT TAG]], FALSE), 4)</f>
        <v>12</v>
      </c>
      <c r="P469">
        <v>467.63</v>
      </c>
      <c r="Q469" s="27">
        <f>INDEX(Schedule!$A$1:$N$2000, MATCH($C469, VAV_Schedule_5_21[[#All],[UNIT TAG]], FALSE), 5)</f>
        <v>1510</v>
      </c>
      <c r="R469" s="27">
        <f>INDEX(Schedule!$A$1:$N$2000, MATCH($C469, VAV_Schedule_5_21[[#All],[UNIT TAG]], FALSE), 6)</f>
        <v>230</v>
      </c>
      <c r="S469" s="27">
        <f>INDEX(Schedule!$A$1:$N$2000, MATCH($C469, VAV_Schedule_5_21[[#All],[UNIT TAG]], FALSE), 5)</f>
        <v>1510</v>
      </c>
      <c r="T469" s="27">
        <f>INDEX(Schedule!$A$1:$N$2000, MATCH($C469, VAV_Schedule_5_21[[#All],[UNIT TAG]], FALSE), 6)</f>
        <v>230</v>
      </c>
      <c r="U469" s="27">
        <f>INDEX(Schedule!$A$1:$N$2000, MATCH($C469, VAV_Schedule_5_21[[#All],[UNIT TAG]], FALSE), 5)</f>
        <v>1510</v>
      </c>
      <c r="V469" s="27">
        <f>INDEX(Schedule!$A$1:$N$2000, MATCH($C469, VAV_Schedule_5_21[[#All],[UNIT TAG]], FALSE), 6)</f>
        <v>230</v>
      </c>
      <c r="W469" s="27">
        <f>INDEX(Schedule!$A$1:$N$2000, MATCH($C469, VAV_Schedule_5_21[[#All],[UNIT TAG]], FALSE), 6)</f>
        <v>230</v>
      </c>
      <c r="X469" s="27">
        <f>INDEX(Schedule!$A$1:$N$2000, MATCH($C469, VAV_Schedule_5_21[[#All],[UNIT TAG]], FALSE), 6)</f>
        <v>230</v>
      </c>
      <c r="Y469" s="27">
        <f>INDEX(Schedule!$A$1:$N$2000, MATCH($C469, VAV_Schedule_5_21[[#All],[UNIT TAG]], FALSE), 6)</f>
        <v>230</v>
      </c>
      <c r="Z469" s="27">
        <f>INDEX(Schedule!$A$1:$N$2000, MATCH($C469, VAV_Schedule_5_21[[#All],[UNIT TAG]], FALSE), 6)</f>
        <v>230</v>
      </c>
      <c r="AA469" s="27">
        <v>1000</v>
      </c>
      <c r="AB469" s="27">
        <v>1100</v>
      </c>
      <c r="AC469">
        <v>1400</v>
      </c>
      <c r="AD469" s="29">
        <f>IF(INDEX(Schedule!$A$1:$N$2000, MATCH($C469, VAV_Schedule_5_21[[#All],[UNIT TAG]], FALSE), 7)="-", 0, INDEX(Schedule!$A$1:$N$2000, MATCH($C469, VAV_Schedule_5_21[[#All],[UNIT TAG]], FALSE), 7))</f>
        <v>0</v>
      </c>
      <c r="AE469" t="str">
        <f>"B_01'" &amp; "Flr_0" &amp; INDEX(Joined!$A$3:$M$2000, MATCH($A469, Joined!$I$3:$I$2000, FALSE), 8)</f>
        <v>B_01'Flr_011</v>
      </c>
      <c r="AF469" t="str">
        <f>"R_" &amp; INDEX(Joined!$A$3:$M$2000, MATCH($A469, Joined!$I$3:$I$2000, FALSE), 7)</f>
        <v>R_VAV-11E-29</v>
      </c>
      <c r="AG469" t="str">
        <f>"B_01'" &amp; "Flr_0" &amp; INDEX(Joined!$A$3:$M$2000, MATCH($A469, Joined!$I$3:$I$2000, FALSE), 8)</f>
        <v>B_01'Flr_011</v>
      </c>
      <c r="AH469" t="str">
        <f>INDEX(Joined!$A$3:$M$2000, MATCH($A469, Joined!$I$3:$I$2000, FALSE), 7)</f>
        <v>VAV-11E-29</v>
      </c>
      <c r="AI469" t="s">
        <v>1797</v>
      </c>
    </row>
    <row r="470" spans="1:35" x14ac:dyDescent="0.2">
      <c r="A470" t="s">
        <v>1331</v>
      </c>
      <c r="B470" t="str">
        <f>"B_01'" &amp; "Flr_0" &amp; INDEX(Joined!$A$3:$M$2000, MATCH($A470, Joined!$I$3:$I$2000, FALSE), 8)</f>
        <v>B_01'Flr_011</v>
      </c>
      <c r="C470" t="str">
        <f>INDEX(Joined!$A$3:$M$2000, MATCH($A470, Joined!$I$3:$I$2000, FALSE), 7)</f>
        <v>VAV-11E-30</v>
      </c>
      <c r="D470">
        <f>INDEX(Joined!$A$3:$M$2000, MATCH($A470, Joined!$I$3:$I$2000, FALSE), 5)</f>
        <v>152917</v>
      </c>
      <c r="E470" t="str">
        <f>INDEX(Joined!$A$3:$M$2000, MATCH($A470, Joined!$I$3:$I$2000, FALSE), 7)</f>
        <v>VAV-11E-30</v>
      </c>
      <c r="F470" t="s">
        <v>38</v>
      </c>
      <c r="G470" t="str">
        <f>INDEX(Schedule!$Q$2:$R$7, MATCH(ABT!$H470,Schedule!$Q$2:$Q$7, 0), 2)</f>
        <v>15011_DXR_VAV_DXR2M12</v>
      </c>
      <c r="H470">
        <f>INDEX(Joined!$A$3:$M$2000, MATCH($A470, Joined!$I$3:$I$2000, FALSE), 6)</f>
        <v>15011</v>
      </c>
      <c r="I470" t="str">
        <f>INDEX(Joined!$A$3:$M$2000, MATCH($A470, Joined!$I$3:$I$2000, FALSE), 4)</f>
        <v>529</v>
      </c>
      <c r="J470" t="b">
        <v>0</v>
      </c>
      <c r="K470">
        <f>INDEX(Joined!$A$3:$M$2000, MATCH($A470, Joined!$I$3:$I$2000, FALSE), 3)</f>
        <v>17</v>
      </c>
      <c r="L470">
        <v>85</v>
      </c>
      <c r="M470">
        <v>38400</v>
      </c>
      <c r="N470" s="27">
        <f>PI()*(INDEX(Schedule!$A$1:$N$2000, MATCH($C470, VAV_Schedule_5_21[[#All],[UNIT TAG]], FALSE), 4)/2/12)^2</f>
        <v>0.54541539124822802</v>
      </c>
      <c r="O470" s="27">
        <f>INDEX(Schedule!$A$1:$N$2000, MATCH($C470, VAV_Schedule_5_21[[#All],[UNIT TAG]], FALSE), 4)</f>
        <v>10</v>
      </c>
      <c r="P470">
        <v>468.63</v>
      </c>
      <c r="Q470" s="27">
        <f>INDEX(Schedule!$A$1:$N$2000, MATCH($C470, VAV_Schedule_5_21[[#All],[UNIT TAG]], FALSE), 5)</f>
        <v>800</v>
      </c>
      <c r="R470" s="27">
        <f>INDEX(Schedule!$A$1:$N$2000, MATCH($C470, VAV_Schedule_5_21[[#All],[UNIT TAG]], FALSE), 6)</f>
        <v>120</v>
      </c>
      <c r="S470" s="27">
        <f>INDEX(Schedule!$A$1:$N$2000, MATCH($C470, VAV_Schedule_5_21[[#All],[UNIT TAG]], FALSE), 5)</f>
        <v>800</v>
      </c>
      <c r="T470" s="27">
        <f>INDEX(Schedule!$A$1:$N$2000, MATCH($C470, VAV_Schedule_5_21[[#All],[UNIT TAG]], FALSE), 6)</f>
        <v>120</v>
      </c>
      <c r="U470" s="27">
        <f>INDEX(Schedule!$A$1:$N$2000, MATCH($C470, VAV_Schedule_5_21[[#All],[UNIT TAG]], FALSE), 5)</f>
        <v>800</v>
      </c>
      <c r="V470" s="27">
        <f>INDEX(Schedule!$A$1:$N$2000, MATCH($C470, VAV_Schedule_5_21[[#All],[UNIT TAG]], FALSE), 6)</f>
        <v>120</v>
      </c>
      <c r="W470" s="27">
        <f>INDEX(Schedule!$A$1:$N$2000, MATCH($C470, VAV_Schedule_5_21[[#All],[UNIT TAG]], FALSE), 6)</f>
        <v>120</v>
      </c>
      <c r="X470" s="27">
        <f>INDEX(Schedule!$A$1:$N$2000, MATCH($C470, VAV_Schedule_5_21[[#All],[UNIT TAG]], FALSE), 6)</f>
        <v>120</v>
      </c>
      <c r="Y470" s="27">
        <f>INDEX(Schedule!$A$1:$N$2000, MATCH($C470, VAV_Schedule_5_21[[#All],[UNIT TAG]], FALSE), 6)</f>
        <v>120</v>
      </c>
      <c r="Z470" s="27">
        <f>INDEX(Schedule!$A$1:$N$2000, MATCH($C470, VAV_Schedule_5_21[[#All],[UNIT TAG]], FALSE), 6)</f>
        <v>120</v>
      </c>
      <c r="AA470" s="27">
        <v>1000</v>
      </c>
      <c r="AB470" s="27">
        <v>1100</v>
      </c>
      <c r="AC470">
        <v>1400</v>
      </c>
      <c r="AD470" s="29" t="str">
        <f>IF(INDEX(Schedule!$A$1:$N$2000, MATCH($C470, VAV_Schedule_5_21[[#All],[UNIT TAG]], FALSE), 7)="-", 0, INDEX(Schedule!$A$1:$N$2000, MATCH($C470, VAV_Schedule_5_21[[#All],[UNIT TAG]], FALSE), 7))</f>
        <v>8</v>
      </c>
      <c r="AE470" t="str">
        <f>"B_01'" &amp; "Flr_0" &amp; INDEX(Joined!$A$3:$M$2000, MATCH($A470, Joined!$I$3:$I$2000, FALSE), 8)</f>
        <v>B_01'Flr_011</v>
      </c>
      <c r="AF470" t="str">
        <f>"R_" &amp; INDEX(Joined!$A$3:$M$2000, MATCH($A470, Joined!$I$3:$I$2000, FALSE), 7)</f>
        <v>R_VAV-11E-30</v>
      </c>
      <c r="AG470" t="str">
        <f>"B_01'" &amp; "Flr_0" &amp; INDEX(Joined!$A$3:$M$2000, MATCH($A470, Joined!$I$3:$I$2000, FALSE), 8)</f>
        <v>B_01'Flr_011</v>
      </c>
      <c r="AH470" t="str">
        <f>INDEX(Joined!$A$3:$M$2000, MATCH($A470, Joined!$I$3:$I$2000, FALSE), 7)</f>
        <v>VAV-11E-30</v>
      </c>
      <c r="AI470" t="s">
        <v>1798</v>
      </c>
    </row>
    <row r="471" spans="1:35" x14ac:dyDescent="0.2">
      <c r="A471" t="s">
        <v>1332</v>
      </c>
      <c r="B471" t="str">
        <f>"B_01'" &amp; "Flr_0" &amp; INDEX(Joined!$A$3:$M$2000, MATCH($A471, Joined!$I$3:$I$2000, FALSE), 8)</f>
        <v>B_01'Flr_011</v>
      </c>
      <c r="C471" t="str">
        <f>INDEX(Joined!$A$3:$M$2000, MATCH($A471, Joined!$I$3:$I$2000, FALSE), 7)</f>
        <v>VAV-11E-31</v>
      </c>
      <c r="D471">
        <f>INDEX(Joined!$A$3:$M$2000, MATCH($A471, Joined!$I$3:$I$2000, FALSE), 5)</f>
        <v>152918</v>
      </c>
      <c r="E471" t="str">
        <f>INDEX(Joined!$A$3:$M$2000, MATCH($A471, Joined!$I$3:$I$2000, FALSE), 7)</f>
        <v>VAV-11E-31</v>
      </c>
      <c r="F471" t="s">
        <v>38</v>
      </c>
      <c r="G471" t="str">
        <f>INDEX(Schedule!$Q$2:$R$7, MATCH(ABT!$H471,Schedule!$Q$2:$Q$7, 0), 2)</f>
        <v>15011_DXR_VAV_DXR2M12</v>
      </c>
      <c r="H471">
        <f>INDEX(Joined!$A$3:$M$2000, MATCH($A471, Joined!$I$3:$I$2000, FALSE), 6)</f>
        <v>15011</v>
      </c>
      <c r="I471" t="str">
        <f>INDEX(Joined!$A$3:$M$2000, MATCH($A471, Joined!$I$3:$I$2000, FALSE), 4)</f>
        <v>529</v>
      </c>
      <c r="J471" t="b">
        <v>0</v>
      </c>
      <c r="K471">
        <f>INDEX(Joined!$A$3:$M$2000, MATCH($A471, Joined!$I$3:$I$2000, FALSE), 3)</f>
        <v>18</v>
      </c>
      <c r="L471">
        <v>85</v>
      </c>
      <c r="M471">
        <v>38400</v>
      </c>
      <c r="N471" s="27">
        <f>PI()*(INDEX(Schedule!$A$1:$N$2000, MATCH($C471, VAV_Schedule_5_21[[#All],[UNIT TAG]], FALSE), 4)/2/12)^2</f>
        <v>0.78539816339744828</v>
      </c>
      <c r="O471" s="27">
        <f>INDEX(Schedule!$A$1:$N$2000, MATCH($C471, VAV_Schedule_5_21[[#All],[UNIT TAG]], FALSE), 4)</f>
        <v>12</v>
      </c>
      <c r="P471">
        <v>469.63</v>
      </c>
      <c r="Q471" s="27">
        <f>INDEX(Schedule!$A$1:$N$2000, MATCH($C471, VAV_Schedule_5_21[[#All],[UNIT TAG]], FALSE), 5)</f>
        <v>1400</v>
      </c>
      <c r="R471" s="27">
        <f>INDEX(Schedule!$A$1:$N$2000, MATCH($C471, VAV_Schedule_5_21[[#All],[UNIT TAG]], FALSE), 6)</f>
        <v>210</v>
      </c>
      <c r="S471" s="27">
        <f>INDEX(Schedule!$A$1:$N$2000, MATCH($C471, VAV_Schedule_5_21[[#All],[UNIT TAG]], FALSE), 5)</f>
        <v>1400</v>
      </c>
      <c r="T471" s="27">
        <f>INDEX(Schedule!$A$1:$N$2000, MATCH($C471, VAV_Schedule_5_21[[#All],[UNIT TAG]], FALSE), 6)</f>
        <v>210</v>
      </c>
      <c r="U471" s="27">
        <f>INDEX(Schedule!$A$1:$N$2000, MATCH($C471, VAV_Schedule_5_21[[#All],[UNIT TAG]], FALSE), 5)</f>
        <v>1400</v>
      </c>
      <c r="V471" s="27">
        <f>INDEX(Schedule!$A$1:$N$2000, MATCH($C471, VAV_Schedule_5_21[[#All],[UNIT TAG]], FALSE), 6)</f>
        <v>210</v>
      </c>
      <c r="W471" s="27">
        <f>INDEX(Schedule!$A$1:$N$2000, MATCH($C471, VAV_Schedule_5_21[[#All],[UNIT TAG]], FALSE), 6)</f>
        <v>210</v>
      </c>
      <c r="X471" s="27">
        <f>INDEX(Schedule!$A$1:$N$2000, MATCH($C471, VAV_Schedule_5_21[[#All],[UNIT TAG]], FALSE), 6)</f>
        <v>210</v>
      </c>
      <c r="Y471" s="27">
        <f>INDEX(Schedule!$A$1:$N$2000, MATCH($C471, VAV_Schedule_5_21[[#All],[UNIT TAG]], FALSE), 6)</f>
        <v>210</v>
      </c>
      <c r="Z471" s="27">
        <f>INDEX(Schedule!$A$1:$N$2000, MATCH($C471, VAV_Schedule_5_21[[#All],[UNIT TAG]], FALSE), 6)</f>
        <v>210</v>
      </c>
      <c r="AA471" s="27">
        <v>1000</v>
      </c>
      <c r="AB471" s="27">
        <v>1100</v>
      </c>
      <c r="AC471">
        <v>1400</v>
      </c>
      <c r="AD471" s="29" t="str">
        <f>IF(INDEX(Schedule!$A$1:$N$2000, MATCH($C471, VAV_Schedule_5_21[[#All],[UNIT TAG]], FALSE), 7)="-", 0, INDEX(Schedule!$A$1:$N$2000, MATCH($C471, VAV_Schedule_5_21[[#All],[UNIT TAG]], FALSE), 7))</f>
        <v>8</v>
      </c>
      <c r="AE471" t="str">
        <f>"B_01'" &amp; "Flr_0" &amp; INDEX(Joined!$A$3:$M$2000, MATCH($A471, Joined!$I$3:$I$2000, FALSE), 8)</f>
        <v>B_01'Flr_011</v>
      </c>
      <c r="AF471" t="str">
        <f>"R_" &amp; INDEX(Joined!$A$3:$M$2000, MATCH($A471, Joined!$I$3:$I$2000, FALSE), 7)</f>
        <v>R_VAV-11E-31</v>
      </c>
      <c r="AG471" t="str">
        <f>"B_01'" &amp; "Flr_0" &amp; INDEX(Joined!$A$3:$M$2000, MATCH($A471, Joined!$I$3:$I$2000, FALSE), 8)</f>
        <v>B_01'Flr_011</v>
      </c>
      <c r="AH471" t="str">
        <f>INDEX(Joined!$A$3:$M$2000, MATCH($A471, Joined!$I$3:$I$2000, FALSE), 7)</f>
        <v>VAV-11E-31</v>
      </c>
      <c r="AI471" t="s">
        <v>1799</v>
      </c>
    </row>
    <row r="472" spans="1:35" x14ac:dyDescent="0.2">
      <c r="A472" t="s">
        <v>1333</v>
      </c>
      <c r="B472" t="str">
        <f>"B_01'" &amp; "Flr_0" &amp; INDEX(Joined!$A$3:$M$2000, MATCH($A472, Joined!$I$3:$I$2000, FALSE), 8)</f>
        <v>B_01'Flr_011</v>
      </c>
      <c r="C472" t="str">
        <f>INDEX(Joined!$A$3:$M$2000, MATCH($A472, Joined!$I$3:$I$2000, FALSE), 7)</f>
        <v>VAV-11W-32</v>
      </c>
      <c r="D472">
        <f>INDEX(Joined!$A$3:$M$2000, MATCH($A472, Joined!$I$3:$I$2000, FALSE), 5)</f>
        <v>153005</v>
      </c>
      <c r="E472" t="str">
        <f>INDEX(Joined!$A$3:$M$2000, MATCH($A472, Joined!$I$3:$I$2000, FALSE), 7)</f>
        <v>VAV-11W-32</v>
      </c>
      <c r="F472" t="s">
        <v>38</v>
      </c>
      <c r="G472" t="str">
        <f>INDEX(Schedule!$Q$2:$R$7, MATCH(ABT!$H472,Schedule!$Q$2:$Q$7, 0), 2)</f>
        <v>15010_DXR_VAV_DXR2M12</v>
      </c>
      <c r="H472">
        <f>INDEX(Joined!$A$3:$M$2000, MATCH($A472, Joined!$I$3:$I$2000, FALSE), 6)</f>
        <v>15010</v>
      </c>
      <c r="I472" t="str">
        <f>INDEX(Joined!$A$3:$M$2000, MATCH($A472, Joined!$I$3:$I$2000, FALSE), 4)</f>
        <v>530</v>
      </c>
      <c r="J472" t="b">
        <v>0</v>
      </c>
      <c r="K472">
        <f>INDEX(Joined!$A$3:$M$2000, MATCH($A472, Joined!$I$3:$I$2000, FALSE), 3)</f>
        <v>5</v>
      </c>
      <c r="L472">
        <v>85</v>
      </c>
      <c r="M472">
        <v>38400</v>
      </c>
      <c r="N472" s="27">
        <f>PI()*(INDEX(Schedule!$A$1:$N$2000, MATCH($C472, VAV_Schedule_5_21[[#All],[UNIT TAG]], FALSE), 4)/2/12)^2</f>
        <v>0.3490658503988659</v>
      </c>
      <c r="O472" s="27">
        <f>INDEX(Schedule!$A$1:$N$2000, MATCH($C472, VAV_Schedule_5_21[[#All],[UNIT TAG]], FALSE), 4)</f>
        <v>8</v>
      </c>
      <c r="P472">
        <v>470.63</v>
      </c>
      <c r="Q472" s="27">
        <f>INDEX(Schedule!$A$1:$N$2000, MATCH($C472, VAV_Schedule_5_21[[#All],[UNIT TAG]], FALSE), 5)</f>
        <v>595</v>
      </c>
      <c r="R472" s="27">
        <f>INDEX(Schedule!$A$1:$N$2000, MATCH($C472, VAV_Schedule_5_21[[#All],[UNIT TAG]], FALSE), 6)</f>
        <v>90</v>
      </c>
      <c r="S472" s="27">
        <f>INDEX(Schedule!$A$1:$N$2000, MATCH($C472, VAV_Schedule_5_21[[#All],[UNIT TAG]], FALSE), 5)</f>
        <v>595</v>
      </c>
      <c r="T472" s="27">
        <f>INDEX(Schedule!$A$1:$N$2000, MATCH($C472, VAV_Schedule_5_21[[#All],[UNIT TAG]], FALSE), 6)</f>
        <v>90</v>
      </c>
      <c r="U472" s="27">
        <f>INDEX(Schedule!$A$1:$N$2000, MATCH($C472, VAV_Schedule_5_21[[#All],[UNIT TAG]], FALSE), 5)</f>
        <v>595</v>
      </c>
      <c r="V472" s="27">
        <f>INDEX(Schedule!$A$1:$N$2000, MATCH($C472, VAV_Schedule_5_21[[#All],[UNIT TAG]], FALSE), 6)</f>
        <v>90</v>
      </c>
      <c r="W472" s="27">
        <f>INDEX(Schedule!$A$1:$N$2000, MATCH($C472, VAV_Schedule_5_21[[#All],[UNIT TAG]], FALSE), 6)</f>
        <v>90</v>
      </c>
      <c r="X472" s="27">
        <f>INDEX(Schedule!$A$1:$N$2000, MATCH($C472, VAV_Schedule_5_21[[#All],[UNIT TAG]], FALSE), 6)</f>
        <v>90</v>
      </c>
      <c r="Y472" s="27">
        <f>INDEX(Schedule!$A$1:$N$2000, MATCH($C472, VAV_Schedule_5_21[[#All],[UNIT TAG]], FALSE), 6)</f>
        <v>90</v>
      </c>
      <c r="Z472" s="27">
        <f>INDEX(Schedule!$A$1:$N$2000, MATCH($C472, VAV_Schedule_5_21[[#All],[UNIT TAG]], FALSE), 6)</f>
        <v>90</v>
      </c>
      <c r="AA472" s="27">
        <v>1000</v>
      </c>
      <c r="AB472" s="27">
        <v>1100</v>
      </c>
      <c r="AC472">
        <v>1400</v>
      </c>
      <c r="AD472" s="29">
        <f>IF(INDEX(Schedule!$A$1:$N$2000, MATCH($C472, VAV_Schedule_5_21[[#All],[UNIT TAG]], FALSE), 7)="-", 0, INDEX(Schedule!$A$1:$N$2000, MATCH($C472, VAV_Schedule_5_21[[#All],[UNIT TAG]], FALSE), 7))</f>
        <v>0</v>
      </c>
      <c r="AE472" t="str">
        <f>"B_01'" &amp; "Flr_0" &amp; INDEX(Joined!$A$3:$M$2000, MATCH($A472, Joined!$I$3:$I$2000, FALSE), 8)</f>
        <v>B_01'Flr_011</v>
      </c>
      <c r="AF472" t="str">
        <f>"R_" &amp; INDEX(Joined!$A$3:$M$2000, MATCH($A472, Joined!$I$3:$I$2000, FALSE), 7)</f>
        <v>R_VAV-11W-32</v>
      </c>
      <c r="AG472" t="str">
        <f>"B_01'" &amp; "Flr_0" &amp; INDEX(Joined!$A$3:$M$2000, MATCH($A472, Joined!$I$3:$I$2000, FALSE), 8)</f>
        <v>B_01'Flr_011</v>
      </c>
      <c r="AH472" t="str">
        <f>INDEX(Joined!$A$3:$M$2000, MATCH($A472, Joined!$I$3:$I$2000, FALSE), 7)</f>
        <v>VAV-11W-32</v>
      </c>
      <c r="AI472" t="s">
        <v>1800</v>
      </c>
    </row>
    <row r="473" spans="1:35" x14ac:dyDescent="0.2">
      <c r="A473" t="s">
        <v>1334</v>
      </c>
      <c r="B473" t="str">
        <f>"B_01'" &amp; "Flr_0" &amp; INDEX(Joined!$A$3:$M$2000, MATCH($A473, Joined!$I$3:$I$2000, FALSE), 8)</f>
        <v>B_01'Flr_011</v>
      </c>
      <c r="C473" t="str">
        <f>INDEX(Joined!$A$3:$M$2000, MATCH($A473, Joined!$I$3:$I$2000, FALSE), 7)</f>
        <v>VAV-11W-33</v>
      </c>
      <c r="D473">
        <f>INDEX(Joined!$A$3:$M$2000, MATCH($A473, Joined!$I$3:$I$2000, FALSE), 5)</f>
        <v>153006</v>
      </c>
      <c r="E473" t="str">
        <f>INDEX(Joined!$A$3:$M$2000, MATCH($A473, Joined!$I$3:$I$2000, FALSE), 7)</f>
        <v>VAV-11W-33</v>
      </c>
      <c r="F473" t="s">
        <v>38</v>
      </c>
      <c r="G473" t="str">
        <f>INDEX(Schedule!$Q$2:$R$7, MATCH(ABT!$H473,Schedule!$Q$2:$Q$7, 0), 2)</f>
        <v>15010_DXR_VAV_DXR2M12</v>
      </c>
      <c r="H473">
        <f>INDEX(Joined!$A$3:$M$2000, MATCH($A473, Joined!$I$3:$I$2000, FALSE), 6)</f>
        <v>15010</v>
      </c>
      <c r="I473" t="str">
        <f>INDEX(Joined!$A$3:$M$2000, MATCH($A473, Joined!$I$3:$I$2000, FALSE), 4)</f>
        <v>530</v>
      </c>
      <c r="J473" t="b">
        <v>0</v>
      </c>
      <c r="K473">
        <f>INDEX(Joined!$A$3:$M$2000, MATCH($A473, Joined!$I$3:$I$2000, FALSE), 3)</f>
        <v>6</v>
      </c>
      <c r="L473">
        <v>85</v>
      </c>
      <c r="M473">
        <v>38400</v>
      </c>
      <c r="N473" s="27">
        <f>PI()*(INDEX(Schedule!$A$1:$N$2000, MATCH($C473, VAV_Schedule_5_21[[#All],[UNIT TAG]], FALSE), 4)/2/12)^2</f>
        <v>0.78539816339744828</v>
      </c>
      <c r="O473" s="27">
        <f>INDEX(Schedule!$A$1:$N$2000, MATCH($C473, VAV_Schedule_5_21[[#All],[UNIT TAG]], FALSE), 4)</f>
        <v>12</v>
      </c>
      <c r="P473">
        <v>471.63</v>
      </c>
      <c r="Q473" s="27">
        <f>INDEX(Schedule!$A$1:$N$2000, MATCH($C473, VAV_Schedule_5_21[[#All],[UNIT TAG]], FALSE), 5)</f>
        <v>1350</v>
      </c>
      <c r="R473" s="27">
        <f>INDEX(Schedule!$A$1:$N$2000, MATCH($C473, VAV_Schedule_5_21[[#All],[UNIT TAG]], FALSE), 6)</f>
        <v>205</v>
      </c>
      <c r="S473" s="27">
        <f>INDEX(Schedule!$A$1:$N$2000, MATCH($C473, VAV_Schedule_5_21[[#All],[UNIT TAG]], FALSE), 5)</f>
        <v>1350</v>
      </c>
      <c r="T473" s="27">
        <f>INDEX(Schedule!$A$1:$N$2000, MATCH($C473, VAV_Schedule_5_21[[#All],[UNIT TAG]], FALSE), 6)</f>
        <v>205</v>
      </c>
      <c r="U473" s="27">
        <f>INDEX(Schedule!$A$1:$N$2000, MATCH($C473, VAV_Schedule_5_21[[#All],[UNIT TAG]], FALSE), 5)</f>
        <v>1350</v>
      </c>
      <c r="V473" s="27">
        <f>INDEX(Schedule!$A$1:$N$2000, MATCH($C473, VAV_Schedule_5_21[[#All],[UNIT TAG]], FALSE), 6)</f>
        <v>205</v>
      </c>
      <c r="W473" s="27">
        <f>INDEX(Schedule!$A$1:$N$2000, MATCH($C473, VAV_Schedule_5_21[[#All],[UNIT TAG]], FALSE), 6)</f>
        <v>205</v>
      </c>
      <c r="X473" s="27">
        <f>INDEX(Schedule!$A$1:$N$2000, MATCH($C473, VAV_Schedule_5_21[[#All],[UNIT TAG]], FALSE), 6)</f>
        <v>205</v>
      </c>
      <c r="Y473" s="27">
        <f>INDEX(Schedule!$A$1:$N$2000, MATCH($C473, VAV_Schedule_5_21[[#All],[UNIT TAG]], FALSE), 6)</f>
        <v>205</v>
      </c>
      <c r="Z473" s="27">
        <f>INDEX(Schedule!$A$1:$N$2000, MATCH($C473, VAV_Schedule_5_21[[#All],[UNIT TAG]], FALSE), 6)</f>
        <v>205</v>
      </c>
      <c r="AA473" s="27">
        <v>1000</v>
      </c>
      <c r="AB473" s="27">
        <v>1100</v>
      </c>
      <c r="AC473">
        <v>1400</v>
      </c>
      <c r="AD473" s="29">
        <f>IF(INDEX(Schedule!$A$1:$N$2000, MATCH($C473, VAV_Schedule_5_21[[#All],[UNIT TAG]], FALSE), 7)="-", 0, INDEX(Schedule!$A$1:$N$2000, MATCH($C473, VAV_Schedule_5_21[[#All],[UNIT TAG]], FALSE), 7))</f>
        <v>0</v>
      </c>
      <c r="AE473" t="str">
        <f>"B_01'" &amp; "Flr_0" &amp; INDEX(Joined!$A$3:$M$2000, MATCH($A473, Joined!$I$3:$I$2000, FALSE), 8)</f>
        <v>B_01'Flr_011</v>
      </c>
      <c r="AF473" t="str">
        <f>"R_" &amp; INDEX(Joined!$A$3:$M$2000, MATCH($A473, Joined!$I$3:$I$2000, FALSE), 7)</f>
        <v>R_VAV-11W-33</v>
      </c>
      <c r="AG473" t="str">
        <f>"B_01'" &amp; "Flr_0" &amp; INDEX(Joined!$A$3:$M$2000, MATCH($A473, Joined!$I$3:$I$2000, FALSE), 8)</f>
        <v>B_01'Flr_011</v>
      </c>
      <c r="AH473" t="str">
        <f>INDEX(Joined!$A$3:$M$2000, MATCH($A473, Joined!$I$3:$I$2000, FALSE), 7)</f>
        <v>VAV-11W-33</v>
      </c>
      <c r="AI473" t="s">
        <v>1801</v>
      </c>
    </row>
    <row r="474" spans="1:35" x14ac:dyDescent="0.2">
      <c r="A474" t="s">
        <v>1335</v>
      </c>
      <c r="B474" t="str">
        <f>"B_01'" &amp; "Flr_0" &amp; INDEX(Joined!$A$3:$M$2000, MATCH($A474, Joined!$I$3:$I$2000, FALSE), 8)</f>
        <v>B_01'Flr_011</v>
      </c>
      <c r="C474" t="str">
        <f>INDEX(Joined!$A$3:$M$2000, MATCH($A474, Joined!$I$3:$I$2000, FALSE), 7)</f>
        <v>VAV-11W-34</v>
      </c>
      <c r="D474">
        <f>INDEX(Joined!$A$3:$M$2000, MATCH($A474, Joined!$I$3:$I$2000, FALSE), 5)</f>
        <v>153007</v>
      </c>
      <c r="E474" t="str">
        <f>INDEX(Joined!$A$3:$M$2000, MATCH($A474, Joined!$I$3:$I$2000, FALSE), 7)</f>
        <v>VAV-11W-34</v>
      </c>
      <c r="F474" t="s">
        <v>38</v>
      </c>
      <c r="G474" t="str">
        <f>INDEX(Schedule!$Q$2:$R$7, MATCH(ABT!$H474,Schedule!$Q$2:$Q$7, 0), 2)</f>
        <v>15010_DXR_VAV_DXR2M12</v>
      </c>
      <c r="H474">
        <f>INDEX(Joined!$A$3:$M$2000, MATCH($A474, Joined!$I$3:$I$2000, FALSE), 6)</f>
        <v>15010</v>
      </c>
      <c r="I474" t="str">
        <f>INDEX(Joined!$A$3:$M$2000, MATCH($A474, Joined!$I$3:$I$2000, FALSE), 4)</f>
        <v>530</v>
      </c>
      <c r="J474" t="b">
        <v>0</v>
      </c>
      <c r="K474">
        <f>INDEX(Joined!$A$3:$M$2000, MATCH($A474, Joined!$I$3:$I$2000, FALSE), 3)</f>
        <v>7</v>
      </c>
      <c r="L474">
        <v>85</v>
      </c>
      <c r="M474">
        <v>38400</v>
      </c>
      <c r="N474" s="27">
        <f>PI()*(INDEX(Schedule!$A$1:$N$2000, MATCH($C474, VAV_Schedule_5_21[[#All],[UNIT TAG]], FALSE), 4)/2/12)^2</f>
        <v>0.78539816339744828</v>
      </c>
      <c r="O474" s="27">
        <f>INDEX(Schedule!$A$1:$N$2000, MATCH($C474, VAV_Schedule_5_21[[#All],[UNIT TAG]], FALSE), 4)</f>
        <v>12</v>
      </c>
      <c r="P474">
        <v>472.63</v>
      </c>
      <c r="Q474" s="27">
        <f>INDEX(Schedule!$A$1:$N$2000, MATCH($C474, VAV_Schedule_5_21[[#All],[UNIT TAG]], FALSE), 5)</f>
        <v>1200</v>
      </c>
      <c r="R474" s="27">
        <f>INDEX(Schedule!$A$1:$N$2000, MATCH($C474, VAV_Schedule_5_21[[#All],[UNIT TAG]], FALSE), 6)</f>
        <v>180</v>
      </c>
      <c r="S474" s="27">
        <f>INDEX(Schedule!$A$1:$N$2000, MATCH($C474, VAV_Schedule_5_21[[#All],[UNIT TAG]], FALSE), 5)</f>
        <v>1200</v>
      </c>
      <c r="T474" s="27">
        <f>INDEX(Schedule!$A$1:$N$2000, MATCH($C474, VAV_Schedule_5_21[[#All],[UNIT TAG]], FALSE), 6)</f>
        <v>180</v>
      </c>
      <c r="U474" s="27">
        <f>INDEX(Schedule!$A$1:$N$2000, MATCH($C474, VAV_Schedule_5_21[[#All],[UNIT TAG]], FALSE), 5)</f>
        <v>1200</v>
      </c>
      <c r="V474" s="27">
        <f>INDEX(Schedule!$A$1:$N$2000, MATCH($C474, VAV_Schedule_5_21[[#All],[UNIT TAG]], FALSE), 6)</f>
        <v>180</v>
      </c>
      <c r="W474" s="27">
        <f>INDEX(Schedule!$A$1:$N$2000, MATCH($C474, VAV_Schedule_5_21[[#All],[UNIT TAG]], FALSE), 6)</f>
        <v>180</v>
      </c>
      <c r="X474" s="27">
        <f>INDEX(Schedule!$A$1:$N$2000, MATCH($C474, VAV_Schedule_5_21[[#All],[UNIT TAG]], FALSE), 6)</f>
        <v>180</v>
      </c>
      <c r="Y474" s="27">
        <f>INDEX(Schedule!$A$1:$N$2000, MATCH($C474, VAV_Schedule_5_21[[#All],[UNIT TAG]], FALSE), 6)</f>
        <v>180</v>
      </c>
      <c r="Z474" s="27">
        <f>INDEX(Schedule!$A$1:$N$2000, MATCH($C474, VAV_Schedule_5_21[[#All],[UNIT TAG]], FALSE), 6)</f>
        <v>180</v>
      </c>
      <c r="AA474" s="27">
        <v>1000</v>
      </c>
      <c r="AB474" s="27">
        <v>1100</v>
      </c>
      <c r="AC474">
        <v>1400</v>
      </c>
      <c r="AD474" s="29">
        <f>IF(INDEX(Schedule!$A$1:$N$2000, MATCH($C474, VAV_Schedule_5_21[[#All],[UNIT TAG]], FALSE), 7)="-", 0, INDEX(Schedule!$A$1:$N$2000, MATCH($C474, VAV_Schedule_5_21[[#All],[UNIT TAG]], FALSE), 7))</f>
        <v>0</v>
      </c>
      <c r="AE474" t="str">
        <f>"B_01'" &amp; "Flr_0" &amp; INDEX(Joined!$A$3:$M$2000, MATCH($A474, Joined!$I$3:$I$2000, FALSE), 8)</f>
        <v>B_01'Flr_011</v>
      </c>
      <c r="AF474" t="str">
        <f>"R_" &amp; INDEX(Joined!$A$3:$M$2000, MATCH($A474, Joined!$I$3:$I$2000, FALSE), 7)</f>
        <v>R_VAV-11W-34</v>
      </c>
      <c r="AG474" t="str">
        <f>"B_01'" &amp; "Flr_0" &amp; INDEX(Joined!$A$3:$M$2000, MATCH($A474, Joined!$I$3:$I$2000, FALSE), 8)</f>
        <v>B_01'Flr_011</v>
      </c>
      <c r="AH474" t="str">
        <f>INDEX(Joined!$A$3:$M$2000, MATCH($A474, Joined!$I$3:$I$2000, FALSE), 7)</f>
        <v>VAV-11W-34</v>
      </c>
      <c r="AI474" t="s">
        <v>1802</v>
      </c>
    </row>
    <row r="475" spans="1:35" x14ac:dyDescent="0.2">
      <c r="A475" t="s">
        <v>1336</v>
      </c>
      <c r="B475" t="str">
        <f>"B_01'" &amp; "Flr_0" &amp; INDEX(Joined!$A$3:$M$2000, MATCH($A475, Joined!$I$3:$I$2000, FALSE), 8)</f>
        <v>B_01'Flr_011</v>
      </c>
      <c r="C475" t="str">
        <f>INDEX(Joined!$A$3:$M$2000, MATCH($A475, Joined!$I$3:$I$2000, FALSE), 7)</f>
        <v>VAV-11W-35</v>
      </c>
      <c r="D475">
        <f>INDEX(Joined!$A$3:$M$2000, MATCH($A475, Joined!$I$3:$I$2000, FALSE), 5)</f>
        <v>153008</v>
      </c>
      <c r="E475" t="str">
        <f>INDEX(Joined!$A$3:$M$2000, MATCH($A475, Joined!$I$3:$I$2000, FALSE), 7)</f>
        <v>VAV-11W-35</v>
      </c>
      <c r="F475" t="s">
        <v>38</v>
      </c>
      <c r="G475" t="str">
        <f>INDEX(Schedule!$Q$2:$R$7, MATCH(ABT!$H475,Schedule!$Q$2:$Q$7, 0), 2)</f>
        <v>15011_DXR_VAV_DXR2M12</v>
      </c>
      <c r="H475">
        <f>INDEX(Joined!$A$3:$M$2000, MATCH($A475, Joined!$I$3:$I$2000, FALSE), 6)</f>
        <v>15011</v>
      </c>
      <c r="I475" t="str">
        <f>INDEX(Joined!$A$3:$M$2000, MATCH($A475, Joined!$I$3:$I$2000, FALSE), 4)</f>
        <v>530</v>
      </c>
      <c r="J475" t="b">
        <v>0</v>
      </c>
      <c r="K475">
        <f>INDEX(Joined!$A$3:$M$2000, MATCH($A475, Joined!$I$3:$I$2000, FALSE), 3)</f>
        <v>8</v>
      </c>
      <c r="L475">
        <v>85</v>
      </c>
      <c r="M475">
        <v>38400</v>
      </c>
      <c r="N475" s="27">
        <f>PI()*(INDEX(Schedule!$A$1:$N$2000, MATCH($C475, VAV_Schedule_5_21[[#All],[UNIT TAG]], FALSE), 4)/2/12)^2</f>
        <v>0.54541539124822802</v>
      </c>
      <c r="O475" s="27">
        <f>INDEX(Schedule!$A$1:$N$2000, MATCH($C475, VAV_Schedule_5_21[[#All],[UNIT TAG]], FALSE), 4)</f>
        <v>10</v>
      </c>
      <c r="P475">
        <v>473.63</v>
      </c>
      <c r="Q475" s="27">
        <f>INDEX(Schedule!$A$1:$N$2000, MATCH($C475, VAV_Schedule_5_21[[#All],[UNIT TAG]], FALSE), 5)</f>
        <v>800</v>
      </c>
      <c r="R475" s="27">
        <f>INDEX(Schedule!$A$1:$N$2000, MATCH($C475, VAV_Schedule_5_21[[#All],[UNIT TAG]], FALSE), 6)</f>
        <v>120</v>
      </c>
      <c r="S475" s="27">
        <f>INDEX(Schedule!$A$1:$N$2000, MATCH($C475, VAV_Schedule_5_21[[#All],[UNIT TAG]], FALSE), 5)</f>
        <v>800</v>
      </c>
      <c r="T475" s="27">
        <f>INDEX(Schedule!$A$1:$N$2000, MATCH($C475, VAV_Schedule_5_21[[#All],[UNIT TAG]], FALSE), 6)</f>
        <v>120</v>
      </c>
      <c r="U475" s="27">
        <f>INDEX(Schedule!$A$1:$N$2000, MATCH($C475, VAV_Schedule_5_21[[#All],[UNIT TAG]], FALSE), 5)</f>
        <v>800</v>
      </c>
      <c r="V475" s="27">
        <f>INDEX(Schedule!$A$1:$N$2000, MATCH($C475, VAV_Schedule_5_21[[#All],[UNIT TAG]], FALSE), 6)</f>
        <v>120</v>
      </c>
      <c r="W475" s="27">
        <f>INDEX(Schedule!$A$1:$N$2000, MATCH($C475, VAV_Schedule_5_21[[#All],[UNIT TAG]], FALSE), 6)</f>
        <v>120</v>
      </c>
      <c r="X475" s="27">
        <f>INDEX(Schedule!$A$1:$N$2000, MATCH($C475, VAV_Schedule_5_21[[#All],[UNIT TAG]], FALSE), 6)</f>
        <v>120</v>
      </c>
      <c r="Y475" s="27">
        <f>INDEX(Schedule!$A$1:$N$2000, MATCH($C475, VAV_Schedule_5_21[[#All],[UNIT TAG]], FALSE), 6)</f>
        <v>120</v>
      </c>
      <c r="Z475" s="27">
        <f>INDEX(Schedule!$A$1:$N$2000, MATCH($C475, VAV_Schedule_5_21[[#All],[UNIT TAG]], FALSE), 6)</f>
        <v>120</v>
      </c>
      <c r="AA475" s="27">
        <v>1000</v>
      </c>
      <c r="AB475" s="27">
        <v>1100</v>
      </c>
      <c r="AC475">
        <v>1400</v>
      </c>
      <c r="AD475" s="29" t="str">
        <f>IF(INDEX(Schedule!$A$1:$N$2000, MATCH($C475, VAV_Schedule_5_21[[#All],[UNIT TAG]], FALSE), 7)="-", 0, INDEX(Schedule!$A$1:$N$2000, MATCH($C475, VAV_Schedule_5_21[[#All],[UNIT TAG]], FALSE), 7))</f>
        <v>8</v>
      </c>
      <c r="AE475" t="str">
        <f>"B_01'" &amp; "Flr_0" &amp; INDEX(Joined!$A$3:$M$2000, MATCH($A475, Joined!$I$3:$I$2000, FALSE), 8)</f>
        <v>B_01'Flr_011</v>
      </c>
      <c r="AF475" t="str">
        <f>"R_" &amp; INDEX(Joined!$A$3:$M$2000, MATCH($A475, Joined!$I$3:$I$2000, FALSE), 7)</f>
        <v>R_VAV-11W-35</v>
      </c>
      <c r="AG475" t="str">
        <f>"B_01'" &amp; "Flr_0" &amp; INDEX(Joined!$A$3:$M$2000, MATCH($A475, Joined!$I$3:$I$2000, FALSE), 8)</f>
        <v>B_01'Flr_011</v>
      </c>
      <c r="AH475" t="str">
        <f>INDEX(Joined!$A$3:$M$2000, MATCH($A475, Joined!$I$3:$I$2000, FALSE), 7)</f>
        <v>VAV-11W-35</v>
      </c>
      <c r="AI475" t="s">
        <v>1803</v>
      </c>
    </row>
    <row r="476" spans="1:35" x14ac:dyDescent="0.2">
      <c r="A476" t="s">
        <v>1337</v>
      </c>
      <c r="B476" t="str">
        <f>"B_01'" &amp; "Flr_0" &amp; INDEX(Joined!$A$3:$M$2000, MATCH($A476, Joined!$I$3:$I$2000, FALSE), 8)</f>
        <v>B_01'Flr_011</v>
      </c>
      <c r="C476" t="str">
        <f>INDEX(Joined!$A$3:$M$2000, MATCH($A476, Joined!$I$3:$I$2000, FALSE), 7)</f>
        <v>VAV-11W-36</v>
      </c>
      <c r="D476">
        <f>INDEX(Joined!$A$3:$M$2000, MATCH($A476, Joined!$I$3:$I$2000, FALSE), 5)</f>
        <v>153009</v>
      </c>
      <c r="E476" t="str">
        <f>INDEX(Joined!$A$3:$M$2000, MATCH($A476, Joined!$I$3:$I$2000, FALSE), 7)</f>
        <v>VAV-11W-36</v>
      </c>
      <c r="F476" t="s">
        <v>38</v>
      </c>
      <c r="G476" t="str">
        <f>INDEX(Schedule!$Q$2:$R$7, MATCH(ABT!$H476,Schedule!$Q$2:$Q$7, 0), 2)</f>
        <v>15011_DXR_VAV_DXR2M12</v>
      </c>
      <c r="H476">
        <f>INDEX(Joined!$A$3:$M$2000, MATCH($A476, Joined!$I$3:$I$2000, FALSE), 6)</f>
        <v>15011</v>
      </c>
      <c r="I476" t="str">
        <f>INDEX(Joined!$A$3:$M$2000, MATCH($A476, Joined!$I$3:$I$2000, FALSE), 4)</f>
        <v>530</v>
      </c>
      <c r="J476" t="b">
        <v>0</v>
      </c>
      <c r="K476">
        <f>INDEX(Joined!$A$3:$M$2000, MATCH($A476, Joined!$I$3:$I$2000, FALSE), 3)</f>
        <v>9</v>
      </c>
      <c r="L476">
        <v>85</v>
      </c>
      <c r="M476">
        <v>38400</v>
      </c>
      <c r="N476" s="27">
        <f>PI()*(INDEX(Schedule!$A$1:$N$2000, MATCH($C476, VAV_Schedule_5_21[[#All],[UNIT TAG]], FALSE), 4)/2/12)^2</f>
        <v>0.3490658503988659</v>
      </c>
      <c r="O476" s="27">
        <f>INDEX(Schedule!$A$1:$N$2000, MATCH($C476, VAV_Schedule_5_21[[#All],[UNIT TAG]], FALSE), 4)</f>
        <v>8</v>
      </c>
      <c r="P476">
        <v>474.63</v>
      </c>
      <c r="Q476" s="27">
        <f>INDEX(Schedule!$A$1:$N$2000, MATCH($C476, VAV_Schedule_5_21[[#All],[UNIT TAG]], FALSE), 5)</f>
        <v>640</v>
      </c>
      <c r="R476" s="27">
        <f>INDEX(Schedule!$A$1:$N$2000, MATCH($C476, VAV_Schedule_5_21[[#All],[UNIT TAG]], FALSE), 6)</f>
        <v>100</v>
      </c>
      <c r="S476" s="27">
        <f>INDEX(Schedule!$A$1:$N$2000, MATCH($C476, VAV_Schedule_5_21[[#All],[UNIT TAG]], FALSE), 5)</f>
        <v>640</v>
      </c>
      <c r="T476" s="27">
        <f>INDEX(Schedule!$A$1:$N$2000, MATCH($C476, VAV_Schedule_5_21[[#All],[UNIT TAG]], FALSE), 6)</f>
        <v>100</v>
      </c>
      <c r="U476" s="27">
        <f>INDEX(Schedule!$A$1:$N$2000, MATCH($C476, VAV_Schedule_5_21[[#All],[UNIT TAG]], FALSE), 5)</f>
        <v>640</v>
      </c>
      <c r="V476" s="27">
        <f>INDEX(Schedule!$A$1:$N$2000, MATCH($C476, VAV_Schedule_5_21[[#All],[UNIT TAG]], FALSE), 6)</f>
        <v>100</v>
      </c>
      <c r="W476" s="27">
        <f>INDEX(Schedule!$A$1:$N$2000, MATCH($C476, VAV_Schedule_5_21[[#All],[UNIT TAG]], FALSE), 6)</f>
        <v>100</v>
      </c>
      <c r="X476" s="27">
        <f>INDEX(Schedule!$A$1:$N$2000, MATCH($C476, VAV_Schedule_5_21[[#All],[UNIT TAG]], FALSE), 6)</f>
        <v>100</v>
      </c>
      <c r="Y476" s="27">
        <f>INDEX(Schedule!$A$1:$N$2000, MATCH($C476, VAV_Schedule_5_21[[#All],[UNIT TAG]], FALSE), 6)</f>
        <v>100</v>
      </c>
      <c r="Z476" s="27">
        <f>INDEX(Schedule!$A$1:$N$2000, MATCH($C476, VAV_Schedule_5_21[[#All],[UNIT TAG]], FALSE), 6)</f>
        <v>100</v>
      </c>
      <c r="AA476" s="27">
        <v>1000</v>
      </c>
      <c r="AB476" s="27">
        <v>1100</v>
      </c>
      <c r="AC476">
        <v>1400</v>
      </c>
      <c r="AD476" s="29" t="str">
        <f>IF(INDEX(Schedule!$A$1:$N$2000, MATCH($C476, VAV_Schedule_5_21[[#All],[UNIT TAG]], FALSE), 7)="-", 0, INDEX(Schedule!$A$1:$N$2000, MATCH($C476, VAV_Schedule_5_21[[#All],[UNIT TAG]], FALSE), 7))</f>
        <v>6</v>
      </c>
      <c r="AE476" t="str">
        <f>"B_01'" &amp; "Flr_0" &amp; INDEX(Joined!$A$3:$M$2000, MATCH($A476, Joined!$I$3:$I$2000, FALSE), 8)</f>
        <v>B_01'Flr_011</v>
      </c>
      <c r="AF476" t="str">
        <f>"R_" &amp; INDEX(Joined!$A$3:$M$2000, MATCH($A476, Joined!$I$3:$I$2000, FALSE), 7)</f>
        <v>R_VAV-11W-36</v>
      </c>
      <c r="AG476" t="str">
        <f>"B_01'" &amp; "Flr_0" &amp; INDEX(Joined!$A$3:$M$2000, MATCH($A476, Joined!$I$3:$I$2000, FALSE), 8)</f>
        <v>B_01'Flr_011</v>
      </c>
      <c r="AH476" t="str">
        <f>INDEX(Joined!$A$3:$M$2000, MATCH($A476, Joined!$I$3:$I$2000, FALSE), 7)</f>
        <v>VAV-11W-36</v>
      </c>
      <c r="AI476" t="s">
        <v>1804</v>
      </c>
    </row>
    <row r="477" spans="1:35" x14ac:dyDescent="0.2">
      <c r="A477" t="s">
        <v>1338</v>
      </c>
      <c r="B477" t="str">
        <f>"B_01'" &amp; "Flr_0" &amp; INDEX(Joined!$A$3:$M$2000, MATCH($A477, Joined!$I$3:$I$2000, FALSE), 8)</f>
        <v>B_01'Flr_011</v>
      </c>
      <c r="C477" t="str">
        <f>INDEX(Joined!$A$3:$M$2000, MATCH($A477, Joined!$I$3:$I$2000, FALSE), 7)</f>
        <v>VAV-11W-37</v>
      </c>
      <c r="D477">
        <f>INDEX(Joined!$A$3:$M$2000, MATCH($A477, Joined!$I$3:$I$2000, FALSE), 5)</f>
        <v>153010</v>
      </c>
      <c r="E477" t="str">
        <f>INDEX(Joined!$A$3:$M$2000, MATCH($A477, Joined!$I$3:$I$2000, FALSE), 7)</f>
        <v>VAV-11W-37</v>
      </c>
      <c r="F477" t="s">
        <v>38</v>
      </c>
      <c r="G477" t="str">
        <f>INDEX(Schedule!$Q$2:$R$7, MATCH(ABT!$H477,Schedule!$Q$2:$Q$7, 0), 2)</f>
        <v>15011_DXR_VAV_DXR2M12</v>
      </c>
      <c r="H477">
        <f>INDEX(Joined!$A$3:$M$2000, MATCH($A477, Joined!$I$3:$I$2000, FALSE), 6)</f>
        <v>15011</v>
      </c>
      <c r="I477" t="str">
        <f>INDEX(Joined!$A$3:$M$2000, MATCH($A477, Joined!$I$3:$I$2000, FALSE), 4)</f>
        <v>530</v>
      </c>
      <c r="J477" t="b">
        <v>0</v>
      </c>
      <c r="K477">
        <f>INDEX(Joined!$A$3:$M$2000, MATCH($A477, Joined!$I$3:$I$2000, FALSE), 3)</f>
        <v>10</v>
      </c>
      <c r="L477">
        <v>85</v>
      </c>
      <c r="M477">
        <v>38400</v>
      </c>
      <c r="N477" s="27">
        <f>PI()*(INDEX(Schedule!$A$1:$N$2000, MATCH($C477, VAV_Schedule_5_21[[#All],[UNIT TAG]], FALSE), 4)/2/12)^2</f>
        <v>0.54541539124822802</v>
      </c>
      <c r="O477" s="27">
        <f>INDEX(Schedule!$A$1:$N$2000, MATCH($C477, VAV_Schedule_5_21[[#All],[UNIT TAG]], FALSE), 4)</f>
        <v>10</v>
      </c>
      <c r="P477">
        <v>475.63</v>
      </c>
      <c r="Q477" s="27">
        <f>INDEX(Schedule!$A$1:$N$2000, MATCH($C477, VAV_Schedule_5_21[[#All],[UNIT TAG]], FALSE), 5)</f>
        <v>860</v>
      </c>
      <c r="R477" s="27">
        <f>INDEX(Schedule!$A$1:$N$2000, MATCH($C477, VAV_Schedule_5_21[[#All],[UNIT TAG]], FALSE), 6)</f>
        <v>130</v>
      </c>
      <c r="S477" s="27">
        <f>INDEX(Schedule!$A$1:$N$2000, MATCH($C477, VAV_Schedule_5_21[[#All],[UNIT TAG]], FALSE), 5)</f>
        <v>860</v>
      </c>
      <c r="T477" s="27">
        <f>INDEX(Schedule!$A$1:$N$2000, MATCH($C477, VAV_Schedule_5_21[[#All],[UNIT TAG]], FALSE), 6)</f>
        <v>130</v>
      </c>
      <c r="U477" s="27">
        <f>INDEX(Schedule!$A$1:$N$2000, MATCH($C477, VAV_Schedule_5_21[[#All],[UNIT TAG]], FALSE), 5)</f>
        <v>860</v>
      </c>
      <c r="V477" s="27">
        <f>INDEX(Schedule!$A$1:$N$2000, MATCH($C477, VAV_Schedule_5_21[[#All],[UNIT TAG]], FALSE), 6)</f>
        <v>130</v>
      </c>
      <c r="W477" s="27">
        <f>INDEX(Schedule!$A$1:$N$2000, MATCH($C477, VAV_Schedule_5_21[[#All],[UNIT TAG]], FALSE), 6)</f>
        <v>130</v>
      </c>
      <c r="X477" s="27">
        <f>INDEX(Schedule!$A$1:$N$2000, MATCH($C477, VAV_Schedule_5_21[[#All],[UNIT TAG]], FALSE), 6)</f>
        <v>130</v>
      </c>
      <c r="Y477" s="27">
        <f>INDEX(Schedule!$A$1:$N$2000, MATCH($C477, VAV_Schedule_5_21[[#All],[UNIT TAG]], FALSE), 6)</f>
        <v>130</v>
      </c>
      <c r="Z477" s="27">
        <f>INDEX(Schedule!$A$1:$N$2000, MATCH($C477, VAV_Schedule_5_21[[#All],[UNIT TAG]], FALSE), 6)</f>
        <v>130</v>
      </c>
      <c r="AA477" s="27">
        <v>1000</v>
      </c>
      <c r="AB477" s="27">
        <v>1100</v>
      </c>
      <c r="AC477">
        <v>1400</v>
      </c>
      <c r="AD477" s="29" t="str">
        <f>IF(INDEX(Schedule!$A$1:$N$2000, MATCH($C477, VAV_Schedule_5_21[[#All],[UNIT TAG]], FALSE), 7)="-", 0, INDEX(Schedule!$A$1:$N$2000, MATCH($C477, VAV_Schedule_5_21[[#All],[UNIT TAG]], FALSE), 7))</f>
        <v>6</v>
      </c>
      <c r="AE477" t="str">
        <f>"B_01'" &amp; "Flr_0" &amp; INDEX(Joined!$A$3:$M$2000, MATCH($A477, Joined!$I$3:$I$2000, FALSE), 8)</f>
        <v>B_01'Flr_011</v>
      </c>
      <c r="AF477" t="str">
        <f>"R_" &amp; INDEX(Joined!$A$3:$M$2000, MATCH($A477, Joined!$I$3:$I$2000, FALSE), 7)</f>
        <v>R_VAV-11W-37</v>
      </c>
      <c r="AG477" t="str">
        <f>"B_01'" &amp; "Flr_0" &amp; INDEX(Joined!$A$3:$M$2000, MATCH($A477, Joined!$I$3:$I$2000, FALSE), 8)</f>
        <v>B_01'Flr_011</v>
      </c>
      <c r="AH477" t="str">
        <f>INDEX(Joined!$A$3:$M$2000, MATCH($A477, Joined!$I$3:$I$2000, FALSE), 7)</f>
        <v>VAV-11W-37</v>
      </c>
      <c r="AI477" t="s">
        <v>1805</v>
      </c>
    </row>
    <row r="478" spans="1:35" x14ac:dyDescent="0.2">
      <c r="A478" t="s">
        <v>1339</v>
      </c>
      <c r="B478" t="str">
        <f>"B_01'" &amp; "Flr_0" &amp; INDEX(Joined!$A$3:$M$2000, MATCH($A478, Joined!$I$3:$I$2000, FALSE), 8)</f>
        <v>B_01'Flr_011</v>
      </c>
      <c r="C478" t="str">
        <f>INDEX(Joined!$A$3:$M$2000, MATCH($A478, Joined!$I$3:$I$2000, FALSE), 7)</f>
        <v>VAV-11W-38</v>
      </c>
      <c r="D478">
        <f>INDEX(Joined!$A$3:$M$2000, MATCH($A478, Joined!$I$3:$I$2000, FALSE), 5)</f>
        <v>153011</v>
      </c>
      <c r="E478" t="str">
        <f>INDEX(Joined!$A$3:$M$2000, MATCH($A478, Joined!$I$3:$I$2000, FALSE), 7)</f>
        <v>VAV-11W-38</v>
      </c>
      <c r="F478" t="s">
        <v>38</v>
      </c>
      <c r="G478" t="str">
        <f>INDEX(Schedule!$Q$2:$R$7, MATCH(ABT!$H478,Schedule!$Q$2:$Q$7, 0), 2)</f>
        <v>15011_DXR_VAV_DXR2M12</v>
      </c>
      <c r="H478">
        <f>INDEX(Joined!$A$3:$M$2000, MATCH($A478, Joined!$I$3:$I$2000, FALSE), 6)</f>
        <v>15011</v>
      </c>
      <c r="I478" t="str">
        <f>INDEX(Joined!$A$3:$M$2000, MATCH($A478, Joined!$I$3:$I$2000, FALSE), 4)</f>
        <v>530</v>
      </c>
      <c r="J478" t="b">
        <v>0</v>
      </c>
      <c r="K478">
        <f>INDEX(Joined!$A$3:$M$2000, MATCH($A478, Joined!$I$3:$I$2000, FALSE), 3)</f>
        <v>11</v>
      </c>
      <c r="L478">
        <v>85</v>
      </c>
      <c r="M478">
        <v>38400</v>
      </c>
      <c r="N478" s="27">
        <f>PI()*(INDEX(Schedule!$A$1:$N$2000, MATCH($C478, VAV_Schedule_5_21[[#All],[UNIT TAG]], FALSE), 4)/2/12)^2</f>
        <v>0.3490658503988659</v>
      </c>
      <c r="O478" s="27">
        <f>INDEX(Schedule!$A$1:$N$2000, MATCH($C478, VAV_Schedule_5_21[[#All],[UNIT TAG]], FALSE), 4)</f>
        <v>8</v>
      </c>
      <c r="P478">
        <v>476.63</v>
      </c>
      <c r="Q478" s="27">
        <f>INDEX(Schedule!$A$1:$N$2000, MATCH($C478, VAV_Schedule_5_21[[#All],[UNIT TAG]], FALSE), 5)</f>
        <v>700</v>
      </c>
      <c r="R478" s="27">
        <f>INDEX(Schedule!$A$1:$N$2000, MATCH($C478, VAV_Schedule_5_21[[#All],[UNIT TAG]], FALSE), 6)</f>
        <v>105</v>
      </c>
      <c r="S478" s="27">
        <f>INDEX(Schedule!$A$1:$N$2000, MATCH($C478, VAV_Schedule_5_21[[#All],[UNIT TAG]], FALSE), 5)</f>
        <v>700</v>
      </c>
      <c r="T478" s="27">
        <f>INDEX(Schedule!$A$1:$N$2000, MATCH($C478, VAV_Schedule_5_21[[#All],[UNIT TAG]], FALSE), 6)</f>
        <v>105</v>
      </c>
      <c r="U478" s="27">
        <f>INDEX(Schedule!$A$1:$N$2000, MATCH($C478, VAV_Schedule_5_21[[#All],[UNIT TAG]], FALSE), 5)</f>
        <v>700</v>
      </c>
      <c r="V478" s="27">
        <f>INDEX(Schedule!$A$1:$N$2000, MATCH($C478, VAV_Schedule_5_21[[#All],[UNIT TAG]], FALSE), 6)</f>
        <v>105</v>
      </c>
      <c r="W478" s="27">
        <f>INDEX(Schedule!$A$1:$N$2000, MATCH($C478, VAV_Schedule_5_21[[#All],[UNIT TAG]], FALSE), 6)</f>
        <v>105</v>
      </c>
      <c r="X478" s="27">
        <f>INDEX(Schedule!$A$1:$N$2000, MATCH($C478, VAV_Schedule_5_21[[#All],[UNIT TAG]], FALSE), 6)</f>
        <v>105</v>
      </c>
      <c r="Y478" s="27">
        <f>INDEX(Schedule!$A$1:$N$2000, MATCH($C478, VAV_Schedule_5_21[[#All],[UNIT TAG]], FALSE), 6)</f>
        <v>105</v>
      </c>
      <c r="Z478" s="27">
        <f>INDEX(Schedule!$A$1:$N$2000, MATCH($C478, VAV_Schedule_5_21[[#All],[UNIT TAG]], FALSE), 6)</f>
        <v>105</v>
      </c>
      <c r="AA478" s="27">
        <v>1000</v>
      </c>
      <c r="AB478" s="27">
        <v>1100</v>
      </c>
      <c r="AC478">
        <v>1400</v>
      </c>
      <c r="AD478" s="29" t="str">
        <f>IF(INDEX(Schedule!$A$1:$N$2000, MATCH($C478, VAV_Schedule_5_21[[#All],[UNIT TAG]], FALSE), 7)="-", 0, INDEX(Schedule!$A$1:$N$2000, MATCH($C478, VAV_Schedule_5_21[[#All],[UNIT TAG]], FALSE), 7))</f>
        <v>6</v>
      </c>
      <c r="AE478" t="str">
        <f>"B_01'" &amp; "Flr_0" &amp; INDEX(Joined!$A$3:$M$2000, MATCH($A478, Joined!$I$3:$I$2000, FALSE), 8)</f>
        <v>B_01'Flr_011</v>
      </c>
      <c r="AF478" t="str">
        <f>"R_" &amp; INDEX(Joined!$A$3:$M$2000, MATCH($A478, Joined!$I$3:$I$2000, FALSE), 7)</f>
        <v>R_VAV-11W-38</v>
      </c>
      <c r="AG478" t="str">
        <f>"B_01'" &amp; "Flr_0" &amp; INDEX(Joined!$A$3:$M$2000, MATCH($A478, Joined!$I$3:$I$2000, FALSE), 8)</f>
        <v>B_01'Flr_011</v>
      </c>
      <c r="AH478" t="str">
        <f>INDEX(Joined!$A$3:$M$2000, MATCH($A478, Joined!$I$3:$I$2000, FALSE), 7)</f>
        <v>VAV-11W-38</v>
      </c>
      <c r="AI478" t="s">
        <v>1806</v>
      </c>
    </row>
    <row r="479" spans="1:35" x14ac:dyDescent="0.2">
      <c r="A479" t="s">
        <v>1340</v>
      </c>
      <c r="B479" t="str">
        <f>"B_01'" &amp; "Flr_0" &amp; INDEX(Joined!$A$3:$M$2000, MATCH($A479, Joined!$I$3:$I$2000, FALSE), 8)</f>
        <v>B_01'Flr_011</v>
      </c>
      <c r="C479" t="str">
        <f>INDEX(Joined!$A$3:$M$2000, MATCH($A479, Joined!$I$3:$I$2000, FALSE), 7)</f>
        <v>VAV-11W-39</v>
      </c>
      <c r="D479">
        <f>INDEX(Joined!$A$3:$M$2000, MATCH($A479, Joined!$I$3:$I$2000, FALSE), 5)</f>
        <v>153012</v>
      </c>
      <c r="E479" t="str">
        <f>INDEX(Joined!$A$3:$M$2000, MATCH($A479, Joined!$I$3:$I$2000, FALSE), 7)</f>
        <v>VAV-11W-39</v>
      </c>
      <c r="F479" t="s">
        <v>38</v>
      </c>
      <c r="G479" t="str">
        <f>INDEX(Schedule!$Q$2:$R$7, MATCH(ABT!$H479,Schedule!$Q$2:$Q$7, 0), 2)</f>
        <v>15010_DXR_VAV_DXR2M12</v>
      </c>
      <c r="H479">
        <f>INDEX(Joined!$A$3:$M$2000, MATCH($A479, Joined!$I$3:$I$2000, FALSE), 6)</f>
        <v>15010</v>
      </c>
      <c r="I479" t="str">
        <f>INDEX(Joined!$A$3:$M$2000, MATCH($A479, Joined!$I$3:$I$2000, FALSE), 4)</f>
        <v>530</v>
      </c>
      <c r="J479" t="b">
        <v>0</v>
      </c>
      <c r="K479">
        <f>INDEX(Joined!$A$3:$M$2000, MATCH($A479, Joined!$I$3:$I$2000, FALSE), 3)</f>
        <v>12</v>
      </c>
      <c r="L479">
        <v>85</v>
      </c>
      <c r="M479">
        <v>38400</v>
      </c>
      <c r="N479" s="27">
        <f>PI()*(INDEX(Schedule!$A$1:$N$2000, MATCH($C479, VAV_Schedule_5_21[[#All],[UNIT TAG]], FALSE), 4)/2/12)^2</f>
        <v>0.54541539124822802</v>
      </c>
      <c r="O479" s="27">
        <f>INDEX(Schedule!$A$1:$N$2000, MATCH($C479, VAV_Schedule_5_21[[#All],[UNIT TAG]], FALSE), 4)</f>
        <v>10</v>
      </c>
      <c r="P479">
        <v>477.63</v>
      </c>
      <c r="Q479" s="27">
        <f>INDEX(Schedule!$A$1:$N$2000, MATCH($C479, VAV_Schedule_5_21[[#All],[UNIT TAG]], FALSE), 5)</f>
        <v>835</v>
      </c>
      <c r="R479" s="27">
        <f>INDEX(Schedule!$A$1:$N$2000, MATCH($C479, VAV_Schedule_5_21[[#All],[UNIT TAG]], FALSE), 6)</f>
        <v>130</v>
      </c>
      <c r="S479" s="27">
        <f>INDEX(Schedule!$A$1:$N$2000, MATCH($C479, VAV_Schedule_5_21[[#All],[UNIT TAG]], FALSE), 5)</f>
        <v>835</v>
      </c>
      <c r="T479" s="27">
        <f>INDEX(Schedule!$A$1:$N$2000, MATCH($C479, VAV_Schedule_5_21[[#All],[UNIT TAG]], FALSE), 6)</f>
        <v>130</v>
      </c>
      <c r="U479" s="27">
        <f>INDEX(Schedule!$A$1:$N$2000, MATCH($C479, VAV_Schedule_5_21[[#All],[UNIT TAG]], FALSE), 5)</f>
        <v>835</v>
      </c>
      <c r="V479" s="27">
        <f>INDEX(Schedule!$A$1:$N$2000, MATCH($C479, VAV_Schedule_5_21[[#All],[UNIT TAG]], FALSE), 6)</f>
        <v>130</v>
      </c>
      <c r="W479" s="27">
        <f>INDEX(Schedule!$A$1:$N$2000, MATCH($C479, VAV_Schedule_5_21[[#All],[UNIT TAG]], FALSE), 6)</f>
        <v>130</v>
      </c>
      <c r="X479" s="27">
        <f>INDEX(Schedule!$A$1:$N$2000, MATCH($C479, VAV_Schedule_5_21[[#All],[UNIT TAG]], FALSE), 6)</f>
        <v>130</v>
      </c>
      <c r="Y479" s="27">
        <f>INDEX(Schedule!$A$1:$N$2000, MATCH($C479, VAV_Schedule_5_21[[#All],[UNIT TAG]], FALSE), 6)</f>
        <v>130</v>
      </c>
      <c r="Z479" s="27">
        <f>INDEX(Schedule!$A$1:$N$2000, MATCH($C479, VAV_Schedule_5_21[[#All],[UNIT TAG]], FALSE), 6)</f>
        <v>130</v>
      </c>
      <c r="AA479" s="27">
        <v>1000</v>
      </c>
      <c r="AB479" s="27">
        <v>1100</v>
      </c>
      <c r="AC479">
        <v>1400</v>
      </c>
      <c r="AD479" s="29">
        <f>IF(INDEX(Schedule!$A$1:$N$2000, MATCH($C479, VAV_Schedule_5_21[[#All],[UNIT TAG]], FALSE), 7)="-", 0, INDEX(Schedule!$A$1:$N$2000, MATCH($C479, VAV_Schedule_5_21[[#All],[UNIT TAG]], FALSE), 7))</f>
        <v>0</v>
      </c>
      <c r="AE479" t="str">
        <f>"B_01'" &amp; "Flr_0" &amp; INDEX(Joined!$A$3:$M$2000, MATCH($A479, Joined!$I$3:$I$2000, FALSE), 8)</f>
        <v>B_01'Flr_011</v>
      </c>
      <c r="AF479" t="str">
        <f>"R_" &amp; INDEX(Joined!$A$3:$M$2000, MATCH($A479, Joined!$I$3:$I$2000, FALSE), 7)</f>
        <v>R_VAV-11W-39</v>
      </c>
      <c r="AG479" t="str">
        <f>"B_01'" &amp; "Flr_0" &amp; INDEX(Joined!$A$3:$M$2000, MATCH($A479, Joined!$I$3:$I$2000, FALSE), 8)</f>
        <v>B_01'Flr_011</v>
      </c>
      <c r="AH479" t="str">
        <f>INDEX(Joined!$A$3:$M$2000, MATCH($A479, Joined!$I$3:$I$2000, FALSE), 7)</f>
        <v>VAV-11W-39</v>
      </c>
      <c r="AI479" t="s">
        <v>1807</v>
      </c>
    </row>
    <row r="480" spans="1:35" x14ac:dyDescent="0.2">
      <c r="A480" t="s">
        <v>1341</v>
      </c>
      <c r="B480" t="str">
        <f>"B_01'" &amp; "Flr_0" &amp; INDEX(Joined!$A$3:$M$2000, MATCH($A480, Joined!$I$3:$I$2000, FALSE), 8)</f>
        <v>B_01'Flr_011</v>
      </c>
      <c r="C480" t="str">
        <f>INDEX(Joined!$A$3:$M$2000, MATCH($A480, Joined!$I$3:$I$2000, FALSE), 7)</f>
        <v>VAV-11W-40</v>
      </c>
      <c r="D480">
        <f>INDEX(Joined!$A$3:$M$2000, MATCH($A480, Joined!$I$3:$I$2000, FALSE), 5)</f>
        <v>153013</v>
      </c>
      <c r="E480" t="str">
        <f>INDEX(Joined!$A$3:$M$2000, MATCH($A480, Joined!$I$3:$I$2000, FALSE), 7)</f>
        <v>VAV-11W-40</v>
      </c>
      <c r="F480" t="s">
        <v>38</v>
      </c>
      <c r="G480" t="str">
        <f>INDEX(Schedule!$Q$2:$R$7, MATCH(ABT!$H480,Schedule!$Q$2:$Q$7, 0), 2)</f>
        <v>15010_DXR_VAV_DXR2M12</v>
      </c>
      <c r="H480">
        <f>INDEX(Joined!$A$3:$M$2000, MATCH($A480, Joined!$I$3:$I$2000, FALSE), 6)</f>
        <v>15010</v>
      </c>
      <c r="I480" t="str">
        <f>INDEX(Joined!$A$3:$M$2000, MATCH($A480, Joined!$I$3:$I$2000, FALSE), 4)</f>
        <v>530</v>
      </c>
      <c r="J480" t="b">
        <v>0</v>
      </c>
      <c r="K480">
        <f>INDEX(Joined!$A$3:$M$2000, MATCH($A480, Joined!$I$3:$I$2000, FALSE), 3)</f>
        <v>13</v>
      </c>
      <c r="L480">
        <v>85</v>
      </c>
      <c r="M480">
        <v>38400</v>
      </c>
      <c r="N480" s="27">
        <f>PI()*(INDEX(Schedule!$A$1:$N$2000, MATCH($C480, VAV_Schedule_5_21[[#All],[UNIT TAG]], FALSE), 4)/2/12)^2</f>
        <v>0.19634954084936207</v>
      </c>
      <c r="O480" s="27">
        <f>INDEX(Schedule!$A$1:$N$2000, MATCH($C480, VAV_Schedule_5_21[[#All],[UNIT TAG]], FALSE), 4)</f>
        <v>6</v>
      </c>
      <c r="P480">
        <v>478.63</v>
      </c>
      <c r="Q480" s="27">
        <f>INDEX(Schedule!$A$1:$N$2000, MATCH($C480, VAV_Schedule_5_21[[#All],[UNIT TAG]], FALSE), 5)</f>
        <v>185</v>
      </c>
      <c r="R480" s="27">
        <f>INDEX(Schedule!$A$1:$N$2000, MATCH($C480, VAV_Schedule_5_21[[#All],[UNIT TAG]], FALSE), 6)</f>
        <v>30</v>
      </c>
      <c r="S480" s="27">
        <f>INDEX(Schedule!$A$1:$N$2000, MATCH($C480, VAV_Schedule_5_21[[#All],[UNIT TAG]], FALSE), 5)</f>
        <v>185</v>
      </c>
      <c r="T480" s="27">
        <f>INDEX(Schedule!$A$1:$N$2000, MATCH($C480, VAV_Schedule_5_21[[#All],[UNIT TAG]], FALSE), 6)</f>
        <v>30</v>
      </c>
      <c r="U480" s="27">
        <f>INDEX(Schedule!$A$1:$N$2000, MATCH($C480, VAV_Schedule_5_21[[#All],[UNIT TAG]], FALSE), 5)</f>
        <v>185</v>
      </c>
      <c r="V480" s="27">
        <f>INDEX(Schedule!$A$1:$N$2000, MATCH($C480, VAV_Schedule_5_21[[#All],[UNIT TAG]], FALSE), 6)</f>
        <v>30</v>
      </c>
      <c r="W480" s="27">
        <f>INDEX(Schedule!$A$1:$N$2000, MATCH($C480, VAV_Schedule_5_21[[#All],[UNIT TAG]], FALSE), 6)</f>
        <v>30</v>
      </c>
      <c r="X480" s="27">
        <f>INDEX(Schedule!$A$1:$N$2000, MATCH($C480, VAV_Schedule_5_21[[#All],[UNIT TAG]], FALSE), 6)</f>
        <v>30</v>
      </c>
      <c r="Y480" s="27">
        <f>INDEX(Schedule!$A$1:$N$2000, MATCH($C480, VAV_Schedule_5_21[[#All],[UNIT TAG]], FALSE), 6)</f>
        <v>30</v>
      </c>
      <c r="Z480" s="27">
        <f>INDEX(Schedule!$A$1:$N$2000, MATCH($C480, VAV_Schedule_5_21[[#All],[UNIT TAG]], FALSE), 6)</f>
        <v>30</v>
      </c>
      <c r="AA480" s="27">
        <v>1000</v>
      </c>
      <c r="AB480" s="27">
        <v>1100</v>
      </c>
      <c r="AC480">
        <v>1400</v>
      </c>
      <c r="AD480" s="29">
        <f>IF(INDEX(Schedule!$A$1:$N$2000, MATCH($C480, VAV_Schedule_5_21[[#All],[UNIT TAG]], FALSE), 7)="-", 0, INDEX(Schedule!$A$1:$N$2000, MATCH($C480, VAV_Schedule_5_21[[#All],[UNIT TAG]], FALSE), 7))</f>
        <v>0</v>
      </c>
      <c r="AE480" t="str">
        <f>"B_01'" &amp; "Flr_0" &amp; INDEX(Joined!$A$3:$M$2000, MATCH($A480, Joined!$I$3:$I$2000, FALSE), 8)</f>
        <v>B_01'Flr_011</v>
      </c>
      <c r="AF480" t="str">
        <f>"R_" &amp; INDEX(Joined!$A$3:$M$2000, MATCH($A480, Joined!$I$3:$I$2000, FALSE), 7)</f>
        <v>R_VAV-11W-40</v>
      </c>
      <c r="AG480" t="str">
        <f>"B_01'" &amp; "Flr_0" &amp; INDEX(Joined!$A$3:$M$2000, MATCH($A480, Joined!$I$3:$I$2000, FALSE), 8)</f>
        <v>B_01'Flr_011</v>
      </c>
      <c r="AH480" t="str">
        <f>INDEX(Joined!$A$3:$M$2000, MATCH($A480, Joined!$I$3:$I$2000, FALSE), 7)</f>
        <v>VAV-11W-40</v>
      </c>
      <c r="AI480" t="s">
        <v>1808</v>
      </c>
    </row>
    <row r="481" spans="1:35" x14ac:dyDescent="0.2">
      <c r="A481" t="s">
        <v>1342</v>
      </c>
      <c r="B481" t="str">
        <f>"B_01'" &amp; "Flr_0" &amp; INDEX(Joined!$A$3:$M$2000, MATCH($A481, Joined!$I$3:$I$2000, FALSE), 8)</f>
        <v>B_01'Flr_011</v>
      </c>
      <c r="C481" t="str">
        <f>INDEX(Joined!$A$3:$M$2000, MATCH($A481, Joined!$I$3:$I$2000, FALSE), 7)</f>
        <v>VAV-11W-41</v>
      </c>
      <c r="D481">
        <f>INDEX(Joined!$A$3:$M$2000, MATCH($A481, Joined!$I$3:$I$2000, FALSE), 5)</f>
        <v>153014</v>
      </c>
      <c r="E481" t="str">
        <f>INDEX(Joined!$A$3:$M$2000, MATCH($A481, Joined!$I$3:$I$2000, FALSE), 7)</f>
        <v>VAV-11W-41</v>
      </c>
      <c r="F481" t="s">
        <v>38</v>
      </c>
      <c r="G481" t="str">
        <f>INDEX(Schedule!$Q$2:$R$7, MATCH(ABT!$H481,Schedule!$Q$2:$Q$7, 0), 2)</f>
        <v>15011_DXR_VAV_DXR2M12</v>
      </c>
      <c r="H481">
        <f>INDEX(Joined!$A$3:$M$2000, MATCH($A481, Joined!$I$3:$I$2000, FALSE), 6)</f>
        <v>15011</v>
      </c>
      <c r="I481" t="str">
        <f>INDEX(Joined!$A$3:$M$2000, MATCH($A481, Joined!$I$3:$I$2000, FALSE), 4)</f>
        <v>530</v>
      </c>
      <c r="J481" t="b">
        <v>0</v>
      </c>
      <c r="K481">
        <f>INDEX(Joined!$A$3:$M$2000, MATCH($A481, Joined!$I$3:$I$2000, FALSE), 3)</f>
        <v>14</v>
      </c>
      <c r="L481">
        <v>85</v>
      </c>
      <c r="M481">
        <v>38400</v>
      </c>
      <c r="N481" s="27">
        <f>PI()*(INDEX(Schedule!$A$1:$N$2000, MATCH($C481, VAV_Schedule_5_21[[#All],[UNIT TAG]], FALSE), 4)/2/12)^2</f>
        <v>0.78539816339744828</v>
      </c>
      <c r="O481" s="27">
        <f>INDEX(Schedule!$A$1:$N$2000, MATCH($C481, VAV_Schedule_5_21[[#All],[UNIT TAG]], FALSE), 4)</f>
        <v>12</v>
      </c>
      <c r="P481">
        <v>479.63</v>
      </c>
      <c r="Q481" s="27">
        <f>INDEX(Schedule!$A$1:$N$2000, MATCH($C481, VAV_Schedule_5_21[[#All],[UNIT TAG]], FALSE), 5)</f>
        <v>1220</v>
      </c>
      <c r="R481" s="27">
        <f>INDEX(Schedule!$A$1:$N$2000, MATCH($C481, VAV_Schedule_5_21[[#All],[UNIT TAG]], FALSE), 6)</f>
        <v>185</v>
      </c>
      <c r="S481" s="27">
        <f>INDEX(Schedule!$A$1:$N$2000, MATCH($C481, VAV_Schedule_5_21[[#All],[UNIT TAG]], FALSE), 5)</f>
        <v>1220</v>
      </c>
      <c r="T481" s="27">
        <f>INDEX(Schedule!$A$1:$N$2000, MATCH($C481, VAV_Schedule_5_21[[#All],[UNIT TAG]], FALSE), 6)</f>
        <v>185</v>
      </c>
      <c r="U481" s="27">
        <f>INDEX(Schedule!$A$1:$N$2000, MATCH($C481, VAV_Schedule_5_21[[#All],[UNIT TAG]], FALSE), 5)</f>
        <v>1220</v>
      </c>
      <c r="V481" s="27">
        <f>INDEX(Schedule!$A$1:$N$2000, MATCH($C481, VAV_Schedule_5_21[[#All],[UNIT TAG]], FALSE), 6)</f>
        <v>185</v>
      </c>
      <c r="W481" s="27">
        <f>INDEX(Schedule!$A$1:$N$2000, MATCH($C481, VAV_Schedule_5_21[[#All],[UNIT TAG]], FALSE), 6)</f>
        <v>185</v>
      </c>
      <c r="X481" s="27">
        <f>INDEX(Schedule!$A$1:$N$2000, MATCH($C481, VAV_Schedule_5_21[[#All],[UNIT TAG]], FALSE), 6)</f>
        <v>185</v>
      </c>
      <c r="Y481" s="27">
        <f>INDEX(Schedule!$A$1:$N$2000, MATCH($C481, VAV_Schedule_5_21[[#All],[UNIT TAG]], FALSE), 6)</f>
        <v>185</v>
      </c>
      <c r="Z481" s="27">
        <f>INDEX(Schedule!$A$1:$N$2000, MATCH($C481, VAV_Schedule_5_21[[#All],[UNIT TAG]], FALSE), 6)</f>
        <v>185</v>
      </c>
      <c r="AA481" s="27">
        <v>1000</v>
      </c>
      <c r="AB481" s="27">
        <v>1100</v>
      </c>
      <c r="AC481">
        <v>1400</v>
      </c>
      <c r="AD481" s="29" t="str">
        <f>IF(INDEX(Schedule!$A$1:$N$2000, MATCH($C481, VAV_Schedule_5_21[[#All],[UNIT TAG]], FALSE), 7)="-", 0, INDEX(Schedule!$A$1:$N$2000, MATCH($C481, VAV_Schedule_5_21[[#All],[UNIT TAG]], FALSE), 7))</f>
        <v>7</v>
      </c>
      <c r="AE481" t="str">
        <f>"B_01'" &amp; "Flr_0" &amp; INDEX(Joined!$A$3:$M$2000, MATCH($A481, Joined!$I$3:$I$2000, FALSE), 8)</f>
        <v>B_01'Flr_011</v>
      </c>
      <c r="AF481" t="str">
        <f>"R_" &amp; INDEX(Joined!$A$3:$M$2000, MATCH($A481, Joined!$I$3:$I$2000, FALSE), 7)</f>
        <v>R_VAV-11W-41</v>
      </c>
      <c r="AG481" t="str">
        <f>"B_01'" &amp; "Flr_0" &amp; INDEX(Joined!$A$3:$M$2000, MATCH($A481, Joined!$I$3:$I$2000, FALSE), 8)</f>
        <v>B_01'Flr_011</v>
      </c>
      <c r="AH481" t="str">
        <f>INDEX(Joined!$A$3:$M$2000, MATCH($A481, Joined!$I$3:$I$2000, FALSE), 7)</f>
        <v>VAV-11W-41</v>
      </c>
      <c r="AI481" t="s">
        <v>1809</v>
      </c>
    </row>
    <row r="482" spans="1:35" x14ac:dyDescent="0.2">
      <c r="A482" t="s">
        <v>1343</v>
      </c>
      <c r="B482" t="str">
        <f>"B_01'" &amp; "Flr_0" &amp; INDEX(Joined!$A$3:$M$2000, MATCH($A482, Joined!$I$3:$I$2000, FALSE), 8)</f>
        <v>B_01'Flr_011</v>
      </c>
      <c r="C482" t="str">
        <f>INDEX(Joined!$A$3:$M$2000, MATCH($A482, Joined!$I$3:$I$2000, FALSE), 7)</f>
        <v>VAV-11W-42</v>
      </c>
      <c r="D482">
        <f>INDEX(Joined!$A$3:$M$2000, MATCH($A482, Joined!$I$3:$I$2000, FALSE), 5)</f>
        <v>153015</v>
      </c>
      <c r="E482" t="str">
        <f>INDEX(Joined!$A$3:$M$2000, MATCH($A482, Joined!$I$3:$I$2000, FALSE), 7)</f>
        <v>VAV-11W-42</v>
      </c>
      <c r="F482" t="s">
        <v>38</v>
      </c>
      <c r="G482" t="str">
        <f>INDEX(Schedule!$Q$2:$R$7, MATCH(ABT!$H482,Schedule!$Q$2:$Q$7, 0), 2)</f>
        <v>15011_DXR_VAV_DXR2M12</v>
      </c>
      <c r="H482">
        <f>INDEX(Joined!$A$3:$M$2000, MATCH($A482, Joined!$I$3:$I$2000, FALSE), 6)</f>
        <v>15011</v>
      </c>
      <c r="I482" t="str">
        <f>INDEX(Joined!$A$3:$M$2000, MATCH($A482, Joined!$I$3:$I$2000, FALSE), 4)</f>
        <v>530</v>
      </c>
      <c r="J482" t="b">
        <v>0</v>
      </c>
      <c r="K482">
        <f>INDEX(Joined!$A$3:$M$2000, MATCH($A482, Joined!$I$3:$I$2000, FALSE), 3)</f>
        <v>15</v>
      </c>
      <c r="L482">
        <v>85</v>
      </c>
      <c r="M482">
        <v>38400</v>
      </c>
      <c r="N482" s="27">
        <f>PI()*(INDEX(Schedule!$A$1:$N$2000, MATCH($C482, VAV_Schedule_5_21[[#All],[UNIT TAG]], FALSE), 4)/2/12)^2</f>
        <v>0.54541539124822802</v>
      </c>
      <c r="O482" s="27">
        <f>INDEX(Schedule!$A$1:$N$2000, MATCH($C482, VAV_Schedule_5_21[[#All],[UNIT TAG]], FALSE), 4)</f>
        <v>10</v>
      </c>
      <c r="P482">
        <v>480.63</v>
      </c>
      <c r="Q482" s="27">
        <f>INDEX(Schedule!$A$1:$N$2000, MATCH($C482, VAV_Schedule_5_21[[#All],[UNIT TAG]], FALSE), 5)</f>
        <v>960</v>
      </c>
      <c r="R482" s="27">
        <f>INDEX(Schedule!$A$1:$N$2000, MATCH($C482, VAV_Schedule_5_21[[#All],[UNIT TAG]], FALSE), 6)</f>
        <v>145</v>
      </c>
      <c r="S482" s="27">
        <f>INDEX(Schedule!$A$1:$N$2000, MATCH($C482, VAV_Schedule_5_21[[#All],[UNIT TAG]], FALSE), 5)</f>
        <v>960</v>
      </c>
      <c r="T482" s="27">
        <f>INDEX(Schedule!$A$1:$N$2000, MATCH($C482, VAV_Schedule_5_21[[#All],[UNIT TAG]], FALSE), 6)</f>
        <v>145</v>
      </c>
      <c r="U482" s="27">
        <f>INDEX(Schedule!$A$1:$N$2000, MATCH($C482, VAV_Schedule_5_21[[#All],[UNIT TAG]], FALSE), 5)</f>
        <v>960</v>
      </c>
      <c r="V482" s="27">
        <f>INDEX(Schedule!$A$1:$N$2000, MATCH($C482, VAV_Schedule_5_21[[#All],[UNIT TAG]], FALSE), 6)</f>
        <v>145</v>
      </c>
      <c r="W482" s="27">
        <f>INDEX(Schedule!$A$1:$N$2000, MATCH($C482, VAV_Schedule_5_21[[#All],[UNIT TAG]], FALSE), 6)</f>
        <v>145</v>
      </c>
      <c r="X482" s="27">
        <f>INDEX(Schedule!$A$1:$N$2000, MATCH($C482, VAV_Schedule_5_21[[#All],[UNIT TAG]], FALSE), 6)</f>
        <v>145</v>
      </c>
      <c r="Y482" s="27">
        <f>INDEX(Schedule!$A$1:$N$2000, MATCH($C482, VAV_Schedule_5_21[[#All],[UNIT TAG]], FALSE), 6)</f>
        <v>145</v>
      </c>
      <c r="Z482" s="27">
        <f>INDEX(Schedule!$A$1:$N$2000, MATCH($C482, VAV_Schedule_5_21[[#All],[UNIT TAG]], FALSE), 6)</f>
        <v>145</v>
      </c>
      <c r="AA482" s="27">
        <v>1000</v>
      </c>
      <c r="AB482" s="27">
        <v>1100</v>
      </c>
      <c r="AC482">
        <v>1400</v>
      </c>
      <c r="AD482" s="29" t="str">
        <f>IF(INDEX(Schedule!$A$1:$N$2000, MATCH($C482, VAV_Schedule_5_21[[#All],[UNIT TAG]], FALSE), 7)="-", 0, INDEX(Schedule!$A$1:$N$2000, MATCH($C482, VAV_Schedule_5_21[[#All],[UNIT TAG]], FALSE), 7))</f>
        <v>6</v>
      </c>
      <c r="AE482" t="str">
        <f>"B_01'" &amp; "Flr_0" &amp; INDEX(Joined!$A$3:$M$2000, MATCH($A482, Joined!$I$3:$I$2000, FALSE), 8)</f>
        <v>B_01'Flr_011</v>
      </c>
      <c r="AF482" t="str">
        <f>"R_" &amp; INDEX(Joined!$A$3:$M$2000, MATCH($A482, Joined!$I$3:$I$2000, FALSE), 7)</f>
        <v>R_VAV-11W-42</v>
      </c>
      <c r="AG482" t="str">
        <f>"B_01'" &amp; "Flr_0" &amp; INDEX(Joined!$A$3:$M$2000, MATCH($A482, Joined!$I$3:$I$2000, FALSE), 8)</f>
        <v>B_01'Flr_011</v>
      </c>
      <c r="AH482" t="str">
        <f>INDEX(Joined!$A$3:$M$2000, MATCH($A482, Joined!$I$3:$I$2000, FALSE), 7)</f>
        <v>VAV-11W-42</v>
      </c>
      <c r="AI482" t="s">
        <v>1810</v>
      </c>
    </row>
    <row r="483" spans="1:35" x14ac:dyDescent="0.2">
      <c r="A483" t="s">
        <v>1344</v>
      </c>
      <c r="B483" t="str">
        <f>"B_01'" &amp; "Flr_0" &amp; INDEX(Joined!$A$3:$M$2000, MATCH($A483, Joined!$I$3:$I$2000, FALSE), 8)</f>
        <v>B_01'Flr_011</v>
      </c>
      <c r="C483" t="str">
        <f>INDEX(Joined!$A$3:$M$2000, MATCH($A483, Joined!$I$3:$I$2000, FALSE), 7)</f>
        <v>VAV-11W-43</v>
      </c>
      <c r="D483">
        <f>INDEX(Joined!$A$3:$M$2000, MATCH($A483, Joined!$I$3:$I$2000, FALSE), 5)</f>
        <v>153016</v>
      </c>
      <c r="E483" t="str">
        <f>INDEX(Joined!$A$3:$M$2000, MATCH($A483, Joined!$I$3:$I$2000, FALSE), 7)</f>
        <v>VAV-11W-43</v>
      </c>
      <c r="F483" t="s">
        <v>38</v>
      </c>
      <c r="G483" t="str">
        <f>INDEX(Schedule!$Q$2:$R$7, MATCH(ABT!$H483,Schedule!$Q$2:$Q$7, 0), 2)</f>
        <v>15011_DXR_VAV_DXR2M12</v>
      </c>
      <c r="H483">
        <f>INDEX(Joined!$A$3:$M$2000, MATCH($A483, Joined!$I$3:$I$2000, FALSE), 6)</f>
        <v>15011</v>
      </c>
      <c r="I483" t="str">
        <f>INDEX(Joined!$A$3:$M$2000, MATCH($A483, Joined!$I$3:$I$2000, FALSE), 4)</f>
        <v>530</v>
      </c>
      <c r="J483" t="b">
        <v>0</v>
      </c>
      <c r="K483">
        <f>INDEX(Joined!$A$3:$M$2000, MATCH($A483, Joined!$I$3:$I$2000, FALSE), 3)</f>
        <v>16</v>
      </c>
      <c r="L483">
        <v>85</v>
      </c>
      <c r="M483">
        <v>38400</v>
      </c>
      <c r="N483" s="27">
        <f>PI()*(INDEX(Schedule!$A$1:$N$2000, MATCH($C483, VAV_Schedule_5_21[[#All],[UNIT TAG]], FALSE), 4)/2/12)^2</f>
        <v>0.78539816339744828</v>
      </c>
      <c r="O483" s="27">
        <f>INDEX(Schedule!$A$1:$N$2000, MATCH($C483, VAV_Schedule_5_21[[#All],[UNIT TAG]], FALSE), 4)</f>
        <v>12</v>
      </c>
      <c r="P483">
        <v>481.63</v>
      </c>
      <c r="Q483" s="27">
        <f>INDEX(Schedule!$A$1:$N$2000, MATCH($C483, VAV_Schedule_5_21[[#All],[UNIT TAG]], FALSE), 5)</f>
        <v>1220</v>
      </c>
      <c r="R483" s="27">
        <f>INDEX(Schedule!$A$1:$N$2000, MATCH($C483, VAV_Schedule_5_21[[#All],[UNIT TAG]], FALSE), 6)</f>
        <v>185</v>
      </c>
      <c r="S483" s="27">
        <f>INDEX(Schedule!$A$1:$N$2000, MATCH($C483, VAV_Schedule_5_21[[#All],[UNIT TAG]], FALSE), 5)</f>
        <v>1220</v>
      </c>
      <c r="T483" s="27">
        <f>INDEX(Schedule!$A$1:$N$2000, MATCH($C483, VAV_Schedule_5_21[[#All],[UNIT TAG]], FALSE), 6)</f>
        <v>185</v>
      </c>
      <c r="U483" s="27">
        <f>INDEX(Schedule!$A$1:$N$2000, MATCH($C483, VAV_Schedule_5_21[[#All],[UNIT TAG]], FALSE), 5)</f>
        <v>1220</v>
      </c>
      <c r="V483" s="27">
        <f>INDEX(Schedule!$A$1:$N$2000, MATCH($C483, VAV_Schedule_5_21[[#All],[UNIT TAG]], FALSE), 6)</f>
        <v>185</v>
      </c>
      <c r="W483" s="27">
        <f>INDEX(Schedule!$A$1:$N$2000, MATCH($C483, VAV_Schedule_5_21[[#All],[UNIT TAG]], FALSE), 6)</f>
        <v>185</v>
      </c>
      <c r="X483" s="27">
        <f>INDEX(Schedule!$A$1:$N$2000, MATCH($C483, VAV_Schedule_5_21[[#All],[UNIT TAG]], FALSE), 6)</f>
        <v>185</v>
      </c>
      <c r="Y483" s="27">
        <f>INDEX(Schedule!$A$1:$N$2000, MATCH($C483, VAV_Schedule_5_21[[#All],[UNIT TAG]], FALSE), 6)</f>
        <v>185</v>
      </c>
      <c r="Z483" s="27">
        <f>INDEX(Schedule!$A$1:$N$2000, MATCH($C483, VAV_Schedule_5_21[[#All],[UNIT TAG]], FALSE), 6)</f>
        <v>185</v>
      </c>
      <c r="AA483" s="27">
        <v>1000</v>
      </c>
      <c r="AB483" s="27">
        <v>1100</v>
      </c>
      <c r="AC483">
        <v>1400</v>
      </c>
      <c r="AD483" s="29" t="str">
        <f>IF(INDEX(Schedule!$A$1:$N$2000, MATCH($C483, VAV_Schedule_5_21[[#All],[UNIT TAG]], FALSE), 7)="-", 0, INDEX(Schedule!$A$1:$N$2000, MATCH($C483, VAV_Schedule_5_21[[#All],[UNIT TAG]], FALSE), 7))</f>
        <v>7</v>
      </c>
      <c r="AE483" t="str">
        <f>"B_01'" &amp; "Flr_0" &amp; INDEX(Joined!$A$3:$M$2000, MATCH($A483, Joined!$I$3:$I$2000, FALSE), 8)</f>
        <v>B_01'Flr_011</v>
      </c>
      <c r="AF483" t="str">
        <f>"R_" &amp; INDEX(Joined!$A$3:$M$2000, MATCH($A483, Joined!$I$3:$I$2000, FALSE), 7)</f>
        <v>R_VAV-11W-43</v>
      </c>
      <c r="AG483" t="str">
        <f>"B_01'" &amp; "Flr_0" &amp; INDEX(Joined!$A$3:$M$2000, MATCH($A483, Joined!$I$3:$I$2000, FALSE), 8)</f>
        <v>B_01'Flr_011</v>
      </c>
      <c r="AH483" t="str">
        <f>INDEX(Joined!$A$3:$M$2000, MATCH($A483, Joined!$I$3:$I$2000, FALSE), 7)</f>
        <v>VAV-11W-43</v>
      </c>
      <c r="AI483" t="s">
        <v>1811</v>
      </c>
    </row>
    <row r="484" spans="1:35" x14ac:dyDescent="0.2">
      <c r="A484" t="s">
        <v>1345</v>
      </c>
      <c r="B484" t="str">
        <f>"B_01'" &amp; "Flr_0" &amp; INDEX(Joined!$A$3:$M$2000, MATCH($A484, Joined!$I$3:$I$2000, FALSE), 8)</f>
        <v>B_01'Flr_011</v>
      </c>
      <c r="C484" t="str">
        <f>INDEX(Joined!$A$3:$M$2000, MATCH($A484, Joined!$I$3:$I$2000, FALSE), 7)</f>
        <v>VAV-11W-44</v>
      </c>
      <c r="D484">
        <f>INDEX(Joined!$A$3:$M$2000, MATCH($A484, Joined!$I$3:$I$2000, FALSE), 5)</f>
        <v>153017</v>
      </c>
      <c r="E484" t="str">
        <f>INDEX(Joined!$A$3:$M$2000, MATCH($A484, Joined!$I$3:$I$2000, FALSE), 7)</f>
        <v>VAV-11W-44</v>
      </c>
      <c r="F484" t="s">
        <v>38</v>
      </c>
      <c r="G484" t="str">
        <f>INDEX(Schedule!$Q$2:$R$7, MATCH(ABT!$H484,Schedule!$Q$2:$Q$7, 0), 2)</f>
        <v>15010_DXR_VAV_DXR2M12</v>
      </c>
      <c r="H484">
        <f>INDEX(Joined!$A$3:$M$2000, MATCH($A484, Joined!$I$3:$I$2000, FALSE), 6)</f>
        <v>15010</v>
      </c>
      <c r="I484" t="str">
        <f>INDEX(Joined!$A$3:$M$2000, MATCH($A484, Joined!$I$3:$I$2000, FALSE), 4)</f>
        <v>530</v>
      </c>
      <c r="J484" t="b">
        <v>0</v>
      </c>
      <c r="K484">
        <f>INDEX(Joined!$A$3:$M$2000, MATCH($A484, Joined!$I$3:$I$2000, FALSE), 3)</f>
        <v>17</v>
      </c>
      <c r="L484">
        <v>85</v>
      </c>
      <c r="M484">
        <v>38400</v>
      </c>
      <c r="N484" s="27">
        <f>PI()*(INDEX(Schedule!$A$1:$N$2000, MATCH($C484, VAV_Schedule_5_21[[#All],[UNIT TAG]], FALSE), 4)/2/12)^2</f>
        <v>0.19634954084936207</v>
      </c>
      <c r="O484" s="27">
        <f>INDEX(Schedule!$A$1:$N$2000, MATCH($C484, VAV_Schedule_5_21[[#All],[UNIT TAG]], FALSE), 4)</f>
        <v>6</v>
      </c>
      <c r="P484">
        <v>482.63</v>
      </c>
      <c r="Q484" s="27">
        <f>INDEX(Schedule!$A$1:$N$2000, MATCH($C484, VAV_Schedule_5_21[[#All],[UNIT TAG]], FALSE), 5)</f>
        <v>200</v>
      </c>
      <c r="R484" s="27">
        <f>INDEX(Schedule!$A$1:$N$2000, MATCH($C484, VAV_Schedule_5_21[[#All],[UNIT TAG]], FALSE), 6)</f>
        <v>30</v>
      </c>
      <c r="S484" s="27">
        <f>INDEX(Schedule!$A$1:$N$2000, MATCH($C484, VAV_Schedule_5_21[[#All],[UNIT TAG]], FALSE), 5)</f>
        <v>200</v>
      </c>
      <c r="T484" s="27">
        <f>INDEX(Schedule!$A$1:$N$2000, MATCH($C484, VAV_Schedule_5_21[[#All],[UNIT TAG]], FALSE), 6)</f>
        <v>30</v>
      </c>
      <c r="U484" s="27">
        <f>INDEX(Schedule!$A$1:$N$2000, MATCH($C484, VAV_Schedule_5_21[[#All],[UNIT TAG]], FALSE), 5)</f>
        <v>200</v>
      </c>
      <c r="V484" s="27">
        <f>INDEX(Schedule!$A$1:$N$2000, MATCH($C484, VAV_Schedule_5_21[[#All],[UNIT TAG]], FALSE), 6)</f>
        <v>30</v>
      </c>
      <c r="W484" s="27">
        <f>INDEX(Schedule!$A$1:$N$2000, MATCH($C484, VAV_Schedule_5_21[[#All],[UNIT TAG]], FALSE), 6)</f>
        <v>30</v>
      </c>
      <c r="X484" s="27">
        <f>INDEX(Schedule!$A$1:$N$2000, MATCH($C484, VAV_Schedule_5_21[[#All],[UNIT TAG]], FALSE), 6)</f>
        <v>30</v>
      </c>
      <c r="Y484" s="27">
        <f>INDEX(Schedule!$A$1:$N$2000, MATCH($C484, VAV_Schedule_5_21[[#All],[UNIT TAG]], FALSE), 6)</f>
        <v>30</v>
      </c>
      <c r="Z484" s="27">
        <f>INDEX(Schedule!$A$1:$N$2000, MATCH($C484, VAV_Schedule_5_21[[#All],[UNIT TAG]], FALSE), 6)</f>
        <v>30</v>
      </c>
      <c r="AA484" s="27">
        <v>1000</v>
      </c>
      <c r="AB484" s="27">
        <v>1100</v>
      </c>
      <c r="AC484">
        <v>1400</v>
      </c>
      <c r="AD484" s="29">
        <f>IF(INDEX(Schedule!$A$1:$N$2000, MATCH($C484, VAV_Schedule_5_21[[#All],[UNIT TAG]], FALSE), 7)="-", 0, INDEX(Schedule!$A$1:$N$2000, MATCH($C484, VAV_Schedule_5_21[[#All],[UNIT TAG]], FALSE), 7))</f>
        <v>0</v>
      </c>
      <c r="AE484" t="str">
        <f>"B_01'" &amp; "Flr_0" &amp; INDEX(Joined!$A$3:$M$2000, MATCH($A484, Joined!$I$3:$I$2000, FALSE), 8)</f>
        <v>B_01'Flr_011</v>
      </c>
      <c r="AF484" t="str">
        <f>"R_" &amp; INDEX(Joined!$A$3:$M$2000, MATCH($A484, Joined!$I$3:$I$2000, FALSE), 7)</f>
        <v>R_VAV-11W-44</v>
      </c>
      <c r="AG484" t="str">
        <f>"B_01'" &amp; "Flr_0" &amp; INDEX(Joined!$A$3:$M$2000, MATCH($A484, Joined!$I$3:$I$2000, FALSE), 8)</f>
        <v>B_01'Flr_011</v>
      </c>
      <c r="AH484" t="str">
        <f>INDEX(Joined!$A$3:$M$2000, MATCH($A484, Joined!$I$3:$I$2000, FALSE), 7)</f>
        <v>VAV-11W-44</v>
      </c>
      <c r="AI484" t="s">
        <v>1812</v>
      </c>
    </row>
    <row r="485" spans="1:35" x14ac:dyDescent="0.2">
      <c r="A485" t="s">
        <v>1346</v>
      </c>
      <c r="B485" t="str">
        <f>"B_01'" &amp; "Flr_0" &amp; INDEX(Joined!$A$3:$M$2000, MATCH($A485, Joined!$I$3:$I$2000, FALSE), 8)</f>
        <v>B_01'Flr_012</v>
      </c>
      <c r="C485" t="str">
        <f>INDEX(Joined!$A$3:$M$2000, MATCH($A485, Joined!$I$3:$I$2000, FALSE), 7)</f>
        <v>VAV-12W-1</v>
      </c>
      <c r="D485">
        <f>INDEX(Joined!$A$3:$M$2000, MATCH($A485, Joined!$I$3:$I$2000, FALSE), 5)</f>
        <v>153301</v>
      </c>
      <c r="E485" t="str">
        <f>INDEX(Joined!$A$3:$M$2000, MATCH($A485, Joined!$I$3:$I$2000, FALSE), 7)</f>
        <v>VAV-12W-1</v>
      </c>
      <c r="F485" t="s">
        <v>38</v>
      </c>
      <c r="G485" t="str">
        <f>INDEX(Schedule!$Q$2:$R$7, MATCH(ABT!$H485,Schedule!$Q$2:$Q$7, 0), 2)</f>
        <v>15011_DXR_VAV_DXR2M12</v>
      </c>
      <c r="H485">
        <f>INDEX(Joined!$A$3:$M$2000, MATCH($A485, Joined!$I$3:$I$2000, FALSE), 6)</f>
        <v>15011</v>
      </c>
      <c r="I485" t="str">
        <f>INDEX(Joined!$A$3:$M$2000, MATCH($A485, Joined!$I$3:$I$2000, FALSE), 4)</f>
        <v>533</v>
      </c>
      <c r="J485" t="b">
        <v>0</v>
      </c>
      <c r="K485">
        <f>INDEX(Joined!$A$3:$M$2000, MATCH($A485, Joined!$I$3:$I$2000, FALSE), 3)</f>
        <v>1</v>
      </c>
      <c r="L485">
        <v>85</v>
      </c>
      <c r="M485">
        <v>38400</v>
      </c>
      <c r="N485" s="27">
        <f>PI()*(INDEX(Schedule!$A$1:$N$2000, MATCH($C485, VAV_Schedule_5_21[[#All],[UNIT TAG]], FALSE), 4)/2/12)^2</f>
        <v>0.54541539124822802</v>
      </c>
      <c r="O485" s="27">
        <f>INDEX(Schedule!$A$1:$N$2000, MATCH($C485, VAV_Schedule_5_21[[#All],[UNIT TAG]], FALSE), 4)</f>
        <v>10</v>
      </c>
      <c r="P485">
        <v>483.63</v>
      </c>
      <c r="Q485" s="27">
        <f>INDEX(Schedule!$A$1:$N$2000, MATCH($C485, VAV_Schedule_5_21[[#All],[UNIT TAG]], FALSE), 5)</f>
        <v>990</v>
      </c>
      <c r="R485" s="27">
        <f>INDEX(Schedule!$A$1:$N$2000, MATCH($C485, VAV_Schedule_5_21[[#All],[UNIT TAG]], FALSE), 6)</f>
        <v>150</v>
      </c>
      <c r="S485" s="27">
        <f>INDEX(Schedule!$A$1:$N$2000, MATCH($C485, VAV_Schedule_5_21[[#All],[UNIT TAG]], FALSE), 5)</f>
        <v>990</v>
      </c>
      <c r="T485" s="27">
        <f>INDEX(Schedule!$A$1:$N$2000, MATCH($C485, VAV_Schedule_5_21[[#All],[UNIT TAG]], FALSE), 6)</f>
        <v>150</v>
      </c>
      <c r="U485" s="27">
        <f>INDEX(Schedule!$A$1:$N$2000, MATCH($C485, VAV_Schedule_5_21[[#All],[UNIT TAG]], FALSE), 5)</f>
        <v>990</v>
      </c>
      <c r="V485" s="27">
        <f>INDEX(Schedule!$A$1:$N$2000, MATCH($C485, VAV_Schedule_5_21[[#All],[UNIT TAG]], FALSE), 6)</f>
        <v>150</v>
      </c>
      <c r="W485" s="27">
        <f>INDEX(Schedule!$A$1:$N$2000, MATCH($C485, VAV_Schedule_5_21[[#All],[UNIT TAG]], FALSE), 6)</f>
        <v>150</v>
      </c>
      <c r="X485" s="27">
        <f>INDEX(Schedule!$A$1:$N$2000, MATCH($C485, VAV_Schedule_5_21[[#All],[UNIT TAG]], FALSE), 6)</f>
        <v>150</v>
      </c>
      <c r="Y485" s="27">
        <f>INDEX(Schedule!$A$1:$N$2000, MATCH($C485, VAV_Schedule_5_21[[#All],[UNIT TAG]], FALSE), 6)</f>
        <v>150</v>
      </c>
      <c r="Z485" s="27">
        <f>INDEX(Schedule!$A$1:$N$2000, MATCH($C485, VAV_Schedule_5_21[[#All],[UNIT TAG]], FALSE), 6)</f>
        <v>150</v>
      </c>
      <c r="AA485" s="27">
        <v>1000</v>
      </c>
      <c r="AB485" s="27">
        <v>1100</v>
      </c>
      <c r="AC485">
        <v>1400</v>
      </c>
      <c r="AD485" s="29" t="str">
        <f>IF(INDEX(Schedule!$A$1:$N$2000, MATCH($C485, VAV_Schedule_5_21[[#All],[UNIT TAG]], FALSE), 7)="-", 0, INDEX(Schedule!$A$1:$N$2000, MATCH($C485, VAV_Schedule_5_21[[#All],[UNIT TAG]], FALSE), 7))</f>
        <v>9</v>
      </c>
      <c r="AE485" t="str">
        <f>"B_01'" &amp; "Flr_0" &amp; INDEX(Joined!$A$3:$M$2000, MATCH($A485, Joined!$I$3:$I$2000, FALSE), 8)</f>
        <v>B_01'Flr_012</v>
      </c>
      <c r="AF485" t="str">
        <f>"R_" &amp; INDEX(Joined!$A$3:$M$2000, MATCH($A485, Joined!$I$3:$I$2000, FALSE), 7)</f>
        <v>R_VAV-12W-1</v>
      </c>
      <c r="AG485" t="str">
        <f>"B_01'" &amp; "Flr_0" &amp; INDEX(Joined!$A$3:$M$2000, MATCH($A485, Joined!$I$3:$I$2000, FALSE), 8)</f>
        <v>B_01'Flr_012</v>
      </c>
      <c r="AH485" t="str">
        <f>INDEX(Joined!$A$3:$M$2000, MATCH($A485, Joined!$I$3:$I$2000, FALSE), 7)</f>
        <v>VAV-12W-1</v>
      </c>
      <c r="AI485" t="s">
        <v>1813</v>
      </c>
    </row>
    <row r="486" spans="1:35" x14ac:dyDescent="0.2">
      <c r="A486" t="s">
        <v>1347</v>
      </c>
      <c r="B486" t="str">
        <f>"B_01'" &amp; "Flr_0" &amp; INDEX(Joined!$A$3:$M$2000, MATCH($A486, Joined!$I$3:$I$2000, FALSE), 8)</f>
        <v>B_01'Flr_012</v>
      </c>
      <c r="C486" t="str">
        <f>INDEX(Joined!$A$3:$M$2000, MATCH($A486, Joined!$I$3:$I$2000, FALSE), 7)</f>
        <v>VAV-12W-2</v>
      </c>
      <c r="D486">
        <f>INDEX(Joined!$A$3:$M$2000, MATCH($A486, Joined!$I$3:$I$2000, FALSE), 5)</f>
        <v>153302</v>
      </c>
      <c r="E486" t="str">
        <f>INDEX(Joined!$A$3:$M$2000, MATCH($A486, Joined!$I$3:$I$2000, FALSE), 7)</f>
        <v>VAV-12W-2</v>
      </c>
      <c r="F486" t="s">
        <v>38</v>
      </c>
      <c r="G486" t="str">
        <f>INDEX(Schedule!$Q$2:$R$7, MATCH(ABT!$H486,Schedule!$Q$2:$Q$7, 0), 2)</f>
        <v>15011_DXR_VAV_DXR2M12</v>
      </c>
      <c r="H486">
        <f>INDEX(Joined!$A$3:$M$2000, MATCH($A486, Joined!$I$3:$I$2000, FALSE), 6)</f>
        <v>15011</v>
      </c>
      <c r="I486" t="str">
        <f>INDEX(Joined!$A$3:$M$2000, MATCH($A486, Joined!$I$3:$I$2000, FALSE), 4)</f>
        <v>533</v>
      </c>
      <c r="J486" t="b">
        <v>0</v>
      </c>
      <c r="K486">
        <f>INDEX(Joined!$A$3:$M$2000, MATCH($A486, Joined!$I$3:$I$2000, FALSE), 3)</f>
        <v>2</v>
      </c>
      <c r="L486">
        <v>85</v>
      </c>
      <c r="M486">
        <v>38400</v>
      </c>
      <c r="N486" s="27">
        <f>PI()*(INDEX(Schedule!$A$1:$N$2000, MATCH($C486, VAV_Schedule_5_21[[#All],[UNIT TAG]], FALSE), 4)/2/12)^2</f>
        <v>0.3490658503988659</v>
      </c>
      <c r="O486" s="27">
        <f>INDEX(Schedule!$A$1:$N$2000, MATCH($C486, VAV_Schedule_5_21[[#All],[UNIT TAG]], FALSE), 4)</f>
        <v>8</v>
      </c>
      <c r="P486">
        <v>484.63</v>
      </c>
      <c r="Q486" s="27">
        <f>INDEX(Schedule!$A$1:$N$2000, MATCH($C486, VAV_Schedule_5_21[[#All],[UNIT TAG]], FALSE), 5)</f>
        <v>600</v>
      </c>
      <c r="R486" s="27">
        <f>INDEX(Schedule!$A$1:$N$2000, MATCH($C486, VAV_Schedule_5_21[[#All],[UNIT TAG]], FALSE), 6)</f>
        <v>90</v>
      </c>
      <c r="S486" s="27">
        <f>INDEX(Schedule!$A$1:$N$2000, MATCH($C486, VAV_Schedule_5_21[[#All],[UNIT TAG]], FALSE), 5)</f>
        <v>600</v>
      </c>
      <c r="T486" s="27">
        <f>INDEX(Schedule!$A$1:$N$2000, MATCH($C486, VAV_Schedule_5_21[[#All],[UNIT TAG]], FALSE), 6)</f>
        <v>90</v>
      </c>
      <c r="U486" s="27">
        <f>INDEX(Schedule!$A$1:$N$2000, MATCH($C486, VAV_Schedule_5_21[[#All],[UNIT TAG]], FALSE), 5)</f>
        <v>600</v>
      </c>
      <c r="V486" s="27">
        <f>INDEX(Schedule!$A$1:$N$2000, MATCH($C486, VAV_Schedule_5_21[[#All],[UNIT TAG]], FALSE), 6)</f>
        <v>90</v>
      </c>
      <c r="W486" s="27">
        <f>INDEX(Schedule!$A$1:$N$2000, MATCH($C486, VAV_Schedule_5_21[[#All],[UNIT TAG]], FALSE), 6)</f>
        <v>90</v>
      </c>
      <c r="X486" s="27">
        <f>INDEX(Schedule!$A$1:$N$2000, MATCH($C486, VAV_Schedule_5_21[[#All],[UNIT TAG]], FALSE), 6)</f>
        <v>90</v>
      </c>
      <c r="Y486" s="27">
        <f>INDEX(Schedule!$A$1:$N$2000, MATCH($C486, VAV_Schedule_5_21[[#All],[UNIT TAG]], FALSE), 6)</f>
        <v>90</v>
      </c>
      <c r="Z486" s="27">
        <f>INDEX(Schedule!$A$1:$N$2000, MATCH($C486, VAV_Schedule_5_21[[#All],[UNIT TAG]], FALSE), 6)</f>
        <v>90</v>
      </c>
      <c r="AA486" s="27">
        <v>1000</v>
      </c>
      <c r="AB486" s="27">
        <v>1100</v>
      </c>
      <c r="AC486">
        <v>1400</v>
      </c>
      <c r="AD486" s="29" t="str">
        <f>IF(INDEX(Schedule!$A$1:$N$2000, MATCH($C486, VAV_Schedule_5_21[[#All],[UNIT TAG]], FALSE), 7)="-", 0, INDEX(Schedule!$A$1:$N$2000, MATCH($C486, VAV_Schedule_5_21[[#All],[UNIT TAG]], FALSE), 7))</f>
        <v>6</v>
      </c>
      <c r="AE486" t="str">
        <f>"B_01'" &amp; "Flr_0" &amp; INDEX(Joined!$A$3:$M$2000, MATCH($A486, Joined!$I$3:$I$2000, FALSE), 8)</f>
        <v>B_01'Flr_012</v>
      </c>
      <c r="AF486" t="str">
        <f>"R_" &amp; INDEX(Joined!$A$3:$M$2000, MATCH($A486, Joined!$I$3:$I$2000, FALSE), 7)</f>
        <v>R_VAV-12W-2</v>
      </c>
      <c r="AG486" t="str">
        <f>"B_01'" &amp; "Flr_0" &amp; INDEX(Joined!$A$3:$M$2000, MATCH($A486, Joined!$I$3:$I$2000, FALSE), 8)</f>
        <v>B_01'Flr_012</v>
      </c>
      <c r="AH486" t="str">
        <f>INDEX(Joined!$A$3:$M$2000, MATCH($A486, Joined!$I$3:$I$2000, FALSE), 7)</f>
        <v>VAV-12W-2</v>
      </c>
      <c r="AI486" t="s">
        <v>1814</v>
      </c>
    </row>
    <row r="487" spans="1:35" x14ac:dyDescent="0.2">
      <c r="A487" t="s">
        <v>1348</v>
      </c>
      <c r="B487" t="str">
        <f>"B_01'" &amp; "Flr_0" &amp; INDEX(Joined!$A$3:$M$2000, MATCH($A487, Joined!$I$3:$I$2000, FALSE), 8)</f>
        <v>B_01'Flr_012</v>
      </c>
      <c r="C487" t="str">
        <f>INDEX(Joined!$A$3:$M$2000, MATCH($A487, Joined!$I$3:$I$2000, FALSE), 7)</f>
        <v>VAV-12W-3</v>
      </c>
      <c r="D487">
        <f>INDEX(Joined!$A$3:$M$2000, MATCH($A487, Joined!$I$3:$I$2000, FALSE), 5)</f>
        <v>153303</v>
      </c>
      <c r="E487" t="str">
        <f>INDEX(Joined!$A$3:$M$2000, MATCH($A487, Joined!$I$3:$I$2000, FALSE), 7)</f>
        <v>VAV-12W-3</v>
      </c>
      <c r="F487" t="s">
        <v>38</v>
      </c>
      <c r="G487" t="str">
        <f>INDEX(Schedule!$Q$2:$R$7, MATCH(ABT!$H487,Schedule!$Q$2:$Q$7, 0), 2)</f>
        <v>15011_DXR_VAV_DXR2M12</v>
      </c>
      <c r="H487">
        <f>INDEX(Joined!$A$3:$M$2000, MATCH($A487, Joined!$I$3:$I$2000, FALSE), 6)</f>
        <v>15011</v>
      </c>
      <c r="I487" t="str">
        <f>INDEX(Joined!$A$3:$M$2000, MATCH($A487, Joined!$I$3:$I$2000, FALSE), 4)</f>
        <v>533</v>
      </c>
      <c r="J487" t="b">
        <v>0</v>
      </c>
      <c r="K487">
        <f>INDEX(Joined!$A$3:$M$2000, MATCH($A487, Joined!$I$3:$I$2000, FALSE), 3)</f>
        <v>3</v>
      </c>
      <c r="L487">
        <v>85</v>
      </c>
      <c r="M487">
        <v>38400</v>
      </c>
      <c r="N487" s="27">
        <f>PI()*(INDEX(Schedule!$A$1:$N$2000, MATCH($C487, VAV_Schedule_5_21[[#All],[UNIT TAG]], FALSE), 4)/2/12)^2</f>
        <v>0.54541539124822802</v>
      </c>
      <c r="O487" s="27">
        <f>INDEX(Schedule!$A$1:$N$2000, MATCH($C487, VAV_Schedule_5_21[[#All],[UNIT TAG]], FALSE), 4)</f>
        <v>10</v>
      </c>
      <c r="P487">
        <v>485.63</v>
      </c>
      <c r="Q487" s="27">
        <f>INDEX(Schedule!$A$1:$N$2000, MATCH($C487, VAV_Schedule_5_21[[#All],[UNIT TAG]], FALSE), 5)</f>
        <v>840</v>
      </c>
      <c r="R487" s="27">
        <f>INDEX(Schedule!$A$1:$N$2000, MATCH($C487, VAV_Schedule_5_21[[#All],[UNIT TAG]], FALSE), 6)</f>
        <v>130</v>
      </c>
      <c r="S487" s="27">
        <f>INDEX(Schedule!$A$1:$N$2000, MATCH($C487, VAV_Schedule_5_21[[#All],[UNIT TAG]], FALSE), 5)</f>
        <v>840</v>
      </c>
      <c r="T487" s="27">
        <f>INDEX(Schedule!$A$1:$N$2000, MATCH($C487, VAV_Schedule_5_21[[#All],[UNIT TAG]], FALSE), 6)</f>
        <v>130</v>
      </c>
      <c r="U487" s="27">
        <f>INDEX(Schedule!$A$1:$N$2000, MATCH($C487, VAV_Schedule_5_21[[#All],[UNIT TAG]], FALSE), 5)</f>
        <v>840</v>
      </c>
      <c r="V487" s="27">
        <f>INDEX(Schedule!$A$1:$N$2000, MATCH($C487, VAV_Schedule_5_21[[#All],[UNIT TAG]], FALSE), 6)</f>
        <v>130</v>
      </c>
      <c r="W487" s="27">
        <f>INDEX(Schedule!$A$1:$N$2000, MATCH($C487, VAV_Schedule_5_21[[#All],[UNIT TAG]], FALSE), 6)</f>
        <v>130</v>
      </c>
      <c r="X487" s="27">
        <f>INDEX(Schedule!$A$1:$N$2000, MATCH($C487, VAV_Schedule_5_21[[#All],[UNIT TAG]], FALSE), 6)</f>
        <v>130</v>
      </c>
      <c r="Y487" s="27">
        <f>INDEX(Schedule!$A$1:$N$2000, MATCH($C487, VAV_Schedule_5_21[[#All],[UNIT TAG]], FALSE), 6)</f>
        <v>130</v>
      </c>
      <c r="Z487" s="27">
        <f>INDEX(Schedule!$A$1:$N$2000, MATCH($C487, VAV_Schedule_5_21[[#All],[UNIT TAG]], FALSE), 6)</f>
        <v>130</v>
      </c>
      <c r="AA487" s="27">
        <v>1000</v>
      </c>
      <c r="AB487" s="27">
        <v>1100</v>
      </c>
      <c r="AC487">
        <v>1400</v>
      </c>
      <c r="AD487" s="29" t="str">
        <f>IF(INDEX(Schedule!$A$1:$N$2000, MATCH($C487, VAV_Schedule_5_21[[#All],[UNIT TAG]], FALSE), 7)="-", 0, INDEX(Schedule!$A$1:$N$2000, MATCH($C487, VAV_Schedule_5_21[[#All],[UNIT TAG]], FALSE), 7))</f>
        <v>6</v>
      </c>
      <c r="AE487" t="str">
        <f>"B_01'" &amp; "Flr_0" &amp; INDEX(Joined!$A$3:$M$2000, MATCH($A487, Joined!$I$3:$I$2000, FALSE), 8)</f>
        <v>B_01'Flr_012</v>
      </c>
      <c r="AF487" t="str">
        <f>"R_" &amp; INDEX(Joined!$A$3:$M$2000, MATCH($A487, Joined!$I$3:$I$2000, FALSE), 7)</f>
        <v>R_VAV-12W-3</v>
      </c>
      <c r="AG487" t="str">
        <f>"B_01'" &amp; "Flr_0" &amp; INDEX(Joined!$A$3:$M$2000, MATCH($A487, Joined!$I$3:$I$2000, FALSE), 8)</f>
        <v>B_01'Flr_012</v>
      </c>
      <c r="AH487" t="str">
        <f>INDEX(Joined!$A$3:$M$2000, MATCH($A487, Joined!$I$3:$I$2000, FALSE), 7)</f>
        <v>VAV-12W-3</v>
      </c>
      <c r="AI487" t="s">
        <v>1815</v>
      </c>
    </row>
    <row r="488" spans="1:35" x14ac:dyDescent="0.2">
      <c r="A488" t="s">
        <v>1349</v>
      </c>
      <c r="B488" t="str">
        <f>"B_01'" &amp; "Flr_0" &amp; INDEX(Joined!$A$3:$M$2000, MATCH($A488, Joined!$I$3:$I$2000, FALSE), 8)</f>
        <v>B_01'Flr_012</v>
      </c>
      <c r="C488" t="str">
        <f>INDEX(Joined!$A$3:$M$2000, MATCH($A488, Joined!$I$3:$I$2000, FALSE), 7)</f>
        <v>VAV-12N-4</v>
      </c>
      <c r="D488">
        <f>INDEX(Joined!$A$3:$M$2000, MATCH($A488, Joined!$I$3:$I$2000, FALSE), 5)</f>
        <v>153101</v>
      </c>
      <c r="E488" t="str">
        <f>INDEX(Joined!$A$3:$M$2000, MATCH($A488, Joined!$I$3:$I$2000, FALSE), 7)</f>
        <v>VAV-12N-4</v>
      </c>
      <c r="F488" t="s">
        <v>38</v>
      </c>
      <c r="G488" t="str">
        <f>INDEX(Schedule!$Q$2:$R$7, MATCH(ABT!$H488,Schedule!$Q$2:$Q$7, 0), 2)</f>
        <v>15010_DXR_VAV_DXR2M12</v>
      </c>
      <c r="H488">
        <f>INDEX(Joined!$A$3:$M$2000, MATCH($A488, Joined!$I$3:$I$2000, FALSE), 6)</f>
        <v>15010</v>
      </c>
      <c r="I488" t="str">
        <f>INDEX(Joined!$A$3:$M$2000, MATCH($A488, Joined!$I$3:$I$2000, FALSE), 4)</f>
        <v>531</v>
      </c>
      <c r="J488" t="b">
        <v>0</v>
      </c>
      <c r="K488">
        <f>INDEX(Joined!$A$3:$M$2000, MATCH($A488, Joined!$I$3:$I$2000, FALSE), 3)</f>
        <v>1</v>
      </c>
      <c r="L488">
        <v>85</v>
      </c>
      <c r="M488">
        <v>38400</v>
      </c>
      <c r="N488" s="27">
        <f>PI()*(INDEX(Schedule!$A$1:$N$2000, MATCH($C488, VAV_Schedule_5_21[[#All],[UNIT TAG]], FALSE), 4)/2/12)^2</f>
        <v>0.78539816339744828</v>
      </c>
      <c r="O488" s="27">
        <f>INDEX(Schedule!$A$1:$N$2000, MATCH($C488, VAV_Schedule_5_21[[#All],[UNIT TAG]], FALSE), 4)</f>
        <v>12</v>
      </c>
      <c r="P488">
        <v>486.63</v>
      </c>
      <c r="Q488" s="27">
        <f>INDEX(Schedule!$A$1:$N$2000, MATCH($C488, VAV_Schedule_5_21[[#All],[UNIT TAG]], FALSE), 5)</f>
        <v>1370</v>
      </c>
      <c r="R488" s="27">
        <f>INDEX(Schedule!$A$1:$N$2000, MATCH($C488, VAV_Schedule_5_21[[#All],[UNIT TAG]], FALSE), 6)</f>
        <v>210</v>
      </c>
      <c r="S488" s="27">
        <f>INDEX(Schedule!$A$1:$N$2000, MATCH($C488, VAV_Schedule_5_21[[#All],[UNIT TAG]], FALSE), 5)</f>
        <v>1370</v>
      </c>
      <c r="T488" s="27">
        <f>INDEX(Schedule!$A$1:$N$2000, MATCH($C488, VAV_Schedule_5_21[[#All],[UNIT TAG]], FALSE), 6)</f>
        <v>210</v>
      </c>
      <c r="U488" s="27">
        <f>INDEX(Schedule!$A$1:$N$2000, MATCH($C488, VAV_Schedule_5_21[[#All],[UNIT TAG]], FALSE), 5)</f>
        <v>1370</v>
      </c>
      <c r="V488" s="27">
        <f>INDEX(Schedule!$A$1:$N$2000, MATCH($C488, VAV_Schedule_5_21[[#All],[UNIT TAG]], FALSE), 6)</f>
        <v>210</v>
      </c>
      <c r="W488" s="27">
        <f>INDEX(Schedule!$A$1:$N$2000, MATCH($C488, VAV_Schedule_5_21[[#All],[UNIT TAG]], FALSE), 6)</f>
        <v>210</v>
      </c>
      <c r="X488" s="27">
        <f>INDEX(Schedule!$A$1:$N$2000, MATCH($C488, VAV_Schedule_5_21[[#All],[UNIT TAG]], FALSE), 6)</f>
        <v>210</v>
      </c>
      <c r="Y488" s="27">
        <f>INDEX(Schedule!$A$1:$N$2000, MATCH($C488, VAV_Schedule_5_21[[#All],[UNIT TAG]], FALSE), 6)</f>
        <v>210</v>
      </c>
      <c r="Z488" s="27">
        <f>INDEX(Schedule!$A$1:$N$2000, MATCH($C488, VAV_Schedule_5_21[[#All],[UNIT TAG]], FALSE), 6)</f>
        <v>210</v>
      </c>
      <c r="AA488" s="27">
        <v>1000</v>
      </c>
      <c r="AB488" s="27">
        <v>1100</v>
      </c>
      <c r="AC488">
        <v>1400</v>
      </c>
      <c r="AD488" s="29">
        <f>IF(INDEX(Schedule!$A$1:$N$2000, MATCH($C488, VAV_Schedule_5_21[[#All],[UNIT TAG]], FALSE), 7)="-", 0, INDEX(Schedule!$A$1:$N$2000, MATCH($C488, VAV_Schedule_5_21[[#All],[UNIT TAG]], FALSE), 7))</f>
        <v>0</v>
      </c>
      <c r="AE488" t="str">
        <f>"B_01'" &amp; "Flr_0" &amp; INDEX(Joined!$A$3:$M$2000, MATCH($A488, Joined!$I$3:$I$2000, FALSE), 8)</f>
        <v>B_01'Flr_012</v>
      </c>
      <c r="AF488" t="str">
        <f>"R_" &amp; INDEX(Joined!$A$3:$M$2000, MATCH($A488, Joined!$I$3:$I$2000, FALSE), 7)</f>
        <v>R_VAV-12N-4</v>
      </c>
      <c r="AG488" t="str">
        <f>"B_01'" &amp; "Flr_0" &amp; INDEX(Joined!$A$3:$M$2000, MATCH($A488, Joined!$I$3:$I$2000, FALSE), 8)</f>
        <v>B_01'Flr_012</v>
      </c>
      <c r="AH488" t="str">
        <f>INDEX(Joined!$A$3:$M$2000, MATCH($A488, Joined!$I$3:$I$2000, FALSE), 7)</f>
        <v>VAV-12N-4</v>
      </c>
      <c r="AI488" t="s">
        <v>1816</v>
      </c>
    </row>
    <row r="489" spans="1:35" x14ac:dyDescent="0.2">
      <c r="A489" t="s">
        <v>1350</v>
      </c>
      <c r="B489" t="str">
        <f>"B_01'" &amp; "Flr_0" &amp; INDEX(Joined!$A$3:$M$2000, MATCH($A489, Joined!$I$3:$I$2000, FALSE), 8)</f>
        <v>B_01'Flr_012</v>
      </c>
      <c r="C489" t="str">
        <f>INDEX(Joined!$A$3:$M$2000, MATCH($A489, Joined!$I$3:$I$2000, FALSE), 7)</f>
        <v>VAV-12N-5</v>
      </c>
      <c r="D489">
        <f>INDEX(Joined!$A$3:$M$2000, MATCH($A489, Joined!$I$3:$I$2000, FALSE), 5)</f>
        <v>153102</v>
      </c>
      <c r="E489" t="str">
        <f>INDEX(Joined!$A$3:$M$2000, MATCH($A489, Joined!$I$3:$I$2000, FALSE), 7)</f>
        <v>VAV-12N-5</v>
      </c>
      <c r="F489" t="s">
        <v>38</v>
      </c>
      <c r="G489" t="str">
        <f>INDEX(Schedule!$Q$2:$R$7, MATCH(ABT!$H489,Schedule!$Q$2:$Q$7, 0), 2)</f>
        <v>15010_DXR_VAV_DXR2M12</v>
      </c>
      <c r="H489">
        <f>INDEX(Joined!$A$3:$M$2000, MATCH($A489, Joined!$I$3:$I$2000, FALSE), 6)</f>
        <v>15010</v>
      </c>
      <c r="I489" t="str">
        <f>INDEX(Joined!$A$3:$M$2000, MATCH($A489, Joined!$I$3:$I$2000, FALSE), 4)</f>
        <v>531</v>
      </c>
      <c r="J489" t="b">
        <v>0</v>
      </c>
      <c r="K489">
        <f>INDEX(Joined!$A$3:$M$2000, MATCH($A489, Joined!$I$3:$I$2000, FALSE), 3)</f>
        <v>2</v>
      </c>
      <c r="L489">
        <v>85</v>
      </c>
      <c r="M489">
        <v>38400</v>
      </c>
      <c r="N489" s="27">
        <f>PI()*(INDEX(Schedule!$A$1:$N$2000, MATCH($C489, VAV_Schedule_5_21[[#All],[UNIT TAG]], FALSE), 4)/2/12)^2</f>
        <v>0.54541539124822802</v>
      </c>
      <c r="O489" s="27">
        <f>INDEX(Schedule!$A$1:$N$2000, MATCH($C489, VAV_Schedule_5_21[[#All],[UNIT TAG]], FALSE), 4)</f>
        <v>10</v>
      </c>
      <c r="P489">
        <v>487.63</v>
      </c>
      <c r="Q489" s="27">
        <f>INDEX(Schedule!$A$1:$N$2000, MATCH($C489, VAV_Schedule_5_21[[#All],[UNIT TAG]], FALSE), 5)</f>
        <v>1075</v>
      </c>
      <c r="R489" s="27">
        <f>INDEX(Schedule!$A$1:$N$2000, MATCH($C489, VAV_Schedule_5_21[[#All],[UNIT TAG]], FALSE), 6)</f>
        <v>165</v>
      </c>
      <c r="S489" s="27">
        <f>INDEX(Schedule!$A$1:$N$2000, MATCH($C489, VAV_Schedule_5_21[[#All],[UNIT TAG]], FALSE), 5)</f>
        <v>1075</v>
      </c>
      <c r="T489" s="27">
        <f>INDEX(Schedule!$A$1:$N$2000, MATCH($C489, VAV_Schedule_5_21[[#All],[UNIT TAG]], FALSE), 6)</f>
        <v>165</v>
      </c>
      <c r="U489" s="27">
        <f>INDEX(Schedule!$A$1:$N$2000, MATCH($C489, VAV_Schedule_5_21[[#All],[UNIT TAG]], FALSE), 5)</f>
        <v>1075</v>
      </c>
      <c r="V489" s="27">
        <f>INDEX(Schedule!$A$1:$N$2000, MATCH($C489, VAV_Schedule_5_21[[#All],[UNIT TAG]], FALSE), 6)</f>
        <v>165</v>
      </c>
      <c r="W489" s="27">
        <f>INDEX(Schedule!$A$1:$N$2000, MATCH($C489, VAV_Schedule_5_21[[#All],[UNIT TAG]], FALSE), 6)</f>
        <v>165</v>
      </c>
      <c r="X489" s="27">
        <f>INDEX(Schedule!$A$1:$N$2000, MATCH($C489, VAV_Schedule_5_21[[#All],[UNIT TAG]], FALSE), 6)</f>
        <v>165</v>
      </c>
      <c r="Y489" s="27">
        <f>INDEX(Schedule!$A$1:$N$2000, MATCH($C489, VAV_Schedule_5_21[[#All],[UNIT TAG]], FALSE), 6)</f>
        <v>165</v>
      </c>
      <c r="Z489" s="27">
        <f>INDEX(Schedule!$A$1:$N$2000, MATCH($C489, VAV_Schedule_5_21[[#All],[UNIT TAG]], FALSE), 6)</f>
        <v>165</v>
      </c>
      <c r="AA489" s="27">
        <v>1000</v>
      </c>
      <c r="AB489" s="27">
        <v>1100</v>
      </c>
      <c r="AC489">
        <v>1400</v>
      </c>
      <c r="AD489" s="29">
        <f>IF(INDEX(Schedule!$A$1:$N$2000, MATCH($C489, VAV_Schedule_5_21[[#All],[UNIT TAG]], FALSE), 7)="-", 0, INDEX(Schedule!$A$1:$N$2000, MATCH($C489, VAV_Schedule_5_21[[#All],[UNIT TAG]], FALSE), 7))</f>
        <v>0</v>
      </c>
      <c r="AE489" t="str">
        <f>"B_01'" &amp; "Flr_0" &amp; INDEX(Joined!$A$3:$M$2000, MATCH($A489, Joined!$I$3:$I$2000, FALSE), 8)</f>
        <v>B_01'Flr_012</v>
      </c>
      <c r="AF489" t="str">
        <f>"R_" &amp; INDEX(Joined!$A$3:$M$2000, MATCH($A489, Joined!$I$3:$I$2000, FALSE), 7)</f>
        <v>R_VAV-12N-5</v>
      </c>
      <c r="AG489" t="str">
        <f>"B_01'" &amp; "Flr_0" &amp; INDEX(Joined!$A$3:$M$2000, MATCH($A489, Joined!$I$3:$I$2000, FALSE), 8)</f>
        <v>B_01'Flr_012</v>
      </c>
      <c r="AH489" t="str">
        <f>INDEX(Joined!$A$3:$M$2000, MATCH($A489, Joined!$I$3:$I$2000, FALSE), 7)</f>
        <v>VAV-12N-5</v>
      </c>
      <c r="AI489" t="s">
        <v>1817</v>
      </c>
    </row>
    <row r="490" spans="1:35" x14ac:dyDescent="0.2">
      <c r="A490" t="s">
        <v>1351</v>
      </c>
      <c r="B490" t="str">
        <f>"B_01'" &amp; "Flr_0" &amp; INDEX(Joined!$A$3:$M$2000, MATCH($A490, Joined!$I$3:$I$2000, FALSE), 8)</f>
        <v>B_01'Flr_012</v>
      </c>
      <c r="C490" t="str">
        <f>INDEX(Joined!$A$3:$M$2000, MATCH($A490, Joined!$I$3:$I$2000, FALSE), 7)</f>
        <v>VAV-12N-6</v>
      </c>
      <c r="D490">
        <f>INDEX(Joined!$A$3:$M$2000, MATCH($A490, Joined!$I$3:$I$2000, FALSE), 5)</f>
        <v>153103</v>
      </c>
      <c r="E490" t="str">
        <f>INDEX(Joined!$A$3:$M$2000, MATCH($A490, Joined!$I$3:$I$2000, FALSE), 7)</f>
        <v>VAV-12N-6</v>
      </c>
      <c r="F490" t="s">
        <v>38</v>
      </c>
      <c r="G490" t="str">
        <f>INDEX(Schedule!$Q$2:$R$7, MATCH(ABT!$H490,Schedule!$Q$2:$Q$7, 0), 2)</f>
        <v>15010_DXR_VAV_DXR2M12</v>
      </c>
      <c r="H490">
        <f>INDEX(Joined!$A$3:$M$2000, MATCH($A490, Joined!$I$3:$I$2000, FALSE), 6)</f>
        <v>15010</v>
      </c>
      <c r="I490" t="str">
        <f>INDEX(Joined!$A$3:$M$2000, MATCH($A490, Joined!$I$3:$I$2000, FALSE), 4)</f>
        <v>531</v>
      </c>
      <c r="J490" t="b">
        <v>0</v>
      </c>
      <c r="K490">
        <f>INDEX(Joined!$A$3:$M$2000, MATCH($A490, Joined!$I$3:$I$2000, FALSE), 3)</f>
        <v>3</v>
      </c>
      <c r="L490">
        <v>85</v>
      </c>
      <c r="M490">
        <v>38400</v>
      </c>
      <c r="N490" s="27">
        <f>PI()*(INDEX(Schedule!$A$1:$N$2000, MATCH($C490, VAV_Schedule_5_21[[#All],[UNIT TAG]], FALSE), 4)/2/12)^2</f>
        <v>0.3490658503988659</v>
      </c>
      <c r="O490" s="27">
        <f>INDEX(Schedule!$A$1:$N$2000, MATCH($C490, VAV_Schedule_5_21[[#All],[UNIT TAG]], FALSE), 4)</f>
        <v>8</v>
      </c>
      <c r="P490">
        <v>488.63</v>
      </c>
      <c r="Q490" s="27">
        <f>INDEX(Schedule!$A$1:$N$2000, MATCH($C490, VAV_Schedule_5_21[[#All],[UNIT TAG]], FALSE), 5)</f>
        <v>600</v>
      </c>
      <c r="R490" s="27">
        <f>INDEX(Schedule!$A$1:$N$2000, MATCH($C490, VAV_Schedule_5_21[[#All],[UNIT TAG]], FALSE), 6)</f>
        <v>90</v>
      </c>
      <c r="S490" s="27">
        <f>INDEX(Schedule!$A$1:$N$2000, MATCH($C490, VAV_Schedule_5_21[[#All],[UNIT TAG]], FALSE), 5)</f>
        <v>600</v>
      </c>
      <c r="T490" s="27">
        <f>INDEX(Schedule!$A$1:$N$2000, MATCH($C490, VAV_Schedule_5_21[[#All],[UNIT TAG]], FALSE), 6)</f>
        <v>90</v>
      </c>
      <c r="U490" s="27">
        <f>INDEX(Schedule!$A$1:$N$2000, MATCH($C490, VAV_Schedule_5_21[[#All],[UNIT TAG]], FALSE), 5)</f>
        <v>600</v>
      </c>
      <c r="V490" s="27">
        <f>INDEX(Schedule!$A$1:$N$2000, MATCH($C490, VAV_Schedule_5_21[[#All],[UNIT TAG]], FALSE), 6)</f>
        <v>90</v>
      </c>
      <c r="W490" s="27">
        <f>INDEX(Schedule!$A$1:$N$2000, MATCH($C490, VAV_Schedule_5_21[[#All],[UNIT TAG]], FALSE), 6)</f>
        <v>90</v>
      </c>
      <c r="X490" s="27">
        <f>INDEX(Schedule!$A$1:$N$2000, MATCH($C490, VAV_Schedule_5_21[[#All],[UNIT TAG]], FALSE), 6)</f>
        <v>90</v>
      </c>
      <c r="Y490" s="27">
        <f>INDEX(Schedule!$A$1:$N$2000, MATCH($C490, VAV_Schedule_5_21[[#All],[UNIT TAG]], FALSE), 6)</f>
        <v>90</v>
      </c>
      <c r="Z490" s="27">
        <f>INDEX(Schedule!$A$1:$N$2000, MATCH($C490, VAV_Schedule_5_21[[#All],[UNIT TAG]], FALSE), 6)</f>
        <v>90</v>
      </c>
      <c r="AA490" s="27">
        <v>1000</v>
      </c>
      <c r="AB490" s="27">
        <v>1100</v>
      </c>
      <c r="AC490">
        <v>1400</v>
      </c>
      <c r="AD490" s="29">
        <f>IF(INDEX(Schedule!$A$1:$N$2000, MATCH($C490, VAV_Schedule_5_21[[#All],[UNIT TAG]], FALSE), 7)="-", 0, INDEX(Schedule!$A$1:$N$2000, MATCH($C490, VAV_Schedule_5_21[[#All],[UNIT TAG]], FALSE), 7))</f>
        <v>0</v>
      </c>
      <c r="AE490" t="str">
        <f>"B_01'" &amp; "Flr_0" &amp; INDEX(Joined!$A$3:$M$2000, MATCH($A490, Joined!$I$3:$I$2000, FALSE), 8)</f>
        <v>B_01'Flr_012</v>
      </c>
      <c r="AF490" t="str">
        <f>"R_" &amp; INDEX(Joined!$A$3:$M$2000, MATCH($A490, Joined!$I$3:$I$2000, FALSE), 7)</f>
        <v>R_VAV-12N-6</v>
      </c>
      <c r="AG490" t="str">
        <f>"B_01'" &amp; "Flr_0" &amp; INDEX(Joined!$A$3:$M$2000, MATCH($A490, Joined!$I$3:$I$2000, FALSE), 8)</f>
        <v>B_01'Flr_012</v>
      </c>
      <c r="AH490" t="str">
        <f>INDEX(Joined!$A$3:$M$2000, MATCH($A490, Joined!$I$3:$I$2000, FALSE), 7)</f>
        <v>VAV-12N-6</v>
      </c>
      <c r="AI490" t="s">
        <v>1818</v>
      </c>
    </row>
    <row r="491" spans="1:35" x14ac:dyDescent="0.2">
      <c r="A491" t="s">
        <v>1352</v>
      </c>
      <c r="B491" t="str">
        <f>"B_01'" &amp; "Flr_0" &amp; INDEX(Joined!$A$3:$M$2000, MATCH($A491, Joined!$I$3:$I$2000, FALSE), 8)</f>
        <v>B_01'Flr_012</v>
      </c>
      <c r="C491" t="str">
        <f>INDEX(Joined!$A$3:$M$2000, MATCH($A491, Joined!$I$3:$I$2000, FALSE), 7)</f>
        <v>VAV-12N-7</v>
      </c>
      <c r="D491">
        <f>INDEX(Joined!$A$3:$M$2000, MATCH($A491, Joined!$I$3:$I$2000, FALSE), 5)</f>
        <v>153104</v>
      </c>
      <c r="E491" t="str">
        <f>INDEX(Joined!$A$3:$M$2000, MATCH($A491, Joined!$I$3:$I$2000, FALSE), 7)</f>
        <v>VAV-12N-7</v>
      </c>
      <c r="F491" t="s">
        <v>38</v>
      </c>
      <c r="G491" t="str">
        <f>INDEX(Schedule!$Q$2:$R$7, MATCH(ABT!$H491,Schedule!$Q$2:$Q$7, 0), 2)</f>
        <v>15010_DXR_VAV_DXR2M12</v>
      </c>
      <c r="H491">
        <f>INDEX(Joined!$A$3:$M$2000, MATCH($A491, Joined!$I$3:$I$2000, FALSE), 6)</f>
        <v>15010</v>
      </c>
      <c r="I491" t="str">
        <f>INDEX(Joined!$A$3:$M$2000, MATCH($A491, Joined!$I$3:$I$2000, FALSE), 4)</f>
        <v>531</v>
      </c>
      <c r="J491" t="b">
        <v>0</v>
      </c>
      <c r="K491">
        <f>INDEX(Joined!$A$3:$M$2000, MATCH($A491, Joined!$I$3:$I$2000, FALSE), 3)</f>
        <v>4</v>
      </c>
      <c r="L491">
        <v>85</v>
      </c>
      <c r="M491">
        <v>38400</v>
      </c>
      <c r="N491" s="27">
        <f>PI()*(INDEX(Schedule!$A$1:$N$2000, MATCH($C491, VAV_Schedule_5_21[[#All],[UNIT TAG]], FALSE), 4)/2/12)^2</f>
        <v>0.3490658503988659</v>
      </c>
      <c r="O491" s="27">
        <f>INDEX(Schedule!$A$1:$N$2000, MATCH($C491, VAV_Schedule_5_21[[#All],[UNIT TAG]], FALSE), 4)</f>
        <v>8</v>
      </c>
      <c r="P491">
        <v>489.63</v>
      </c>
      <c r="Q491" s="27">
        <f>INDEX(Schedule!$A$1:$N$2000, MATCH($C491, VAV_Schedule_5_21[[#All],[UNIT TAG]], FALSE), 5)</f>
        <v>600</v>
      </c>
      <c r="R491" s="27">
        <f>INDEX(Schedule!$A$1:$N$2000, MATCH($C491, VAV_Schedule_5_21[[#All],[UNIT TAG]], FALSE), 6)</f>
        <v>90</v>
      </c>
      <c r="S491" s="27">
        <f>INDEX(Schedule!$A$1:$N$2000, MATCH($C491, VAV_Schedule_5_21[[#All],[UNIT TAG]], FALSE), 5)</f>
        <v>600</v>
      </c>
      <c r="T491" s="27">
        <f>INDEX(Schedule!$A$1:$N$2000, MATCH($C491, VAV_Schedule_5_21[[#All],[UNIT TAG]], FALSE), 6)</f>
        <v>90</v>
      </c>
      <c r="U491" s="27">
        <f>INDEX(Schedule!$A$1:$N$2000, MATCH($C491, VAV_Schedule_5_21[[#All],[UNIT TAG]], FALSE), 5)</f>
        <v>600</v>
      </c>
      <c r="V491" s="27">
        <f>INDEX(Schedule!$A$1:$N$2000, MATCH($C491, VAV_Schedule_5_21[[#All],[UNIT TAG]], FALSE), 6)</f>
        <v>90</v>
      </c>
      <c r="W491" s="27">
        <f>INDEX(Schedule!$A$1:$N$2000, MATCH($C491, VAV_Schedule_5_21[[#All],[UNIT TAG]], FALSE), 6)</f>
        <v>90</v>
      </c>
      <c r="X491" s="27">
        <f>INDEX(Schedule!$A$1:$N$2000, MATCH($C491, VAV_Schedule_5_21[[#All],[UNIT TAG]], FALSE), 6)</f>
        <v>90</v>
      </c>
      <c r="Y491" s="27">
        <f>INDEX(Schedule!$A$1:$N$2000, MATCH($C491, VAV_Schedule_5_21[[#All],[UNIT TAG]], FALSE), 6)</f>
        <v>90</v>
      </c>
      <c r="Z491" s="27">
        <f>INDEX(Schedule!$A$1:$N$2000, MATCH($C491, VAV_Schedule_5_21[[#All],[UNIT TAG]], FALSE), 6)</f>
        <v>90</v>
      </c>
      <c r="AA491" s="27">
        <v>1000</v>
      </c>
      <c r="AB491" s="27">
        <v>1100</v>
      </c>
      <c r="AC491">
        <v>1400</v>
      </c>
      <c r="AD491" s="29">
        <f>IF(INDEX(Schedule!$A$1:$N$2000, MATCH($C491, VAV_Schedule_5_21[[#All],[UNIT TAG]], FALSE), 7)="-", 0, INDEX(Schedule!$A$1:$N$2000, MATCH($C491, VAV_Schedule_5_21[[#All],[UNIT TAG]], FALSE), 7))</f>
        <v>0</v>
      </c>
      <c r="AE491" t="str">
        <f>"B_01'" &amp; "Flr_0" &amp; INDEX(Joined!$A$3:$M$2000, MATCH($A491, Joined!$I$3:$I$2000, FALSE), 8)</f>
        <v>B_01'Flr_012</v>
      </c>
      <c r="AF491" t="str">
        <f>"R_" &amp; INDEX(Joined!$A$3:$M$2000, MATCH($A491, Joined!$I$3:$I$2000, FALSE), 7)</f>
        <v>R_VAV-12N-7</v>
      </c>
      <c r="AG491" t="str">
        <f>"B_01'" &amp; "Flr_0" &amp; INDEX(Joined!$A$3:$M$2000, MATCH($A491, Joined!$I$3:$I$2000, FALSE), 8)</f>
        <v>B_01'Flr_012</v>
      </c>
      <c r="AH491" t="str">
        <f>INDEX(Joined!$A$3:$M$2000, MATCH($A491, Joined!$I$3:$I$2000, FALSE), 7)</f>
        <v>VAV-12N-7</v>
      </c>
      <c r="AI491" t="s">
        <v>1819</v>
      </c>
    </row>
    <row r="492" spans="1:35" x14ac:dyDescent="0.2">
      <c r="A492" t="s">
        <v>1353</v>
      </c>
      <c r="B492" t="str">
        <f>"B_01'" &amp; "Flr_0" &amp; INDEX(Joined!$A$3:$M$2000, MATCH($A492, Joined!$I$3:$I$2000, FALSE), 8)</f>
        <v>B_01'Flr_012</v>
      </c>
      <c r="C492" t="str">
        <f>INDEX(Joined!$A$3:$M$2000, MATCH($A492, Joined!$I$3:$I$2000, FALSE), 7)</f>
        <v>VAV-12N-8</v>
      </c>
      <c r="D492">
        <f>INDEX(Joined!$A$3:$M$2000, MATCH($A492, Joined!$I$3:$I$2000, FALSE), 5)</f>
        <v>153105</v>
      </c>
      <c r="E492" t="str">
        <f>INDEX(Joined!$A$3:$M$2000, MATCH($A492, Joined!$I$3:$I$2000, FALSE), 7)</f>
        <v>VAV-12N-8</v>
      </c>
      <c r="F492" t="s">
        <v>38</v>
      </c>
      <c r="G492" t="str">
        <f>INDEX(Schedule!$Q$2:$R$7, MATCH(ABT!$H492,Schedule!$Q$2:$Q$7, 0), 2)</f>
        <v>15010_DXR_VAV_DXR2M12</v>
      </c>
      <c r="H492">
        <f>INDEX(Joined!$A$3:$M$2000, MATCH($A492, Joined!$I$3:$I$2000, FALSE), 6)</f>
        <v>15010</v>
      </c>
      <c r="I492" t="str">
        <f>INDEX(Joined!$A$3:$M$2000, MATCH($A492, Joined!$I$3:$I$2000, FALSE), 4)</f>
        <v>531</v>
      </c>
      <c r="J492" t="b">
        <v>0</v>
      </c>
      <c r="K492">
        <f>INDEX(Joined!$A$3:$M$2000, MATCH($A492, Joined!$I$3:$I$2000, FALSE), 3)</f>
        <v>5</v>
      </c>
      <c r="L492">
        <v>85</v>
      </c>
      <c r="M492">
        <v>38400</v>
      </c>
      <c r="N492" s="27">
        <f>PI()*(INDEX(Schedule!$A$1:$N$2000, MATCH($C492, VAV_Schedule_5_21[[#All],[UNIT TAG]], FALSE), 4)/2/12)^2</f>
        <v>0.78539816339744828</v>
      </c>
      <c r="O492" s="27">
        <f>INDEX(Schedule!$A$1:$N$2000, MATCH($C492, VAV_Schedule_5_21[[#All],[UNIT TAG]], FALSE), 4)</f>
        <v>12</v>
      </c>
      <c r="P492">
        <v>490.63</v>
      </c>
      <c r="Q492" s="27">
        <f>INDEX(Schedule!$A$1:$N$2000, MATCH($C492, VAV_Schedule_5_21[[#All],[UNIT TAG]], FALSE), 5)</f>
        <v>1200</v>
      </c>
      <c r="R492" s="27">
        <f>INDEX(Schedule!$A$1:$N$2000, MATCH($C492, VAV_Schedule_5_21[[#All],[UNIT TAG]], FALSE), 6)</f>
        <v>180</v>
      </c>
      <c r="S492" s="27">
        <f>INDEX(Schedule!$A$1:$N$2000, MATCH($C492, VAV_Schedule_5_21[[#All],[UNIT TAG]], FALSE), 5)</f>
        <v>1200</v>
      </c>
      <c r="T492" s="27">
        <f>INDEX(Schedule!$A$1:$N$2000, MATCH($C492, VAV_Schedule_5_21[[#All],[UNIT TAG]], FALSE), 6)</f>
        <v>180</v>
      </c>
      <c r="U492" s="27">
        <f>INDEX(Schedule!$A$1:$N$2000, MATCH($C492, VAV_Schedule_5_21[[#All],[UNIT TAG]], FALSE), 5)</f>
        <v>1200</v>
      </c>
      <c r="V492" s="27">
        <f>INDEX(Schedule!$A$1:$N$2000, MATCH($C492, VAV_Schedule_5_21[[#All],[UNIT TAG]], FALSE), 6)</f>
        <v>180</v>
      </c>
      <c r="W492" s="27">
        <f>INDEX(Schedule!$A$1:$N$2000, MATCH($C492, VAV_Schedule_5_21[[#All],[UNIT TAG]], FALSE), 6)</f>
        <v>180</v>
      </c>
      <c r="X492" s="27">
        <f>INDEX(Schedule!$A$1:$N$2000, MATCH($C492, VAV_Schedule_5_21[[#All],[UNIT TAG]], FALSE), 6)</f>
        <v>180</v>
      </c>
      <c r="Y492" s="27">
        <f>INDEX(Schedule!$A$1:$N$2000, MATCH($C492, VAV_Schedule_5_21[[#All],[UNIT TAG]], FALSE), 6)</f>
        <v>180</v>
      </c>
      <c r="Z492" s="27">
        <f>INDEX(Schedule!$A$1:$N$2000, MATCH($C492, VAV_Schedule_5_21[[#All],[UNIT TAG]], FALSE), 6)</f>
        <v>180</v>
      </c>
      <c r="AA492" s="27">
        <v>1000</v>
      </c>
      <c r="AB492" s="27">
        <v>1100</v>
      </c>
      <c r="AC492">
        <v>1400</v>
      </c>
      <c r="AD492" s="29">
        <f>IF(INDEX(Schedule!$A$1:$N$2000, MATCH($C492, VAV_Schedule_5_21[[#All],[UNIT TAG]], FALSE), 7)="-", 0, INDEX(Schedule!$A$1:$N$2000, MATCH($C492, VAV_Schedule_5_21[[#All],[UNIT TAG]], FALSE), 7))</f>
        <v>0</v>
      </c>
      <c r="AE492" t="str">
        <f>"B_01'" &amp; "Flr_0" &amp; INDEX(Joined!$A$3:$M$2000, MATCH($A492, Joined!$I$3:$I$2000, FALSE), 8)</f>
        <v>B_01'Flr_012</v>
      </c>
      <c r="AF492" t="str">
        <f>"R_" &amp; INDEX(Joined!$A$3:$M$2000, MATCH($A492, Joined!$I$3:$I$2000, FALSE), 7)</f>
        <v>R_VAV-12N-8</v>
      </c>
      <c r="AG492" t="str">
        <f>"B_01'" &amp; "Flr_0" &amp; INDEX(Joined!$A$3:$M$2000, MATCH($A492, Joined!$I$3:$I$2000, FALSE), 8)</f>
        <v>B_01'Flr_012</v>
      </c>
      <c r="AH492" t="str">
        <f>INDEX(Joined!$A$3:$M$2000, MATCH($A492, Joined!$I$3:$I$2000, FALSE), 7)</f>
        <v>VAV-12N-8</v>
      </c>
      <c r="AI492" t="s">
        <v>1820</v>
      </c>
    </row>
    <row r="493" spans="1:35" x14ac:dyDescent="0.2">
      <c r="A493" t="s">
        <v>1354</v>
      </c>
      <c r="B493" t="str">
        <f>"B_01'" &amp; "Flr_0" &amp; INDEX(Joined!$A$3:$M$2000, MATCH($A493, Joined!$I$3:$I$2000, FALSE), 8)</f>
        <v>B_01'Flr_012</v>
      </c>
      <c r="C493" t="str">
        <f>INDEX(Joined!$A$3:$M$2000, MATCH($A493, Joined!$I$3:$I$2000, FALSE), 7)</f>
        <v>VAV-12N-8A</v>
      </c>
      <c r="D493">
        <f>INDEX(Joined!$A$3:$M$2000, MATCH($A493, Joined!$I$3:$I$2000, FALSE), 5)</f>
        <v>153106</v>
      </c>
      <c r="E493" t="str">
        <f>INDEX(Joined!$A$3:$M$2000, MATCH($A493, Joined!$I$3:$I$2000, FALSE), 7)</f>
        <v>VAV-12N-8A</v>
      </c>
      <c r="F493" t="s">
        <v>38</v>
      </c>
      <c r="G493" t="str">
        <f>INDEX(Schedule!$Q$2:$R$7, MATCH(ABT!$H493,Schedule!$Q$2:$Q$7, 0), 2)</f>
        <v>15010_DXR_VAV_DXR2M12</v>
      </c>
      <c r="H493">
        <f>INDEX(Joined!$A$3:$M$2000, MATCH($A493, Joined!$I$3:$I$2000, FALSE), 6)</f>
        <v>15010</v>
      </c>
      <c r="I493" t="str">
        <f>INDEX(Joined!$A$3:$M$2000, MATCH($A493, Joined!$I$3:$I$2000, FALSE), 4)</f>
        <v>531</v>
      </c>
      <c r="J493" t="b">
        <v>0</v>
      </c>
      <c r="K493">
        <f>INDEX(Joined!$A$3:$M$2000, MATCH($A493, Joined!$I$3:$I$2000, FALSE), 3)</f>
        <v>6</v>
      </c>
      <c r="L493">
        <v>85</v>
      </c>
      <c r="M493">
        <v>38400</v>
      </c>
      <c r="N493" s="27">
        <f>PI()*(INDEX(Schedule!$A$1:$N$2000, MATCH($C493, VAV_Schedule_5_21[[#All],[UNIT TAG]], FALSE), 4)/2/12)^2</f>
        <v>0.3490658503988659</v>
      </c>
      <c r="O493" s="27">
        <f>INDEX(Schedule!$A$1:$N$2000, MATCH($C493, VAV_Schedule_5_21[[#All],[UNIT TAG]], FALSE), 4)</f>
        <v>8</v>
      </c>
      <c r="P493">
        <v>491.63</v>
      </c>
      <c r="Q493" s="27">
        <f>INDEX(Schedule!$A$1:$N$2000, MATCH($C493, VAV_Schedule_5_21[[#All],[UNIT TAG]], FALSE), 5)</f>
        <v>550</v>
      </c>
      <c r="R493" s="27">
        <f>INDEX(Schedule!$A$1:$N$2000, MATCH($C493, VAV_Schedule_5_21[[#All],[UNIT TAG]], FALSE), 6)</f>
        <v>85</v>
      </c>
      <c r="S493" s="27">
        <f>INDEX(Schedule!$A$1:$N$2000, MATCH($C493, VAV_Schedule_5_21[[#All],[UNIT TAG]], FALSE), 5)</f>
        <v>550</v>
      </c>
      <c r="T493" s="27">
        <f>INDEX(Schedule!$A$1:$N$2000, MATCH($C493, VAV_Schedule_5_21[[#All],[UNIT TAG]], FALSE), 6)</f>
        <v>85</v>
      </c>
      <c r="U493" s="27">
        <f>INDEX(Schedule!$A$1:$N$2000, MATCH($C493, VAV_Schedule_5_21[[#All],[UNIT TAG]], FALSE), 5)</f>
        <v>550</v>
      </c>
      <c r="V493" s="27">
        <f>INDEX(Schedule!$A$1:$N$2000, MATCH($C493, VAV_Schedule_5_21[[#All],[UNIT TAG]], FALSE), 6)</f>
        <v>85</v>
      </c>
      <c r="W493" s="27">
        <f>INDEX(Schedule!$A$1:$N$2000, MATCH($C493, VAV_Schedule_5_21[[#All],[UNIT TAG]], FALSE), 6)</f>
        <v>85</v>
      </c>
      <c r="X493" s="27">
        <f>INDEX(Schedule!$A$1:$N$2000, MATCH($C493, VAV_Schedule_5_21[[#All],[UNIT TAG]], FALSE), 6)</f>
        <v>85</v>
      </c>
      <c r="Y493" s="27">
        <f>INDEX(Schedule!$A$1:$N$2000, MATCH($C493, VAV_Schedule_5_21[[#All],[UNIT TAG]], FALSE), 6)</f>
        <v>85</v>
      </c>
      <c r="Z493" s="27">
        <f>INDEX(Schedule!$A$1:$N$2000, MATCH($C493, VAV_Schedule_5_21[[#All],[UNIT TAG]], FALSE), 6)</f>
        <v>85</v>
      </c>
      <c r="AA493" s="27">
        <v>1000</v>
      </c>
      <c r="AB493" s="27">
        <v>1100</v>
      </c>
      <c r="AC493">
        <v>1400</v>
      </c>
      <c r="AD493" s="29">
        <f>IF(INDEX(Schedule!$A$1:$N$2000, MATCH($C493, VAV_Schedule_5_21[[#All],[UNIT TAG]], FALSE), 7)="-", 0, INDEX(Schedule!$A$1:$N$2000, MATCH($C493, VAV_Schedule_5_21[[#All],[UNIT TAG]], FALSE), 7))</f>
        <v>0</v>
      </c>
      <c r="AE493" t="str">
        <f>"B_01'" &amp; "Flr_0" &amp; INDEX(Joined!$A$3:$M$2000, MATCH($A493, Joined!$I$3:$I$2000, FALSE), 8)</f>
        <v>B_01'Flr_012</v>
      </c>
      <c r="AF493" t="str">
        <f>"R_" &amp; INDEX(Joined!$A$3:$M$2000, MATCH($A493, Joined!$I$3:$I$2000, FALSE), 7)</f>
        <v>R_VAV-12N-8A</v>
      </c>
      <c r="AG493" t="str">
        <f>"B_01'" &amp; "Flr_0" &amp; INDEX(Joined!$A$3:$M$2000, MATCH($A493, Joined!$I$3:$I$2000, FALSE), 8)</f>
        <v>B_01'Flr_012</v>
      </c>
      <c r="AH493" t="str">
        <f>INDEX(Joined!$A$3:$M$2000, MATCH($A493, Joined!$I$3:$I$2000, FALSE), 7)</f>
        <v>VAV-12N-8A</v>
      </c>
      <c r="AI493" t="s">
        <v>1821</v>
      </c>
    </row>
    <row r="494" spans="1:35" x14ac:dyDescent="0.2">
      <c r="A494" t="s">
        <v>1355</v>
      </c>
      <c r="B494" t="str">
        <f>"B_01'" &amp; "Flr_0" &amp; INDEX(Joined!$A$3:$M$2000, MATCH($A494, Joined!$I$3:$I$2000, FALSE), 8)</f>
        <v>B_01'Flr_012</v>
      </c>
      <c r="C494" t="str">
        <f>INDEX(Joined!$A$3:$M$2000, MATCH($A494, Joined!$I$3:$I$2000, FALSE), 7)</f>
        <v>VAV-12N-9</v>
      </c>
      <c r="D494">
        <f>INDEX(Joined!$A$3:$M$2000, MATCH($A494, Joined!$I$3:$I$2000, FALSE), 5)</f>
        <v>153107</v>
      </c>
      <c r="E494" t="str">
        <f>INDEX(Joined!$A$3:$M$2000, MATCH($A494, Joined!$I$3:$I$2000, FALSE), 7)</f>
        <v>VAV-12N-9</v>
      </c>
      <c r="F494" t="s">
        <v>38</v>
      </c>
      <c r="G494" t="str">
        <f>INDEX(Schedule!$Q$2:$R$7, MATCH(ABT!$H494,Schedule!$Q$2:$Q$7, 0), 2)</f>
        <v>15010_DXR_VAV_DXR2M12</v>
      </c>
      <c r="H494">
        <f>INDEX(Joined!$A$3:$M$2000, MATCH($A494, Joined!$I$3:$I$2000, FALSE), 6)</f>
        <v>15010</v>
      </c>
      <c r="I494" t="str">
        <f>INDEX(Joined!$A$3:$M$2000, MATCH($A494, Joined!$I$3:$I$2000, FALSE), 4)</f>
        <v>531</v>
      </c>
      <c r="J494" t="b">
        <v>0</v>
      </c>
      <c r="K494">
        <f>INDEX(Joined!$A$3:$M$2000, MATCH($A494, Joined!$I$3:$I$2000, FALSE), 3)</f>
        <v>7</v>
      </c>
      <c r="L494">
        <v>85</v>
      </c>
      <c r="M494">
        <v>38400</v>
      </c>
      <c r="N494" s="27">
        <f>PI()*(INDEX(Schedule!$A$1:$N$2000, MATCH($C494, VAV_Schedule_5_21[[#All],[UNIT TAG]], FALSE), 4)/2/12)^2</f>
        <v>0.3490658503988659</v>
      </c>
      <c r="O494" s="27">
        <f>INDEX(Schedule!$A$1:$N$2000, MATCH($C494, VAV_Schedule_5_21[[#All],[UNIT TAG]], FALSE), 4)</f>
        <v>8</v>
      </c>
      <c r="P494">
        <v>492.63</v>
      </c>
      <c r="Q494" s="27">
        <f>INDEX(Schedule!$A$1:$N$2000, MATCH($C494, VAV_Schedule_5_21[[#All],[UNIT TAG]], FALSE), 5)</f>
        <v>500</v>
      </c>
      <c r="R494" s="27">
        <f>INDEX(Schedule!$A$1:$N$2000, MATCH($C494, VAV_Schedule_5_21[[#All],[UNIT TAG]], FALSE), 6)</f>
        <v>75</v>
      </c>
      <c r="S494" s="27">
        <f>INDEX(Schedule!$A$1:$N$2000, MATCH($C494, VAV_Schedule_5_21[[#All],[UNIT TAG]], FALSE), 5)</f>
        <v>500</v>
      </c>
      <c r="T494" s="27">
        <f>INDEX(Schedule!$A$1:$N$2000, MATCH($C494, VAV_Schedule_5_21[[#All],[UNIT TAG]], FALSE), 6)</f>
        <v>75</v>
      </c>
      <c r="U494" s="27">
        <f>INDEX(Schedule!$A$1:$N$2000, MATCH($C494, VAV_Schedule_5_21[[#All],[UNIT TAG]], FALSE), 5)</f>
        <v>500</v>
      </c>
      <c r="V494" s="27">
        <f>INDEX(Schedule!$A$1:$N$2000, MATCH($C494, VAV_Schedule_5_21[[#All],[UNIT TAG]], FALSE), 6)</f>
        <v>75</v>
      </c>
      <c r="W494" s="27">
        <f>INDEX(Schedule!$A$1:$N$2000, MATCH($C494, VAV_Schedule_5_21[[#All],[UNIT TAG]], FALSE), 6)</f>
        <v>75</v>
      </c>
      <c r="X494" s="27">
        <f>INDEX(Schedule!$A$1:$N$2000, MATCH($C494, VAV_Schedule_5_21[[#All],[UNIT TAG]], FALSE), 6)</f>
        <v>75</v>
      </c>
      <c r="Y494" s="27">
        <f>INDEX(Schedule!$A$1:$N$2000, MATCH($C494, VAV_Schedule_5_21[[#All],[UNIT TAG]], FALSE), 6)</f>
        <v>75</v>
      </c>
      <c r="Z494" s="27">
        <f>INDEX(Schedule!$A$1:$N$2000, MATCH($C494, VAV_Schedule_5_21[[#All],[UNIT TAG]], FALSE), 6)</f>
        <v>75</v>
      </c>
      <c r="AA494" s="27">
        <v>1000</v>
      </c>
      <c r="AB494" s="27">
        <v>1100</v>
      </c>
      <c r="AC494">
        <v>1400</v>
      </c>
      <c r="AD494" s="29">
        <f>IF(INDEX(Schedule!$A$1:$N$2000, MATCH($C494, VAV_Schedule_5_21[[#All],[UNIT TAG]], FALSE), 7)="-", 0, INDEX(Schedule!$A$1:$N$2000, MATCH($C494, VAV_Schedule_5_21[[#All],[UNIT TAG]], FALSE), 7))</f>
        <v>0</v>
      </c>
      <c r="AE494" t="str">
        <f>"B_01'" &amp; "Flr_0" &amp; INDEX(Joined!$A$3:$M$2000, MATCH($A494, Joined!$I$3:$I$2000, FALSE), 8)</f>
        <v>B_01'Flr_012</v>
      </c>
      <c r="AF494" t="str">
        <f>"R_" &amp; INDEX(Joined!$A$3:$M$2000, MATCH($A494, Joined!$I$3:$I$2000, FALSE), 7)</f>
        <v>R_VAV-12N-9</v>
      </c>
      <c r="AG494" t="str">
        <f>"B_01'" &amp; "Flr_0" &amp; INDEX(Joined!$A$3:$M$2000, MATCH($A494, Joined!$I$3:$I$2000, FALSE), 8)</f>
        <v>B_01'Flr_012</v>
      </c>
      <c r="AH494" t="str">
        <f>INDEX(Joined!$A$3:$M$2000, MATCH($A494, Joined!$I$3:$I$2000, FALSE), 7)</f>
        <v>VAV-12N-9</v>
      </c>
      <c r="AI494" t="s">
        <v>1822</v>
      </c>
    </row>
    <row r="495" spans="1:35" x14ac:dyDescent="0.2">
      <c r="A495" t="s">
        <v>1356</v>
      </c>
      <c r="B495" t="str">
        <f>"B_01'" &amp; "Flr_0" &amp; INDEX(Joined!$A$3:$M$2000, MATCH($A495, Joined!$I$3:$I$2000, FALSE), 8)</f>
        <v>B_01'Flr_012</v>
      </c>
      <c r="C495" t="str">
        <f>INDEX(Joined!$A$3:$M$2000, MATCH($A495, Joined!$I$3:$I$2000, FALSE), 7)</f>
        <v>VAV-12N-10</v>
      </c>
      <c r="D495">
        <f>INDEX(Joined!$A$3:$M$2000, MATCH($A495, Joined!$I$3:$I$2000, FALSE), 5)</f>
        <v>153108</v>
      </c>
      <c r="E495" t="str">
        <f>INDEX(Joined!$A$3:$M$2000, MATCH($A495, Joined!$I$3:$I$2000, FALSE), 7)</f>
        <v>VAV-12N-10</v>
      </c>
      <c r="F495" t="s">
        <v>38</v>
      </c>
      <c r="G495" t="str">
        <f>INDEX(Schedule!$Q$2:$R$7, MATCH(ABT!$H495,Schedule!$Q$2:$Q$7, 0), 2)</f>
        <v>15010_DXR_VAV_DXR2M12</v>
      </c>
      <c r="H495">
        <f>INDEX(Joined!$A$3:$M$2000, MATCH($A495, Joined!$I$3:$I$2000, FALSE), 6)</f>
        <v>15010</v>
      </c>
      <c r="I495" t="str">
        <f>INDEX(Joined!$A$3:$M$2000, MATCH($A495, Joined!$I$3:$I$2000, FALSE), 4)</f>
        <v>531</v>
      </c>
      <c r="J495" t="b">
        <v>0</v>
      </c>
      <c r="K495">
        <f>INDEX(Joined!$A$3:$M$2000, MATCH($A495, Joined!$I$3:$I$2000, FALSE), 3)</f>
        <v>8</v>
      </c>
      <c r="L495">
        <v>85</v>
      </c>
      <c r="M495">
        <v>38400</v>
      </c>
      <c r="N495" s="27">
        <f>PI()*(INDEX(Schedule!$A$1:$N$2000, MATCH($C495, VAV_Schedule_5_21[[#All],[UNIT TAG]], FALSE), 4)/2/12)^2</f>
        <v>0.78539816339744828</v>
      </c>
      <c r="O495" s="27">
        <f>INDEX(Schedule!$A$1:$N$2000, MATCH($C495, VAV_Schedule_5_21[[#All],[UNIT TAG]], FALSE), 4)</f>
        <v>12</v>
      </c>
      <c r="P495">
        <v>493.63</v>
      </c>
      <c r="Q495" s="27">
        <f>INDEX(Schedule!$A$1:$N$2000, MATCH($C495, VAV_Schedule_5_21[[#All],[UNIT TAG]], FALSE), 5)</f>
        <v>1340</v>
      </c>
      <c r="R495" s="27">
        <f>INDEX(Schedule!$A$1:$N$2000, MATCH($C495, VAV_Schedule_5_21[[#All],[UNIT TAG]], FALSE), 6)</f>
        <v>205</v>
      </c>
      <c r="S495" s="27">
        <f>INDEX(Schedule!$A$1:$N$2000, MATCH($C495, VAV_Schedule_5_21[[#All],[UNIT TAG]], FALSE), 5)</f>
        <v>1340</v>
      </c>
      <c r="T495" s="27">
        <f>INDEX(Schedule!$A$1:$N$2000, MATCH($C495, VAV_Schedule_5_21[[#All],[UNIT TAG]], FALSE), 6)</f>
        <v>205</v>
      </c>
      <c r="U495" s="27">
        <f>INDEX(Schedule!$A$1:$N$2000, MATCH($C495, VAV_Schedule_5_21[[#All],[UNIT TAG]], FALSE), 5)</f>
        <v>1340</v>
      </c>
      <c r="V495" s="27">
        <f>INDEX(Schedule!$A$1:$N$2000, MATCH($C495, VAV_Schedule_5_21[[#All],[UNIT TAG]], FALSE), 6)</f>
        <v>205</v>
      </c>
      <c r="W495" s="27">
        <f>INDEX(Schedule!$A$1:$N$2000, MATCH($C495, VAV_Schedule_5_21[[#All],[UNIT TAG]], FALSE), 6)</f>
        <v>205</v>
      </c>
      <c r="X495" s="27">
        <f>INDEX(Schedule!$A$1:$N$2000, MATCH($C495, VAV_Schedule_5_21[[#All],[UNIT TAG]], FALSE), 6)</f>
        <v>205</v>
      </c>
      <c r="Y495" s="27">
        <f>INDEX(Schedule!$A$1:$N$2000, MATCH($C495, VAV_Schedule_5_21[[#All],[UNIT TAG]], FALSE), 6)</f>
        <v>205</v>
      </c>
      <c r="Z495" s="27">
        <f>INDEX(Schedule!$A$1:$N$2000, MATCH($C495, VAV_Schedule_5_21[[#All],[UNIT TAG]], FALSE), 6)</f>
        <v>205</v>
      </c>
      <c r="AA495" s="27">
        <v>1000</v>
      </c>
      <c r="AB495" s="27">
        <v>1100</v>
      </c>
      <c r="AC495">
        <v>1400</v>
      </c>
      <c r="AD495" s="29">
        <f>IF(INDEX(Schedule!$A$1:$N$2000, MATCH($C495, VAV_Schedule_5_21[[#All],[UNIT TAG]], FALSE), 7)="-", 0, INDEX(Schedule!$A$1:$N$2000, MATCH($C495, VAV_Schedule_5_21[[#All],[UNIT TAG]], FALSE), 7))</f>
        <v>0</v>
      </c>
      <c r="AE495" t="str">
        <f>"B_01'" &amp; "Flr_0" &amp; INDEX(Joined!$A$3:$M$2000, MATCH($A495, Joined!$I$3:$I$2000, FALSE), 8)</f>
        <v>B_01'Flr_012</v>
      </c>
      <c r="AF495" t="str">
        <f>"R_" &amp; INDEX(Joined!$A$3:$M$2000, MATCH($A495, Joined!$I$3:$I$2000, FALSE), 7)</f>
        <v>R_VAV-12N-10</v>
      </c>
      <c r="AG495" t="str">
        <f>"B_01'" &amp; "Flr_0" &amp; INDEX(Joined!$A$3:$M$2000, MATCH($A495, Joined!$I$3:$I$2000, FALSE), 8)</f>
        <v>B_01'Flr_012</v>
      </c>
      <c r="AH495" t="str">
        <f>INDEX(Joined!$A$3:$M$2000, MATCH($A495, Joined!$I$3:$I$2000, FALSE), 7)</f>
        <v>VAV-12N-10</v>
      </c>
      <c r="AI495" t="s">
        <v>1823</v>
      </c>
    </row>
    <row r="496" spans="1:35" x14ac:dyDescent="0.2">
      <c r="A496" t="s">
        <v>1357</v>
      </c>
      <c r="B496" t="str">
        <f>"B_01'" &amp; "Flr_0" &amp; INDEX(Joined!$A$3:$M$2000, MATCH($A496, Joined!$I$3:$I$2000, FALSE), 8)</f>
        <v>B_01'Flr_012</v>
      </c>
      <c r="C496" t="str">
        <f>INDEX(Joined!$A$3:$M$2000, MATCH($A496, Joined!$I$3:$I$2000, FALSE), 7)</f>
        <v>VAV-12N-11</v>
      </c>
      <c r="D496">
        <f>INDEX(Joined!$A$3:$M$2000, MATCH($A496, Joined!$I$3:$I$2000, FALSE), 5)</f>
        <v>153109</v>
      </c>
      <c r="E496" t="str">
        <f>INDEX(Joined!$A$3:$M$2000, MATCH($A496, Joined!$I$3:$I$2000, FALSE), 7)</f>
        <v>VAV-12N-11</v>
      </c>
      <c r="F496" t="s">
        <v>38</v>
      </c>
      <c r="G496" t="str">
        <f>INDEX(Schedule!$Q$2:$R$7, MATCH(ABT!$H496,Schedule!$Q$2:$Q$7, 0), 2)</f>
        <v>15010_DXR_VAV_DXR2M12</v>
      </c>
      <c r="H496">
        <f>INDEX(Joined!$A$3:$M$2000, MATCH($A496, Joined!$I$3:$I$2000, FALSE), 6)</f>
        <v>15010</v>
      </c>
      <c r="I496" t="str">
        <f>INDEX(Joined!$A$3:$M$2000, MATCH($A496, Joined!$I$3:$I$2000, FALSE), 4)</f>
        <v>531</v>
      </c>
      <c r="J496" t="b">
        <v>0</v>
      </c>
      <c r="K496">
        <f>INDEX(Joined!$A$3:$M$2000, MATCH($A496, Joined!$I$3:$I$2000, FALSE), 3)</f>
        <v>9</v>
      </c>
      <c r="L496">
        <v>85</v>
      </c>
      <c r="M496">
        <v>38400</v>
      </c>
      <c r="N496" s="27">
        <f>PI()*(INDEX(Schedule!$A$1:$N$2000, MATCH($C496, VAV_Schedule_5_21[[#All],[UNIT TAG]], FALSE), 4)/2/12)^2</f>
        <v>0.54541539124822802</v>
      </c>
      <c r="O496" s="27">
        <f>INDEX(Schedule!$A$1:$N$2000, MATCH($C496, VAV_Schedule_5_21[[#All],[UNIT TAG]], FALSE), 4)</f>
        <v>10</v>
      </c>
      <c r="P496">
        <v>494.63</v>
      </c>
      <c r="Q496" s="27">
        <f>INDEX(Schedule!$A$1:$N$2000, MATCH($C496, VAV_Schedule_5_21[[#All],[UNIT TAG]], FALSE), 5)</f>
        <v>1070</v>
      </c>
      <c r="R496" s="27">
        <f>INDEX(Schedule!$A$1:$N$2000, MATCH($C496, VAV_Schedule_5_21[[#All],[UNIT TAG]], FALSE), 6)</f>
        <v>165</v>
      </c>
      <c r="S496" s="27">
        <f>INDEX(Schedule!$A$1:$N$2000, MATCH($C496, VAV_Schedule_5_21[[#All],[UNIT TAG]], FALSE), 5)</f>
        <v>1070</v>
      </c>
      <c r="T496" s="27">
        <f>INDEX(Schedule!$A$1:$N$2000, MATCH($C496, VAV_Schedule_5_21[[#All],[UNIT TAG]], FALSE), 6)</f>
        <v>165</v>
      </c>
      <c r="U496" s="27">
        <f>INDEX(Schedule!$A$1:$N$2000, MATCH($C496, VAV_Schedule_5_21[[#All],[UNIT TAG]], FALSE), 5)</f>
        <v>1070</v>
      </c>
      <c r="V496" s="27">
        <f>INDEX(Schedule!$A$1:$N$2000, MATCH($C496, VAV_Schedule_5_21[[#All],[UNIT TAG]], FALSE), 6)</f>
        <v>165</v>
      </c>
      <c r="W496" s="27">
        <f>INDEX(Schedule!$A$1:$N$2000, MATCH($C496, VAV_Schedule_5_21[[#All],[UNIT TAG]], FALSE), 6)</f>
        <v>165</v>
      </c>
      <c r="X496" s="27">
        <f>INDEX(Schedule!$A$1:$N$2000, MATCH($C496, VAV_Schedule_5_21[[#All],[UNIT TAG]], FALSE), 6)</f>
        <v>165</v>
      </c>
      <c r="Y496" s="27">
        <f>INDEX(Schedule!$A$1:$N$2000, MATCH($C496, VAV_Schedule_5_21[[#All],[UNIT TAG]], FALSE), 6)</f>
        <v>165</v>
      </c>
      <c r="Z496" s="27">
        <f>INDEX(Schedule!$A$1:$N$2000, MATCH($C496, VAV_Schedule_5_21[[#All],[UNIT TAG]], FALSE), 6)</f>
        <v>165</v>
      </c>
      <c r="AA496" s="27">
        <v>1000</v>
      </c>
      <c r="AB496" s="27">
        <v>1100</v>
      </c>
      <c r="AC496">
        <v>1400</v>
      </c>
      <c r="AD496" s="29">
        <f>IF(INDEX(Schedule!$A$1:$N$2000, MATCH($C496, VAV_Schedule_5_21[[#All],[UNIT TAG]], FALSE), 7)="-", 0, INDEX(Schedule!$A$1:$N$2000, MATCH($C496, VAV_Schedule_5_21[[#All],[UNIT TAG]], FALSE), 7))</f>
        <v>0</v>
      </c>
      <c r="AE496" t="str">
        <f>"B_01'" &amp; "Flr_0" &amp; INDEX(Joined!$A$3:$M$2000, MATCH($A496, Joined!$I$3:$I$2000, FALSE), 8)</f>
        <v>B_01'Flr_012</v>
      </c>
      <c r="AF496" t="str">
        <f>"R_" &amp; INDEX(Joined!$A$3:$M$2000, MATCH($A496, Joined!$I$3:$I$2000, FALSE), 7)</f>
        <v>R_VAV-12N-11</v>
      </c>
      <c r="AG496" t="str">
        <f>"B_01'" &amp; "Flr_0" &amp; INDEX(Joined!$A$3:$M$2000, MATCH($A496, Joined!$I$3:$I$2000, FALSE), 8)</f>
        <v>B_01'Flr_012</v>
      </c>
      <c r="AH496" t="str">
        <f>INDEX(Joined!$A$3:$M$2000, MATCH($A496, Joined!$I$3:$I$2000, FALSE), 7)</f>
        <v>VAV-12N-11</v>
      </c>
      <c r="AI496" t="s">
        <v>1824</v>
      </c>
    </row>
    <row r="497" spans="1:35" x14ac:dyDescent="0.2">
      <c r="A497" t="s">
        <v>1358</v>
      </c>
      <c r="B497" t="str">
        <f>"B_01'" &amp; "Flr_0" &amp; INDEX(Joined!$A$3:$M$2000, MATCH($A497, Joined!$I$3:$I$2000, FALSE), 8)</f>
        <v>B_01'Flr_012</v>
      </c>
      <c r="C497" t="str">
        <f>INDEX(Joined!$A$3:$M$2000, MATCH($A497, Joined!$I$3:$I$2000, FALSE), 7)</f>
        <v>VAV-12N-12</v>
      </c>
      <c r="D497">
        <f>INDEX(Joined!$A$3:$M$2000, MATCH($A497, Joined!$I$3:$I$2000, FALSE), 5)</f>
        <v>153110</v>
      </c>
      <c r="E497" t="str">
        <f>INDEX(Joined!$A$3:$M$2000, MATCH($A497, Joined!$I$3:$I$2000, FALSE), 7)</f>
        <v>VAV-12N-12</v>
      </c>
      <c r="F497" t="s">
        <v>38</v>
      </c>
      <c r="G497" t="str">
        <f>INDEX(Schedule!$Q$2:$R$7, MATCH(ABT!$H497,Schedule!$Q$2:$Q$7, 0), 2)</f>
        <v>15010_DXR_VAV_DXR2M12</v>
      </c>
      <c r="H497">
        <f>INDEX(Joined!$A$3:$M$2000, MATCH($A497, Joined!$I$3:$I$2000, FALSE), 6)</f>
        <v>15010</v>
      </c>
      <c r="I497" t="str">
        <f>INDEX(Joined!$A$3:$M$2000, MATCH($A497, Joined!$I$3:$I$2000, FALSE), 4)</f>
        <v>531</v>
      </c>
      <c r="J497" t="b">
        <v>0</v>
      </c>
      <c r="K497">
        <f>INDEX(Joined!$A$3:$M$2000, MATCH($A497, Joined!$I$3:$I$2000, FALSE), 3)</f>
        <v>10</v>
      </c>
      <c r="L497">
        <v>85</v>
      </c>
      <c r="M497">
        <v>38400</v>
      </c>
      <c r="N497" s="27">
        <f>PI()*(INDEX(Schedule!$A$1:$N$2000, MATCH($C497, VAV_Schedule_5_21[[#All],[UNIT TAG]], FALSE), 4)/2/12)^2</f>
        <v>0.78539816339744828</v>
      </c>
      <c r="O497" s="27">
        <f>INDEX(Schedule!$A$1:$N$2000, MATCH($C497, VAV_Schedule_5_21[[#All],[UNIT TAG]], FALSE), 4)</f>
        <v>12</v>
      </c>
      <c r="P497">
        <v>495.63</v>
      </c>
      <c r="Q497" s="27">
        <f>INDEX(Schedule!$A$1:$N$2000, MATCH($C497, VAV_Schedule_5_21[[#All],[UNIT TAG]], FALSE), 5)</f>
        <v>1350</v>
      </c>
      <c r="R497" s="27">
        <f>INDEX(Schedule!$A$1:$N$2000, MATCH($C497, VAV_Schedule_5_21[[#All],[UNIT TAG]], FALSE), 6)</f>
        <v>205</v>
      </c>
      <c r="S497" s="27">
        <f>INDEX(Schedule!$A$1:$N$2000, MATCH($C497, VAV_Schedule_5_21[[#All],[UNIT TAG]], FALSE), 5)</f>
        <v>1350</v>
      </c>
      <c r="T497" s="27">
        <f>INDEX(Schedule!$A$1:$N$2000, MATCH($C497, VAV_Schedule_5_21[[#All],[UNIT TAG]], FALSE), 6)</f>
        <v>205</v>
      </c>
      <c r="U497" s="27">
        <f>INDEX(Schedule!$A$1:$N$2000, MATCH($C497, VAV_Schedule_5_21[[#All],[UNIT TAG]], FALSE), 5)</f>
        <v>1350</v>
      </c>
      <c r="V497" s="27">
        <f>INDEX(Schedule!$A$1:$N$2000, MATCH($C497, VAV_Schedule_5_21[[#All],[UNIT TAG]], FALSE), 6)</f>
        <v>205</v>
      </c>
      <c r="W497" s="27">
        <f>INDEX(Schedule!$A$1:$N$2000, MATCH($C497, VAV_Schedule_5_21[[#All],[UNIT TAG]], FALSE), 6)</f>
        <v>205</v>
      </c>
      <c r="X497" s="27">
        <f>INDEX(Schedule!$A$1:$N$2000, MATCH($C497, VAV_Schedule_5_21[[#All],[UNIT TAG]], FALSE), 6)</f>
        <v>205</v>
      </c>
      <c r="Y497" s="27">
        <f>INDEX(Schedule!$A$1:$N$2000, MATCH($C497, VAV_Schedule_5_21[[#All],[UNIT TAG]], FALSE), 6)</f>
        <v>205</v>
      </c>
      <c r="Z497" s="27">
        <f>INDEX(Schedule!$A$1:$N$2000, MATCH($C497, VAV_Schedule_5_21[[#All],[UNIT TAG]], FALSE), 6)</f>
        <v>205</v>
      </c>
      <c r="AA497" s="27">
        <v>1000</v>
      </c>
      <c r="AB497" s="27">
        <v>1100</v>
      </c>
      <c r="AC497">
        <v>1400</v>
      </c>
      <c r="AD497" s="29">
        <f>IF(INDEX(Schedule!$A$1:$N$2000, MATCH($C497, VAV_Schedule_5_21[[#All],[UNIT TAG]], FALSE), 7)="-", 0, INDEX(Schedule!$A$1:$N$2000, MATCH($C497, VAV_Schedule_5_21[[#All],[UNIT TAG]], FALSE), 7))</f>
        <v>0</v>
      </c>
      <c r="AE497" t="str">
        <f>"B_01'" &amp; "Flr_0" &amp; INDEX(Joined!$A$3:$M$2000, MATCH($A497, Joined!$I$3:$I$2000, FALSE), 8)</f>
        <v>B_01'Flr_012</v>
      </c>
      <c r="AF497" t="str">
        <f>"R_" &amp; INDEX(Joined!$A$3:$M$2000, MATCH($A497, Joined!$I$3:$I$2000, FALSE), 7)</f>
        <v>R_VAV-12N-12</v>
      </c>
      <c r="AG497" t="str">
        <f>"B_01'" &amp; "Flr_0" &amp; INDEX(Joined!$A$3:$M$2000, MATCH($A497, Joined!$I$3:$I$2000, FALSE), 8)</f>
        <v>B_01'Flr_012</v>
      </c>
      <c r="AH497" t="str">
        <f>INDEX(Joined!$A$3:$M$2000, MATCH($A497, Joined!$I$3:$I$2000, FALSE), 7)</f>
        <v>VAV-12N-12</v>
      </c>
      <c r="AI497" t="s">
        <v>1825</v>
      </c>
    </row>
    <row r="498" spans="1:35" x14ac:dyDescent="0.2">
      <c r="A498" t="s">
        <v>1359</v>
      </c>
      <c r="B498" t="str">
        <f>"B_01'" &amp; "Flr_0" &amp; INDEX(Joined!$A$3:$M$2000, MATCH($A498, Joined!$I$3:$I$2000, FALSE), 8)</f>
        <v>B_01'Flr_012</v>
      </c>
      <c r="C498" t="str">
        <f>INDEX(Joined!$A$3:$M$2000, MATCH($A498, Joined!$I$3:$I$2000, FALSE), 7)</f>
        <v>VAV-12E-13</v>
      </c>
      <c r="D498">
        <f>INDEX(Joined!$A$3:$M$2000, MATCH($A498, Joined!$I$3:$I$2000, FALSE), 5)</f>
        <v>153201</v>
      </c>
      <c r="E498" t="str">
        <f>INDEX(Joined!$A$3:$M$2000, MATCH($A498, Joined!$I$3:$I$2000, FALSE), 7)</f>
        <v>VAV-12E-13</v>
      </c>
      <c r="F498" t="s">
        <v>38</v>
      </c>
      <c r="G498" t="str">
        <f>INDEX(Schedule!$Q$2:$R$7, MATCH(ABT!$H498,Schedule!$Q$2:$Q$7, 0), 2)</f>
        <v>15011_DXR_VAV_DXR2M12</v>
      </c>
      <c r="H498">
        <f>INDEX(Joined!$A$3:$M$2000, MATCH($A498, Joined!$I$3:$I$2000, FALSE), 6)</f>
        <v>15011</v>
      </c>
      <c r="I498" t="str">
        <f>INDEX(Joined!$A$3:$M$2000, MATCH($A498, Joined!$I$3:$I$2000, FALSE), 4)</f>
        <v>532</v>
      </c>
      <c r="J498" t="b">
        <v>0</v>
      </c>
      <c r="K498">
        <f>INDEX(Joined!$A$3:$M$2000, MATCH($A498, Joined!$I$3:$I$2000, FALSE), 3)</f>
        <v>1</v>
      </c>
      <c r="L498">
        <v>85</v>
      </c>
      <c r="M498">
        <v>38400</v>
      </c>
      <c r="N498" s="27">
        <f>PI()*(INDEX(Schedule!$A$1:$N$2000, MATCH($C498, VAV_Schedule_5_21[[#All],[UNIT TAG]], FALSE), 4)/2/12)^2</f>
        <v>0.54541539124822802</v>
      </c>
      <c r="O498" s="27">
        <f>INDEX(Schedule!$A$1:$N$2000, MATCH($C498, VAV_Schedule_5_21[[#All],[UNIT TAG]], FALSE), 4)</f>
        <v>10</v>
      </c>
      <c r="P498">
        <v>496.63</v>
      </c>
      <c r="Q498" s="27">
        <f>INDEX(Schedule!$A$1:$N$2000, MATCH($C498, VAV_Schedule_5_21[[#All],[UNIT TAG]], FALSE), 5)</f>
        <v>840</v>
      </c>
      <c r="R498" s="27">
        <f>INDEX(Schedule!$A$1:$N$2000, MATCH($C498, VAV_Schedule_5_21[[#All],[UNIT TAG]], FALSE), 6)</f>
        <v>130</v>
      </c>
      <c r="S498" s="27">
        <f>INDEX(Schedule!$A$1:$N$2000, MATCH($C498, VAV_Schedule_5_21[[#All],[UNIT TAG]], FALSE), 5)</f>
        <v>840</v>
      </c>
      <c r="T498" s="27">
        <f>INDEX(Schedule!$A$1:$N$2000, MATCH($C498, VAV_Schedule_5_21[[#All],[UNIT TAG]], FALSE), 6)</f>
        <v>130</v>
      </c>
      <c r="U498" s="27">
        <f>INDEX(Schedule!$A$1:$N$2000, MATCH($C498, VAV_Schedule_5_21[[#All],[UNIT TAG]], FALSE), 5)</f>
        <v>840</v>
      </c>
      <c r="V498" s="27">
        <f>INDEX(Schedule!$A$1:$N$2000, MATCH($C498, VAV_Schedule_5_21[[#All],[UNIT TAG]], FALSE), 6)</f>
        <v>130</v>
      </c>
      <c r="W498" s="27">
        <f>INDEX(Schedule!$A$1:$N$2000, MATCH($C498, VAV_Schedule_5_21[[#All],[UNIT TAG]], FALSE), 6)</f>
        <v>130</v>
      </c>
      <c r="X498" s="27">
        <f>INDEX(Schedule!$A$1:$N$2000, MATCH($C498, VAV_Schedule_5_21[[#All],[UNIT TAG]], FALSE), 6)</f>
        <v>130</v>
      </c>
      <c r="Y498" s="27">
        <f>INDEX(Schedule!$A$1:$N$2000, MATCH($C498, VAV_Schedule_5_21[[#All],[UNIT TAG]], FALSE), 6)</f>
        <v>130</v>
      </c>
      <c r="Z498" s="27">
        <f>INDEX(Schedule!$A$1:$N$2000, MATCH($C498, VAV_Schedule_5_21[[#All],[UNIT TAG]], FALSE), 6)</f>
        <v>130</v>
      </c>
      <c r="AA498" s="27">
        <v>1000</v>
      </c>
      <c r="AB498" s="27">
        <v>1100</v>
      </c>
      <c r="AC498">
        <v>1400</v>
      </c>
      <c r="AD498" s="29" t="str">
        <f>IF(INDEX(Schedule!$A$1:$N$2000, MATCH($C498, VAV_Schedule_5_21[[#All],[UNIT TAG]], FALSE), 7)="-", 0, INDEX(Schedule!$A$1:$N$2000, MATCH($C498, VAV_Schedule_5_21[[#All],[UNIT TAG]], FALSE), 7))</f>
        <v>6</v>
      </c>
      <c r="AE498" t="str">
        <f>"B_01'" &amp; "Flr_0" &amp; INDEX(Joined!$A$3:$M$2000, MATCH($A498, Joined!$I$3:$I$2000, FALSE), 8)</f>
        <v>B_01'Flr_012</v>
      </c>
      <c r="AF498" t="str">
        <f>"R_" &amp; INDEX(Joined!$A$3:$M$2000, MATCH($A498, Joined!$I$3:$I$2000, FALSE), 7)</f>
        <v>R_VAV-12E-13</v>
      </c>
      <c r="AG498" t="str">
        <f>"B_01'" &amp; "Flr_0" &amp; INDEX(Joined!$A$3:$M$2000, MATCH($A498, Joined!$I$3:$I$2000, FALSE), 8)</f>
        <v>B_01'Flr_012</v>
      </c>
      <c r="AH498" t="str">
        <f>INDEX(Joined!$A$3:$M$2000, MATCH($A498, Joined!$I$3:$I$2000, FALSE), 7)</f>
        <v>VAV-12E-13</v>
      </c>
      <c r="AI498" t="s">
        <v>1826</v>
      </c>
    </row>
    <row r="499" spans="1:35" x14ac:dyDescent="0.2">
      <c r="A499" t="s">
        <v>1360</v>
      </c>
      <c r="B499" t="str">
        <f>"B_01'" &amp; "Flr_0" &amp; INDEX(Joined!$A$3:$M$2000, MATCH($A499, Joined!$I$3:$I$2000, FALSE), 8)</f>
        <v>B_01'Flr_012</v>
      </c>
      <c r="C499" t="str">
        <f>INDEX(Joined!$A$3:$M$2000, MATCH($A499, Joined!$I$3:$I$2000, FALSE), 7)</f>
        <v>VAV-12E-14</v>
      </c>
      <c r="D499">
        <f>INDEX(Joined!$A$3:$M$2000, MATCH($A499, Joined!$I$3:$I$2000, FALSE), 5)</f>
        <v>153202</v>
      </c>
      <c r="E499" t="str">
        <f>INDEX(Joined!$A$3:$M$2000, MATCH($A499, Joined!$I$3:$I$2000, FALSE), 7)</f>
        <v>VAV-12E-14</v>
      </c>
      <c r="F499" t="s">
        <v>38</v>
      </c>
      <c r="G499" t="str">
        <f>INDEX(Schedule!$Q$2:$R$7, MATCH(ABT!$H499,Schedule!$Q$2:$Q$7, 0), 2)</f>
        <v>15011_DXR_VAV_DXR2M12</v>
      </c>
      <c r="H499">
        <f>INDEX(Joined!$A$3:$M$2000, MATCH($A499, Joined!$I$3:$I$2000, FALSE), 6)</f>
        <v>15011</v>
      </c>
      <c r="I499" t="str">
        <f>INDEX(Joined!$A$3:$M$2000, MATCH($A499, Joined!$I$3:$I$2000, FALSE), 4)</f>
        <v>532</v>
      </c>
      <c r="J499" t="b">
        <v>0</v>
      </c>
      <c r="K499">
        <f>INDEX(Joined!$A$3:$M$2000, MATCH($A499, Joined!$I$3:$I$2000, FALSE), 3)</f>
        <v>2</v>
      </c>
      <c r="L499">
        <v>85</v>
      </c>
      <c r="M499">
        <v>38400</v>
      </c>
      <c r="N499" s="27">
        <f>PI()*(INDEX(Schedule!$A$1:$N$2000, MATCH($C499, VAV_Schedule_5_21[[#All],[UNIT TAG]], FALSE), 4)/2/12)^2</f>
        <v>0.3490658503988659</v>
      </c>
      <c r="O499" s="27">
        <f>INDEX(Schedule!$A$1:$N$2000, MATCH($C499, VAV_Schedule_5_21[[#All],[UNIT TAG]], FALSE), 4)</f>
        <v>8</v>
      </c>
      <c r="P499">
        <v>497.63</v>
      </c>
      <c r="Q499" s="27">
        <f>INDEX(Schedule!$A$1:$N$2000, MATCH($C499, VAV_Schedule_5_21[[#All],[UNIT TAG]], FALSE), 5)</f>
        <v>640</v>
      </c>
      <c r="R499" s="27">
        <f>INDEX(Schedule!$A$1:$N$2000, MATCH($C499, VAV_Schedule_5_21[[#All],[UNIT TAG]], FALSE), 6)</f>
        <v>100</v>
      </c>
      <c r="S499" s="27">
        <f>INDEX(Schedule!$A$1:$N$2000, MATCH($C499, VAV_Schedule_5_21[[#All],[UNIT TAG]], FALSE), 5)</f>
        <v>640</v>
      </c>
      <c r="T499" s="27">
        <f>INDEX(Schedule!$A$1:$N$2000, MATCH($C499, VAV_Schedule_5_21[[#All],[UNIT TAG]], FALSE), 6)</f>
        <v>100</v>
      </c>
      <c r="U499" s="27">
        <f>INDEX(Schedule!$A$1:$N$2000, MATCH($C499, VAV_Schedule_5_21[[#All],[UNIT TAG]], FALSE), 5)</f>
        <v>640</v>
      </c>
      <c r="V499" s="27">
        <f>INDEX(Schedule!$A$1:$N$2000, MATCH($C499, VAV_Schedule_5_21[[#All],[UNIT TAG]], FALSE), 6)</f>
        <v>100</v>
      </c>
      <c r="W499" s="27">
        <f>INDEX(Schedule!$A$1:$N$2000, MATCH($C499, VAV_Schedule_5_21[[#All],[UNIT TAG]], FALSE), 6)</f>
        <v>100</v>
      </c>
      <c r="X499" s="27">
        <f>INDEX(Schedule!$A$1:$N$2000, MATCH($C499, VAV_Schedule_5_21[[#All],[UNIT TAG]], FALSE), 6)</f>
        <v>100</v>
      </c>
      <c r="Y499" s="27">
        <f>INDEX(Schedule!$A$1:$N$2000, MATCH($C499, VAV_Schedule_5_21[[#All],[UNIT TAG]], FALSE), 6)</f>
        <v>100</v>
      </c>
      <c r="Z499" s="27">
        <f>INDEX(Schedule!$A$1:$N$2000, MATCH($C499, VAV_Schedule_5_21[[#All],[UNIT TAG]], FALSE), 6)</f>
        <v>100</v>
      </c>
      <c r="AA499" s="27">
        <v>1000</v>
      </c>
      <c r="AB499" s="27">
        <v>1100</v>
      </c>
      <c r="AC499">
        <v>1400</v>
      </c>
      <c r="AD499" s="29" t="str">
        <f>IF(INDEX(Schedule!$A$1:$N$2000, MATCH($C499, VAV_Schedule_5_21[[#All],[UNIT TAG]], FALSE), 7)="-", 0, INDEX(Schedule!$A$1:$N$2000, MATCH($C499, VAV_Schedule_5_21[[#All],[UNIT TAG]], FALSE), 7))</f>
        <v>6</v>
      </c>
      <c r="AE499" t="str">
        <f>"B_01'" &amp; "Flr_0" &amp; INDEX(Joined!$A$3:$M$2000, MATCH($A499, Joined!$I$3:$I$2000, FALSE), 8)</f>
        <v>B_01'Flr_012</v>
      </c>
      <c r="AF499" t="str">
        <f>"R_" &amp; INDEX(Joined!$A$3:$M$2000, MATCH($A499, Joined!$I$3:$I$2000, FALSE), 7)</f>
        <v>R_VAV-12E-14</v>
      </c>
      <c r="AG499" t="str">
        <f>"B_01'" &amp; "Flr_0" &amp; INDEX(Joined!$A$3:$M$2000, MATCH($A499, Joined!$I$3:$I$2000, FALSE), 8)</f>
        <v>B_01'Flr_012</v>
      </c>
      <c r="AH499" t="str">
        <f>INDEX(Joined!$A$3:$M$2000, MATCH($A499, Joined!$I$3:$I$2000, FALSE), 7)</f>
        <v>VAV-12E-14</v>
      </c>
      <c r="AI499" t="s">
        <v>1827</v>
      </c>
    </row>
    <row r="500" spans="1:35" x14ac:dyDescent="0.2">
      <c r="A500" t="s">
        <v>1361</v>
      </c>
      <c r="B500" t="str">
        <f>"B_01'" &amp; "Flr_0" &amp; INDEX(Joined!$A$3:$M$2000, MATCH($A500, Joined!$I$3:$I$2000, FALSE), 8)</f>
        <v>B_01'Flr_012</v>
      </c>
      <c r="C500" t="str">
        <f>INDEX(Joined!$A$3:$M$2000, MATCH($A500, Joined!$I$3:$I$2000, FALSE), 7)</f>
        <v>VAV-12E-15</v>
      </c>
      <c r="D500">
        <f>INDEX(Joined!$A$3:$M$2000, MATCH($A500, Joined!$I$3:$I$2000, FALSE), 5)</f>
        <v>153203</v>
      </c>
      <c r="E500" t="str">
        <f>INDEX(Joined!$A$3:$M$2000, MATCH($A500, Joined!$I$3:$I$2000, FALSE), 7)</f>
        <v>VAV-12E-15</v>
      </c>
      <c r="F500" t="s">
        <v>38</v>
      </c>
      <c r="G500" t="str">
        <f>INDEX(Schedule!$Q$2:$R$7, MATCH(ABT!$H500,Schedule!$Q$2:$Q$7, 0), 2)</f>
        <v>15011_DXR_VAV_DXR2M12</v>
      </c>
      <c r="H500">
        <f>INDEX(Joined!$A$3:$M$2000, MATCH($A500, Joined!$I$3:$I$2000, FALSE), 6)</f>
        <v>15011</v>
      </c>
      <c r="I500" t="str">
        <f>INDEX(Joined!$A$3:$M$2000, MATCH($A500, Joined!$I$3:$I$2000, FALSE), 4)</f>
        <v>532</v>
      </c>
      <c r="J500" t="b">
        <v>0</v>
      </c>
      <c r="K500">
        <f>INDEX(Joined!$A$3:$M$2000, MATCH($A500, Joined!$I$3:$I$2000, FALSE), 3)</f>
        <v>3</v>
      </c>
      <c r="L500">
        <v>85</v>
      </c>
      <c r="M500">
        <v>38400</v>
      </c>
      <c r="N500" s="27">
        <f>PI()*(INDEX(Schedule!$A$1:$N$2000, MATCH($C500, VAV_Schedule_5_21[[#All],[UNIT TAG]], FALSE), 4)/2/12)^2</f>
        <v>0.54541539124822802</v>
      </c>
      <c r="O500" s="27">
        <f>INDEX(Schedule!$A$1:$N$2000, MATCH($C500, VAV_Schedule_5_21[[#All],[UNIT TAG]], FALSE), 4)</f>
        <v>10</v>
      </c>
      <c r="P500">
        <v>498.63</v>
      </c>
      <c r="Q500" s="27">
        <f>INDEX(Schedule!$A$1:$N$2000, MATCH($C500, VAV_Schedule_5_21[[#All],[UNIT TAG]], FALSE), 5)</f>
        <v>1100</v>
      </c>
      <c r="R500" s="27">
        <f>INDEX(Schedule!$A$1:$N$2000, MATCH($C500, VAV_Schedule_5_21[[#All],[UNIT TAG]], FALSE), 6)</f>
        <v>165</v>
      </c>
      <c r="S500" s="27">
        <f>INDEX(Schedule!$A$1:$N$2000, MATCH($C500, VAV_Schedule_5_21[[#All],[UNIT TAG]], FALSE), 5)</f>
        <v>1100</v>
      </c>
      <c r="T500" s="27">
        <f>INDEX(Schedule!$A$1:$N$2000, MATCH($C500, VAV_Schedule_5_21[[#All],[UNIT TAG]], FALSE), 6)</f>
        <v>165</v>
      </c>
      <c r="U500" s="27">
        <f>INDEX(Schedule!$A$1:$N$2000, MATCH($C500, VAV_Schedule_5_21[[#All],[UNIT TAG]], FALSE), 5)</f>
        <v>1100</v>
      </c>
      <c r="V500" s="27">
        <f>INDEX(Schedule!$A$1:$N$2000, MATCH($C500, VAV_Schedule_5_21[[#All],[UNIT TAG]], FALSE), 6)</f>
        <v>165</v>
      </c>
      <c r="W500" s="27">
        <f>INDEX(Schedule!$A$1:$N$2000, MATCH($C500, VAV_Schedule_5_21[[#All],[UNIT TAG]], FALSE), 6)</f>
        <v>165</v>
      </c>
      <c r="X500" s="27">
        <f>INDEX(Schedule!$A$1:$N$2000, MATCH($C500, VAV_Schedule_5_21[[#All],[UNIT TAG]], FALSE), 6)</f>
        <v>165</v>
      </c>
      <c r="Y500" s="27">
        <f>INDEX(Schedule!$A$1:$N$2000, MATCH($C500, VAV_Schedule_5_21[[#All],[UNIT TAG]], FALSE), 6)</f>
        <v>165</v>
      </c>
      <c r="Z500" s="27">
        <f>INDEX(Schedule!$A$1:$N$2000, MATCH($C500, VAV_Schedule_5_21[[#All],[UNIT TAG]], FALSE), 6)</f>
        <v>165</v>
      </c>
      <c r="AA500" s="27">
        <v>1000</v>
      </c>
      <c r="AB500" s="27">
        <v>1100</v>
      </c>
      <c r="AC500">
        <v>1400</v>
      </c>
      <c r="AD500" s="29" t="str">
        <f>IF(INDEX(Schedule!$A$1:$N$2000, MATCH($C500, VAV_Schedule_5_21[[#All],[UNIT TAG]], FALSE), 7)="-", 0, INDEX(Schedule!$A$1:$N$2000, MATCH($C500, VAV_Schedule_5_21[[#All],[UNIT TAG]], FALSE), 7))</f>
        <v>9</v>
      </c>
      <c r="AE500" t="str">
        <f>"B_01'" &amp; "Flr_0" &amp; INDEX(Joined!$A$3:$M$2000, MATCH($A500, Joined!$I$3:$I$2000, FALSE), 8)</f>
        <v>B_01'Flr_012</v>
      </c>
      <c r="AF500" t="str">
        <f>"R_" &amp; INDEX(Joined!$A$3:$M$2000, MATCH($A500, Joined!$I$3:$I$2000, FALSE), 7)</f>
        <v>R_VAV-12E-15</v>
      </c>
      <c r="AG500" t="str">
        <f>"B_01'" &amp; "Flr_0" &amp; INDEX(Joined!$A$3:$M$2000, MATCH($A500, Joined!$I$3:$I$2000, FALSE), 8)</f>
        <v>B_01'Flr_012</v>
      </c>
      <c r="AH500" t="str">
        <f>INDEX(Joined!$A$3:$M$2000, MATCH($A500, Joined!$I$3:$I$2000, FALSE), 7)</f>
        <v>VAV-12E-15</v>
      </c>
      <c r="AI500" t="s">
        <v>1828</v>
      </c>
    </row>
    <row r="501" spans="1:35" x14ac:dyDescent="0.2">
      <c r="A501" t="s">
        <v>1362</v>
      </c>
      <c r="B501" t="str">
        <f>"B_01'" &amp; "Flr_0" &amp; INDEX(Joined!$A$3:$M$2000, MATCH($A501, Joined!$I$3:$I$2000, FALSE), 8)</f>
        <v>B_01'Flr_012</v>
      </c>
      <c r="C501" t="str">
        <f>INDEX(Joined!$A$3:$M$2000, MATCH($A501, Joined!$I$3:$I$2000, FALSE), 7)</f>
        <v>VAV-12E-16</v>
      </c>
      <c r="D501">
        <f>INDEX(Joined!$A$3:$M$2000, MATCH($A501, Joined!$I$3:$I$2000, FALSE), 5)</f>
        <v>153204</v>
      </c>
      <c r="E501" t="str">
        <f>INDEX(Joined!$A$3:$M$2000, MATCH($A501, Joined!$I$3:$I$2000, FALSE), 7)</f>
        <v>VAV-12E-16</v>
      </c>
      <c r="F501" t="s">
        <v>38</v>
      </c>
      <c r="G501" t="str">
        <f>INDEX(Schedule!$Q$2:$R$7, MATCH(ABT!$H501,Schedule!$Q$2:$Q$7, 0), 2)</f>
        <v>15011_DXR_VAV_DXR2M12</v>
      </c>
      <c r="H501">
        <f>INDEX(Joined!$A$3:$M$2000, MATCH($A501, Joined!$I$3:$I$2000, FALSE), 6)</f>
        <v>15011</v>
      </c>
      <c r="I501" t="str">
        <f>INDEX(Joined!$A$3:$M$2000, MATCH($A501, Joined!$I$3:$I$2000, FALSE), 4)</f>
        <v>532</v>
      </c>
      <c r="J501" t="b">
        <v>0</v>
      </c>
      <c r="K501">
        <f>INDEX(Joined!$A$3:$M$2000, MATCH($A501, Joined!$I$3:$I$2000, FALSE), 3)</f>
        <v>4</v>
      </c>
      <c r="L501">
        <v>85</v>
      </c>
      <c r="M501">
        <v>38400</v>
      </c>
      <c r="N501" s="27">
        <f>PI()*(INDEX(Schedule!$A$1:$N$2000, MATCH($C501, VAV_Schedule_5_21[[#All],[UNIT TAG]], FALSE), 4)/2/12)^2</f>
        <v>0.3490658503988659</v>
      </c>
      <c r="O501" s="27">
        <f>INDEX(Schedule!$A$1:$N$2000, MATCH($C501, VAV_Schedule_5_21[[#All],[UNIT TAG]], FALSE), 4)</f>
        <v>8</v>
      </c>
      <c r="P501">
        <v>499.63</v>
      </c>
      <c r="Q501" s="27">
        <f>INDEX(Schedule!$A$1:$N$2000, MATCH($C501, VAV_Schedule_5_21[[#All],[UNIT TAG]], FALSE), 5)</f>
        <v>600</v>
      </c>
      <c r="R501" s="27">
        <f>INDEX(Schedule!$A$1:$N$2000, MATCH($C501, VAV_Schedule_5_21[[#All],[UNIT TAG]], FALSE), 6)</f>
        <v>90</v>
      </c>
      <c r="S501" s="27">
        <f>INDEX(Schedule!$A$1:$N$2000, MATCH($C501, VAV_Schedule_5_21[[#All],[UNIT TAG]], FALSE), 5)</f>
        <v>600</v>
      </c>
      <c r="T501" s="27">
        <f>INDEX(Schedule!$A$1:$N$2000, MATCH($C501, VAV_Schedule_5_21[[#All],[UNIT TAG]], FALSE), 6)</f>
        <v>90</v>
      </c>
      <c r="U501" s="27">
        <f>INDEX(Schedule!$A$1:$N$2000, MATCH($C501, VAV_Schedule_5_21[[#All],[UNIT TAG]], FALSE), 5)</f>
        <v>600</v>
      </c>
      <c r="V501" s="27">
        <f>INDEX(Schedule!$A$1:$N$2000, MATCH($C501, VAV_Schedule_5_21[[#All],[UNIT TAG]], FALSE), 6)</f>
        <v>90</v>
      </c>
      <c r="W501" s="27">
        <f>INDEX(Schedule!$A$1:$N$2000, MATCH($C501, VAV_Schedule_5_21[[#All],[UNIT TAG]], FALSE), 6)</f>
        <v>90</v>
      </c>
      <c r="X501" s="27">
        <f>INDEX(Schedule!$A$1:$N$2000, MATCH($C501, VAV_Schedule_5_21[[#All],[UNIT TAG]], FALSE), 6)</f>
        <v>90</v>
      </c>
      <c r="Y501" s="27">
        <f>INDEX(Schedule!$A$1:$N$2000, MATCH($C501, VAV_Schedule_5_21[[#All],[UNIT TAG]], FALSE), 6)</f>
        <v>90</v>
      </c>
      <c r="Z501" s="27">
        <f>INDEX(Schedule!$A$1:$N$2000, MATCH($C501, VAV_Schedule_5_21[[#All],[UNIT TAG]], FALSE), 6)</f>
        <v>90</v>
      </c>
      <c r="AA501" s="27">
        <v>1000</v>
      </c>
      <c r="AB501" s="27">
        <v>1100</v>
      </c>
      <c r="AC501">
        <v>1400</v>
      </c>
      <c r="AD501" s="29" t="str">
        <f>IF(INDEX(Schedule!$A$1:$N$2000, MATCH($C501, VAV_Schedule_5_21[[#All],[UNIT TAG]], FALSE), 7)="-", 0, INDEX(Schedule!$A$1:$N$2000, MATCH($C501, VAV_Schedule_5_21[[#All],[UNIT TAG]], FALSE), 7))</f>
        <v>6</v>
      </c>
      <c r="AE501" t="str">
        <f>"B_01'" &amp; "Flr_0" &amp; INDEX(Joined!$A$3:$M$2000, MATCH($A501, Joined!$I$3:$I$2000, FALSE), 8)</f>
        <v>B_01'Flr_012</v>
      </c>
      <c r="AF501" t="str">
        <f>"R_" &amp; INDEX(Joined!$A$3:$M$2000, MATCH($A501, Joined!$I$3:$I$2000, FALSE), 7)</f>
        <v>R_VAV-12E-16</v>
      </c>
      <c r="AG501" t="str">
        <f>"B_01'" &amp; "Flr_0" &amp; INDEX(Joined!$A$3:$M$2000, MATCH($A501, Joined!$I$3:$I$2000, FALSE), 8)</f>
        <v>B_01'Flr_012</v>
      </c>
      <c r="AH501" t="str">
        <f>INDEX(Joined!$A$3:$M$2000, MATCH($A501, Joined!$I$3:$I$2000, FALSE), 7)</f>
        <v>VAV-12E-16</v>
      </c>
      <c r="AI501" t="s">
        <v>1829</v>
      </c>
    </row>
    <row r="502" spans="1:35" x14ac:dyDescent="0.2">
      <c r="A502" t="s">
        <v>1363</v>
      </c>
      <c r="B502" t="str">
        <f>"B_01'" &amp; "Flr_0" &amp; INDEX(Joined!$A$3:$M$2000, MATCH($A502, Joined!$I$3:$I$2000, FALSE), 8)</f>
        <v>B_01'Flr_012</v>
      </c>
      <c r="C502" t="str">
        <f>INDEX(Joined!$A$3:$M$2000, MATCH($A502, Joined!$I$3:$I$2000, FALSE), 7)</f>
        <v>VAV-12E-17</v>
      </c>
      <c r="D502">
        <f>INDEX(Joined!$A$3:$M$2000, MATCH($A502, Joined!$I$3:$I$2000, FALSE), 5)</f>
        <v>153205</v>
      </c>
      <c r="E502" t="str">
        <f>INDEX(Joined!$A$3:$M$2000, MATCH($A502, Joined!$I$3:$I$2000, FALSE), 7)</f>
        <v>VAV-12E-17</v>
      </c>
      <c r="F502" t="s">
        <v>38</v>
      </c>
      <c r="G502" t="str">
        <f>INDEX(Schedule!$Q$2:$R$7, MATCH(ABT!$H502,Schedule!$Q$2:$Q$7, 0), 2)</f>
        <v>15010_DXR_VAV_DXR2M12</v>
      </c>
      <c r="H502">
        <f>INDEX(Joined!$A$3:$M$2000, MATCH($A502, Joined!$I$3:$I$2000, FALSE), 6)</f>
        <v>15010</v>
      </c>
      <c r="I502" t="str">
        <f>INDEX(Joined!$A$3:$M$2000, MATCH($A502, Joined!$I$3:$I$2000, FALSE), 4)</f>
        <v>532</v>
      </c>
      <c r="J502" t="b">
        <v>0</v>
      </c>
      <c r="K502">
        <f>INDEX(Joined!$A$3:$M$2000, MATCH($A502, Joined!$I$3:$I$2000, FALSE), 3)</f>
        <v>5</v>
      </c>
      <c r="L502">
        <v>85</v>
      </c>
      <c r="M502">
        <v>38400</v>
      </c>
      <c r="N502" s="27">
        <f>PI()*(INDEX(Schedule!$A$1:$N$2000, MATCH($C502, VAV_Schedule_5_21[[#All],[UNIT TAG]], FALSE), 4)/2/12)^2</f>
        <v>0.19634954084936207</v>
      </c>
      <c r="O502" s="27">
        <f>INDEX(Schedule!$A$1:$N$2000, MATCH($C502, VAV_Schedule_5_21[[#All],[UNIT TAG]], FALSE), 4)</f>
        <v>6</v>
      </c>
      <c r="P502">
        <v>500.63</v>
      </c>
      <c r="Q502" s="27">
        <f>INDEX(Schedule!$A$1:$N$2000, MATCH($C502, VAV_Schedule_5_21[[#All],[UNIT TAG]], FALSE), 5)</f>
        <v>200</v>
      </c>
      <c r="R502" s="27">
        <f>INDEX(Schedule!$A$1:$N$2000, MATCH($C502, VAV_Schedule_5_21[[#All],[UNIT TAG]], FALSE), 6)</f>
        <v>30</v>
      </c>
      <c r="S502" s="27">
        <f>INDEX(Schedule!$A$1:$N$2000, MATCH($C502, VAV_Schedule_5_21[[#All],[UNIT TAG]], FALSE), 5)</f>
        <v>200</v>
      </c>
      <c r="T502" s="27">
        <f>INDEX(Schedule!$A$1:$N$2000, MATCH($C502, VAV_Schedule_5_21[[#All],[UNIT TAG]], FALSE), 6)</f>
        <v>30</v>
      </c>
      <c r="U502" s="27">
        <f>INDEX(Schedule!$A$1:$N$2000, MATCH($C502, VAV_Schedule_5_21[[#All],[UNIT TAG]], FALSE), 5)</f>
        <v>200</v>
      </c>
      <c r="V502" s="27">
        <f>INDEX(Schedule!$A$1:$N$2000, MATCH($C502, VAV_Schedule_5_21[[#All],[UNIT TAG]], FALSE), 6)</f>
        <v>30</v>
      </c>
      <c r="W502" s="27">
        <f>INDEX(Schedule!$A$1:$N$2000, MATCH($C502, VAV_Schedule_5_21[[#All],[UNIT TAG]], FALSE), 6)</f>
        <v>30</v>
      </c>
      <c r="X502" s="27">
        <f>INDEX(Schedule!$A$1:$N$2000, MATCH($C502, VAV_Schedule_5_21[[#All],[UNIT TAG]], FALSE), 6)</f>
        <v>30</v>
      </c>
      <c r="Y502" s="27">
        <f>INDEX(Schedule!$A$1:$N$2000, MATCH($C502, VAV_Schedule_5_21[[#All],[UNIT TAG]], FALSE), 6)</f>
        <v>30</v>
      </c>
      <c r="Z502" s="27">
        <f>INDEX(Schedule!$A$1:$N$2000, MATCH($C502, VAV_Schedule_5_21[[#All],[UNIT TAG]], FALSE), 6)</f>
        <v>30</v>
      </c>
      <c r="AA502" s="27">
        <v>1000</v>
      </c>
      <c r="AB502" s="27">
        <v>1100</v>
      </c>
      <c r="AC502">
        <v>1400</v>
      </c>
      <c r="AD502" s="29">
        <f>IF(INDEX(Schedule!$A$1:$N$2000, MATCH($C502, VAV_Schedule_5_21[[#All],[UNIT TAG]], FALSE), 7)="-", 0, INDEX(Schedule!$A$1:$N$2000, MATCH($C502, VAV_Schedule_5_21[[#All],[UNIT TAG]], FALSE), 7))</f>
        <v>0</v>
      </c>
      <c r="AE502" t="str">
        <f>"B_01'" &amp; "Flr_0" &amp; INDEX(Joined!$A$3:$M$2000, MATCH($A502, Joined!$I$3:$I$2000, FALSE), 8)</f>
        <v>B_01'Flr_012</v>
      </c>
      <c r="AF502" t="str">
        <f>"R_" &amp; INDEX(Joined!$A$3:$M$2000, MATCH($A502, Joined!$I$3:$I$2000, FALSE), 7)</f>
        <v>R_VAV-12E-17</v>
      </c>
      <c r="AG502" t="str">
        <f>"B_01'" &amp; "Flr_0" &amp; INDEX(Joined!$A$3:$M$2000, MATCH($A502, Joined!$I$3:$I$2000, FALSE), 8)</f>
        <v>B_01'Flr_012</v>
      </c>
      <c r="AH502" t="str">
        <f>INDEX(Joined!$A$3:$M$2000, MATCH($A502, Joined!$I$3:$I$2000, FALSE), 7)</f>
        <v>VAV-12E-17</v>
      </c>
      <c r="AI502" t="s">
        <v>1830</v>
      </c>
    </row>
    <row r="503" spans="1:35" x14ac:dyDescent="0.2">
      <c r="A503" t="s">
        <v>1364</v>
      </c>
      <c r="B503" t="str">
        <f>"B_01'" &amp; "Flr_0" &amp; INDEX(Joined!$A$3:$M$2000, MATCH($A503, Joined!$I$3:$I$2000, FALSE), 8)</f>
        <v>B_01'Flr_012</v>
      </c>
      <c r="C503" t="str">
        <f>INDEX(Joined!$A$3:$M$2000, MATCH($A503, Joined!$I$3:$I$2000, FALSE), 7)</f>
        <v>VAV-12E-18</v>
      </c>
      <c r="D503">
        <f>INDEX(Joined!$A$3:$M$2000, MATCH($A503, Joined!$I$3:$I$2000, FALSE), 5)</f>
        <v>153206</v>
      </c>
      <c r="E503" t="str">
        <f>INDEX(Joined!$A$3:$M$2000, MATCH($A503, Joined!$I$3:$I$2000, FALSE), 7)</f>
        <v>VAV-12E-18</v>
      </c>
      <c r="F503" t="s">
        <v>38</v>
      </c>
      <c r="G503" t="str">
        <f>INDEX(Schedule!$Q$2:$R$7, MATCH(ABT!$H503,Schedule!$Q$2:$Q$7, 0), 2)</f>
        <v>15010_DXR_VAV_DXR2M12</v>
      </c>
      <c r="H503">
        <f>INDEX(Joined!$A$3:$M$2000, MATCH($A503, Joined!$I$3:$I$2000, FALSE), 6)</f>
        <v>15010</v>
      </c>
      <c r="I503" t="str">
        <f>INDEX(Joined!$A$3:$M$2000, MATCH($A503, Joined!$I$3:$I$2000, FALSE), 4)</f>
        <v>532</v>
      </c>
      <c r="J503" t="b">
        <v>0</v>
      </c>
      <c r="K503">
        <f>INDEX(Joined!$A$3:$M$2000, MATCH($A503, Joined!$I$3:$I$2000, FALSE), 3)</f>
        <v>6</v>
      </c>
      <c r="L503">
        <v>85</v>
      </c>
      <c r="M503">
        <v>38400</v>
      </c>
      <c r="N503" s="27">
        <f>PI()*(INDEX(Schedule!$A$1:$N$2000, MATCH($C503, VAV_Schedule_5_21[[#All],[UNIT TAG]], FALSE), 4)/2/12)^2</f>
        <v>0.3490658503988659</v>
      </c>
      <c r="O503" s="27">
        <f>INDEX(Schedule!$A$1:$N$2000, MATCH($C503, VAV_Schedule_5_21[[#All],[UNIT TAG]], FALSE), 4)</f>
        <v>8</v>
      </c>
      <c r="P503">
        <v>501.63</v>
      </c>
      <c r="Q503" s="27">
        <f>INDEX(Schedule!$A$1:$N$2000, MATCH($C503, VAV_Schedule_5_21[[#All],[UNIT TAG]], FALSE), 5)</f>
        <v>700</v>
      </c>
      <c r="R503" s="27">
        <f>INDEX(Schedule!$A$1:$N$2000, MATCH($C503, VAV_Schedule_5_21[[#All],[UNIT TAG]], FALSE), 6)</f>
        <v>105</v>
      </c>
      <c r="S503" s="27">
        <f>INDEX(Schedule!$A$1:$N$2000, MATCH($C503, VAV_Schedule_5_21[[#All],[UNIT TAG]], FALSE), 5)</f>
        <v>700</v>
      </c>
      <c r="T503" s="27">
        <f>INDEX(Schedule!$A$1:$N$2000, MATCH($C503, VAV_Schedule_5_21[[#All],[UNIT TAG]], FALSE), 6)</f>
        <v>105</v>
      </c>
      <c r="U503" s="27">
        <f>INDEX(Schedule!$A$1:$N$2000, MATCH($C503, VAV_Schedule_5_21[[#All],[UNIT TAG]], FALSE), 5)</f>
        <v>700</v>
      </c>
      <c r="V503" s="27">
        <f>INDEX(Schedule!$A$1:$N$2000, MATCH($C503, VAV_Schedule_5_21[[#All],[UNIT TAG]], FALSE), 6)</f>
        <v>105</v>
      </c>
      <c r="W503" s="27">
        <f>INDEX(Schedule!$A$1:$N$2000, MATCH($C503, VAV_Schedule_5_21[[#All],[UNIT TAG]], FALSE), 6)</f>
        <v>105</v>
      </c>
      <c r="X503" s="27">
        <f>INDEX(Schedule!$A$1:$N$2000, MATCH($C503, VAV_Schedule_5_21[[#All],[UNIT TAG]], FALSE), 6)</f>
        <v>105</v>
      </c>
      <c r="Y503" s="27">
        <f>INDEX(Schedule!$A$1:$N$2000, MATCH($C503, VAV_Schedule_5_21[[#All],[UNIT TAG]], FALSE), 6)</f>
        <v>105</v>
      </c>
      <c r="Z503" s="27">
        <f>INDEX(Schedule!$A$1:$N$2000, MATCH($C503, VAV_Schedule_5_21[[#All],[UNIT TAG]], FALSE), 6)</f>
        <v>105</v>
      </c>
      <c r="AA503" s="27">
        <v>1000</v>
      </c>
      <c r="AB503" s="27">
        <v>1100</v>
      </c>
      <c r="AC503">
        <v>1400</v>
      </c>
      <c r="AD503" s="29">
        <f>IF(INDEX(Schedule!$A$1:$N$2000, MATCH($C503, VAV_Schedule_5_21[[#All],[UNIT TAG]], FALSE), 7)="-", 0, INDEX(Schedule!$A$1:$N$2000, MATCH($C503, VAV_Schedule_5_21[[#All],[UNIT TAG]], FALSE), 7))</f>
        <v>0</v>
      </c>
      <c r="AE503" t="str">
        <f>"B_01'" &amp; "Flr_0" &amp; INDEX(Joined!$A$3:$M$2000, MATCH($A503, Joined!$I$3:$I$2000, FALSE), 8)</f>
        <v>B_01'Flr_012</v>
      </c>
      <c r="AF503" t="str">
        <f>"R_" &amp; INDEX(Joined!$A$3:$M$2000, MATCH($A503, Joined!$I$3:$I$2000, FALSE), 7)</f>
        <v>R_VAV-12E-18</v>
      </c>
      <c r="AG503" t="str">
        <f>"B_01'" &amp; "Flr_0" &amp; INDEX(Joined!$A$3:$M$2000, MATCH($A503, Joined!$I$3:$I$2000, FALSE), 8)</f>
        <v>B_01'Flr_012</v>
      </c>
      <c r="AH503" t="str">
        <f>INDEX(Joined!$A$3:$M$2000, MATCH($A503, Joined!$I$3:$I$2000, FALSE), 7)</f>
        <v>VAV-12E-18</v>
      </c>
      <c r="AI503" t="s">
        <v>1831</v>
      </c>
    </row>
    <row r="504" spans="1:35" x14ac:dyDescent="0.2">
      <c r="A504" t="s">
        <v>1365</v>
      </c>
      <c r="B504" t="str">
        <f>"B_01'" &amp; "Flr_0" &amp; INDEX(Joined!$A$3:$M$2000, MATCH($A504, Joined!$I$3:$I$2000, FALSE), 8)</f>
        <v>B_01'Flr_012</v>
      </c>
      <c r="C504" t="str">
        <f>INDEX(Joined!$A$3:$M$2000, MATCH($A504, Joined!$I$3:$I$2000, FALSE), 7)</f>
        <v>VAV-12E-19</v>
      </c>
      <c r="D504">
        <f>INDEX(Joined!$A$3:$M$2000, MATCH($A504, Joined!$I$3:$I$2000, FALSE), 5)</f>
        <v>153207</v>
      </c>
      <c r="E504" t="str">
        <f>INDEX(Joined!$A$3:$M$2000, MATCH($A504, Joined!$I$3:$I$2000, FALSE), 7)</f>
        <v>VAV-12E-19</v>
      </c>
      <c r="F504" t="s">
        <v>38</v>
      </c>
      <c r="G504" t="str">
        <f>INDEX(Schedule!$Q$2:$R$7, MATCH(ABT!$H504,Schedule!$Q$2:$Q$7, 0), 2)</f>
        <v>15011_DXR_VAV_DXR2M12</v>
      </c>
      <c r="H504">
        <f>INDEX(Joined!$A$3:$M$2000, MATCH($A504, Joined!$I$3:$I$2000, FALSE), 6)</f>
        <v>15011</v>
      </c>
      <c r="I504" t="str">
        <f>INDEX(Joined!$A$3:$M$2000, MATCH($A504, Joined!$I$3:$I$2000, FALSE), 4)</f>
        <v>532</v>
      </c>
      <c r="J504" t="b">
        <v>0</v>
      </c>
      <c r="K504">
        <f>INDEX(Joined!$A$3:$M$2000, MATCH($A504, Joined!$I$3:$I$2000, FALSE), 3)</f>
        <v>7</v>
      </c>
      <c r="L504">
        <v>85</v>
      </c>
      <c r="M504">
        <v>38400</v>
      </c>
      <c r="N504" s="27">
        <f>PI()*(INDEX(Schedule!$A$1:$N$2000, MATCH($C504, VAV_Schedule_5_21[[#All],[UNIT TAG]], FALSE), 4)/2/12)^2</f>
        <v>0.3490658503988659</v>
      </c>
      <c r="O504" s="27">
        <f>INDEX(Schedule!$A$1:$N$2000, MATCH($C504, VAV_Schedule_5_21[[#All],[UNIT TAG]], FALSE), 4)</f>
        <v>8</v>
      </c>
      <c r="P504">
        <v>502.63</v>
      </c>
      <c r="Q504" s="27">
        <f>INDEX(Schedule!$A$1:$N$2000, MATCH($C504, VAV_Schedule_5_21[[#All],[UNIT TAG]], FALSE), 5)</f>
        <v>700</v>
      </c>
      <c r="R504" s="27">
        <f>INDEX(Schedule!$A$1:$N$2000, MATCH($C504, VAV_Schedule_5_21[[#All],[UNIT TAG]], FALSE), 6)</f>
        <v>105</v>
      </c>
      <c r="S504" s="27">
        <f>INDEX(Schedule!$A$1:$N$2000, MATCH($C504, VAV_Schedule_5_21[[#All],[UNIT TAG]], FALSE), 5)</f>
        <v>700</v>
      </c>
      <c r="T504" s="27">
        <f>INDEX(Schedule!$A$1:$N$2000, MATCH($C504, VAV_Schedule_5_21[[#All],[UNIT TAG]], FALSE), 6)</f>
        <v>105</v>
      </c>
      <c r="U504" s="27">
        <f>INDEX(Schedule!$A$1:$N$2000, MATCH($C504, VAV_Schedule_5_21[[#All],[UNIT TAG]], FALSE), 5)</f>
        <v>700</v>
      </c>
      <c r="V504" s="27">
        <f>INDEX(Schedule!$A$1:$N$2000, MATCH($C504, VAV_Schedule_5_21[[#All],[UNIT TAG]], FALSE), 6)</f>
        <v>105</v>
      </c>
      <c r="W504" s="27">
        <f>INDEX(Schedule!$A$1:$N$2000, MATCH($C504, VAV_Schedule_5_21[[#All],[UNIT TAG]], FALSE), 6)</f>
        <v>105</v>
      </c>
      <c r="X504" s="27">
        <f>INDEX(Schedule!$A$1:$N$2000, MATCH($C504, VAV_Schedule_5_21[[#All],[UNIT TAG]], FALSE), 6)</f>
        <v>105</v>
      </c>
      <c r="Y504" s="27">
        <f>INDEX(Schedule!$A$1:$N$2000, MATCH($C504, VAV_Schedule_5_21[[#All],[UNIT TAG]], FALSE), 6)</f>
        <v>105</v>
      </c>
      <c r="Z504" s="27">
        <f>INDEX(Schedule!$A$1:$N$2000, MATCH($C504, VAV_Schedule_5_21[[#All],[UNIT TAG]], FALSE), 6)</f>
        <v>105</v>
      </c>
      <c r="AA504" s="27">
        <v>1000</v>
      </c>
      <c r="AB504" s="27">
        <v>1100</v>
      </c>
      <c r="AC504">
        <v>1400</v>
      </c>
      <c r="AD504" s="29" t="str">
        <f>IF(INDEX(Schedule!$A$1:$N$2000, MATCH($C504, VAV_Schedule_5_21[[#All],[UNIT TAG]], FALSE), 7)="-", 0, INDEX(Schedule!$A$1:$N$2000, MATCH($C504, VAV_Schedule_5_21[[#All],[UNIT TAG]], FALSE), 7))</f>
        <v>5</v>
      </c>
      <c r="AE504" t="str">
        <f>"B_01'" &amp; "Flr_0" &amp; INDEX(Joined!$A$3:$M$2000, MATCH($A504, Joined!$I$3:$I$2000, FALSE), 8)</f>
        <v>B_01'Flr_012</v>
      </c>
      <c r="AF504" t="str">
        <f>"R_" &amp; INDEX(Joined!$A$3:$M$2000, MATCH($A504, Joined!$I$3:$I$2000, FALSE), 7)</f>
        <v>R_VAV-12E-19</v>
      </c>
      <c r="AG504" t="str">
        <f>"B_01'" &amp; "Flr_0" &amp; INDEX(Joined!$A$3:$M$2000, MATCH($A504, Joined!$I$3:$I$2000, FALSE), 8)</f>
        <v>B_01'Flr_012</v>
      </c>
      <c r="AH504" t="str">
        <f>INDEX(Joined!$A$3:$M$2000, MATCH($A504, Joined!$I$3:$I$2000, FALSE), 7)</f>
        <v>VAV-12E-19</v>
      </c>
      <c r="AI504" t="s">
        <v>1832</v>
      </c>
    </row>
    <row r="505" spans="1:35" x14ac:dyDescent="0.2">
      <c r="A505" t="s">
        <v>1366</v>
      </c>
      <c r="B505" t="str">
        <f>"B_01'" &amp; "Flr_0" &amp; INDEX(Joined!$A$3:$M$2000, MATCH($A505, Joined!$I$3:$I$2000, FALSE), 8)</f>
        <v>B_01'Flr_012</v>
      </c>
      <c r="C505" t="str">
        <f>INDEX(Joined!$A$3:$M$2000, MATCH($A505, Joined!$I$3:$I$2000, FALSE), 7)</f>
        <v>VAV-12E-20</v>
      </c>
      <c r="D505">
        <f>INDEX(Joined!$A$3:$M$2000, MATCH($A505, Joined!$I$3:$I$2000, FALSE), 5)</f>
        <v>153208</v>
      </c>
      <c r="E505" t="str">
        <f>INDEX(Joined!$A$3:$M$2000, MATCH($A505, Joined!$I$3:$I$2000, FALSE), 7)</f>
        <v>VAV-12E-20</v>
      </c>
      <c r="F505" t="s">
        <v>38</v>
      </c>
      <c r="G505" t="str">
        <f>INDEX(Schedule!$Q$2:$R$7, MATCH(ABT!$H505,Schedule!$Q$2:$Q$7, 0), 2)</f>
        <v>15011_DXR_VAV_DXR2M12</v>
      </c>
      <c r="H505">
        <f>INDEX(Joined!$A$3:$M$2000, MATCH($A505, Joined!$I$3:$I$2000, FALSE), 6)</f>
        <v>15011</v>
      </c>
      <c r="I505" t="str">
        <f>INDEX(Joined!$A$3:$M$2000, MATCH($A505, Joined!$I$3:$I$2000, FALSE), 4)</f>
        <v>532</v>
      </c>
      <c r="J505" t="b">
        <v>0</v>
      </c>
      <c r="K505">
        <f>INDEX(Joined!$A$3:$M$2000, MATCH($A505, Joined!$I$3:$I$2000, FALSE), 3)</f>
        <v>8</v>
      </c>
      <c r="L505">
        <v>85</v>
      </c>
      <c r="M505">
        <v>38400</v>
      </c>
      <c r="N505" s="27">
        <f>PI()*(INDEX(Schedule!$A$1:$N$2000, MATCH($C505, VAV_Schedule_5_21[[#All],[UNIT TAG]], FALSE), 4)/2/12)^2</f>
        <v>0.54541539124822802</v>
      </c>
      <c r="O505" s="27">
        <f>INDEX(Schedule!$A$1:$N$2000, MATCH($C505, VAV_Schedule_5_21[[#All],[UNIT TAG]], FALSE), 4)</f>
        <v>10</v>
      </c>
      <c r="P505">
        <v>503.63</v>
      </c>
      <c r="Q505" s="27">
        <f>INDEX(Schedule!$A$1:$N$2000, MATCH($C505, VAV_Schedule_5_21[[#All],[UNIT TAG]], FALSE), 5)</f>
        <v>840</v>
      </c>
      <c r="R505" s="27">
        <f>INDEX(Schedule!$A$1:$N$2000, MATCH($C505, VAV_Schedule_5_21[[#All],[UNIT TAG]], FALSE), 6)</f>
        <v>130</v>
      </c>
      <c r="S505" s="27">
        <f>INDEX(Schedule!$A$1:$N$2000, MATCH($C505, VAV_Schedule_5_21[[#All],[UNIT TAG]], FALSE), 5)</f>
        <v>840</v>
      </c>
      <c r="T505" s="27">
        <f>INDEX(Schedule!$A$1:$N$2000, MATCH($C505, VAV_Schedule_5_21[[#All],[UNIT TAG]], FALSE), 6)</f>
        <v>130</v>
      </c>
      <c r="U505" s="27">
        <f>INDEX(Schedule!$A$1:$N$2000, MATCH($C505, VAV_Schedule_5_21[[#All],[UNIT TAG]], FALSE), 5)</f>
        <v>840</v>
      </c>
      <c r="V505" s="27">
        <f>INDEX(Schedule!$A$1:$N$2000, MATCH($C505, VAV_Schedule_5_21[[#All],[UNIT TAG]], FALSE), 6)</f>
        <v>130</v>
      </c>
      <c r="W505" s="27">
        <f>INDEX(Schedule!$A$1:$N$2000, MATCH($C505, VAV_Schedule_5_21[[#All],[UNIT TAG]], FALSE), 6)</f>
        <v>130</v>
      </c>
      <c r="X505" s="27">
        <f>INDEX(Schedule!$A$1:$N$2000, MATCH($C505, VAV_Schedule_5_21[[#All],[UNIT TAG]], FALSE), 6)</f>
        <v>130</v>
      </c>
      <c r="Y505" s="27">
        <f>INDEX(Schedule!$A$1:$N$2000, MATCH($C505, VAV_Schedule_5_21[[#All],[UNIT TAG]], FALSE), 6)</f>
        <v>130</v>
      </c>
      <c r="Z505" s="27">
        <f>INDEX(Schedule!$A$1:$N$2000, MATCH($C505, VAV_Schedule_5_21[[#All],[UNIT TAG]], FALSE), 6)</f>
        <v>130</v>
      </c>
      <c r="AA505" s="27">
        <v>1000</v>
      </c>
      <c r="AB505" s="27">
        <v>1100</v>
      </c>
      <c r="AC505">
        <v>1400</v>
      </c>
      <c r="AD505" s="29" t="str">
        <f>IF(INDEX(Schedule!$A$1:$N$2000, MATCH($C505, VAV_Schedule_5_21[[#All],[UNIT TAG]], FALSE), 7)="-", 0, INDEX(Schedule!$A$1:$N$2000, MATCH($C505, VAV_Schedule_5_21[[#All],[UNIT TAG]], FALSE), 7))</f>
        <v>6</v>
      </c>
      <c r="AE505" t="str">
        <f>"B_01'" &amp; "Flr_0" &amp; INDEX(Joined!$A$3:$M$2000, MATCH($A505, Joined!$I$3:$I$2000, FALSE), 8)</f>
        <v>B_01'Flr_012</v>
      </c>
      <c r="AF505" t="str">
        <f>"R_" &amp; INDEX(Joined!$A$3:$M$2000, MATCH($A505, Joined!$I$3:$I$2000, FALSE), 7)</f>
        <v>R_VAV-12E-20</v>
      </c>
      <c r="AG505" t="str">
        <f>"B_01'" &amp; "Flr_0" &amp; INDEX(Joined!$A$3:$M$2000, MATCH($A505, Joined!$I$3:$I$2000, FALSE), 8)</f>
        <v>B_01'Flr_012</v>
      </c>
      <c r="AH505" t="str">
        <f>INDEX(Joined!$A$3:$M$2000, MATCH($A505, Joined!$I$3:$I$2000, FALSE), 7)</f>
        <v>VAV-12E-20</v>
      </c>
      <c r="AI505" t="s">
        <v>1833</v>
      </c>
    </row>
    <row r="506" spans="1:35" x14ac:dyDescent="0.2">
      <c r="A506" t="s">
        <v>1367</v>
      </c>
      <c r="B506" t="str">
        <f>"B_01'" &amp; "Flr_0" &amp; INDEX(Joined!$A$3:$M$2000, MATCH($A506, Joined!$I$3:$I$2000, FALSE), 8)</f>
        <v>B_01'Flr_012</v>
      </c>
      <c r="C506" t="str">
        <f>INDEX(Joined!$A$3:$M$2000, MATCH($A506, Joined!$I$3:$I$2000, FALSE), 7)</f>
        <v>VAV-12E-21</v>
      </c>
      <c r="D506">
        <f>INDEX(Joined!$A$3:$M$2000, MATCH($A506, Joined!$I$3:$I$2000, FALSE), 5)</f>
        <v>153209</v>
      </c>
      <c r="E506" t="str">
        <f>INDEX(Joined!$A$3:$M$2000, MATCH($A506, Joined!$I$3:$I$2000, FALSE), 7)</f>
        <v>VAV-12E-21</v>
      </c>
      <c r="F506" t="s">
        <v>38</v>
      </c>
      <c r="G506" t="str">
        <f>INDEX(Schedule!$Q$2:$R$7, MATCH(ABT!$H506,Schedule!$Q$2:$Q$7, 0), 2)</f>
        <v>15010_DXR_VAV_DXR2M12</v>
      </c>
      <c r="H506">
        <f>INDEX(Joined!$A$3:$M$2000, MATCH($A506, Joined!$I$3:$I$2000, FALSE), 6)</f>
        <v>15010</v>
      </c>
      <c r="I506" t="str">
        <f>INDEX(Joined!$A$3:$M$2000, MATCH($A506, Joined!$I$3:$I$2000, FALSE), 4)</f>
        <v>532</v>
      </c>
      <c r="J506" t="b">
        <v>0</v>
      </c>
      <c r="K506">
        <f>INDEX(Joined!$A$3:$M$2000, MATCH($A506, Joined!$I$3:$I$2000, FALSE), 3)</f>
        <v>9</v>
      </c>
      <c r="L506">
        <v>85</v>
      </c>
      <c r="M506">
        <v>38400</v>
      </c>
      <c r="N506" s="27">
        <f>PI()*(INDEX(Schedule!$A$1:$N$2000, MATCH($C506, VAV_Schedule_5_21[[#All],[UNIT TAG]], FALSE), 4)/2/12)^2</f>
        <v>0.19634954084936207</v>
      </c>
      <c r="O506" s="27">
        <f>INDEX(Schedule!$A$1:$N$2000, MATCH($C506, VAV_Schedule_5_21[[#All],[UNIT TAG]], FALSE), 4)</f>
        <v>6</v>
      </c>
      <c r="P506">
        <v>504.63</v>
      </c>
      <c r="Q506" s="27">
        <f>INDEX(Schedule!$A$1:$N$2000, MATCH($C506, VAV_Schedule_5_21[[#All],[UNIT TAG]], FALSE), 5)</f>
        <v>350</v>
      </c>
      <c r="R506" s="27">
        <f>INDEX(Schedule!$A$1:$N$2000, MATCH($C506, VAV_Schedule_5_21[[#All],[UNIT TAG]], FALSE), 6)</f>
        <v>55</v>
      </c>
      <c r="S506" s="27">
        <f>INDEX(Schedule!$A$1:$N$2000, MATCH($C506, VAV_Schedule_5_21[[#All],[UNIT TAG]], FALSE), 5)</f>
        <v>350</v>
      </c>
      <c r="T506" s="27">
        <f>INDEX(Schedule!$A$1:$N$2000, MATCH($C506, VAV_Schedule_5_21[[#All],[UNIT TAG]], FALSE), 6)</f>
        <v>55</v>
      </c>
      <c r="U506" s="27">
        <f>INDEX(Schedule!$A$1:$N$2000, MATCH($C506, VAV_Schedule_5_21[[#All],[UNIT TAG]], FALSE), 5)</f>
        <v>350</v>
      </c>
      <c r="V506" s="27">
        <f>INDEX(Schedule!$A$1:$N$2000, MATCH($C506, VAV_Schedule_5_21[[#All],[UNIT TAG]], FALSE), 6)</f>
        <v>55</v>
      </c>
      <c r="W506" s="27">
        <f>INDEX(Schedule!$A$1:$N$2000, MATCH($C506, VAV_Schedule_5_21[[#All],[UNIT TAG]], FALSE), 6)</f>
        <v>55</v>
      </c>
      <c r="X506" s="27">
        <f>INDEX(Schedule!$A$1:$N$2000, MATCH($C506, VAV_Schedule_5_21[[#All],[UNIT TAG]], FALSE), 6)</f>
        <v>55</v>
      </c>
      <c r="Y506" s="27">
        <f>INDEX(Schedule!$A$1:$N$2000, MATCH($C506, VAV_Schedule_5_21[[#All],[UNIT TAG]], FALSE), 6)</f>
        <v>55</v>
      </c>
      <c r="Z506" s="27">
        <f>INDEX(Schedule!$A$1:$N$2000, MATCH($C506, VAV_Schedule_5_21[[#All],[UNIT TAG]], FALSE), 6)</f>
        <v>55</v>
      </c>
      <c r="AA506" s="27">
        <v>1000</v>
      </c>
      <c r="AB506" s="27">
        <v>1100</v>
      </c>
      <c r="AC506">
        <v>1400</v>
      </c>
      <c r="AD506" s="29">
        <f>IF(INDEX(Schedule!$A$1:$N$2000, MATCH($C506, VAV_Schedule_5_21[[#All],[UNIT TAG]], FALSE), 7)="-", 0, INDEX(Schedule!$A$1:$N$2000, MATCH($C506, VAV_Schedule_5_21[[#All],[UNIT TAG]], FALSE), 7))</f>
        <v>0</v>
      </c>
      <c r="AE506" t="str">
        <f>"B_01'" &amp; "Flr_0" &amp; INDEX(Joined!$A$3:$M$2000, MATCH($A506, Joined!$I$3:$I$2000, FALSE), 8)</f>
        <v>B_01'Flr_012</v>
      </c>
      <c r="AF506" t="str">
        <f>"R_" &amp; INDEX(Joined!$A$3:$M$2000, MATCH($A506, Joined!$I$3:$I$2000, FALSE), 7)</f>
        <v>R_VAV-12E-21</v>
      </c>
      <c r="AG506" t="str">
        <f>"B_01'" &amp; "Flr_0" &amp; INDEX(Joined!$A$3:$M$2000, MATCH($A506, Joined!$I$3:$I$2000, FALSE), 8)</f>
        <v>B_01'Flr_012</v>
      </c>
      <c r="AH506" t="str">
        <f>INDEX(Joined!$A$3:$M$2000, MATCH($A506, Joined!$I$3:$I$2000, FALSE), 7)</f>
        <v>VAV-12E-21</v>
      </c>
      <c r="AI506" t="s">
        <v>1834</v>
      </c>
    </row>
    <row r="507" spans="1:35" x14ac:dyDescent="0.2">
      <c r="A507" t="s">
        <v>1368</v>
      </c>
      <c r="B507" t="str">
        <f>"B_01'" &amp; "Flr_0" &amp; INDEX(Joined!$A$3:$M$2000, MATCH($A507, Joined!$I$3:$I$2000, FALSE), 8)</f>
        <v>B_01'Flr_012</v>
      </c>
      <c r="C507" t="str">
        <f>INDEX(Joined!$A$3:$M$2000, MATCH($A507, Joined!$I$3:$I$2000, FALSE), 7)</f>
        <v>VAV-12E-22</v>
      </c>
      <c r="D507">
        <f>INDEX(Joined!$A$3:$M$2000, MATCH($A507, Joined!$I$3:$I$2000, FALSE), 5)</f>
        <v>153210</v>
      </c>
      <c r="E507" t="str">
        <f>INDEX(Joined!$A$3:$M$2000, MATCH($A507, Joined!$I$3:$I$2000, FALSE), 7)</f>
        <v>VAV-12E-22</v>
      </c>
      <c r="F507" t="s">
        <v>38</v>
      </c>
      <c r="G507" t="str">
        <f>INDEX(Schedule!$Q$2:$R$7, MATCH(ABT!$H507,Schedule!$Q$2:$Q$7, 0), 2)</f>
        <v>15010_DXR_VAV_DXR2M12</v>
      </c>
      <c r="H507">
        <f>INDEX(Joined!$A$3:$M$2000, MATCH($A507, Joined!$I$3:$I$2000, FALSE), 6)</f>
        <v>15010</v>
      </c>
      <c r="I507" t="str">
        <f>INDEX(Joined!$A$3:$M$2000, MATCH($A507, Joined!$I$3:$I$2000, FALSE), 4)</f>
        <v>532</v>
      </c>
      <c r="J507" t="b">
        <v>0</v>
      </c>
      <c r="K507">
        <f>INDEX(Joined!$A$3:$M$2000, MATCH($A507, Joined!$I$3:$I$2000, FALSE), 3)</f>
        <v>10</v>
      </c>
      <c r="L507">
        <v>85</v>
      </c>
      <c r="M507">
        <v>38400</v>
      </c>
      <c r="N507" s="27">
        <f>PI()*(INDEX(Schedule!$A$1:$N$2000, MATCH($C507, VAV_Schedule_5_21[[#All],[UNIT TAG]], FALSE), 4)/2/12)^2</f>
        <v>0.19634954084936207</v>
      </c>
      <c r="O507" s="27">
        <f>INDEX(Schedule!$A$1:$N$2000, MATCH($C507, VAV_Schedule_5_21[[#All],[UNIT TAG]], FALSE), 4)</f>
        <v>6</v>
      </c>
      <c r="P507">
        <v>505.63</v>
      </c>
      <c r="Q507" s="27">
        <f>INDEX(Schedule!$A$1:$N$2000, MATCH($C507, VAV_Schedule_5_21[[#All],[UNIT TAG]], FALSE), 5)</f>
        <v>185</v>
      </c>
      <c r="R507" s="27">
        <f>INDEX(Schedule!$A$1:$N$2000, MATCH($C507, VAV_Schedule_5_21[[#All],[UNIT TAG]], FALSE), 6)</f>
        <v>30</v>
      </c>
      <c r="S507" s="27">
        <f>INDEX(Schedule!$A$1:$N$2000, MATCH($C507, VAV_Schedule_5_21[[#All],[UNIT TAG]], FALSE), 5)</f>
        <v>185</v>
      </c>
      <c r="T507" s="27">
        <f>INDEX(Schedule!$A$1:$N$2000, MATCH($C507, VAV_Schedule_5_21[[#All],[UNIT TAG]], FALSE), 6)</f>
        <v>30</v>
      </c>
      <c r="U507" s="27">
        <f>INDEX(Schedule!$A$1:$N$2000, MATCH($C507, VAV_Schedule_5_21[[#All],[UNIT TAG]], FALSE), 5)</f>
        <v>185</v>
      </c>
      <c r="V507" s="27">
        <f>INDEX(Schedule!$A$1:$N$2000, MATCH($C507, VAV_Schedule_5_21[[#All],[UNIT TAG]], FALSE), 6)</f>
        <v>30</v>
      </c>
      <c r="W507" s="27">
        <f>INDEX(Schedule!$A$1:$N$2000, MATCH($C507, VAV_Schedule_5_21[[#All],[UNIT TAG]], FALSE), 6)</f>
        <v>30</v>
      </c>
      <c r="X507" s="27">
        <f>INDEX(Schedule!$A$1:$N$2000, MATCH($C507, VAV_Schedule_5_21[[#All],[UNIT TAG]], FALSE), 6)</f>
        <v>30</v>
      </c>
      <c r="Y507" s="27">
        <f>INDEX(Schedule!$A$1:$N$2000, MATCH($C507, VAV_Schedule_5_21[[#All],[UNIT TAG]], FALSE), 6)</f>
        <v>30</v>
      </c>
      <c r="Z507" s="27">
        <f>INDEX(Schedule!$A$1:$N$2000, MATCH($C507, VAV_Schedule_5_21[[#All],[UNIT TAG]], FALSE), 6)</f>
        <v>30</v>
      </c>
      <c r="AA507" s="27">
        <v>1000</v>
      </c>
      <c r="AB507" s="27">
        <v>1100</v>
      </c>
      <c r="AC507">
        <v>1400</v>
      </c>
      <c r="AD507" s="29">
        <f>IF(INDEX(Schedule!$A$1:$N$2000, MATCH($C507, VAV_Schedule_5_21[[#All],[UNIT TAG]], FALSE), 7)="-", 0, INDEX(Schedule!$A$1:$N$2000, MATCH($C507, VAV_Schedule_5_21[[#All],[UNIT TAG]], FALSE), 7))</f>
        <v>0</v>
      </c>
      <c r="AE507" t="str">
        <f>"B_01'" &amp; "Flr_0" &amp; INDEX(Joined!$A$3:$M$2000, MATCH($A507, Joined!$I$3:$I$2000, FALSE), 8)</f>
        <v>B_01'Flr_012</v>
      </c>
      <c r="AF507" t="str">
        <f>"R_" &amp; INDEX(Joined!$A$3:$M$2000, MATCH($A507, Joined!$I$3:$I$2000, FALSE), 7)</f>
        <v>R_VAV-12E-22</v>
      </c>
      <c r="AG507" t="str">
        <f>"B_01'" &amp; "Flr_0" &amp; INDEX(Joined!$A$3:$M$2000, MATCH($A507, Joined!$I$3:$I$2000, FALSE), 8)</f>
        <v>B_01'Flr_012</v>
      </c>
      <c r="AH507" t="str">
        <f>INDEX(Joined!$A$3:$M$2000, MATCH($A507, Joined!$I$3:$I$2000, FALSE), 7)</f>
        <v>VAV-12E-22</v>
      </c>
      <c r="AI507" t="s">
        <v>1835</v>
      </c>
    </row>
    <row r="508" spans="1:35" x14ac:dyDescent="0.2">
      <c r="A508" t="s">
        <v>1369</v>
      </c>
      <c r="B508" t="str">
        <f>"B_01'" &amp; "Flr_0" &amp; INDEX(Joined!$A$3:$M$2000, MATCH($A508, Joined!$I$3:$I$2000, FALSE), 8)</f>
        <v>B_01'Flr_012</v>
      </c>
      <c r="C508" t="str">
        <f>INDEX(Joined!$A$3:$M$2000, MATCH($A508, Joined!$I$3:$I$2000, FALSE), 7)</f>
        <v>VAV-12E-23</v>
      </c>
      <c r="D508">
        <f>INDEX(Joined!$A$3:$M$2000, MATCH($A508, Joined!$I$3:$I$2000, FALSE), 5)</f>
        <v>153211</v>
      </c>
      <c r="E508" t="str">
        <f>INDEX(Joined!$A$3:$M$2000, MATCH($A508, Joined!$I$3:$I$2000, FALSE), 7)</f>
        <v>VAV-12E-23</v>
      </c>
      <c r="F508" t="s">
        <v>38</v>
      </c>
      <c r="G508" t="str">
        <f>INDEX(Schedule!$Q$2:$R$7, MATCH(ABT!$H508,Schedule!$Q$2:$Q$7, 0), 2)</f>
        <v>15011_DXR_VAV_DXR2M12</v>
      </c>
      <c r="H508">
        <f>INDEX(Joined!$A$3:$M$2000, MATCH($A508, Joined!$I$3:$I$2000, FALSE), 6)</f>
        <v>15011</v>
      </c>
      <c r="I508" t="str">
        <f>INDEX(Joined!$A$3:$M$2000, MATCH($A508, Joined!$I$3:$I$2000, FALSE), 4)</f>
        <v>532</v>
      </c>
      <c r="J508" t="b">
        <v>0</v>
      </c>
      <c r="K508">
        <f>INDEX(Joined!$A$3:$M$2000, MATCH($A508, Joined!$I$3:$I$2000, FALSE), 3)</f>
        <v>11</v>
      </c>
      <c r="L508">
        <v>85</v>
      </c>
      <c r="M508">
        <v>38400</v>
      </c>
      <c r="N508" s="27">
        <f>PI()*(INDEX(Schedule!$A$1:$N$2000, MATCH($C508, VAV_Schedule_5_21[[#All],[UNIT TAG]], FALSE), 4)/2/12)^2</f>
        <v>0.3490658503988659</v>
      </c>
      <c r="O508" s="27">
        <f>INDEX(Schedule!$A$1:$N$2000, MATCH($C508, VAV_Schedule_5_21[[#All],[UNIT TAG]], FALSE), 4)</f>
        <v>8</v>
      </c>
      <c r="P508">
        <v>506.63</v>
      </c>
      <c r="Q508" s="27">
        <f>INDEX(Schedule!$A$1:$N$2000, MATCH($C508, VAV_Schedule_5_21[[#All],[UNIT TAG]], FALSE), 5)</f>
        <v>630</v>
      </c>
      <c r="R508" s="27">
        <f>INDEX(Schedule!$A$1:$N$2000, MATCH($C508, VAV_Schedule_5_21[[#All],[UNIT TAG]], FALSE), 6)</f>
        <v>95</v>
      </c>
      <c r="S508" s="27">
        <f>INDEX(Schedule!$A$1:$N$2000, MATCH($C508, VAV_Schedule_5_21[[#All],[UNIT TAG]], FALSE), 5)</f>
        <v>630</v>
      </c>
      <c r="T508" s="27">
        <f>INDEX(Schedule!$A$1:$N$2000, MATCH($C508, VAV_Schedule_5_21[[#All],[UNIT TAG]], FALSE), 6)</f>
        <v>95</v>
      </c>
      <c r="U508" s="27">
        <f>INDEX(Schedule!$A$1:$N$2000, MATCH($C508, VAV_Schedule_5_21[[#All],[UNIT TAG]], FALSE), 5)</f>
        <v>630</v>
      </c>
      <c r="V508" s="27">
        <f>INDEX(Schedule!$A$1:$N$2000, MATCH($C508, VAV_Schedule_5_21[[#All],[UNIT TAG]], FALSE), 6)</f>
        <v>95</v>
      </c>
      <c r="W508" s="27">
        <f>INDEX(Schedule!$A$1:$N$2000, MATCH($C508, VAV_Schedule_5_21[[#All],[UNIT TAG]], FALSE), 6)</f>
        <v>95</v>
      </c>
      <c r="X508" s="27">
        <f>INDEX(Schedule!$A$1:$N$2000, MATCH($C508, VAV_Schedule_5_21[[#All],[UNIT TAG]], FALSE), 6)</f>
        <v>95</v>
      </c>
      <c r="Y508" s="27">
        <f>INDEX(Schedule!$A$1:$N$2000, MATCH($C508, VAV_Schedule_5_21[[#All],[UNIT TAG]], FALSE), 6)</f>
        <v>95</v>
      </c>
      <c r="Z508" s="27">
        <f>INDEX(Schedule!$A$1:$N$2000, MATCH($C508, VAV_Schedule_5_21[[#All],[UNIT TAG]], FALSE), 6)</f>
        <v>95</v>
      </c>
      <c r="AA508" s="27">
        <v>1000</v>
      </c>
      <c r="AB508" s="27">
        <v>1100</v>
      </c>
      <c r="AC508">
        <v>1400</v>
      </c>
      <c r="AD508" s="29" t="str">
        <f>IF(INDEX(Schedule!$A$1:$N$2000, MATCH($C508, VAV_Schedule_5_21[[#All],[UNIT TAG]], FALSE), 7)="-", 0, INDEX(Schedule!$A$1:$N$2000, MATCH($C508, VAV_Schedule_5_21[[#All],[UNIT TAG]], FALSE), 7))</f>
        <v>5</v>
      </c>
      <c r="AE508" t="str">
        <f>"B_01'" &amp; "Flr_0" &amp; INDEX(Joined!$A$3:$M$2000, MATCH($A508, Joined!$I$3:$I$2000, FALSE), 8)</f>
        <v>B_01'Flr_012</v>
      </c>
      <c r="AF508" t="str">
        <f>"R_" &amp; INDEX(Joined!$A$3:$M$2000, MATCH($A508, Joined!$I$3:$I$2000, FALSE), 7)</f>
        <v>R_VAV-12E-23</v>
      </c>
      <c r="AG508" t="str">
        <f>"B_01'" &amp; "Flr_0" &amp; INDEX(Joined!$A$3:$M$2000, MATCH($A508, Joined!$I$3:$I$2000, FALSE), 8)</f>
        <v>B_01'Flr_012</v>
      </c>
      <c r="AH508" t="str">
        <f>INDEX(Joined!$A$3:$M$2000, MATCH($A508, Joined!$I$3:$I$2000, FALSE), 7)</f>
        <v>VAV-12E-23</v>
      </c>
      <c r="AI508" t="s">
        <v>1836</v>
      </c>
    </row>
    <row r="509" spans="1:35" x14ac:dyDescent="0.2">
      <c r="A509" t="s">
        <v>1370</v>
      </c>
      <c r="B509" t="str">
        <f>"B_01'" &amp; "Flr_0" &amp; INDEX(Joined!$A$3:$M$2000, MATCH($A509, Joined!$I$3:$I$2000, FALSE), 8)</f>
        <v>B_01'Flr_012</v>
      </c>
      <c r="C509" t="str">
        <f>INDEX(Joined!$A$3:$M$2000, MATCH($A509, Joined!$I$3:$I$2000, FALSE), 7)</f>
        <v>VAV-12E-24</v>
      </c>
      <c r="D509">
        <f>INDEX(Joined!$A$3:$M$2000, MATCH($A509, Joined!$I$3:$I$2000, FALSE), 5)</f>
        <v>153212</v>
      </c>
      <c r="E509" t="str">
        <f>INDEX(Joined!$A$3:$M$2000, MATCH($A509, Joined!$I$3:$I$2000, FALSE), 7)</f>
        <v>VAV-12E-24</v>
      </c>
      <c r="F509" t="s">
        <v>38</v>
      </c>
      <c r="G509" t="str">
        <f>INDEX(Schedule!$Q$2:$R$7, MATCH(ABT!$H509,Schedule!$Q$2:$Q$7, 0), 2)</f>
        <v>15011_DXR_VAV_DXR2M12</v>
      </c>
      <c r="H509">
        <f>INDEX(Joined!$A$3:$M$2000, MATCH($A509, Joined!$I$3:$I$2000, FALSE), 6)</f>
        <v>15011</v>
      </c>
      <c r="I509" t="str">
        <f>INDEX(Joined!$A$3:$M$2000, MATCH($A509, Joined!$I$3:$I$2000, FALSE), 4)</f>
        <v>532</v>
      </c>
      <c r="J509" t="b">
        <v>0</v>
      </c>
      <c r="K509">
        <f>INDEX(Joined!$A$3:$M$2000, MATCH($A509, Joined!$I$3:$I$2000, FALSE), 3)</f>
        <v>12</v>
      </c>
      <c r="L509">
        <v>85</v>
      </c>
      <c r="M509">
        <v>38400</v>
      </c>
      <c r="N509" s="27">
        <f>PI()*(INDEX(Schedule!$A$1:$N$2000, MATCH($C509, VAV_Schedule_5_21[[#All],[UNIT TAG]], FALSE), 4)/2/12)^2</f>
        <v>0.3490658503988659</v>
      </c>
      <c r="O509" s="27">
        <f>INDEX(Schedule!$A$1:$N$2000, MATCH($C509, VAV_Schedule_5_21[[#All],[UNIT TAG]], FALSE), 4)</f>
        <v>8</v>
      </c>
      <c r="P509">
        <v>507.63</v>
      </c>
      <c r="Q509" s="27">
        <f>INDEX(Schedule!$A$1:$N$2000, MATCH($C509, VAV_Schedule_5_21[[#All],[UNIT TAG]], FALSE), 5)</f>
        <v>700</v>
      </c>
      <c r="R509" s="27">
        <f>INDEX(Schedule!$A$1:$N$2000, MATCH($C509, VAV_Schedule_5_21[[#All],[UNIT TAG]], FALSE), 6)</f>
        <v>105</v>
      </c>
      <c r="S509" s="27">
        <f>INDEX(Schedule!$A$1:$N$2000, MATCH($C509, VAV_Schedule_5_21[[#All],[UNIT TAG]], FALSE), 5)</f>
        <v>700</v>
      </c>
      <c r="T509" s="27">
        <f>INDEX(Schedule!$A$1:$N$2000, MATCH($C509, VAV_Schedule_5_21[[#All],[UNIT TAG]], FALSE), 6)</f>
        <v>105</v>
      </c>
      <c r="U509" s="27">
        <f>INDEX(Schedule!$A$1:$N$2000, MATCH($C509, VAV_Schedule_5_21[[#All],[UNIT TAG]], FALSE), 5)</f>
        <v>700</v>
      </c>
      <c r="V509" s="27">
        <f>INDEX(Schedule!$A$1:$N$2000, MATCH($C509, VAV_Schedule_5_21[[#All],[UNIT TAG]], FALSE), 6)</f>
        <v>105</v>
      </c>
      <c r="W509" s="27">
        <f>INDEX(Schedule!$A$1:$N$2000, MATCH($C509, VAV_Schedule_5_21[[#All],[UNIT TAG]], FALSE), 6)</f>
        <v>105</v>
      </c>
      <c r="X509" s="27">
        <f>INDEX(Schedule!$A$1:$N$2000, MATCH($C509, VAV_Schedule_5_21[[#All],[UNIT TAG]], FALSE), 6)</f>
        <v>105</v>
      </c>
      <c r="Y509" s="27">
        <f>INDEX(Schedule!$A$1:$N$2000, MATCH($C509, VAV_Schedule_5_21[[#All],[UNIT TAG]], FALSE), 6)</f>
        <v>105</v>
      </c>
      <c r="Z509" s="27">
        <f>INDEX(Schedule!$A$1:$N$2000, MATCH($C509, VAV_Schedule_5_21[[#All],[UNIT TAG]], FALSE), 6)</f>
        <v>105</v>
      </c>
      <c r="AA509" s="27">
        <v>1000</v>
      </c>
      <c r="AB509" s="27">
        <v>1100</v>
      </c>
      <c r="AC509">
        <v>1400</v>
      </c>
      <c r="AD509" s="29" t="str">
        <f>IF(INDEX(Schedule!$A$1:$N$2000, MATCH($C509, VAV_Schedule_5_21[[#All],[UNIT TAG]], FALSE), 7)="-", 0, INDEX(Schedule!$A$1:$N$2000, MATCH($C509, VAV_Schedule_5_21[[#All],[UNIT TAG]], FALSE), 7))</f>
        <v>6</v>
      </c>
      <c r="AE509" t="str">
        <f>"B_01'" &amp; "Flr_0" &amp; INDEX(Joined!$A$3:$M$2000, MATCH($A509, Joined!$I$3:$I$2000, FALSE), 8)</f>
        <v>B_01'Flr_012</v>
      </c>
      <c r="AF509" t="str">
        <f>"R_" &amp; INDEX(Joined!$A$3:$M$2000, MATCH($A509, Joined!$I$3:$I$2000, FALSE), 7)</f>
        <v>R_VAV-12E-24</v>
      </c>
      <c r="AG509" t="str">
        <f>"B_01'" &amp; "Flr_0" &amp; INDEX(Joined!$A$3:$M$2000, MATCH($A509, Joined!$I$3:$I$2000, FALSE), 8)</f>
        <v>B_01'Flr_012</v>
      </c>
      <c r="AH509" t="str">
        <f>INDEX(Joined!$A$3:$M$2000, MATCH($A509, Joined!$I$3:$I$2000, FALSE), 7)</f>
        <v>VAV-12E-24</v>
      </c>
      <c r="AI509" t="s">
        <v>1837</v>
      </c>
    </row>
    <row r="510" spans="1:35" x14ac:dyDescent="0.2">
      <c r="A510" t="s">
        <v>1371</v>
      </c>
      <c r="B510" t="str">
        <f>"B_01'" &amp; "Flr_0" &amp; INDEX(Joined!$A$3:$M$2000, MATCH($A510, Joined!$I$3:$I$2000, FALSE), 8)</f>
        <v>B_01'Flr_012</v>
      </c>
      <c r="C510" t="str">
        <f>INDEX(Joined!$A$3:$M$2000, MATCH($A510, Joined!$I$3:$I$2000, FALSE), 7)</f>
        <v>VAV-12E-25</v>
      </c>
      <c r="D510">
        <f>INDEX(Joined!$A$3:$M$2000, MATCH($A510, Joined!$I$3:$I$2000, FALSE), 5)</f>
        <v>153213</v>
      </c>
      <c r="E510" t="str">
        <f>INDEX(Joined!$A$3:$M$2000, MATCH($A510, Joined!$I$3:$I$2000, FALSE), 7)</f>
        <v>VAV-12E-25</v>
      </c>
      <c r="F510" t="s">
        <v>38</v>
      </c>
      <c r="G510" t="str">
        <f>INDEX(Schedule!$Q$2:$R$7, MATCH(ABT!$H510,Schedule!$Q$2:$Q$7, 0), 2)</f>
        <v>15011_DXR_VAV_DXR2M12</v>
      </c>
      <c r="H510">
        <f>INDEX(Joined!$A$3:$M$2000, MATCH($A510, Joined!$I$3:$I$2000, FALSE), 6)</f>
        <v>15011</v>
      </c>
      <c r="I510" t="str">
        <f>INDEX(Joined!$A$3:$M$2000, MATCH($A510, Joined!$I$3:$I$2000, FALSE), 4)</f>
        <v>532</v>
      </c>
      <c r="J510" t="b">
        <v>0</v>
      </c>
      <c r="K510">
        <f>INDEX(Joined!$A$3:$M$2000, MATCH($A510, Joined!$I$3:$I$2000, FALSE), 3)</f>
        <v>13</v>
      </c>
      <c r="L510">
        <v>85</v>
      </c>
      <c r="M510">
        <v>38400</v>
      </c>
      <c r="N510" s="27">
        <f>PI()*(INDEX(Schedule!$A$1:$N$2000, MATCH($C510, VAV_Schedule_5_21[[#All],[UNIT TAG]], FALSE), 4)/2/12)^2</f>
        <v>0.54541539124822802</v>
      </c>
      <c r="O510" s="27">
        <f>INDEX(Schedule!$A$1:$N$2000, MATCH($C510, VAV_Schedule_5_21[[#All],[UNIT TAG]], FALSE), 4)</f>
        <v>10</v>
      </c>
      <c r="P510">
        <v>508.63</v>
      </c>
      <c r="Q510" s="27">
        <f>INDEX(Schedule!$A$1:$N$2000, MATCH($C510, VAV_Schedule_5_21[[#All],[UNIT TAG]], FALSE), 5)</f>
        <v>1100</v>
      </c>
      <c r="R510" s="27">
        <f>INDEX(Schedule!$A$1:$N$2000, MATCH($C510, VAV_Schedule_5_21[[#All],[UNIT TAG]], FALSE), 6)</f>
        <v>165</v>
      </c>
      <c r="S510" s="27">
        <f>INDEX(Schedule!$A$1:$N$2000, MATCH($C510, VAV_Schedule_5_21[[#All],[UNIT TAG]], FALSE), 5)</f>
        <v>1100</v>
      </c>
      <c r="T510" s="27">
        <f>INDEX(Schedule!$A$1:$N$2000, MATCH($C510, VAV_Schedule_5_21[[#All],[UNIT TAG]], FALSE), 6)</f>
        <v>165</v>
      </c>
      <c r="U510" s="27">
        <f>INDEX(Schedule!$A$1:$N$2000, MATCH($C510, VAV_Schedule_5_21[[#All],[UNIT TAG]], FALSE), 5)</f>
        <v>1100</v>
      </c>
      <c r="V510" s="27">
        <f>INDEX(Schedule!$A$1:$N$2000, MATCH($C510, VAV_Schedule_5_21[[#All],[UNIT TAG]], FALSE), 6)</f>
        <v>165</v>
      </c>
      <c r="W510" s="27">
        <f>INDEX(Schedule!$A$1:$N$2000, MATCH($C510, VAV_Schedule_5_21[[#All],[UNIT TAG]], FALSE), 6)</f>
        <v>165</v>
      </c>
      <c r="X510" s="27">
        <f>INDEX(Schedule!$A$1:$N$2000, MATCH($C510, VAV_Schedule_5_21[[#All],[UNIT TAG]], FALSE), 6)</f>
        <v>165</v>
      </c>
      <c r="Y510" s="27">
        <f>INDEX(Schedule!$A$1:$N$2000, MATCH($C510, VAV_Schedule_5_21[[#All],[UNIT TAG]], FALSE), 6)</f>
        <v>165</v>
      </c>
      <c r="Z510" s="27">
        <f>INDEX(Schedule!$A$1:$N$2000, MATCH($C510, VAV_Schedule_5_21[[#All],[UNIT TAG]], FALSE), 6)</f>
        <v>165</v>
      </c>
      <c r="AA510" s="27">
        <v>1000</v>
      </c>
      <c r="AB510" s="27">
        <v>1100</v>
      </c>
      <c r="AC510">
        <v>1400</v>
      </c>
      <c r="AD510" s="29" t="str">
        <f>IF(INDEX(Schedule!$A$1:$N$2000, MATCH($C510, VAV_Schedule_5_21[[#All],[UNIT TAG]], FALSE), 7)="-", 0, INDEX(Schedule!$A$1:$N$2000, MATCH($C510, VAV_Schedule_5_21[[#All],[UNIT TAG]], FALSE), 7))</f>
        <v>9</v>
      </c>
      <c r="AE510" t="str">
        <f>"B_01'" &amp; "Flr_0" &amp; INDEX(Joined!$A$3:$M$2000, MATCH($A510, Joined!$I$3:$I$2000, FALSE), 8)</f>
        <v>B_01'Flr_012</v>
      </c>
      <c r="AF510" t="str">
        <f>"R_" &amp; INDEX(Joined!$A$3:$M$2000, MATCH($A510, Joined!$I$3:$I$2000, FALSE), 7)</f>
        <v>R_VAV-12E-25</v>
      </c>
      <c r="AG510" t="str">
        <f>"B_01'" &amp; "Flr_0" &amp; INDEX(Joined!$A$3:$M$2000, MATCH($A510, Joined!$I$3:$I$2000, FALSE), 8)</f>
        <v>B_01'Flr_012</v>
      </c>
      <c r="AH510" t="str">
        <f>INDEX(Joined!$A$3:$M$2000, MATCH($A510, Joined!$I$3:$I$2000, FALSE), 7)</f>
        <v>VAV-12E-25</v>
      </c>
      <c r="AI510" t="s">
        <v>1838</v>
      </c>
    </row>
    <row r="511" spans="1:35" x14ac:dyDescent="0.2">
      <c r="A511" t="s">
        <v>1372</v>
      </c>
      <c r="B511" t="str">
        <f>"B_01'" &amp; "Flr_0" &amp; INDEX(Joined!$A$3:$M$2000, MATCH($A511, Joined!$I$3:$I$2000, FALSE), 8)</f>
        <v>B_01'Flr_012</v>
      </c>
      <c r="C511" t="str">
        <f>INDEX(Joined!$A$3:$M$2000, MATCH($A511, Joined!$I$3:$I$2000, FALSE), 7)</f>
        <v>VAV-12E-26</v>
      </c>
      <c r="D511">
        <f>INDEX(Joined!$A$3:$M$2000, MATCH($A511, Joined!$I$3:$I$2000, FALSE), 5)</f>
        <v>153214</v>
      </c>
      <c r="E511" t="str">
        <f>INDEX(Joined!$A$3:$M$2000, MATCH($A511, Joined!$I$3:$I$2000, FALSE), 7)</f>
        <v>VAV-12E-26</v>
      </c>
      <c r="F511" t="s">
        <v>38</v>
      </c>
      <c r="G511" t="str">
        <f>INDEX(Schedule!$Q$2:$R$7, MATCH(ABT!$H511,Schedule!$Q$2:$Q$7, 0), 2)</f>
        <v>15011_DXR_VAV_DXR2M12</v>
      </c>
      <c r="H511">
        <f>INDEX(Joined!$A$3:$M$2000, MATCH($A511, Joined!$I$3:$I$2000, FALSE), 6)</f>
        <v>15011</v>
      </c>
      <c r="I511" t="str">
        <f>INDEX(Joined!$A$3:$M$2000, MATCH($A511, Joined!$I$3:$I$2000, FALSE), 4)</f>
        <v>532</v>
      </c>
      <c r="J511" t="b">
        <v>0</v>
      </c>
      <c r="K511">
        <f>INDEX(Joined!$A$3:$M$2000, MATCH($A511, Joined!$I$3:$I$2000, FALSE), 3)</f>
        <v>14</v>
      </c>
      <c r="L511">
        <v>85</v>
      </c>
      <c r="M511">
        <v>38400</v>
      </c>
      <c r="N511" s="27">
        <f>PI()*(INDEX(Schedule!$A$1:$N$2000, MATCH($C511, VAV_Schedule_5_21[[#All],[UNIT TAG]], FALSE), 4)/2/12)^2</f>
        <v>0.3490658503988659</v>
      </c>
      <c r="O511" s="27">
        <f>INDEX(Schedule!$A$1:$N$2000, MATCH($C511, VAV_Schedule_5_21[[#All],[UNIT TAG]], FALSE), 4)</f>
        <v>8</v>
      </c>
      <c r="P511">
        <v>509.63</v>
      </c>
      <c r="Q511" s="27">
        <f>INDEX(Schedule!$A$1:$N$2000, MATCH($C511, VAV_Schedule_5_21[[#All],[UNIT TAG]], FALSE), 5)</f>
        <v>700</v>
      </c>
      <c r="R511" s="27">
        <f>INDEX(Schedule!$A$1:$N$2000, MATCH($C511, VAV_Schedule_5_21[[#All],[UNIT TAG]], FALSE), 6)</f>
        <v>105</v>
      </c>
      <c r="S511" s="27">
        <f>INDEX(Schedule!$A$1:$N$2000, MATCH($C511, VAV_Schedule_5_21[[#All],[UNIT TAG]], FALSE), 5)</f>
        <v>700</v>
      </c>
      <c r="T511" s="27">
        <f>INDEX(Schedule!$A$1:$N$2000, MATCH($C511, VAV_Schedule_5_21[[#All],[UNIT TAG]], FALSE), 6)</f>
        <v>105</v>
      </c>
      <c r="U511" s="27">
        <f>INDEX(Schedule!$A$1:$N$2000, MATCH($C511, VAV_Schedule_5_21[[#All],[UNIT TAG]], FALSE), 5)</f>
        <v>700</v>
      </c>
      <c r="V511" s="27">
        <f>INDEX(Schedule!$A$1:$N$2000, MATCH($C511, VAV_Schedule_5_21[[#All],[UNIT TAG]], FALSE), 6)</f>
        <v>105</v>
      </c>
      <c r="W511" s="27">
        <f>INDEX(Schedule!$A$1:$N$2000, MATCH($C511, VAV_Schedule_5_21[[#All],[UNIT TAG]], FALSE), 6)</f>
        <v>105</v>
      </c>
      <c r="X511" s="27">
        <f>INDEX(Schedule!$A$1:$N$2000, MATCH($C511, VAV_Schedule_5_21[[#All],[UNIT TAG]], FALSE), 6)</f>
        <v>105</v>
      </c>
      <c r="Y511" s="27">
        <f>INDEX(Schedule!$A$1:$N$2000, MATCH($C511, VAV_Schedule_5_21[[#All],[UNIT TAG]], FALSE), 6)</f>
        <v>105</v>
      </c>
      <c r="Z511" s="27">
        <f>INDEX(Schedule!$A$1:$N$2000, MATCH($C511, VAV_Schedule_5_21[[#All],[UNIT TAG]], FALSE), 6)</f>
        <v>105</v>
      </c>
      <c r="AA511" s="27">
        <v>1000</v>
      </c>
      <c r="AB511" s="27">
        <v>1100</v>
      </c>
      <c r="AC511">
        <v>1400</v>
      </c>
      <c r="AD511" s="29" t="str">
        <f>IF(INDEX(Schedule!$A$1:$N$2000, MATCH($C511, VAV_Schedule_5_21[[#All],[UNIT TAG]], FALSE), 7)="-", 0, INDEX(Schedule!$A$1:$N$2000, MATCH($C511, VAV_Schedule_5_21[[#All],[UNIT TAG]], FALSE), 7))</f>
        <v>6</v>
      </c>
      <c r="AE511" t="str">
        <f>"B_01'" &amp; "Flr_0" &amp; INDEX(Joined!$A$3:$M$2000, MATCH($A511, Joined!$I$3:$I$2000, FALSE), 8)</f>
        <v>B_01'Flr_012</v>
      </c>
      <c r="AF511" t="str">
        <f>"R_" &amp; INDEX(Joined!$A$3:$M$2000, MATCH($A511, Joined!$I$3:$I$2000, FALSE), 7)</f>
        <v>R_VAV-12E-26</v>
      </c>
      <c r="AG511" t="str">
        <f>"B_01'" &amp; "Flr_0" &amp; INDEX(Joined!$A$3:$M$2000, MATCH($A511, Joined!$I$3:$I$2000, FALSE), 8)</f>
        <v>B_01'Flr_012</v>
      </c>
      <c r="AH511" t="str">
        <f>INDEX(Joined!$A$3:$M$2000, MATCH($A511, Joined!$I$3:$I$2000, FALSE), 7)</f>
        <v>VAV-12E-26</v>
      </c>
      <c r="AI511" t="s">
        <v>1839</v>
      </c>
    </row>
    <row r="512" spans="1:35" x14ac:dyDescent="0.2">
      <c r="A512" t="s">
        <v>1373</v>
      </c>
      <c r="B512" t="str">
        <f>"B_01'" &amp; "Flr_0" &amp; INDEX(Joined!$A$3:$M$2000, MATCH($A512, Joined!$I$3:$I$2000, FALSE), 8)</f>
        <v>B_01'Flr_012</v>
      </c>
      <c r="C512" t="str">
        <f>INDEX(Joined!$A$3:$M$2000, MATCH($A512, Joined!$I$3:$I$2000, FALSE), 7)</f>
        <v>VAV-12E-27</v>
      </c>
      <c r="D512">
        <f>INDEX(Joined!$A$3:$M$2000, MATCH($A512, Joined!$I$3:$I$2000, FALSE), 5)</f>
        <v>153215</v>
      </c>
      <c r="E512" t="str">
        <f>INDEX(Joined!$A$3:$M$2000, MATCH($A512, Joined!$I$3:$I$2000, FALSE), 7)</f>
        <v>VAV-12E-27</v>
      </c>
      <c r="F512" t="s">
        <v>38</v>
      </c>
      <c r="G512" t="str">
        <f>INDEX(Schedule!$Q$2:$R$7, MATCH(ABT!$H512,Schedule!$Q$2:$Q$7, 0), 2)</f>
        <v>15010_DXR_VAV_DXR2M12</v>
      </c>
      <c r="H512">
        <f>INDEX(Joined!$A$3:$M$2000, MATCH($A512, Joined!$I$3:$I$2000, FALSE), 6)</f>
        <v>15010</v>
      </c>
      <c r="I512" t="str">
        <f>INDEX(Joined!$A$3:$M$2000, MATCH($A512, Joined!$I$3:$I$2000, FALSE), 4)</f>
        <v>532</v>
      </c>
      <c r="J512" t="b">
        <v>0</v>
      </c>
      <c r="K512">
        <f>INDEX(Joined!$A$3:$M$2000, MATCH($A512, Joined!$I$3:$I$2000, FALSE), 3)</f>
        <v>15</v>
      </c>
      <c r="L512">
        <v>85</v>
      </c>
      <c r="M512">
        <v>38400</v>
      </c>
      <c r="N512" s="27">
        <f>PI()*(INDEX(Schedule!$A$1:$N$2000, MATCH($C512, VAV_Schedule_5_21[[#All],[UNIT TAG]], FALSE), 4)/2/12)^2</f>
        <v>0.78539816339744828</v>
      </c>
      <c r="O512" s="27">
        <f>INDEX(Schedule!$A$1:$N$2000, MATCH($C512, VAV_Schedule_5_21[[#All],[UNIT TAG]], FALSE), 4)</f>
        <v>12</v>
      </c>
      <c r="P512">
        <v>510.63</v>
      </c>
      <c r="Q512" s="27">
        <f>INDEX(Schedule!$A$1:$N$2000, MATCH($C512, VAV_Schedule_5_21[[#All],[UNIT TAG]], FALSE), 5)</f>
        <v>1300</v>
      </c>
      <c r="R512" s="27">
        <f>INDEX(Schedule!$A$1:$N$2000, MATCH($C512, VAV_Schedule_5_21[[#All],[UNIT TAG]], FALSE), 6)</f>
        <v>195</v>
      </c>
      <c r="S512" s="27">
        <f>INDEX(Schedule!$A$1:$N$2000, MATCH($C512, VAV_Schedule_5_21[[#All],[UNIT TAG]], FALSE), 5)</f>
        <v>1300</v>
      </c>
      <c r="T512" s="27">
        <f>INDEX(Schedule!$A$1:$N$2000, MATCH($C512, VAV_Schedule_5_21[[#All],[UNIT TAG]], FALSE), 6)</f>
        <v>195</v>
      </c>
      <c r="U512" s="27">
        <f>INDEX(Schedule!$A$1:$N$2000, MATCH($C512, VAV_Schedule_5_21[[#All],[UNIT TAG]], FALSE), 5)</f>
        <v>1300</v>
      </c>
      <c r="V512" s="27">
        <f>INDEX(Schedule!$A$1:$N$2000, MATCH($C512, VAV_Schedule_5_21[[#All],[UNIT TAG]], FALSE), 6)</f>
        <v>195</v>
      </c>
      <c r="W512" s="27">
        <f>INDEX(Schedule!$A$1:$N$2000, MATCH($C512, VAV_Schedule_5_21[[#All],[UNIT TAG]], FALSE), 6)</f>
        <v>195</v>
      </c>
      <c r="X512" s="27">
        <f>INDEX(Schedule!$A$1:$N$2000, MATCH($C512, VAV_Schedule_5_21[[#All],[UNIT TAG]], FALSE), 6)</f>
        <v>195</v>
      </c>
      <c r="Y512" s="27">
        <f>INDEX(Schedule!$A$1:$N$2000, MATCH($C512, VAV_Schedule_5_21[[#All],[UNIT TAG]], FALSE), 6)</f>
        <v>195</v>
      </c>
      <c r="Z512" s="27">
        <f>INDEX(Schedule!$A$1:$N$2000, MATCH($C512, VAV_Schedule_5_21[[#All],[UNIT TAG]], FALSE), 6)</f>
        <v>195</v>
      </c>
      <c r="AA512" s="27">
        <v>1000</v>
      </c>
      <c r="AB512" s="27">
        <v>1100</v>
      </c>
      <c r="AC512">
        <v>1400</v>
      </c>
      <c r="AD512" s="29">
        <f>IF(INDEX(Schedule!$A$1:$N$2000, MATCH($C512, VAV_Schedule_5_21[[#All],[UNIT TAG]], FALSE), 7)="-", 0, INDEX(Schedule!$A$1:$N$2000, MATCH($C512, VAV_Schedule_5_21[[#All],[UNIT TAG]], FALSE), 7))</f>
        <v>0</v>
      </c>
      <c r="AE512" t="str">
        <f>"B_01'" &amp; "Flr_0" &amp; INDEX(Joined!$A$3:$M$2000, MATCH($A512, Joined!$I$3:$I$2000, FALSE), 8)</f>
        <v>B_01'Flr_012</v>
      </c>
      <c r="AF512" t="str">
        <f>"R_" &amp; INDEX(Joined!$A$3:$M$2000, MATCH($A512, Joined!$I$3:$I$2000, FALSE), 7)</f>
        <v>R_VAV-12E-27</v>
      </c>
      <c r="AG512" t="str">
        <f>"B_01'" &amp; "Flr_0" &amp; INDEX(Joined!$A$3:$M$2000, MATCH($A512, Joined!$I$3:$I$2000, FALSE), 8)</f>
        <v>B_01'Flr_012</v>
      </c>
      <c r="AH512" t="str">
        <f>INDEX(Joined!$A$3:$M$2000, MATCH($A512, Joined!$I$3:$I$2000, FALSE), 7)</f>
        <v>VAV-12E-27</v>
      </c>
      <c r="AI512" t="s">
        <v>1840</v>
      </c>
    </row>
    <row r="513" spans="1:35" x14ac:dyDescent="0.2">
      <c r="A513" t="s">
        <v>1374</v>
      </c>
      <c r="B513" t="str">
        <f>"B_01'" &amp; "Flr_0" &amp; INDEX(Joined!$A$3:$M$2000, MATCH($A513, Joined!$I$3:$I$2000, FALSE), 8)</f>
        <v>B_01'Flr_012</v>
      </c>
      <c r="C513" t="str">
        <f>INDEX(Joined!$A$3:$M$2000, MATCH($A513, Joined!$I$3:$I$2000, FALSE), 7)</f>
        <v>VAV-12E-28</v>
      </c>
      <c r="D513">
        <f>INDEX(Joined!$A$3:$M$2000, MATCH($A513, Joined!$I$3:$I$2000, FALSE), 5)</f>
        <v>153216</v>
      </c>
      <c r="E513" t="str">
        <f>INDEX(Joined!$A$3:$M$2000, MATCH($A513, Joined!$I$3:$I$2000, FALSE), 7)</f>
        <v>VAV-12E-28</v>
      </c>
      <c r="F513" t="s">
        <v>38</v>
      </c>
      <c r="G513" t="str">
        <f>INDEX(Schedule!$Q$2:$R$7, MATCH(ABT!$H513,Schedule!$Q$2:$Q$7, 0), 2)</f>
        <v>15010_DXR_VAV_DXR2M12</v>
      </c>
      <c r="H513">
        <f>INDEX(Joined!$A$3:$M$2000, MATCH($A513, Joined!$I$3:$I$2000, FALSE), 6)</f>
        <v>15010</v>
      </c>
      <c r="I513" t="str">
        <f>INDEX(Joined!$A$3:$M$2000, MATCH($A513, Joined!$I$3:$I$2000, FALSE), 4)</f>
        <v>532</v>
      </c>
      <c r="J513" t="b">
        <v>0</v>
      </c>
      <c r="K513">
        <f>INDEX(Joined!$A$3:$M$2000, MATCH($A513, Joined!$I$3:$I$2000, FALSE), 3)</f>
        <v>16</v>
      </c>
      <c r="L513">
        <v>85</v>
      </c>
      <c r="M513">
        <v>38400</v>
      </c>
      <c r="N513" s="27">
        <f>PI()*(INDEX(Schedule!$A$1:$N$2000, MATCH($C513, VAV_Schedule_5_21[[#All],[UNIT TAG]], FALSE), 4)/2/12)^2</f>
        <v>0.54541539124822802</v>
      </c>
      <c r="O513" s="27">
        <f>INDEX(Schedule!$A$1:$N$2000, MATCH($C513, VAV_Schedule_5_21[[#All],[UNIT TAG]], FALSE), 4)</f>
        <v>10</v>
      </c>
      <c r="P513">
        <v>511.63</v>
      </c>
      <c r="Q513" s="27">
        <f>INDEX(Schedule!$A$1:$N$2000, MATCH($C513, VAV_Schedule_5_21[[#All],[UNIT TAG]], FALSE), 5)</f>
        <v>1100</v>
      </c>
      <c r="R513" s="27">
        <f>INDEX(Schedule!$A$1:$N$2000, MATCH($C513, VAV_Schedule_5_21[[#All],[UNIT TAG]], FALSE), 6)</f>
        <v>165</v>
      </c>
      <c r="S513" s="27">
        <f>INDEX(Schedule!$A$1:$N$2000, MATCH($C513, VAV_Schedule_5_21[[#All],[UNIT TAG]], FALSE), 5)</f>
        <v>1100</v>
      </c>
      <c r="T513" s="27">
        <f>INDEX(Schedule!$A$1:$N$2000, MATCH($C513, VAV_Schedule_5_21[[#All],[UNIT TAG]], FALSE), 6)</f>
        <v>165</v>
      </c>
      <c r="U513" s="27">
        <f>INDEX(Schedule!$A$1:$N$2000, MATCH($C513, VAV_Schedule_5_21[[#All],[UNIT TAG]], FALSE), 5)</f>
        <v>1100</v>
      </c>
      <c r="V513" s="27">
        <f>INDEX(Schedule!$A$1:$N$2000, MATCH($C513, VAV_Schedule_5_21[[#All],[UNIT TAG]], FALSE), 6)</f>
        <v>165</v>
      </c>
      <c r="W513" s="27">
        <f>INDEX(Schedule!$A$1:$N$2000, MATCH($C513, VAV_Schedule_5_21[[#All],[UNIT TAG]], FALSE), 6)</f>
        <v>165</v>
      </c>
      <c r="X513" s="27">
        <f>INDEX(Schedule!$A$1:$N$2000, MATCH($C513, VAV_Schedule_5_21[[#All],[UNIT TAG]], FALSE), 6)</f>
        <v>165</v>
      </c>
      <c r="Y513" s="27">
        <f>INDEX(Schedule!$A$1:$N$2000, MATCH($C513, VAV_Schedule_5_21[[#All],[UNIT TAG]], FALSE), 6)</f>
        <v>165</v>
      </c>
      <c r="Z513" s="27">
        <f>INDEX(Schedule!$A$1:$N$2000, MATCH($C513, VAV_Schedule_5_21[[#All],[UNIT TAG]], FALSE), 6)</f>
        <v>165</v>
      </c>
      <c r="AA513" s="27">
        <v>1000</v>
      </c>
      <c r="AB513" s="27">
        <v>1100</v>
      </c>
      <c r="AC513">
        <v>1400</v>
      </c>
      <c r="AD513" s="29">
        <f>IF(INDEX(Schedule!$A$1:$N$2000, MATCH($C513, VAV_Schedule_5_21[[#All],[UNIT TAG]], FALSE), 7)="-", 0, INDEX(Schedule!$A$1:$N$2000, MATCH($C513, VAV_Schedule_5_21[[#All],[UNIT TAG]], FALSE), 7))</f>
        <v>0</v>
      </c>
      <c r="AE513" t="str">
        <f>"B_01'" &amp; "Flr_0" &amp; INDEX(Joined!$A$3:$M$2000, MATCH($A513, Joined!$I$3:$I$2000, FALSE), 8)</f>
        <v>B_01'Flr_012</v>
      </c>
      <c r="AF513" t="str">
        <f>"R_" &amp; INDEX(Joined!$A$3:$M$2000, MATCH($A513, Joined!$I$3:$I$2000, FALSE), 7)</f>
        <v>R_VAV-12E-28</v>
      </c>
      <c r="AG513" t="str">
        <f>"B_01'" &amp; "Flr_0" &amp; INDEX(Joined!$A$3:$M$2000, MATCH($A513, Joined!$I$3:$I$2000, FALSE), 8)</f>
        <v>B_01'Flr_012</v>
      </c>
      <c r="AH513" t="str">
        <f>INDEX(Joined!$A$3:$M$2000, MATCH($A513, Joined!$I$3:$I$2000, FALSE), 7)</f>
        <v>VAV-12E-28</v>
      </c>
      <c r="AI513" t="s">
        <v>1841</v>
      </c>
    </row>
    <row r="514" spans="1:35" x14ac:dyDescent="0.2">
      <c r="A514" t="s">
        <v>1375</v>
      </c>
      <c r="B514" t="str">
        <f>"B_01'" &amp; "Flr_0" &amp; INDEX(Joined!$A$3:$M$2000, MATCH($A514, Joined!$I$3:$I$2000, FALSE), 8)</f>
        <v>B_01'Flr_012</v>
      </c>
      <c r="C514" t="str">
        <f>INDEX(Joined!$A$3:$M$2000, MATCH($A514, Joined!$I$3:$I$2000, FALSE), 7)</f>
        <v>VAV-12E-29</v>
      </c>
      <c r="D514">
        <f>INDEX(Joined!$A$3:$M$2000, MATCH($A514, Joined!$I$3:$I$2000, FALSE), 5)</f>
        <v>153217</v>
      </c>
      <c r="E514" t="str">
        <f>INDEX(Joined!$A$3:$M$2000, MATCH($A514, Joined!$I$3:$I$2000, FALSE), 7)</f>
        <v>VAV-12E-29</v>
      </c>
      <c r="F514" t="s">
        <v>38</v>
      </c>
      <c r="G514" t="str">
        <f>INDEX(Schedule!$Q$2:$R$7, MATCH(ABT!$H514,Schedule!$Q$2:$Q$7, 0), 2)</f>
        <v>15010_DXR_VAV_DXR2M12</v>
      </c>
      <c r="H514">
        <f>INDEX(Joined!$A$3:$M$2000, MATCH($A514, Joined!$I$3:$I$2000, FALSE), 6)</f>
        <v>15010</v>
      </c>
      <c r="I514" t="str">
        <f>INDEX(Joined!$A$3:$M$2000, MATCH($A514, Joined!$I$3:$I$2000, FALSE), 4)</f>
        <v>532</v>
      </c>
      <c r="J514" t="b">
        <v>0</v>
      </c>
      <c r="K514">
        <f>INDEX(Joined!$A$3:$M$2000, MATCH($A514, Joined!$I$3:$I$2000, FALSE), 3)</f>
        <v>17</v>
      </c>
      <c r="L514">
        <v>85</v>
      </c>
      <c r="M514">
        <v>38400</v>
      </c>
      <c r="N514" s="27">
        <f>PI()*(INDEX(Schedule!$A$1:$N$2000, MATCH($C514, VAV_Schedule_5_21[[#All],[UNIT TAG]], FALSE), 4)/2/12)^2</f>
        <v>0.78539816339744828</v>
      </c>
      <c r="O514" s="27">
        <f>INDEX(Schedule!$A$1:$N$2000, MATCH($C514, VAV_Schedule_5_21[[#All],[UNIT TAG]], FALSE), 4)</f>
        <v>12</v>
      </c>
      <c r="P514">
        <v>512.63</v>
      </c>
      <c r="Q514" s="27">
        <f>INDEX(Schedule!$A$1:$N$2000, MATCH($C514, VAV_Schedule_5_21[[#All],[UNIT TAG]], FALSE), 5)</f>
        <v>1600</v>
      </c>
      <c r="R514" s="27">
        <f>INDEX(Schedule!$A$1:$N$2000, MATCH($C514, VAV_Schedule_5_21[[#All],[UNIT TAG]], FALSE), 6)</f>
        <v>240</v>
      </c>
      <c r="S514" s="27">
        <f>INDEX(Schedule!$A$1:$N$2000, MATCH($C514, VAV_Schedule_5_21[[#All],[UNIT TAG]], FALSE), 5)</f>
        <v>1600</v>
      </c>
      <c r="T514" s="27">
        <f>INDEX(Schedule!$A$1:$N$2000, MATCH($C514, VAV_Schedule_5_21[[#All],[UNIT TAG]], FALSE), 6)</f>
        <v>240</v>
      </c>
      <c r="U514" s="27">
        <f>INDEX(Schedule!$A$1:$N$2000, MATCH($C514, VAV_Schedule_5_21[[#All],[UNIT TAG]], FALSE), 5)</f>
        <v>1600</v>
      </c>
      <c r="V514" s="27">
        <f>INDEX(Schedule!$A$1:$N$2000, MATCH($C514, VAV_Schedule_5_21[[#All],[UNIT TAG]], FALSE), 6)</f>
        <v>240</v>
      </c>
      <c r="W514" s="27">
        <f>INDEX(Schedule!$A$1:$N$2000, MATCH($C514, VAV_Schedule_5_21[[#All],[UNIT TAG]], FALSE), 6)</f>
        <v>240</v>
      </c>
      <c r="X514" s="27">
        <f>INDEX(Schedule!$A$1:$N$2000, MATCH($C514, VAV_Schedule_5_21[[#All],[UNIT TAG]], FALSE), 6)</f>
        <v>240</v>
      </c>
      <c r="Y514" s="27">
        <f>INDEX(Schedule!$A$1:$N$2000, MATCH($C514, VAV_Schedule_5_21[[#All],[UNIT TAG]], FALSE), 6)</f>
        <v>240</v>
      </c>
      <c r="Z514" s="27">
        <f>INDEX(Schedule!$A$1:$N$2000, MATCH($C514, VAV_Schedule_5_21[[#All],[UNIT TAG]], FALSE), 6)</f>
        <v>240</v>
      </c>
      <c r="AA514" s="27">
        <v>1000</v>
      </c>
      <c r="AB514" s="27">
        <v>1100</v>
      </c>
      <c r="AC514">
        <v>1400</v>
      </c>
      <c r="AD514" s="29">
        <f>IF(INDEX(Schedule!$A$1:$N$2000, MATCH($C514, VAV_Schedule_5_21[[#All],[UNIT TAG]], FALSE), 7)="-", 0, INDEX(Schedule!$A$1:$N$2000, MATCH($C514, VAV_Schedule_5_21[[#All],[UNIT TAG]], FALSE), 7))</f>
        <v>0</v>
      </c>
      <c r="AE514" t="str">
        <f>"B_01'" &amp; "Flr_0" &amp; INDEX(Joined!$A$3:$M$2000, MATCH($A514, Joined!$I$3:$I$2000, FALSE), 8)</f>
        <v>B_01'Flr_012</v>
      </c>
      <c r="AF514" t="str">
        <f>"R_" &amp; INDEX(Joined!$A$3:$M$2000, MATCH($A514, Joined!$I$3:$I$2000, FALSE), 7)</f>
        <v>R_VAV-12E-29</v>
      </c>
      <c r="AG514" t="str">
        <f>"B_01'" &amp; "Flr_0" &amp; INDEX(Joined!$A$3:$M$2000, MATCH($A514, Joined!$I$3:$I$2000, FALSE), 8)</f>
        <v>B_01'Flr_012</v>
      </c>
      <c r="AH514" t="str">
        <f>INDEX(Joined!$A$3:$M$2000, MATCH($A514, Joined!$I$3:$I$2000, FALSE), 7)</f>
        <v>VAV-12E-29</v>
      </c>
      <c r="AI514" t="s">
        <v>1842</v>
      </c>
    </row>
    <row r="515" spans="1:35" x14ac:dyDescent="0.2">
      <c r="A515" t="s">
        <v>1376</v>
      </c>
      <c r="B515" t="str">
        <f>"B_01'" &amp; "Flr_0" &amp; INDEX(Joined!$A$3:$M$2000, MATCH($A515, Joined!$I$3:$I$2000, FALSE), 8)</f>
        <v>B_01'Flr_012</v>
      </c>
      <c r="C515" t="str">
        <f>INDEX(Joined!$A$3:$M$2000, MATCH($A515, Joined!$I$3:$I$2000, FALSE), 7)</f>
        <v>VAV-12E-30</v>
      </c>
      <c r="D515">
        <f>INDEX(Joined!$A$3:$M$2000, MATCH($A515, Joined!$I$3:$I$2000, FALSE), 5)</f>
        <v>153218</v>
      </c>
      <c r="E515" t="str">
        <f>INDEX(Joined!$A$3:$M$2000, MATCH($A515, Joined!$I$3:$I$2000, FALSE), 7)</f>
        <v>VAV-12E-30</v>
      </c>
      <c r="F515" t="s">
        <v>38</v>
      </c>
      <c r="G515" t="str">
        <f>INDEX(Schedule!$Q$2:$R$7, MATCH(ABT!$H515,Schedule!$Q$2:$Q$7, 0), 2)</f>
        <v>15011_DXR_VAV_DXR2M12</v>
      </c>
      <c r="H515">
        <f>INDEX(Joined!$A$3:$M$2000, MATCH($A515, Joined!$I$3:$I$2000, FALSE), 6)</f>
        <v>15011</v>
      </c>
      <c r="I515" t="str">
        <f>INDEX(Joined!$A$3:$M$2000, MATCH($A515, Joined!$I$3:$I$2000, FALSE), 4)</f>
        <v>532</v>
      </c>
      <c r="J515" t="b">
        <v>0</v>
      </c>
      <c r="K515">
        <f>INDEX(Joined!$A$3:$M$2000, MATCH($A515, Joined!$I$3:$I$2000, FALSE), 3)</f>
        <v>18</v>
      </c>
      <c r="L515">
        <v>85</v>
      </c>
      <c r="M515">
        <v>38400</v>
      </c>
      <c r="N515" s="27">
        <f>PI()*(INDEX(Schedule!$A$1:$N$2000, MATCH($C515, VAV_Schedule_5_21[[#All],[UNIT TAG]], FALSE), 4)/2/12)^2</f>
        <v>0.54541539124822802</v>
      </c>
      <c r="O515" s="27">
        <f>INDEX(Schedule!$A$1:$N$2000, MATCH($C515, VAV_Schedule_5_21[[#All],[UNIT TAG]], FALSE), 4)</f>
        <v>10</v>
      </c>
      <c r="P515">
        <v>513.63</v>
      </c>
      <c r="Q515" s="27">
        <f>INDEX(Schedule!$A$1:$N$2000, MATCH($C515, VAV_Schedule_5_21[[#All],[UNIT TAG]], FALSE), 5)</f>
        <v>800</v>
      </c>
      <c r="R515" s="27">
        <f>INDEX(Schedule!$A$1:$N$2000, MATCH($C515, VAV_Schedule_5_21[[#All],[UNIT TAG]], FALSE), 6)</f>
        <v>120</v>
      </c>
      <c r="S515" s="27">
        <f>INDEX(Schedule!$A$1:$N$2000, MATCH($C515, VAV_Schedule_5_21[[#All],[UNIT TAG]], FALSE), 5)</f>
        <v>800</v>
      </c>
      <c r="T515" s="27">
        <f>INDEX(Schedule!$A$1:$N$2000, MATCH($C515, VAV_Schedule_5_21[[#All],[UNIT TAG]], FALSE), 6)</f>
        <v>120</v>
      </c>
      <c r="U515" s="27">
        <f>INDEX(Schedule!$A$1:$N$2000, MATCH($C515, VAV_Schedule_5_21[[#All],[UNIT TAG]], FALSE), 5)</f>
        <v>800</v>
      </c>
      <c r="V515" s="27">
        <f>INDEX(Schedule!$A$1:$N$2000, MATCH($C515, VAV_Schedule_5_21[[#All],[UNIT TAG]], FALSE), 6)</f>
        <v>120</v>
      </c>
      <c r="W515" s="27">
        <f>INDEX(Schedule!$A$1:$N$2000, MATCH($C515, VAV_Schedule_5_21[[#All],[UNIT TAG]], FALSE), 6)</f>
        <v>120</v>
      </c>
      <c r="X515" s="27">
        <f>INDEX(Schedule!$A$1:$N$2000, MATCH($C515, VAV_Schedule_5_21[[#All],[UNIT TAG]], FALSE), 6)</f>
        <v>120</v>
      </c>
      <c r="Y515" s="27">
        <f>INDEX(Schedule!$A$1:$N$2000, MATCH($C515, VAV_Schedule_5_21[[#All],[UNIT TAG]], FALSE), 6)</f>
        <v>120</v>
      </c>
      <c r="Z515" s="27">
        <f>INDEX(Schedule!$A$1:$N$2000, MATCH($C515, VAV_Schedule_5_21[[#All],[UNIT TAG]], FALSE), 6)</f>
        <v>120</v>
      </c>
      <c r="AA515" s="27">
        <v>1000</v>
      </c>
      <c r="AB515" s="27">
        <v>1100</v>
      </c>
      <c r="AC515">
        <v>1400</v>
      </c>
      <c r="AD515" s="29" t="str">
        <f>IF(INDEX(Schedule!$A$1:$N$2000, MATCH($C515, VAV_Schedule_5_21[[#All],[UNIT TAG]], FALSE), 7)="-", 0, INDEX(Schedule!$A$1:$N$2000, MATCH($C515, VAV_Schedule_5_21[[#All],[UNIT TAG]], FALSE), 7))</f>
        <v>8</v>
      </c>
      <c r="AE515" t="str">
        <f>"B_01'" &amp; "Flr_0" &amp; INDEX(Joined!$A$3:$M$2000, MATCH($A515, Joined!$I$3:$I$2000, FALSE), 8)</f>
        <v>B_01'Flr_012</v>
      </c>
      <c r="AF515" t="str">
        <f>"R_" &amp; INDEX(Joined!$A$3:$M$2000, MATCH($A515, Joined!$I$3:$I$2000, FALSE), 7)</f>
        <v>R_VAV-12E-30</v>
      </c>
      <c r="AG515" t="str">
        <f>"B_01'" &amp; "Flr_0" &amp; INDEX(Joined!$A$3:$M$2000, MATCH($A515, Joined!$I$3:$I$2000, FALSE), 8)</f>
        <v>B_01'Flr_012</v>
      </c>
      <c r="AH515" t="str">
        <f>INDEX(Joined!$A$3:$M$2000, MATCH($A515, Joined!$I$3:$I$2000, FALSE), 7)</f>
        <v>VAV-12E-30</v>
      </c>
      <c r="AI515" t="s">
        <v>1843</v>
      </c>
    </row>
    <row r="516" spans="1:35" x14ac:dyDescent="0.2">
      <c r="A516" t="s">
        <v>1377</v>
      </c>
      <c r="B516" t="str">
        <f>"B_01'" &amp; "Flr_0" &amp; INDEX(Joined!$A$3:$M$2000, MATCH($A516, Joined!$I$3:$I$2000, FALSE), 8)</f>
        <v>B_01'Flr_012</v>
      </c>
      <c r="C516" t="str">
        <f>INDEX(Joined!$A$3:$M$2000, MATCH($A516, Joined!$I$3:$I$2000, FALSE), 7)</f>
        <v>VAV-12E-31</v>
      </c>
      <c r="D516">
        <f>INDEX(Joined!$A$3:$M$2000, MATCH($A516, Joined!$I$3:$I$2000, FALSE), 5)</f>
        <v>153219</v>
      </c>
      <c r="E516" t="str">
        <f>INDEX(Joined!$A$3:$M$2000, MATCH($A516, Joined!$I$3:$I$2000, FALSE), 7)</f>
        <v>VAV-12E-31</v>
      </c>
      <c r="F516" t="s">
        <v>38</v>
      </c>
      <c r="G516" t="str">
        <f>INDEX(Schedule!$Q$2:$R$7, MATCH(ABT!$H516,Schedule!$Q$2:$Q$7, 0), 2)</f>
        <v>15011_DXR_VAV_DXR2M12</v>
      </c>
      <c r="H516">
        <f>INDEX(Joined!$A$3:$M$2000, MATCH($A516, Joined!$I$3:$I$2000, FALSE), 6)</f>
        <v>15011</v>
      </c>
      <c r="I516" t="str">
        <f>INDEX(Joined!$A$3:$M$2000, MATCH($A516, Joined!$I$3:$I$2000, FALSE), 4)</f>
        <v>532</v>
      </c>
      <c r="J516" t="b">
        <v>0</v>
      </c>
      <c r="K516">
        <f>INDEX(Joined!$A$3:$M$2000, MATCH($A516, Joined!$I$3:$I$2000, FALSE), 3)</f>
        <v>19</v>
      </c>
      <c r="L516">
        <v>85</v>
      </c>
      <c r="M516">
        <v>38400</v>
      </c>
      <c r="N516" s="27">
        <f>PI()*(INDEX(Schedule!$A$1:$N$2000, MATCH($C516, VAV_Schedule_5_21[[#All],[UNIT TAG]], FALSE), 4)/2/12)^2</f>
        <v>0.78539816339744828</v>
      </c>
      <c r="O516" s="27">
        <f>INDEX(Schedule!$A$1:$N$2000, MATCH($C516, VAV_Schedule_5_21[[#All],[UNIT TAG]], FALSE), 4)</f>
        <v>12</v>
      </c>
      <c r="P516">
        <v>514.63</v>
      </c>
      <c r="Q516" s="27">
        <f>INDEX(Schedule!$A$1:$N$2000, MATCH($C516, VAV_Schedule_5_21[[#All],[UNIT TAG]], FALSE), 5)</f>
        <v>1400</v>
      </c>
      <c r="R516" s="27">
        <f>INDEX(Schedule!$A$1:$N$2000, MATCH($C516, VAV_Schedule_5_21[[#All],[UNIT TAG]], FALSE), 6)</f>
        <v>210</v>
      </c>
      <c r="S516" s="27">
        <f>INDEX(Schedule!$A$1:$N$2000, MATCH($C516, VAV_Schedule_5_21[[#All],[UNIT TAG]], FALSE), 5)</f>
        <v>1400</v>
      </c>
      <c r="T516" s="27">
        <f>INDEX(Schedule!$A$1:$N$2000, MATCH($C516, VAV_Schedule_5_21[[#All],[UNIT TAG]], FALSE), 6)</f>
        <v>210</v>
      </c>
      <c r="U516" s="27">
        <f>INDEX(Schedule!$A$1:$N$2000, MATCH($C516, VAV_Schedule_5_21[[#All],[UNIT TAG]], FALSE), 5)</f>
        <v>1400</v>
      </c>
      <c r="V516" s="27">
        <f>INDEX(Schedule!$A$1:$N$2000, MATCH($C516, VAV_Schedule_5_21[[#All],[UNIT TAG]], FALSE), 6)</f>
        <v>210</v>
      </c>
      <c r="W516" s="27">
        <f>INDEX(Schedule!$A$1:$N$2000, MATCH($C516, VAV_Schedule_5_21[[#All],[UNIT TAG]], FALSE), 6)</f>
        <v>210</v>
      </c>
      <c r="X516" s="27">
        <f>INDEX(Schedule!$A$1:$N$2000, MATCH($C516, VAV_Schedule_5_21[[#All],[UNIT TAG]], FALSE), 6)</f>
        <v>210</v>
      </c>
      <c r="Y516" s="27">
        <f>INDEX(Schedule!$A$1:$N$2000, MATCH($C516, VAV_Schedule_5_21[[#All],[UNIT TAG]], FALSE), 6)</f>
        <v>210</v>
      </c>
      <c r="Z516" s="27">
        <f>INDEX(Schedule!$A$1:$N$2000, MATCH($C516, VAV_Schedule_5_21[[#All],[UNIT TAG]], FALSE), 6)</f>
        <v>210</v>
      </c>
      <c r="AA516" s="27">
        <v>1000</v>
      </c>
      <c r="AB516" s="27">
        <v>1100</v>
      </c>
      <c r="AC516">
        <v>1400</v>
      </c>
      <c r="AD516" s="29" t="str">
        <f>IF(INDEX(Schedule!$A$1:$N$2000, MATCH($C516, VAV_Schedule_5_21[[#All],[UNIT TAG]], FALSE), 7)="-", 0, INDEX(Schedule!$A$1:$N$2000, MATCH($C516, VAV_Schedule_5_21[[#All],[UNIT TAG]], FALSE), 7))</f>
        <v>8</v>
      </c>
      <c r="AE516" t="str">
        <f>"B_01'" &amp; "Flr_0" &amp; INDEX(Joined!$A$3:$M$2000, MATCH($A516, Joined!$I$3:$I$2000, FALSE), 8)</f>
        <v>B_01'Flr_012</v>
      </c>
      <c r="AF516" t="str">
        <f>"R_" &amp; INDEX(Joined!$A$3:$M$2000, MATCH($A516, Joined!$I$3:$I$2000, FALSE), 7)</f>
        <v>R_VAV-12E-31</v>
      </c>
      <c r="AG516" t="str">
        <f>"B_01'" &amp; "Flr_0" &amp; INDEX(Joined!$A$3:$M$2000, MATCH($A516, Joined!$I$3:$I$2000, FALSE), 8)</f>
        <v>B_01'Flr_012</v>
      </c>
      <c r="AH516" t="str">
        <f>INDEX(Joined!$A$3:$M$2000, MATCH($A516, Joined!$I$3:$I$2000, FALSE), 7)</f>
        <v>VAV-12E-31</v>
      </c>
      <c r="AI516" t="s">
        <v>1844</v>
      </c>
    </row>
    <row r="517" spans="1:35" x14ac:dyDescent="0.2">
      <c r="A517" t="s">
        <v>1378</v>
      </c>
      <c r="B517" t="str">
        <f>"B_01'" &amp; "Flr_0" &amp; INDEX(Joined!$A$3:$M$2000, MATCH($A517, Joined!$I$3:$I$2000, FALSE), 8)</f>
        <v>B_01'Flr_012</v>
      </c>
      <c r="C517" t="str">
        <f>INDEX(Joined!$A$3:$M$2000, MATCH($A517, Joined!$I$3:$I$2000, FALSE), 7)</f>
        <v>VAV-12W-32</v>
      </c>
      <c r="D517">
        <f>INDEX(Joined!$A$3:$M$2000, MATCH($A517, Joined!$I$3:$I$2000, FALSE), 5)</f>
        <v>153304</v>
      </c>
      <c r="E517" t="str">
        <f>INDEX(Joined!$A$3:$M$2000, MATCH($A517, Joined!$I$3:$I$2000, FALSE), 7)</f>
        <v>VAV-12W-32</v>
      </c>
      <c r="F517" t="s">
        <v>38</v>
      </c>
      <c r="G517" t="str">
        <f>INDEX(Schedule!$Q$2:$R$7, MATCH(ABT!$H517,Schedule!$Q$2:$Q$7, 0), 2)</f>
        <v>15010_DXR_VAV_DXR2M12</v>
      </c>
      <c r="H517">
        <f>INDEX(Joined!$A$3:$M$2000, MATCH($A517, Joined!$I$3:$I$2000, FALSE), 6)</f>
        <v>15010</v>
      </c>
      <c r="I517" t="str">
        <f>INDEX(Joined!$A$3:$M$2000, MATCH($A517, Joined!$I$3:$I$2000, FALSE), 4)</f>
        <v>533</v>
      </c>
      <c r="J517" t="b">
        <v>0</v>
      </c>
      <c r="K517">
        <f>INDEX(Joined!$A$3:$M$2000, MATCH($A517, Joined!$I$3:$I$2000, FALSE), 3)</f>
        <v>4</v>
      </c>
      <c r="L517">
        <v>85</v>
      </c>
      <c r="M517">
        <v>38400</v>
      </c>
      <c r="N517" s="27">
        <f>PI()*(INDEX(Schedule!$A$1:$N$2000, MATCH($C517, VAV_Schedule_5_21[[#All],[UNIT TAG]], FALSE), 4)/2/12)^2</f>
        <v>0.3490658503988659</v>
      </c>
      <c r="O517" s="27">
        <f>INDEX(Schedule!$A$1:$N$2000, MATCH($C517, VAV_Schedule_5_21[[#All],[UNIT TAG]], FALSE), 4)</f>
        <v>8</v>
      </c>
      <c r="P517">
        <v>515.63</v>
      </c>
      <c r="Q517" s="27">
        <f>INDEX(Schedule!$A$1:$N$2000, MATCH($C517, VAV_Schedule_5_21[[#All],[UNIT TAG]], FALSE), 5)</f>
        <v>645</v>
      </c>
      <c r="R517" s="27">
        <f>INDEX(Schedule!$A$1:$N$2000, MATCH($C517, VAV_Schedule_5_21[[#All],[UNIT TAG]], FALSE), 6)</f>
        <v>100</v>
      </c>
      <c r="S517" s="27">
        <f>INDEX(Schedule!$A$1:$N$2000, MATCH($C517, VAV_Schedule_5_21[[#All],[UNIT TAG]], FALSE), 5)</f>
        <v>645</v>
      </c>
      <c r="T517" s="27">
        <f>INDEX(Schedule!$A$1:$N$2000, MATCH($C517, VAV_Schedule_5_21[[#All],[UNIT TAG]], FALSE), 6)</f>
        <v>100</v>
      </c>
      <c r="U517" s="27">
        <f>INDEX(Schedule!$A$1:$N$2000, MATCH($C517, VAV_Schedule_5_21[[#All],[UNIT TAG]], FALSE), 5)</f>
        <v>645</v>
      </c>
      <c r="V517" s="27">
        <f>INDEX(Schedule!$A$1:$N$2000, MATCH($C517, VAV_Schedule_5_21[[#All],[UNIT TAG]], FALSE), 6)</f>
        <v>100</v>
      </c>
      <c r="W517" s="27">
        <f>INDEX(Schedule!$A$1:$N$2000, MATCH($C517, VAV_Schedule_5_21[[#All],[UNIT TAG]], FALSE), 6)</f>
        <v>100</v>
      </c>
      <c r="X517" s="27">
        <f>INDEX(Schedule!$A$1:$N$2000, MATCH($C517, VAV_Schedule_5_21[[#All],[UNIT TAG]], FALSE), 6)</f>
        <v>100</v>
      </c>
      <c r="Y517" s="27">
        <f>INDEX(Schedule!$A$1:$N$2000, MATCH($C517, VAV_Schedule_5_21[[#All],[UNIT TAG]], FALSE), 6)</f>
        <v>100</v>
      </c>
      <c r="Z517" s="27">
        <f>INDEX(Schedule!$A$1:$N$2000, MATCH($C517, VAV_Schedule_5_21[[#All],[UNIT TAG]], FALSE), 6)</f>
        <v>100</v>
      </c>
      <c r="AA517" s="27">
        <v>1000</v>
      </c>
      <c r="AB517" s="27">
        <v>1100</v>
      </c>
      <c r="AC517">
        <v>1400</v>
      </c>
      <c r="AD517" s="29">
        <f>IF(INDEX(Schedule!$A$1:$N$2000, MATCH($C517, VAV_Schedule_5_21[[#All],[UNIT TAG]], FALSE), 7)="-", 0, INDEX(Schedule!$A$1:$N$2000, MATCH($C517, VAV_Schedule_5_21[[#All],[UNIT TAG]], FALSE), 7))</f>
        <v>0</v>
      </c>
      <c r="AE517" t="str">
        <f>"B_01'" &amp; "Flr_0" &amp; INDEX(Joined!$A$3:$M$2000, MATCH($A517, Joined!$I$3:$I$2000, FALSE), 8)</f>
        <v>B_01'Flr_012</v>
      </c>
      <c r="AF517" t="str">
        <f>"R_" &amp; INDEX(Joined!$A$3:$M$2000, MATCH($A517, Joined!$I$3:$I$2000, FALSE), 7)</f>
        <v>R_VAV-12W-32</v>
      </c>
      <c r="AG517" t="str">
        <f>"B_01'" &amp; "Flr_0" &amp; INDEX(Joined!$A$3:$M$2000, MATCH($A517, Joined!$I$3:$I$2000, FALSE), 8)</f>
        <v>B_01'Flr_012</v>
      </c>
      <c r="AH517" t="str">
        <f>INDEX(Joined!$A$3:$M$2000, MATCH($A517, Joined!$I$3:$I$2000, FALSE), 7)</f>
        <v>VAV-12W-32</v>
      </c>
      <c r="AI517" t="s">
        <v>1845</v>
      </c>
    </row>
    <row r="518" spans="1:35" x14ac:dyDescent="0.2">
      <c r="A518" t="s">
        <v>1379</v>
      </c>
      <c r="B518" t="str">
        <f>"B_01'" &amp; "Flr_0" &amp; INDEX(Joined!$A$3:$M$2000, MATCH($A518, Joined!$I$3:$I$2000, FALSE), 8)</f>
        <v>B_01'Flr_012</v>
      </c>
      <c r="C518" t="str">
        <f>INDEX(Joined!$A$3:$M$2000, MATCH($A518, Joined!$I$3:$I$2000, FALSE), 7)</f>
        <v>VAV-12W-33</v>
      </c>
      <c r="D518">
        <f>INDEX(Joined!$A$3:$M$2000, MATCH($A518, Joined!$I$3:$I$2000, FALSE), 5)</f>
        <v>153305</v>
      </c>
      <c r="E518" t="str">
        <f>INDEX(Joined!$A$3:$M$2000, MATCH($A518, Joined!$I$3:$I$2000, FALSE), 7)</f>
        <v>VAV-12W-33</v>
      </c>
      <c r="F518" t="s">
        <v>38</v>
      </c>
      <c r="G518" t="str">
        <f>INDEX(Schedule!$Q$2:$R$7, MATCH(ABT!$H518,Schedule!$Q$2:$Q$7, 0), 2)</f>
        <v>15010_DXR_VAV_DXR2M12</v>
      </c>
      <c r="H518">
        <f>INDEX(Joined!$A$3:$M$2000, MATCH($A518, Joined!$I$3:$I$2000, FALSE), 6)</f>
        <v>15010</v>
      </c>
      <c r="I518" t="str">
        <f>INDEX(Joined!$A$3:$M$2000, MATCH($A518, Joined!$I$3:$I$2000, FALSE), 4)</f>
        <v>533</v>
      </c>
      <c r="J518" t="b">
        <v>0</v>
      </c>
      <c r="K518">
        <f>INDEX(Joined!$A$3:$M$2000, MATCH($A518, Joined!$I$3:$I$2000, FALSE), 3)</f>
        <v>5</v>
      </c>
      <c r="L518">
        <v>85</v>
      </c>
      <c r="M518">
        <v>38400</v>
      </c>
      <c r="N518" s="27">
        <f>PI()*(INDEX(Schedule!$A$1:$N$2000, MATCH($C518, VAV_Schedule_5_21[[#All],[UNIT TAG]], FALSE), 4)/2/12)^2</f>
        <v>0.78539816339744828</v>
      </c>
      <c r="O518" s="27">
        <f>INDEX(Schedule!$A$1:$N$2000, MATCH($C518, VAV_Schedule_5_21[[#All],[UNIT TAG]], FALSE), 4)</f>
        <v>12</v>
      </c>
      <c r="P518">
        <v>516.63</v>
      </c>
      <c r="Q518" s="27">
        <f>INDEX(Schedule!$A$1:$N$2000, MATCH($C518, VAV_Schedule_5_21[[#All],[UNIT TAG]], FALSE), 5)</f>
        <v>1600</v>
      </c>
      <c r="R518" s="27">
        <f>INDEX(Schedule!$A$1:$N$2000, MATCH($C518, VAV_Schedule_5_21[[#All],[UNIT TAG]], FALSE), 6)</f>
        <v>240</v>
      </c>
      <c r="S518" s="27">
        <f>INDEX(Schedule!$A$1:$N$2000, MATCH($C518, VAV_Schedule_5_21[[#All],[UNIT TAG]], FALSE), 5)</f>
        <v>1600</v>
      </c>
      <c r="T518" s="27">
        <f>INDEX(Schedule!$A$1:$N$2000, MATCH($C518, VAV_Schedule_5_21[[#All],[UNIT TAG]], FALSE), 6)</f>
        <v>240</v>
      </c>
      <c r="U518" s="27">
        <f>INDEX(Schedule!$A$1:$N$2000, MATCH($C518, VAV_Schedule_5_21[[#All],[UNIT TAG]], FALSE), 5)</f>
        <v>1600</v>
      </c>
      <c r="V518" s="27">
        <f>INDEX(Schedule!$A$1:$N$2000, MATCH($C518, VAV_Schedule_5_21[[#All],[UNIT TAG]], FALSE), 6)</f>
        <v>240</v>
      </c>
      <c r="W518" s="27">
        <f>INDEX(Schedule!$A$1:$N$2000, MATCH($C518, VAV_Schedule_5_21[[#All],[UNIT TAG]], FALSE), 6)</f>
        <v>240</v>
      </c>
      <c r="X518" s="27">
        <f>INDEX(Schedule!$A$1:$N$2000, MATCH($C518, VAV_Schedule_5_21[[#All],[UNIT TAG]], FALSE), 6)</f>
        <v>240</v>
      </c>
      <c r="Y518" s="27">
        <f>INDEX(Schedule!$A$1:$N$2000, MATCH($C518, VAV_Schedule_5_21[[#All],[UNIT TAG]], FALSE), 6)</f>
        <v>240</v>
      </c>
      <c r="Z518" s="27">
        <f>INDEX(Schedule!$A$1:$N$2000, MATCH($C518, VAV_Schedule_5_21[[#All],[UNIT TAG]], FALSE), 6)</f>
        <v>240</v>
      </c>
      <c r="AA518" s="27">
        <v>1000</v>
      </c>
      <c r="AB518" s="27">
        <v>1100</v>
      </c>
      <c r="AC518">
        <v>1400</v>
      </c>
      <c r="AD518" s="29">
        <f>IF(INDEX(Schedule!$A$1:$N$2000, MATCH($C518, VAV_Schedule_5_21[[#All],[UNIT TAG]], FALSE), 7)="-", 0, INDEX(Schedule!$A$1:$N$2000, MATCH($C518, VAV_Schedule_5_21[[#All],[UNIT TAG]], FALSE), 7))</f>
        <v>0</v>
      </c>
      <c r="AE518" t="str">
        <f>"B_01'" &amp; "Flr_0" &amp; INDEX(Joined!$A$3:$M$2000, MATCH($A518, Joined!$I$3:$I$2000, FALSE), 8)</f>
        <v>B_01'Flr_012</v>
      </c>
      <c r="AF518" t="str">
        <f>"R_" &amp; INDEX(Joined!$A$3:$M$2000, MATCH($A518, Joined!$I$3:$I$2000, FALSE), 7)</f>
        <v>R_VAV-12W-33</v>
      </c>
      <c r="AG518" t="str">
        <f>"B_01'" &amp; "Flr_0" &amp; INDEX(Joined!$A$3:$M$2000, MATCH($A518, Joined!$I$3:$I$2000, FALSE), 8)</f>
        <v>B_01'Flr_012</v>
      </c>
      <c r="AH518" t="str">
        <f>INDEX(Joined!$A$3:$M$2000, MATCH($A518, Joined!$I$3:$I$2000, FALSE), 7)</f>
        <v>VAV-12W-33</v>
      </c>
      <c r="AI518" t="s">
        <v>1846</v>
      </c>
    </row>
    <row r="519" spans="1:35" x14ac:dyDescent="0.2">
      <c r="A519" t="s">
        <v>1380</v>
      </c>
      <c r="B519" t="str">
        <f>"B_01'" &amp; "Flr_0" &amp; INDEX(Joined!$A$3:$M$2000, MATCH($A519, Joined!$I$3:$I$2000, FALSE), 8)</f>
        <v>B_01'Flr_012</v>
      </c>
      <c r="C519" t="str">
        <f>INDEX(Joined!$A$3:$M$2000, MATCH($A519, Joined!$I$3:$I$2000, FALSE), 7)</f>
        <v>VAV-12W-34</v>
      </c>
      <c r="D519">
        <f>INDEX(Joined!$A$3:$M$2000, MATCH($A519, Joined!$I$3:$I$2000, FALSE), 5)</f>
        <v>153306</v>
      </c>
      <c r="E519" t="str">
        <f>INDEX(Joined!$A$3:$M$2000, MATCH($A519, Joined!$I$3:$I$2000, FALSE), 7)</f>
        <v>VAV-12W-34</v>
      </c>
      <c r="F519" t="s">
        <v>38</v>
      </c>
      <c r="G519" t="str">
        <f>INDEX(Schedule!$Q$2:$R$7, MATCH(ABT!$H519,Schedule!$Q$2:$Q$7, 0), 2)</f>
        <v>15010_DXR_VAV_DXR2M12</v>
      </c>
      <c r="H519">
        <f>INDEX(Joined!$A$3:$M$2000, MATCH($A519, Joined!$I$3:$I$2000, FALSE), 6)</f>
        <v>15010</v>
      </c>
      <c r="I519" t="str">
        <f>INDEX(Joined!$A$3:$M$2000, MATCH($A519, Joined!$I$3:$I$2000, FALSE), 4)</f>
        <v>533</v>
      </c>
      <c r="J519" t="b">
        <v>0</v>
      </c>
      <c r="K519">
        <f>INDEX(Joined!$A$3:$M$2000, MATCH($A519, Joined!$I$3:$I$2000, FALSE), 3)</f>
        <v>6</v>
      </c>
      <c r="L519">
        <v>85</v>
      </c>
      <c r="M519">
        <v>38400</v>
      </c>
      <c r="N519" s="27">
        <f>PI()*(INDEX(Schedule!$A$1:$N$2000, MATCH($C519, VAV_Schedule_5_21[[#All],[UNIT TAG]], FALSE), 4)/2/12)^2</f>
        <v>0.78539816339744828</v>
      </c>
      <c r="O519" s="27">
        <f>INDEX(Schedule!$A$1:$N$2000, MATCH($C519, VAV_Schedule_5_21[[#All],[UNIT TAG]], FALSE), 4)</f>
        <v>12</v>
      </c>
      <c r="P519">
        <v>517.63</v>
      </c>
      <c r="Q519" s="27">
        <f>INDEX(Schedule!$A$1:$N$2000, MATCH($C519, VAV_Schedule_5_21[[#All],[UNIT TAG]], FALSE), 5)</f>
        <v>1200</v>
      </c>
      <c r="R519" s="27">
        <f>INDEX(Schedule!$A$1:$N$2000, MATCH($C519, VAV_Schedule_5_21[[#All],[UNIT TAG]], FALSE), 6)</f>
        <v>180</v>
      </c>
      <c r="S519" s="27">
        <f>INDEX(Schedule!$A$1:$N$2000, MATCH($C519, VAV_Schedule_5_21[[#All],[UNIT TAG]], FALSE), 5)</f>
        <v>1200</v>
      </c>
      <c r="T519" s="27">
        <f>INDEX(Schedule!$A$1:$N$2000, MATCH($C519, VAV_Schedule_5_21[[#All],[UNIT TAG]], FALSE), 6)</f>
        <v>180</v>
      </c>
      <c r="U519" s="27">
        <f>INDEX(Schedule!$A$1:$N$2000, MATCH($C519, VAV_Schedule_5_21[[#All],[UNIT TAG]], FALSE), 5)</f>
        <v>1200</v>
      </c>
      <c r="V519" s="27">
        <f>INDEX(Schedule!$A$1:$N$2000, MATCH($C519, VAV_Schedule_5_21[[#All],[UNIT TAG]], FALSE), 6)</f>
        <v>180</v>
      </c>
      <c r="W519" s="27">
        <f>INDEX(Schedule!$A$1:$N$2000, MATCH($C519, VAV_Schedule_5_21[[#All],[UNIT TAG]], FALSE), 6)</f>
        <v>180</v>
      </c>
      <c r="X519" s="27">
        <f>INDEX(Schedule!$A$1:$N$2000, MATCH($C519, VAV_Schedule_5_21[[#All],[UNIT TAG]], FALSE), 6)</f>
        <v>180</v>
      </c>
      <c r="Y519" s="27">
        <f>INDEX(Schedule!$A$1:$N$2000, MATCH($C519, VAV_Schedule_5_21[[#All],[UNIT TAG]], FALSE), 6)</f>
        <v>180</v>
      </c>
      <c r="Z519" s="27">
        <f>INDEX(Schedule!$A$1:$N$2000, MATCH($C519, VAV_Schedule_5_21[[#All],[UNIT TAG]], FALSE), 6)</f>
        <v>180</v>
      </c>
      <c r="AA519" s="27">
        <v>1000</v>
      </c>
      <c r="AB519" s="27">
        <v>1100</v>
      </c>
      <c r="AC519">
        <v>1400</v>
      </c>
      <c r="AD519" s="29">
        <f>IF(INDEX(Schedule!$A$1:$N$2000, MATCH($C519, VAV_Schedule_5_21[[#All],[UNIT TAG]], FALSE), 7)="-", 0, INDEX(Schedule!$A$1:$N$2000, MATCH($C519, VAV_Schedule_5_21[[#All],[UNIT TAG]], FALSE), 7))</f>
        <v>0</v>
      </c>
      <c r="AE519" t="str">
        <f>"B_01'" &amp; "Flr_0" &amp; INDEX(Joined!$A$3:$M$2000, MATCH($A519, Joined!$I$3:$I$2000, FALSE), 8)</f>
        <v>B_01'Flr_012</v>
      </c>
      <c r="AF519" t="str">
        <f>"R_" &amp; INDEX(Joined!$A$3:$M$2000, MATCH($A519, Joined!$I$3:$I$2000, FALSE), 7)</f>
        <v>R_VAV-12W-34</v>
      </c>
      <c r="AG519" t="str">
        <f>"B_01'" &amp; "Flr_0" &amp; INDEX(Joined!$A$3:$M$2000, MATCH($A519, Joined!$I$3:$I$2000, FALSE), 8)</f>
        <v>B_01'Flr_012</v>
      </c>
      <c r="AH519" t="str">
        <f>INDEX(Joined!$A$3:$M$2000, MATCH($A519, Joined!$I$3:$I$2000, FALSE), 7)</f>
        <v>VAV-12W-34</v>
      </c>
      <c r="AI519" t="s">
        <v>1847</v>
      </c>
    </row>
    <row r="520" spans="1:35" x14ac:dyDescent="0.2">
      <c r="A520" t="s">
        <v>1381</v>
      </c>
      <c r="B520" t="str">
        <f>"B_01'" &amp; "Flr_0" &amp; INDEX(Joined!$A$3:$M$2000, MATCH($A520, Joined!$I$3:$I$2000, FALSE), 8)</f>
        <v>B_01'Flr_012</v>
      </c>
      <c r="C520" t="str">
        <f>INDEX(Joined!$A$3:$M$2000, MATCH($A520, Joined!$I$3:$I$2000, FALSE), 7)</f>
        <v>VAV-12W-35</v>
      </c>
      <c r="D520">
        <f>INDEX(Joined!$A$3:$M$2000, MATCH($A520, Joined!$I$3:$I$2000, FALSE), 5)</f>
        <v>153307</v>
      </c>
      <c r="E520" t="str">
        <f>INDEX(Joined!$A$3:$M$2000, MATCH($A520, Joined!$I$3:$I$2000, FALSE), 7)</f>
        <v>VAV-12W-35</v>
      </c>
      <c r="F520" t="s">
        <v>38</v>
      </c>
      <c r="G520" t="str">
        <f>INDEX(Schedule!$Q$2:$R$7, MATCH(ABT!$H520,Schedule!$Q$2:$Q$7, 0), 2)</f>
        <v>15011_DXR_VAV_DXR2M12</v>
      </c>
      <c r="H520">
        <f>INDEX(Joined!$A$3:$M$2000, MATCH($A520, Joined!$I$3:$I$2000, FALSE), 6)</f>
        <v>15011</v>
      </c>
      <c r="I520" t="str">
        <f>INDEX(Joined!$A$3:$M$2000, MATCH($A520, Joined!$I$3:$I$2000, FALSE), 4)</f>
        <v>533</v>
      </c>
      <c r="J520" t="b">
        <v>0</v>
      </c>
      <c r="K520">
        <f>INDEX(Joined!$A$3:$M$2000, MATCH($A520, Joined!$I$3:$I$2000, FALSE), 3)</f>
        <v>7</v>
      </c>
      <c r="L520">
        <v>85</v>
      </c>
      <c r="M520">
        <v>38400</v>
      </c>
      <c r="N520" s="27">
        <f>PI()*(INDEX(Schedule!$A$1:$N$2000, MATCH($C520, VAV_Schedule_5_21[[#All],[UNIT TAG]], FALSE), 4)/2/12)^2</f>
        <v>0.54541539124822802</v>
      </c>
      <c r="O520" s="27">
        <f>INDEX(Schedule!$A$1:$N$2000, MATCH($C520, VAV_Schedule_5_21[[#All],[UNIT TAG]], FALSE), 4)</f>
        <v>10</v>
      </c>
      <c r="P520">
        <v>518.63</v>
      </c>
      <c r="Q520" s="27">
        <f>INDEX(Schedule!$A$1:$N$2000, MATCH($C520, VAV_Schedule_5_21[[#All],[UNIT TAG]], FALSE), 5)</f>
        <v>800</v>
      </c>
      <c r="R520" s="27">
        <f>INDEX(Schedule!$A$1:$N$2000, MATCH($C520, VAV_Schedule_5_21[[#All],[UNIT TAG]], FALSE), 6)</f>
        <v>120</v>
      </c>
      <c r="S520" s="27">
        <f>INDEX(Schedule!$A$1:$N$2000, MATCH($C520, VAV_Schedule_5_21[[#All],[UNIT TAG]], FALSE), 5)</f>
        <v>800</v>
      </c>
      <c r="T520" s="27">
        <f>INDEX(Schedule!$A$1:$N$2000, MATCH($C520, VAV_Schedule_5_21[[#All],[UNIT TAG]], FALSE), 6)</f>
        <v>120</v>
      </c>
      <c r="U520" s="27">
        <f>INDEX(Schedule!$A$1:$N$2000, MATCH($C520, VAV_Schedule_5_21[[#All],[UNIT TAG]], FALSE), 5)</f>
        <v>800</v>
      </c>
      <c r="V520" s="27">
        <f>INDEX(Schedule!$A$1:$N$2000, MATCH($C520, VAV_Schedule_5_21[[#All],[UNIT TAG]], FALSE), 6)</f>
        <v>120</v>
      </c>
      <c r="W520" s="27">
        <f>INDEX(Schedule!$A$1:$N$2000, MATCH($C520, VAV_Schedule_5_21[[#All],[UNIT TAG]], FALSE), 6)</f>
        <v>120</v>
      </c>
      <c r="X520" s="27">
        <f>INDEX(Schedule!$A$1:$N$2000, MATCH($C520, VAV_Schedule_5_21[[#All],[UNIT TAG]], FALSE), 6)</f>
        <v>120</v>
      </c>
      <c r="Y520" s="27">
        <f>INDEX(Schedule!$A$1:$N$2000, MATCH($C520, VAV_Schedule_5_21[[#All],[UNIT TAG]], FALSE), 6)</f>
        <v>120</v>
      </c>
      <c r="Z520" s="27">
        <f>INDEX(Schedule!$A$1:$N$2000, MATCH($C520, VAV_Schedule_5_21[[#All],[UNIT TAG]], FALSE), 6)</f>
        <v>120</v>
      </c>
      <c r="AA520" s="27">
        <v>1000</v>
      </c>
      <c r="AB520" s="27">
        <v>1100</v>
      </c>
      <c r="AC520">
        <v>1400</v>
      </c>
      <c r="AD520" s="29" t="str">
        <f>IF(INDEX(Schedule!$A$1:$N$2000, MATCH($C520, VAV_Schedule_5_21[[#All],[UNIT TAG]], FALSE), 7)="-", 0, INDEX(Schedule!$A$1:$N$2000, MATCH($C520, VAV_Schedule_5_21[[#All],[UNIT TAG]], FALSE), 7))</f>
        <v>8</v>
      </c>
      <c r="AE520" t="str">
        <f>"B_01'" &amp; "Flr_0" &amp; INDEX(Joined!$A$3:$M$2000, MATCH($A520, Joined!$I$3:$I$2000, FALSE), 8)</f>
        <v>B_01'Flr_012</v>
      </c>
      <c r="AF520" t="str">
        <f>"R_" &amp; INDEX(Joined!$A$3:$M$2000, MATCH($A520, Joined!$I$3:$I$2000, FALSE), 7)</f>
        <v>R_VAV-12W-35</v>
      </c>
      <c r="AG520" t="str">
        <f>"B_01'" &amp; "Flr_0" &amp; INDEX(Joined!$A$3:$M$2000, MATCH($A520, Joined!$I$3:$I$2000, FALSE), 8)</f>
        <v>B_01'Flr_012</v>
      </c>
      <c r="AH520" t="str">
        <f>INDEX(Joined!$A$3:$M$2000, MATCH($A520, Joined!$I$3:$I$2000, FALSE), 7)</f>
        <v>VAV-12W-35</v>
      </c>
      <c r="AI520" t="s">
        <v>1848</v>
      </c>
    </row>
    <row r="521" spans="1:35" x14ac:dyDescent="0.2">
      <c r="A521" t="s">
        <v>1382</v>
      </c>
      <c r="B521" t="str">
        <f>"B_01'" &amp; "Flr_0" &amp; INDEX(Joined!$A$3:$M$2000, MATCH($A521, Joined!$I$3:$I$2000, FALSE), 8)</f>
        <v>B_01'Flr_012</v>
      </c>
      <c r="C521" t="str">
        <f>INDEX(Joined!$A$3:$M$2000, MATCH($A521, Joined!$I$3:$I$2000, FALSE), 7)</f>
        <v>VAV-12W-36</v>
      </c>
      <c r="D521">
        <f>INDEX(Joined!$A$3:$M$2000, MATCH($A521, Joined!$I$3:$I$2000, FALSE), 5)</f>
        <v>153308</v>
      </c>
      <c r="E521" t="str">
        <f>INDEX(Joined!$A$3:$M$2000, MATCH($A521, Joined!$I$3:$I$2000, FALSE), 7)</f>
        <v>VAV-12W-36</v>
      </c>
      <c r="F521" t="s">
        <v>38</v>
      </c>
      <c r="G521" t="str">
        <f>INDEX(Schedule!$Q$2:$R$7, MATCH(ABT!$H521,Schedule!$Q$2:$Q$7, 0), 2)</f>
        <v>15011_DXR_VAV_DXR2M12</v>
      </c>
      <c r="H521">
        <f>INDEX(Joined!$A$3:$M$2000, MATCH($A521, Joined!$I$3:$I$2000, FALSE), 6)</f>
        <v>15011</v>
      </c>
      <c r="I521" t="str">
        <f>INDEX(Joined!$A$3:$M$2000, MATCH($A521, Joined!$I$3:$I$2000, FALSE), 4)</f>
        <v>533</v>
      </c>
      <c r="J521" t="b">
        <v>0</v>
      </c>
      <c r="K521">
        <f>INDEX(Joined!$A$3:$M$2000, MATCH($A521, Joined!$I$3:$I$2000, FALSE), 3)</f>
        <v>8</v>
      </c>
      <c r="L521">
        <v>85</v>
      </c>
      <c r="M521">
        <v>38400</v>
      </c>
      <c r="N521" s="27">
        <f>PI()*(INDEX(Schedule!$A$1:$N$2000, MATCH($C521, VAV_Schedule_5_21[[#All],[UNIT TAG]], FALSE), 4)/2/12)^2</f>
        <v>0.3490658503988659</v>
      </c>
      <c r="O521" s="27">
        <f>INDEX(Schedule!$A$1:$N$2000, MATCH($C521, VAV_Schedule_5_21[[#All],[UNIT TAG]], FALSE), 4)</f>
        <v>8</v>
      </c>
      <c r="P521">
        <v>519.63</v>
      </c>
      <c r="Q521" s="27">
        <f>INDEX(Schedule!$A$1:$N$2000, MATCH($C521, VAV_Schedule_5_21[[#All],[UNIT TAG]], FALSE), 5)</f>
        <v>640</v>
      </c>
      <c r="R521" s="27">
        <f>INDEX(Schedule!$A$1:$N$2000, MATCH($C521, VAV_Schedule_5_21[[#All],[UNIT TAG]], FALSE), 6)</f>
        <v>100</v>
      </c>
      <c r="S521" s="27">
        <f>INDEX(Schedule!$A$1:$N$2000, MATCH($C521, VAV_Schedule_5_21[[#All],[UNIT TAG]], FALSE), 5)</f>
        <v>640</v>
      </c>
      <c r="T521" s="27">
        <f>INDEX(Schedule!$A$1:$N$2000, MATCH($C521, VAV_Schedule_5_21[[#All],[UNIT TAG]], FALSE), 6)</f>
        <v>100</v>
      </c>
      <c r="U521" s="27">
        <f>INDEX(Schedule!$A$1:$N$2000, MATCH($C521, VAV_Schedule_5_21[[#All],[UNIT TAG]], FALSE), 5)</f>
        <v>640</v>
      </c>
      <c r="V521" s="27">
        <f>INDEX(Schedule!$A$1:$N$2000, MATCH($C521, VAV_Schedule_5_21[[#All],[UNIT TAG]], FALSE), 6)</f>
        <v>100</v>
      </c>
      <c r="W521" s="27">
        <f>INDEX(Schedule!$A$1:$N$2000, MATCH($C521, VAV_Schedule_5_21[[#All],[UNIT TAG]], FALSE), 6)</f>
        <v>100</v>
      </c>
      <c r="X521" s="27">
        <f>INDEX(Schedule!$A$1:$N$2000, MATCH($C521, VAV_Schedule_5_21[[#All],[UNIT TAG]], FALSE), 6)</f>
        <v>100</v>
      </c>
      <c r="Y521" s="27">
        <f>INDEX(Schedule!$A$1:$N$2000, MATCH($C521, VAV_Schedule_5_21[[#All],[UNIT TAG]], FALSE), 6)</f>
        <v>100</v>
      </c>
      <c r="Z521" s="27">
        <f>INDEX(Schedule!$A$1:$N$2000, MATCH($C521, VAV_Schedule_5_21[[#All],[UNIT TAG]], FALSE), 6)</f>
        <v>100</v>
      </c>
      <c r="AA521" s="27">
        <v>1000</v>
      </c>
      <c r="AB521" s="27">
        <v>1100</v>
      </c>
      <c r="AC521">
        <v>1400</v>
      </c>
      <c r="AD521" s="29" t="str">
        <f>IF(INDEX(Schedule!$A$1:$N$2000, MATCH($C521, VAV_Schedule_5_21[[#All],[UNIT TAG]], FALSE), 7)="-", 0, INDEX(Schedule!$A$1:$N$2000, MATCH($C521, VAV_Schedule_5_21[[#All],[UNIT TAG]], FALSE), 7))</f>
        <v>6</v>
      </c>
      <c r="AE521" t="str">
        <f>"B_01'" &amp; "Flr_0" &amp; INDEX(Joined!$A$3:$M$2000, MATCH($A521, Joined!$I$3:$I$2000, FALSE), 8)</f>
        <v>B_01'Flr_012</v>
      </c>
      <c r="AF521" t="str">
        <f>"R_" &amp; INDEX(Joined!$A$3:$M$2000, MATCH($A521, Joined!$I$3:$I$2000, FALSE), 7)</f>
        <v>R_VAV-12W-36</v>
      </c>
      <c r="AG521" t="str">
        <f>"B_01'" &amp; "Flr_0" &amp; INDEX(Joined!$A$3:$M$2000, MATCH($A521, Joined!$I$3:$I$2000, FALSE), 8)</f>
        <v>B_01'Flr_012</v>
      </c>
      <c r="AH521" t="str">
        <f>INDEX(Joined!$A$3:$M$2000, MATCH($A521, Joined!$I$3:$I$2000, FALSE), 7)</f>
        <v>VAV-12W-36</v>
      </c>
      <c r="AI521" t="s">
        <v>1849</v>
      </c>
    </row>
    <row r="522" spans="1:35" x14ac:dyDescent="0.2">
      <c r="A522" t="s">
        <v>1383</v>
      </c>
      <c r="B522" t="str">
        <f>"B_01'" &amp; "Flr_0" &amp; INDEX(Joined!$A$3:$M$2000, MATCH($A522, Joined!$I$3:$I$2000, FALSE), 8)</f>
        <v>B_01'Flr_012</v>
      </c>
      <c r="C522" t="str">
        <f>INDEX(Joined!$A$3:$M$2000, MATCH($A522, Joined!$I$3:$I$2000, FALSE), 7)</f>
        <v>VAV-12W-37</v>
      </c>
      <c r="D522">
        <f>INDEX(Joined!$A$3:$M$2000, MATCH($A522, Joined!$I$3:$I$2000, FALSE), 5)</f>
        <v>153309</v>
      </c>
      <c r="E522" t="str">
        <f>INDEX(Joined!$A$3:$M$2000, MATCH($A522, Joined!$I$3:$I$2000, FALSE), 7)</f>
        <v>VAV-12W-37</v>
      </c>
      <c r="F522" t="s">
        <v>38</v>
      </c>
      <c r="G522" t="str">
        <f>INDEX(Schedule!$Q$2:$R$7, MATCH(ABT!$H522,Schedule!$Q$2:$Q$7, 0), 2)</f>
        <v>15011_DXR_VAV_DXR2M12</v>
      </c>
      <c r="H522">
        <f>INDEX(Joined!$A$3:$M$2000, MATCH($A522, Joined!$I$3:$I$2000, FALSE), 6)</f>
        <v>15011</v>
      </c>
      <c r="I522" t="str">
        <f>INDEX(Joined!$A$3:$M$2000, MATCH($A522, Joined!$I$3:$I$2000, FALSE), 4)</f>
        <v>533</v>
      </c>
      <c r="J522" t="b">
        <v>0</v>
      </c>
      <c r="K522">
        <f>INDEX(Joined!$A$3:$M$2000, MATCH($A522, Joined!$I$3:$I$2000, FALSE), 3)</f>
        <v>9</v>
      </c>
      <c r="L522">
        <v>85</v>
      </c>
      <c r="M522">
        <v>38400</v>
      </c>
      <c r="N522" s="27">
        <f>PI()*(INDEX(Schedule!$A$1:$N$2000, MATCH($C522, VAV_Schedule_5_21[[#All],[UNIT TAG]], FALSE), 4)/2/12)^2</f>
        <v>0.78539816339744828</v>
      </c>
      <c r="O522" s="27">
        <f>INDEX(Schedule!$A$1:$N$2000, MATCH($C522, VAV_Schedule_5_21[[#All],[UNIT TAG]], FALSE), 4)</f>
        <v>12</v>
      </c>
      <c r="P522">
        <v>520.63</v>
      </c>
      <c r="Q522" s="27">
        <f>INDEX(Schedule!$A$1:$N$2000, MATCH($C522, VAV_Schedule_5_21[[#All],[UNIT TAG]], FALSE), 5)</f>
        <v>1140</v>
      </c>
      <c r="R522" s="27">
        <f>INDEX(Schedule!$A$1:$N$2000, MATCH($C522, VAV_Schedule_5_21[[#All],[UNIT TAG]], FALSE), 6)</f>
        <v>175</v>
      </c>
      <c r="S522" s="27">
        <f>INDEX(Schedule!$A$1:$N$2000, MATCH($C522, VAV_Schedule_5_21[[#All],[UNIT TAG]], FALSE), 5)</f>
        <v>1140</v>
      </c>
      <c r="T522" s="27">
        <f>INDEX(Schedule!$A$1:$N$2000, MATCH($C522, VAV_Schedule_5_21[[#All],[UNIT TAG]], FALSE), 6)</f>
        <v>175</v>
      </c>
      <c r="U522" s="27">
        <f>INDEX(Schedule!$A$1:$N$2000, MATCH($C522, VAV_Schedule_5_21[[#All],[UNIT TAG]], FALSE), 5)</f>
        <v>1140</v>
      </c>
      <c r="V522" s="27">
        <f>INDEX(Schedule!$A$1:$N$2000, MATCH($C522, VAV_Schedule_5_21[[#All],[UNIT TAG]], FALSE), 6)</f>
        <v>175</v>
      </c>
      <c r="W522" s="27">
        <f>INDEX(Schedule!$A$1:$N$2000, MATCH($C522, VAV_Schedule_5_21[[#All],[UNIT TAG]], FALSE), 6)</f>
        <v>175</v>
      </c>
      <c r="X522" s="27">
        <f>INDEX(Schedule!$A$1:$N$2000, MATCH($C522, VAV_Schedule_5_21[[#All],[UNIT TAG]], FALSE), 6)</f>
        <v>175</v>
      </c>
      <c r="Y522" s="27">
        <f>INDEX(Schedule!$A$1:$N$2000, MATCH($C522, VAV_Schedule_5_21[[#All],[UNIT TAG]], FALSE), 6)</f>
        <v>175</v>
      </c>
      <c r="Z522" s="27">
        <f>INDEX(Schedule!$A$1:$N$2000, MATCH($C522, VAV_Schedule_5_21[[#All],[UNIT TAG]], FALSE), 6)</f>
        <v>175</v>
      </c>
      <c r="AA522" s="27">
        <v>1000</v>
      </c>
      <c r="AB522" s="27">
        <v>1100</v>
      </c>
      <c r="AC522">
        <v>1400</v>
      </c>
      <c r="AD522" s="29" t="str">
        <f>IF(INDEX(Schedule!$A$1:$N$2000, MATCH($C522, VAV_Schedule_5_21[[#All],[UNIT TAG]], FALSE), 7)="-", 0, INDEX(Schedule!$A$1:$N$2000, MATCH($C522, VAV_Schedule_5_21[[#All],[UNIT TAG]], FALSE), 7))</f>
        <v>9</v>
      </c>
      <c r="AE522" t="str">
        <f>"B_01'" &amp; "Flr_0" &amp; INDEX(Joined!$A$3:$M$2000, MATCH($A522, Joined!$I$3:$I$2000, FALSE), 8)</f>
        <v>B_01'Flr_012</v>
      </c>
      <c r="AF522" t="str">
        <f>"R_" &amp; INDEX(Joined!$A$3:$M$2000, MATCH($A522, Joined!$I$3:$I$2000, FALSE), 7)</f>
        <v>R_VAV-12W-37</v>
      </c>
      <c r="AG522" t="str">
        <f>"B_01'" &amp; "Flr_0" &amp; INDEX(Joined!$A$3:$M$2000, MATCH($A522, Joined!$I$3:$I$2000, FALSE), 8)</f>
        <v>B_01'Flr_012</v>
      </c>
      <c r="AH522" t="str">
        <f>INDEX(Joined!$A$3:$M$2000, MATCH($A522, Joined!$I$3:$I$2000, FALSE), 7)</f>
        <v>VAV-12W-37</v>
      </c>
      <c r="AI522" t="s">
        <v>1850</v>
      </c>
    </row>
    <row r="523" spans="1:35" x14ac:dyDescent="0.2">
      <c r="A523" t="s">
        <v>1384</v>
      </c>
      <c r="B523" t="str">
        <f>"B_01'" &amp; "Flr_0" &amp; INDEX(Joined!$A$3:$M$2000, MATCH($A523, Joined!$I$3:$I$2000, FALSE), 8)</f>
        <v>B_01'Flr_012</v>
      </c>
      <c r="C523" t="str">
        <f>INDEX(Joined!$A$3:$M$2000, MATCH($A523, Joined!$I$3:$I$2000, FALSE), 7)</f>
        <v>VAV-12W-38</v>
      </c>
      <c r="D523">
        <f>INDEX(Joined!$A$3:$M$2000, MATCH($A523, Joined!$I$3:$I$2000, FALSE), 5)</f>
        <v>153310</v>
      </c>
      <c r="E523" t="str">
        <f>INDEX(Joined!$A$3:$M$2000, MATCH($A523, Joined!$I$3:$I$2000, FALSE), 7)</f>
        <v>VAV-12W-38</v>
      </c>
      <c r="F523" t="s">
        <v>38</v>
      </c>
      <c r="G523" t="str">
        <f>INDEX(Schedule!$Q$2:$R$7, MATCH(ABT!$H523,Schedule!$Q$2:$Q$7, 0), 2)</f>
        <v>15011_DXR_VAV_DXR2M12</v>
      </c>
      <c r="H523">
        <f>INDEX(Joined!$A$3:$M$2000, MATCH($A523, Joined!$I$3:$I$2000, FALSE), 6)</f>
        <v>15011</v>
      </c>
      <c r="I523" t="str">
        <f>INDEX(Joined!$A$3:$M$2000, MATCH($A523, Joined!$I$3:$I$2000, FALSE), 4)</f>
        <v>533</v>
      </c>
      <c r="J523" t="b">
        <v>0</v>
      </c>
      <c r="K523">
        <f>INDEX(Joined!$A$3:$M$2000, MATCH($A523, Joined!$I$3:$I$2000, FALSE), 3)</f>
        <v>10</v>
      </c>
      <c r="L523">
        <v>85</v>
      </c>
      <c r="M523">
        <v>38400</v>
      </c>
      <c r="N523" s="27">
        <f>PI()*(INDEX(Schedule!$A$1:$N$2000, MATCH($C523, VAV_Schedule_5_21[[#All],[UNIT TAG]], FALSE), 4)/2/12)^2</f>
        <v>0.3490658503988659</v>
      </c>
      <c r="O523" s="27">
        <f>INDEX(Schedule!$A$1:$N$2000, MATCH($C523, VAV_Schedule_5_21[[#All],[UNIT TAG]], FALSE), 4)</f>
        <v>8</v>
      </c>
      <c r="P523">
        <v>521.63</v>
      </c>
      <c r="Q523" s="27">
        <f>INDEX(Schedule!$A$1:$N$2000, MATCH($C523, VAV_Schedule_5_21[[#All],[UNIT TAG]], FALSE), 5)</f>
        <v>700</v>
      </c>
      <c r="R523" s="27">
        <f>INDEX(Schedule!$A$1:$N$2000, MATCH($C523, VAV_Schedule_5_21[[#All],[UNIT TAG]], FALSE), 6)</f>
        <v>105</v>
      </c>
      <c r="S523" s="27">
        <f>INDEX(Schedule!$A$1:$N$2000, MATCH($C523, VAV_Schedule_5_21[[#All],[UNIT TAG]], FALSE), 5)</f>
        <v>700</v>
      </c>
      <c r="T523" s="27">
        <f>INDEX(Schedule!$A$1:$N$2000, MATCH($C523, VAV_Schedule_5_21[[#All],[UNIT TAG]], FALSE), 6)</f>
        <v>105</v>
      </c>
      <c r="U523" s="27">
        <f>INDEX(Schedule!$A$1:$N$2000, MATCH($C523, VAV_Schedule_5_21[[#All],[UNIT TAG]], FALSE), 5)</f>
        <v>700</v>
      </c>
      <c r="V523" s="27">
        <f>INDEX(Schedule!$A$1:$N$2000, MATCH($C523, VAV_Schedule_5_21[[#All],[UNIT TAG]], FALSE), 6)</f>
        <v>105</v>
      </c>
      <c r="W523" s="27">
        <f>INDEX(Schedule!$A$1:$N$2000, MATCH($C523, VAV_Schedule_5_21[[#All],[UNIT TAG]], FALSE), 6)</f>
        <v>105</v>
      </c>
      <c r="X523" s="27">
        <f>INDEX(Schedule!$A$1:$N$2000, MATCH($C523, VAV_Schedule_5_21[[#All],[UNIT TAG]], FALSE), 6)</f>
        <v>105</v>
      </c>
      <c r="Y523" s="27">
        <f>INDEX(Schedule!$A$1:$N$2000, MATCH($C523, VAV_Schedule_5_21[[#All],[UNIT TAG]], FALSE), 6)</f>
        <v>105</v>
      </c>
      <c r="Z523" s="27">
        <f>INDEX(Schedule!$A$1:$N$2000, MATCH($C523, VAV_Schedule_5_21[[#All],[UNIT TAG]], FALSE), 6)</f>
        <v>105</v>
      </c>
      <c r="AA523" s="27">
        <v>1000</v>
      </c>
      <c r="AB523" s="27">
        <v>1100</v>
      </c>
      <c r="AC523">
        <v>1400</v>
      </c>
      <c r="AD523" s="29" t="str">
        <f>IF(INDEX(Schedule!$A$1:$N$2000, MATCH($C523, VAV_Schedule_5_21[[#All],[UNIT TAG]], FALSE), 7)="-", 0, INDEX(Schedule!$A$1:$N$2000, MATCH($C523, VAV_Schedule_5_21[[#All],[UNIT TAG]], FALSE), 7))</f>
        <v>6</v>
      </c>
      <c r="AE523" t="str">
        <f>"B_01'" &amp; "Flr_0" &amp; INDEX(Joined!$A$3:$M$2000, MATCH($A523, Joined!$I$3:$I$2000, FALSE), 8)</f>
        <v>B_01'Flr_012</v>
      </c>
      <c r="AF523" t="str">
        <f>"R_" &amp; INDEX(Joined!$A$3:$M$2000, MATCH($A523, Joined!$I$3:$I$2000, FALSE), 7)</f>
        <v>R_VAV-12W-38</v>
      </c>
      <c r="AG523" t="str">
        <f>"B_01'" &amp; "Flr_0" &amp; INDEX(Joined!$A$3:$M$2000, MATCH($A523, Joined!$I$3:$I$2000, FALSE), 8)</f>
        <v>B_01'Flr_012</v>
      </c>
      <c r="AH523" t="str">
        <f>INDEX(Joined!$A$3:$M$2000, MATCH($A523, Joined!$I$3:$I$2000, FALSE), 7)</f>
        <v>VAV-12W-38</v>
      </c>
      <c r="AI523" t="s">
        <v>1851</v>
      </c>
    </row>
    <row r="524" spans="1:35" x14ac:dyDescent="0.2">
      <c r="A524" t="s">
        <v>1385</v>
      </c>
      <c r="B524" t="str">
        <f>"B_01'" &amp; "Flr_0" &amp; INDEX(Joined!$A$3:$M$2000, MATCH($A524, Joined!$I$3:$I$2000, FALSE), 8)</f>
        <v>B_01'Flr_012</v>
      </c>
      <c r="C524" t="str">
        <f>INDEX(Joined!$A$3:$M$2000, MATCH($A524, Joined!$I$3:$I$2000, FALSE), 7)</f>
        <v>VAV-12W-39</v>
      </c>
      <c r="D524">
        <f>INDEX(Joined!$A$3:$M$2000, MATCH($A524, Joined!$I$3:$I$2000, FALSE), 5)</f>
        <v>153311</v>
      </c>
      <c r="E524" t="str">
        <f>INDEX(Joined!$A$3:$M$2000, MATCH($A524, Joined!$I$3:$I$2000, FALSE), 7)</f>
        <v>VAV-12W-39</v>
      </c>
      <c r="F524" t="s">
        <v>38</v>
      </c>
      <c r="G524" t="str">
        <f>INDEX(Schedule!$Q$2:$R$7, MATCH(ABT!$H524,Schedule!$Q$2:$Q$7, 0), 2)</f>
        <v>15010_DXR_VAV_DXR2M12</v>
      </c>
      <c r="H524">
        <f>INDEX(Joined!$A$3:$M$2000, MATCH($A524, Joined!$I$3:$I$2000, FALSE), 6)</f>
        <v>15010</v>
      </c>
      <c r="I524" t="str">
        <f>INDEX(Joined!$A$3:$M$2000, MATCH($A524, Joined!$I$3:$I$2000, FALSE), 4)</f>
        <v>533</v>
      </c>
      <c r="J524" t="b">
        <v>0</v>
      </c>
      <c r="K524">
        <f>INDEX(Joined!$A$3:$M$2000, MATCH($A524, Joined!$I$3:$I$2000, FALSE), 3)</f>
        <v>11</v>
      </c>
      <c r="L524">
        <v>85</v>
      </c>
      <c r="M524">
        <v>38400</v>
      </c>
      <c r="N524" s="27">
        <f>PI()*(INDEX(Schedule!$A$1:$N$2000, MATCH($C524, VAV_Schedule_5_21[[#All],[UNIT TAG]], FALSE), 4)/2/12)^2</f>
        <v>0.54541539124822802</v>
      </c>
      <c r="O524" s="27">
        <f>INDEX(Schedule!$A$1:$N$2000, MATCH($C524, VAV_Schedule_5_21[[#All],[UNIT TAG]], FALSE), 4)</f>
        <v>10</v>
      </c>
      <c r="P524">
        <v>522.63</v>
      </c>
      <c r="Q524" s="27">
        <f>INDEX(Schedule!$A$1:$N$2000, MATCH($C524, VAV_Schedule_5_21[[#All],[UNIT TAG]], FALSE), 5)</f>
        <v>730</v>
      </c>
      <c r="R524" s="27">
        <f>INDEX(Schedule!$A$1:$N$2000, MATCH($C524, VAV_Schedule_5_21[[#All],[UNIT TAG]], FALSE), 6)</f>
        <v>110</v>
      </c>
      <c r="S524" s="27">
        <f>INDEX(Schedule!$A$1:$N$2000, MATCH($C524, VAV_Schedule_5_21[[#All],[UNIT TAG]], FALSE), 5)</f>
        <v>730</v>
      </c>
      <c r="T524" s="27">
        <f>INDEX(Schedule!$A$1:$N$2000, MATCH($C524, VAV_Schedule_5_21[[#All],[UNIT TAG]], FALSE), 6)</f>
        <v>110</v>
      </c>
      <c r="U524" s="27">
        <f>INDEX(Schedule!$A$1:$N$2000, MATCH($C524, VAV_Schedule_5_21[[#All],[UNIT TAG]], FALSE), 5)</f>
        <v>730</v>
      </c>
      <c r="V524" s="27">
        <f>INDEX(Schedule!$A$1:$N$2000, MATCH($C524, VAV_Schedule_5_21[[#All],[UNIT TAG]], FALSE), 6)</f>
        <v>110</v>
      </c>
      <c r="W524" s="27">
        <f>INDEX(Schedule!$A$1:$N$2000, MATCH($C524, VAV_Schedule_5_21[[#All],[UNIT TAG]], FALSE), 6)</f>
        <v>110</v>
      </c>
      <c r="X524" s="27">
        <f>INDEX(Schedule!$A$1:$N$2000, MATCH($C524, VAV_Schedule_5_21[[#All],[UNIT TAG]], FALSE), 6)</f>
        <v>110</v>
      </c>
      <c r="Y524" s="27">
        <f>INDEX(Schedule!$A$1:$N$2000, MATCH($C524, VAV_Schedule_5_21[[#All],[UNIT TAG]], FALSE), 6)</f>
        <v>110</v>
      </c>
      <c r="Z524" s="27">
        <f>INDEX(Schedule!$A$1:$N$2000, MATCH($C524, VAV_Schedule_5_21[[#All],[UNIT TAG]], FALSE), 6)</f>
        <v>110</v>
      </c>
      <c r="AA524" s="27">
        <v>1000</v>
      </c>
      <c r="AB524" s="27">
        <v>1100</v>
      </c>
      <c r="AC524">
        <v>1400</v>
      </c>
      <c r="AD524" s="29">
        <f>IF(INDEX(Schedule!$A$1:$N$2000, MATCH($C524, VAV_Schedule_5_21[[#All],[UNIT TAG]], FALSE), 7)="-", 0, INDEX(Schedule!$A$1:$N$2000, MATCH($C524, VAV_Schedule_5_21[[#All],[UNIT TAG]], FALSE), 7))</f>
        <v>0</v>
      </c>
      <c r="AE524" t="str">
        <f>"B_01'" &amp; "Flr_0" &amp; INDEX(Joined!$A$3:$M$2000, MATCH($A524, Joined!$I$3:$I$2000, FALSE), 8)</f>
        <v>B_01'Flr_012</v>
      </c>
      <c r="AF524" t="str">
        <f>"R_" &amp; INDEX(Joined!$A$3:$M$2000, MATCH($A524, Joined!$I$3:$I$2000, FALSE), 7)</f>
        <v>R_VAV-12W-39</v>
      </c>
      <c r="AG524" t="str">
        <f>"B_01'" &amp; "Flr_0" &amp; INDEX(Joined!$A$3:$M$2000, MATCH($A524, Joined!$I$3:$I$2000, FALSE), 8)</f>
        <v>B_01'Flr_012</v>
      </c>
      <c r="AH524" t="str">
        <f>INDEX(Joined!$A$3:$M$2000, MATCH($A524, Joined!$I$3:$I$2000, FALSE), 7)</f>
        <v>VAV-12W-39</v>
      </c>
      <c r="AI524" t="s">
        <v>1852</v>
      </c>
    </row>
    <row r="525" spans="1:35" x14ac:dyDescent="0.2">
      <c r="A525" t="s">
        <v>1386</v>
      </c>
      <c r="B525" t="str">
        <f>"B_01'" &amp; "Flr_0" &amp; INDEX(Joined!$A$3:$M$2000, MATCH($A525, Joined!$I$3:$I$2000, FALSE), 8)</f>
        <v>B_01'Flr_012</v>
      </c>
      <c r="C525" t="str">
        <f>INDEX(Joined!$A$3:$M$2000, MATCH($A525, Joined!$I$3:$I$2000, FALSE), 7)</f>
        <v>VAV-12W-40</v>
      </c>
      <c r="D525">
        <f>INDEX(Joined!$A$3:$M$2000, MATCH($A525, Joined!$I$3:$I$2000, FALSE), 5)</f>
        <v>153312</v>
      </c>
      <c r="E525" t="str">
        <f>INDEX(Joined!$A$3:$M$2000, MATCH($A525, Joined!$I$3:$I$2000, FALSE), 7)</f>
        <v>VAV-12W-40</v>
      </c>
      <c r="F525" t="s">
        <v>38</v>
      </c>
      <c r="G525" t="str">
        <f>INDEX(Schedule!$Q$2:$R$7, MATCH(ABT!$H525,Schedule!$Q$2:$Q$7, 0), 2)</f>
        <v>15011_DXR_VAV_DXR2M12</v>
      </c>
      <c r="H525">
        <f>INDEX(Joined!$A$3:$M$2000, MATCH($A525, Joined!$I$3:$I$2000, FALSE), 6)</f>
        <v>15011</v>
      </c>
      <c r="I525" t="str">
        <f>INDEX(Joined!$A$3:$M$2000, MATCH($A525, Joined!$I$3:$I$2000, FALSE), 4)</f>
        <v>533</v>
      </c>
      <c r="J525" t="b">
        <v>0</v>
      </c>
      <c r="K525">
        <f>INDEX(Joined!$A$3:$M$2000, MATCH($A525, Joined!$I$3:$I$2000, FALSE), 3)</f>
        <v>12</v>
      </c>
      <c r="L525">
        <v>85</v>
      </c>
      <c r="M525">
        <v>38400</v>
      </c>
      <c r="N525" s="27">
        <f>PI()*(INDEX(Schedule!$A$1:$N$2000, MATCH($C525, VAV_Schedule_5_21[[#All],[UNIT TAG]], FALSE), 4)/2/12)^2</f>
        <v>0.54541539124822802</v>
      </c>
      <c r="O525" s="27">
        <f>INDEX(Schedule!$A$1:$N$2000, MATCH($C525, VAV_Schedule_5_21[[#All],[UNIT TAG]], FALSE), 4)</f>
        <v>10</v>
      </c>
      <c r="P525">
        <v>523.63</v>
      </c>
      <c r="Q525" s="27">
        <f>INDEX(Schedule!$A$1:$N$2000, MATCH($C525, VAV_Schedule_5_21[[#All],[UNIT TAG]], FALSE), 5)</f>
        <v>920</v>
      </c>
      <c r="R525" s="27">
        <f>INDEX(Schedule!$A$1:$N$2000, MATCH($C525, VAV_Schedule_5_21[[#All],[UNIT TAG]], FALSE), 6)</f>
        <v>140</v>
      </c>
      <c r="S525" s="27">
        <f>INDEX(Schedule!$A$1:$N$2000, MATCH($C525, VAV_Schedule_5_21[[#All],[UNIT TAG]], FALSE), 5)</f>
        <v>920</v>
      </c>
      <c r="T525" s="27">
        <f>INDEX(Schedule!$A$1:$N$2000, MATCH($C525, VAV_Schedule_5_21[[#All],[UNIT TAG]], FALSE), 6)</f>
        <v>140</v>
      </c>
      <c r="U525" s="27">
        <f>INDEX(Schedule!$A$1:$N$2000, MATCH($C525, VAV_Schedule_5_21[[#All],[UNIT TAG]], FALSE), 5)</f>
        <v>920</v>
      </c>
      <c r="V525" s="27">
        <f>INDEX(Schedule!$A$1:$N$2000, MATCH($C525, VAV_Schedule_5_21[[#All],[UNIT TAG]], FALSE), 6)</f>
        <v>140</v>
      </c>
      <c r="W525" s="27">
        <f>INDEX(Schedule!$A$1:$N$2000, MATCH($C525, VAV_Schedule_5_21[[#All],[UNIT TAG]], FALSE), 6)</f>
        <v>140</v>
      </c>
      <c r="X525" s="27">
        <f>INDEX(Schedule!$A$1:$N$2000, MATCH($C525, VAV_Schedule_5_21[[#All],[UNIT TAG]], FALSE), 6)</f>
        <v>140</v>
      </c>
      <c r="Y525" s="27">
        <f>INDEX(Schedule!$A$1:$N$2000, MATCH($C525, VAV_Schedule_5_21[[#All],[UNIT TAG]], FALSE), 6)</f>
        <v>140</v>
      </c>
      <c r="Z525" s="27">
        <f>INDEX(Schedule!$A$1:$N$2000, MATCH($C525, VAV_Schedule_5_21[[#All],[UNIT TAG]], FALSE), 6)</f>
        <v>140</v>
      </c>
      <c r="AA525" s="27">
        <v>1000</v>
      </c>
      <c r="AB525" s="27">
        <v>1100</v>
      </c>
      <c r="AC525">
        <v>1400</v>
      </c>
      <c r="AD525" s="29" t="str">
        <f>IF(INDEX(Schedule!$A$1:$N$2000, MATCH($C525, VAV_Schedule_5_21[[#All],[UNIT TAG]], FALSE), 7)="-", 0, INDEX(Schedule!$A$1:$N$2000, MATCH($C525, VAV_Schedule_5_21[[#All],[UNIT TAG]], FALSE), 7))</f>
        <v>5</v>
      </c>
      <c r="AE525" t="str">
        <f>"B_01'" &amp; "Flr_0" &amp; INDEX(Joined!$A$3:$M$2000, MATCH($A525, Joined!$I$3:$I$2000, FALSE), 8)</f>
        <v>B_01'Flr_012</v>
      </c>
      <c r="AF525" t="str">
        <f>"R_" &amp; INDEX(Joined!$A$3:$M$2000, MATCH($A525, Joined!$I$3:$I$2000, FALSE), 7)</f>
        <v>R_VAV-12W-40</v>
      </c>
      <c r="AG525" t="str">
        <f>"B_01'" &amp; "Flr_0" &amp; INDEX(Joined!$A$3:$M$2000, MATCH($A525, Joined!$I$3:$I$2000, FALSE), 8)</f>
        <v>B_01'Flr_012</v>
      </c>
      <c r="AH525" t="str">
        <f>INDEX(Joined!$A$3:$M$2000, MATCH($A525, Joined!$I$3:$I$2000, FALSE), 7)</f>
        <v>VAV-12W-40</v>
      </c>
      <c r="AI525" t="s">
        <v>1853</v>
      </c>
    </row>
    <row r="526" spans="1:35" x14ac:dyDescent="0.2">
      <c r="A526" t="s">
        <v>1387</v>
      </c>
      <c r="B526" t="str">
        <f>"B_01'" &amp; "Flr_0" &amp; INDEX(Joined!$A$3:$M$2000, MATCH($A526, Joined!$I$3:$I$2000, FALSE), 8)</f>
        <v>B_01'Flr_012</v>
      </c>
      <c r="C526" t="str">
        <f>INDEX(Joined!$A$3:$M$2000, MATCH($A526, Joined!$I$3:$I$2000, FALSE), 7)</f>
        <v>VAV-12W-41</v>
      </c>
      <c r="D526">
        <f>INDEX(Joined!$A$3:$M$2000, MATCH($A526, Joined!$I$3:$I$2000, FALSE), 5)</f>
        <v>153313</v>
      </c>
      <c r="E526" t="str">
        <f>INDEX(Joined!$A$3:$M$2000, MATCH($A526, Joined!$I$3:$I$2000, FALSE), 7)</f>
        <v>VAV-12W-41</v>
      </c>
      <c r="F526" t="s">
        <v>38</v>
      </c>
      <c r="G526" t="str">
        <f>INDEX(Schedule!$Q$2:$R$7, MATCH(ABT!$H526,Schedule!$Q$2:$Q$7, 0), 2)</f>
        <v>15011_DXR_VAV_DXR2M12</v>
      </c>
      <c r="H526">
        <f>INDEX(Joined!$A$3:$M$2000, MATCH($A526, Joined!$I$3:$I$2000, FALSE), 6)</f>
        <v>15011</v>
      </c>
      <c r="I526" t="str">
        <f>INDEX(Joined!$A$3:$M$2000, MATCH($A526, Joined!$I$3:$I$2000, FALSE), 4)</f>
        <v>533</v>
      </c>
      <c r="J526" t="b">
        <v>0</v>
      </c>
      <c r="K526">
        <f>INDEX(Joined!$A$3:$M$2000, MATCH($A526, Joined!$I$3:$I$2000, FALSE), 3)</f>
        <v>13</v>
      </c>
      <c r="L526">
        <v>85</v>
      </c>
      <c r="M526">
        <v>38400</v>
      </c>
      <c r="N526" s="27">
        <f>PI()*(INDEX(Schedule!$A$1:$N$2000, MATCH($C526, VAV_Schedule_5_21[[#All],[UNIT TAG]], FALSE), 4)/2/12)^2</f>
        <v>0.54541539124822802</v>
      </c>
      <c r="O526" s="27">
        <f>INDEX(Schedule!$A$1:$N$2000, MATCH($C526, VAV_Schedule_5_21[[#All],[UNIT TAG]], FALSE), 4)</f>
        <v>10</v>
      </c>
      <c r="P526">
        <v>524.63</v>
      </c>
      <c r="Q526" s="27">
        <f>INDEX(Schedule!$A$1:$N$2000, MATCH($C526, VAV_Schedule_5_21[[#All],[UNIT TAG]], FALSE), 5)</f>
        <v>960</v>
      </c>
      <c r="R526" s="27">
        <f>INDEX(Schedule!$A$1:$N$2000, MATCH($C526, VAV_Schedule_5_21[[#All],[UNIT TAG]], FALSE), 6)</f>
        <v>145</v>
      </c>
      <c r="S526" s="27">
        <f>INDEX(Schedule!$A$1:$N$2000, MATCH($C526, VAV_Schedule_5_21[[#All],[UNIT TAG]], FALSE), 5)</f>
        <v>960</v>
      </c>
      <c r="T526" s="27">
        <f>INDEX(Schedule!$A$1:$N$2000, MATCH($C526, VAV_Schedule_5_21[[#All],[UNIT TAG]], FALSE), 6)</f>
        <v>145</v>
      </c>
      <c r="U526" s="27">
        <f>INDEX(Schedule!$A$1:$N$2000, MATCH($C526, VAV_Schedule_5_21[[#All],[UNIT TAG]], FALSE), 5)</f>
        <v>960</v>
      </c>
      <c r="V526" s="27">
        <f>INDEX(Schedule!$A$1:$N$2000, MATCH($C526, VAV_Schedule_5_21[[#All],[UNIT TAG]], FALSE), 6)</f>
        <v>145</v>
      </c>
      <c r="W526" s="27">
        <f>INDEX(Schedule!$A$1:$N$2000, MATCH($C526, VAV_Schedule_5_21[[#All],[UNIT TAG]], FALSE), 6)</f>
        <v>145</v>
      </c>
      <c r="X526" s="27">
        <f>INDEX(Schedule!$A$1:$N$2000, MATCH($C526, VAV_Schedule_5_21[[#All],[UNIT TAG]], FALSE), 6)</f>
        <v>145</v>
      </c>
      <c r="Y526" s="27">
        <f>INDEX(Schedule!$A$1:$N$2000, MATCH($C526, VAV_Schedule_5_21[[#All],[UNIT TAG]], FALSE), 6)</f>
        <v>145</v>
      </c>
      <c r="Z526" s="27">
        <f>INDEX(Schedule!$A$1:$N$2000, MATCH($C526, VAV_Schedule_5_21[[#All],[UNIT TAG]], FALSE), 6)</f>
        <v>145</v>
      </c>
      <c r="AA526" s="27">
        <v>1000</v>
      </c>
      <c r="AB526" s="27">
        <v>1100</v>
      </c>
      <c r="AC526">
        <v>1400</v>
      </c>
      <c r="AD526" s="29" t="str">
        <f>IF(INDEX(Schedule!$A$1:$N$2000, MATCH($C526, VAV_Schedule_5_21[[#All],[UNIT TAG]], FALSE), 7)="-", 0, INDEX(Schedule!$A$1:$N$2000, MATCH($C526, VAV_Schedule_5_21[[#All],[UNIT TAG]], FALSE), 7))</f>
        <v>6</v>
      </c>
      <c r="AE526" t="str">
        <f>"B_01'" &amp; "Flr_0" &amp; INDEX(Joined!$A$3:$M$2000, MATCH($A526, Joined!$I$3:$I$2000, FALSE), 8)</f>
        <v>B_01'Flr_012</v>
      </c>
      <c r="AF526" t="str">
        <f>"R_" &amp; INDEX(Joined!$A$3:$M$2000, MATCH($A526, Joined!$I$3:$I$2000, FALSE), 7)</f>
        <v>R_VAV-12W-41</v>
      </c>
      <c r="AG526" t="str">
        <f>"B_01'" &amp; "Flr_0" &amp; INDEX(Joined!$A$3:$M$2000, MATCH($A526, Joined!$I$3:$I$2000, FALSE), 8)</f>
        <v>B_01'Flr_012</v>
      </c>
      <c r="AH526" t="str">
        <f>INDEX(Joined!$A$3:$M$2000, MATCH($A526, Joined!$I$3:$I$2000, FALSE), 7)</f>
        <v>VAV-12W-41</v>
      </c>
      <c r="AI526" t="s">
        <v>1854</v>
      </c>
    </row>
    <row r="527" spans="1:35" x14ac:dyDescent="0.2">
      <c r="A527" t="s">
        <v>1388</v>
      </c>
      <c r="B527" t="str">
        <f>"B_01'" &amp; "Flr_0" &amp; INDEX(Joined!$A$3:$M$2000, MATCH($A527, Joined!$I$3:$I$2000, FALSE), 8)</f>
        <v>B_01'Flr_012</v>
      </c>
      <c r="C527" t="str">
        <f>INDEX(Joined!$A$3:$M$2000, MATCH($A527, Joined!$I$3:$I$2000, FALSE), 7)</f>
        <v>VAV-12W-42</v>
      </c>
      <c r="D527">
        <f>INDEX(Joined!$A$3:$M$2000, MATCH($A527, Joined!$I$3:$I$2000, FALSE), 5)</f>
        <v>153314</v>
      </c>
      <c r="E527" t="str">
        <f>INDEX(Joined!$A$3:$M$2000, MATCH($A527, Joined!$I$3:$I$2000, FALSE), 7)</f>
        <v>VAV-12W-42</v>
      </c>
      <c r="F527" t="s">
        <v>38</v>
      </c>
      <c r="G527" t="str">
        <f>INDEX(Schedule!$Q$2:$R$7, MATCH(ABT!$H527,Schedule!$Q$2:$Q$7, 0), 2)</f>
        <v>15011_DXR_VAV_DXR2M12</v>
      </c>
      <c r="H527">
        <f>INDEX(Joined!$A$3:$M$2000, MATCH($A527, Joined!$I$3:$I$2000, FALSE), 6)</f>
        <v>15011</v>
      </c>
      <c r="I527" t="str">
        <f>INDEX(Joined!$A$3:$M$2000, MATCH($A527, Joined!$I$3:$I$2000, FALSE), 4)</f>
        <v>533</v>
      </c>
      <c r="J527" t="b">
        <v>0</v>
      </c>
      <c r="K527">
        <f>INDEX(Joined!$A$3:$M$2000, MATCH($A527, Joined!$I$3:$I$2000, FALSE), 3)</f>
        <v>14</v>
      </c>
      <c r="L527">
        <v>85</v>
      </c>
      <c r="M527">
        <v>38400</v>
      </c>
      <c r="N527" s="27">
        <f>PI()*(INDEX(Schedule!$A$1:$N$2000, MATCH($C527, VAV_Schedule_5_21[[#All],[UNIT TAG]], FALSE), 4)/2/12)^2</f>
        <v>0.54541539124822802</v>
      </c>
      <c r="O527" s="27">
        <f>INDEX(Schedule!$A$1:$N$2000, MATCH($C527, VAV_Schedule_5_21[[#All],[UNIT TAG]], FALSE), 4)</f>
        <v>10</v>
      </c>
      <c r="P527">
        <v>525.63</v>
      </c>
      <c r="Q527" s="27">
        <f>INDEX(Schedule!$A$1:$N$2000, MATCH($C527, VAV_Schedule_5_21[[#All],[UNIT TAG]], FALSE), 5)</f>
        <v>920</v>
      </c>
      <c r="R527" s="27">
        <f>INDEX(Schedule!$A$1:$N$2000, MATCH($C527, VAV_Schedule_5_21[[#All],[UNIT TAG]], FALSE), 6)</f>
        <v>140</v>
      </c>
      <c r="S527" s="27">
        <f>INDEX(Schedule!$A$1:$N$2000, MATCH($C527, VAV_Schedule_5_21[[#All],[UNIT TAG]], FALSE), 5)</f>
        <v>920</v>
      </c>
      <c r="T527" s="27">
        <f>INDEX(Schedule!$A$1:$N$2000, MATCH($C527, VAV_Schedule_5_21[[#All],[UNIT TAG]], FALSE), 6)</f>
        <v>140</v>
      </c>
      <c r="U527" s="27">
        <f>INDEX(Schedule!$A$1:$N$2000, MATCH($C527, VAV_Schedule_5_21[[#All],[UNIT TAG]], FALSE), 5)</f>
        <v>920</v>
      </c>
      <c r="V527" s="27">
        <f>INDEX(Schedule!$A$1:$N$2000, MATCH($C527, VAV_Schedule_5_21[[#All],[UNIT TAG]], FALSE), 6)</f>
        <v>140</v>
      </c>
      <c r="W527" s="27">
        <f>INDEX(Schedule!$A$1:$N$2000, MATCH($C527, VAV_Schedule_5_21[[#All],[UNIT TAG]], FALSE), 6)</f>
        <v>140</v>
      </c>
      <c r="X527" s="27">
        <f>INDEX(Schedule!$A$1:$N$2000, MATCH($C527, VAV_Schedule_5_21[[#All],[UNIT TAG]], FALSE), 6)</f>
        <v>140</v>
      </c>
      <c r="Y527" s="27">
        <f>INDEX(Schedule!$A$1:$N$2000, MATCH($C527, VAV_Schedule_5_21[[#All],[UNIT TAG]], FALSE), 6)</f>
        <v>140</v>
      </c>
      <c r="Z527" s="27">
        <f>INDEX(Schedule!$A$1:$N$2000, MATCH($C527, VAV_Schedule_5_21[[#All],[UNIT TAG]], FALSE), 6)</f>
        <v>140</v>
      </c>
      <c r="AA527" s="27">
        <v>1000</v>
      </c>
      <c r="AB527" s="27">
        <v>1100</v>
      </c>
      <c r="AC527">
        <v>1400</v>
      </c>
      <c r="AD527" s="29" t="str">
        <f>IF(INDEX(Schedule!$A$1:$N$2000, MATCH($C527, VAV_Schedule_5_21[[#All],[UNIT TAG]], FALSE), 7)="-", 0, INDEX(Schedule!$A$1:$N$2000, MATCH($C527, VAV_Schedule_5_21[[#All],[UNIT TAG]], FALSE), 7))</f>
        <v>7</v>
      </c>
      <c r="AE527" t="str">
        <f>"B_01'" &amp; "Flr_0" &amp; INDEX(Joined!$A$3:$M$2000, MATCH($A527, Joined!$I$3:$I$2000, FALSE), 8)</f>
        <v>B_01'Flr_012</v>
      </c>
      <c r="AF527" t="str">
        <f>"R_" &amp; INDEX(Joined!$A$3:$M$2000, MATCH($A527, Joined!$I$3:$I$2000, FALSE), 7)</f>
        <v>R_VAV-12W-42</v>
      </c>
      <c r="AG527" t="str">
        <f>"B_01'" &amp; "Flr_0" &amp; INDEX(Joined!$A$3:$M$2000, MATCH($A527, Joined!$I$3:$I$2000, FALSE), 8)</f>
        <v>B_01'Flr_012</v>
      </c>
      <c r="AH527" t="str">
        <f>INDEX(Joined!$A$3:$M$2000, MATCH($A527, Joined!$I$3:$I$2000, FALSE), 7)</f>
        <v>VAV-12W-42</v>
      </c>
      <c r="AI527" t="s">
        <v>1855</v>
      </c>
    </row>
    <row r="528" spans="1:35" x14ac:dyDescent="0.2">
      <c r="A528" t="s">
        <v>1389</v>
      </c>
      <c r="B528" t="str">
        <f>"B_01'" &amp; "Flr_0" &amp; INDEX(Joined!$A$3:$M$2000, MATCH($A528, Joined!$I$3:$I$2000, FALSE), 8)</f>
        <v>B_01'Flr_012</v>
      </c>
      <c r="C528" t="str">
        <f>INDEX(Joined!$A$3:$M$2000, MATCH($A528, Joined!$I$3:$I$2000, FALSE), 7)</f>
        <v>VAV-12W-43</v>
      </c>
      <c r="D528">
        <f>INDEX(Joined!$A$3:$M$2000, MATCH($A528, Joined!$I$3:$I$2000, FALSE), 5)</f>
        <v>153315</v>
      </c>
      <c r="E528" t="str">
        <f>INDEX(Joined!$A$3:$M$2000, MATCH($A528, Joined!$I$3:$I$2000, FALSE), 7)</f>
        <v>VAV-12W-43</v>
      </c>
      <c r="F528" t="s">
        <v>38</v>
      </c>
      <c r="G528" t="str">
        <f>INDEX(Schedule!$Q$2:$R$7, MATCH(ABT!$H528,Schedule!$Q$2:$Q$7, 0), 2)</f>
        <v>15011_DXR_VAV_DXR2M12</v>
      </c>
      <c r="H528">
        <f>INDEX(Joined!$A$3:$M$2000, MATCH($A528, Joined!$I$3:$I$2000, FALSE), 6)</f>
        <v>15011</v>
      </c>
      <c r="I528" t="str">
        <f>INDEX(Joined!$A$3:$M$2000, MATCH($A528, Joined!$I$3:$I$2000, FALSE), 4)</f>
        <v>533</v>
      </c>
      <c r="J528" t="b">
        <v>0</v>
      </c>
      <c r="K528">
        <f>INDEX(Joined!$A$3:$M$2000, MATCH($A528, Joined!$I$3:$I$2000, FALSE), 3)</f>
        <v>15</v>
      </c>
      <c r="L528">
        <v>85</v>
      </c>
      <c r="M528">
        <v>38400</v>
      </c>
      <c r="N528" s="27">
        <f>PI()*(INDEX(Schedule!$A$1:$N$2000, MATCH($C528, VAV_Schedule_5_21[[#All],[UNIT TAG]], FALSE), 4)/2/12)^2</f>
        <v>0.3490658503988659</v>
      </c>
      <c r="O528" s="27">
        <f>INDEX(Schedule!$A$1:$N$2000, MATCH($C528, VAV_Schedule_5_21[[#All],[UNIT TAG]], FALSE), 4)</f>
        <v>8</v>
      </c>
      <c r="P528">
        <v>526.63</v>
      </c>
      <c r="Q528" s="27">
        <f>INDEX(Schedule!$A$1:$N$2000, MATCH($C528, VAV_Schedule_5_21[[#All],[UNIT TAG]], FALSE), 5)</f>
        <v>660</v>
      </c>
      <c r="R528" s="27">
        <f>INDEX(Schedule!$A$1:$N$2000, MATCH($C528, VAV_Schedule_5_21[[#All],[UNIT TAG]], FALSE), 6)</f>
        <v>100</v>
      </c>
      <c r="S528" s="27">
        <f>INDEX(Schedule!$A$1:$N$2000, MATCH($C528, VAV_Schedule_5_21[[#All],[UNIT TAG]], FALSE), 5)</f>
        <v>660</v>
      </c>
      <c r="T528" s="27">
        <f>INDEX(Schedule!$A$1:$N$2000, MATCH($C528, VAV_Schedule_5_21[[#All],[UNIT TAG]], FALSE), 6)</f>
        <v>100</v>
      </c>
      <c r="U528" s="27">
        <f>INDEX(Schedule!$A$1:$N$2000, MATCH($C528, VAV_Schedule_5_21[[#All],[UNIT TAG]], FALSE), 5)</f>
        <v>660</v>
      </c>
      <c r="V528" s="27">
        <f>INDEX(Schedule!$A$1:$N$2000, MATCH($C528, VAV_Schedule_5_21[[#All],[UNIT TAG]], FALSE), 6)</f>
        <v>100</v>
      </c>
      <c r="W528" s="27">
        <f>INDEX(Schedule!$A$1:$N$2000, MATCH($C528, VAV_Schedule_5_21[[#All],[UNIT TAG]], FALSE), 6)</f>
        <v>100</v>
      </c>
      <c r="X528" s="27">
        <f>INDEX(Schedule!$A$1:$N$2000, MATCH($C528, VAV_Schedule_5_21[[#All],[UNIT TAG]], FALSE), 6)</f>
        <v>100</v>
      </c>
      <c r="Y528" s="27">
        <f>INDEX(Schedule!$A$1:$N$2000, MATCH($C528, VAV_Schedule_5_21[[#All],[UNIT TAG]], FALSE), 6)</f>
        <v>100</v>
      </c>
      <c r="Z528" s="27">
        <f>INDEX(Schedule!$A$1:$N$2000, MATCH($C528, VAV_Schedule_5_21[[#All],[UNIT TAG]], FALSE), 6)</f>
        <v>100</v>
      </c>
      <c r="AA528" s="27">
        <v>1000</v>
      </c>
      <c r="AB528" s="27">
        <v>1100</v>
      </c>
      <c r="AC528">
        <v>1400</v>
      </c>
      <c r="AD528" s="29" t="str">
        <f>IF(INDEX(Schedule!$A$1:$N$2000, MATCH($C528, VAV_Schedule_5_21[[#All],[UNIT TAG]], FALSE), 7)="-", 0, INDEX(Schedule!$A$1:$N$2000, MATCH($C528, VAV_Schedule_5_21[[#All],[UNIT TAG]], FALSE), 7))</f>
        <v>6</v>
      </c>
      <c r="AE528" t="str">
        <f>"B_01'" &amp; "Flr_0" &amp; INDEX(Joined!$A$3:$M$2000, MATCH($A528, Joined!$I$3:$I$2000, FALSE), 8)</f>
        <v>B_01'Flr_012</v>
      </c>
      <c r="AF528" t="str">
        <f>"R_" &amp; INDEX(Joined!$A$3:$M$2000, MATCH($A528, Joined!$I$3:$I$2000, FALSE), 7)</f>
        <v>R_VAV-12W-43</v>
      </c>
      <c r="AG528" t="str">
        <f>"B_01'" &amp; "Flr_0" &amp; INDEX(Joined!$A$3:$M$2000, MATCH($A528, Joined!$I$3:$I$2000, FALSE), 8)</f>
        <v>B_01'Flr_012</v>
      </c>
      <c r="AH528" t="str">
        <f>INDEX(Joined!$A$3:$M$2000, MATCH($A528, Joined!$I$3:$I$2000, FALSE), 7)</f>
        <v>VAV-12W-43</v>
      </c>
      <c r="AI528" t="s">
        <v>1856</v>
      </c>
    </row>
    <row r="529" spans="1:35" x14ac:dyDescent="0.2">
      <c r="A529" t="s">
        <v>1390</v>
      </c>
      <c r="B529" t="str">
        <f>"B_01'" &amp; "Flr_0" &amp; INDEX(Joined!$A$3:$M$2000, MATCH($A529, Joined!$I$3:$I$2000, FALSE), 8)</f>
        <v>B_01'Flr_014</v>
      </c>
      <c r="C529" t="str">
        <f>INDEX(Joined!$A$3:$M$2000, MATCH($A529, Joined!$I$3:$I$2000, FALSE), 7)</f>
        <v>VAV-14W-1</v>
      </c>
      <c r="D529">
        <f>INDEX(Joined!$A$3:$M$2000, MATCH($A529, Joined!$I$3:$I$2000, FALSE), 5)</f>
        <v>153901</v>
      </c>
      <c r="E529" t="str">
        <f>INDEX(Joined!$A$3:$M$2000, MATCH($A529, Joined!$I$3:$I$2000, FALSE), 7)</f>
        <v>VAV-14W-1</v>
      </c>
      <c r="F529" t="s">
        <v>38</v>
      </c>
      <c r="G529" t="str">
        <f>INDEX(Schedule!$Q$2:$R$7, MATCH(ABT!$H529,Schedule!$Q$2:$Q$7, 0), 2)</f>
        <v>15011_DXR_VAV_DXR2M12</v>
      </c>
      <c r="H529">
        <f>INDEX(Joined!$A$3:$M$2000, MATCH($A529, Joined!$I$3:$I$2000, FALSE), 6)</f>
        <v>15011</v>
      </c>
      <c r="I529" t="str">
        <f>INDEX(Joined!$A$3:$M$2000, MATCH($A529, Joined!$I$3:$I$2000, FALSE), 4)</f>
        <v>539</v>
      </c>
      <c r="J529" t="b">
        <v>0</v>
      </c>
      <c r="K529">
        <f>INDEX(Joined!$A$3:$M$2000, MATCH($A529, Joined!$I$3:$I$2000, FALSE), 3)</f>
        <v>1</v>
      </c>
      <c r="L529">
        <v>85</v>
      </c>
      <c r="M529">
        <v>38400</v>
      </c>
      <c r="N529" s="27">
        <f>PI()*(INDEX(Schedule!$A$1:$N$2000, MATCH($C529, VAV_Schedule_5_21[[#All],[UNIT TAG]], FALSE), 4)/2/12)^2</f>
        <v>0.54541539124822802</v>
      </c>
      <c r="O529" s="27">
        <f>INDEX(Schedule!$A$1:$N$2000, MATCH($C529, VAV_Schedule_5_21[[#All],[UNIT TAG]], FALSE), 4)</f>
        <v>10</v>
      </c>
      <c r="P529">
        <v>527.63</v>
      </c>
      <c r="Q529" s="27">
        <f>INDEX(Schedule!$A$1:$N$2000, MATCH($C529, VAV_Schedule_5_21[[#All],[UNIT TAG]], FALSE), 5)</f>
        <v>1050</v>
      </c>
      <c r="R529" s="27">
        <f>INDEX(Schedule!$A$1:$N$2000, MATCH($C529, VAV_Schedule_5_21[[#All],[UNIT TAG]], FALSE), 6)</f>
        <v>160</v>
      </c>
      <c r="S529" s="27">
        <f>INDEX(Schedule!$A$1:$N$2000, MATCH($C529, VAV_Schedule_5_21[[#All],[UNIT TAG]], FALSE), 5)</f>
        <v>1050</v>
      </c>
      <c r="T529" s="27">
        <f>INDEX(Schedule!$A$1:$N$2000, MATCH($C529, VAV_Schedule_5_21[[#All],[UNIT TAG]], FALSE), 6)</f>
        <v>160</v>
      </c>
      <c r="U529" s="27">
        <f>INDEX(Schedule!$A$1:$N$2000, MATCH($C529, VAV_Schedule_5_21[[#All],[UNIT TAG]], FALSE), 5)</f>
        <v>1050</v>
      </c>
      <c r="V529" s="27">
        <f>INDEX(Schedule!$A$1:$N$2000, MATCH($C529, VAV_Schedule_5_21[[#All],[UNIT TAG]], FALSE), 6)</f>
        <v>160</v>
      </c>
      <c r="W529" s="27">
        <f>INDEX(Schedule!$A$1:$N$2000, MATCH($C529, VAV_Schedule_5_21[[#All],[UNIT TAG]], FALSE), 6)</f>
        <v>160</v>
      </c>
      <c r="X529" s="27">
        <f>INDEX(Schedule!$A$1:$N$2000, MATCH($C529, VAV_Schedule_5_21[[#All],[UNIT TAG]], FALSE), 6)</f>
        <v>160</v>
      </c>
      <c r="Y529" s="27">
        <f>INDEX(Schedule!$A$1:$N$2000, MATCH($C529, VAV_Schedule_5_21[[#All],[UNIT TAG]], FALSE), 6)</f>
        <v>160</v>
      </c>
      <c r="Z529" s="27">
        <f>INDEX(Schedule!$A$1:$N$2000, MATCH($C529, VAV_Schedule_5_21[[#All],[UNIT TAG]], FALSE), 6)</f>
        <v>160</v>
      </c>
      <c r="AA529" s="27">
        <v>1000</v>
      </c>
      <c r="AB529" s="27">
        <v>1100</v>
      </c>
      <c r="AC529">
        <v>1400</v>
      </c>
      <c r="AD529" s="29" t="str">
        <f>IF(INDEX(Schedule!$A$1:$N$2000, MATCH($C529, VAV_Schedule_5_21[[#All],[UNIT TAG]], FALSE), 7)="-", 0, INDEX(Schedule!$A$1:$N$2000, MATCH($C529, VAV_Schedule_5_21[[#All],[UNIT TAG]], FALSE), 7))</f>
        <v>9</v>
      </c>
      <c r="AE529" t="str">
        <f>"B_01'" &amp; "Flr_0" &amp; INDEX(Joined!$A$3:$M$2000, MATCH($A529, Joined!$I$3:$I$2000, FALSE), 8)</f>
        <v>B_01'Flr_014</v>
      </c>
      <c r="AF529" t="str">
        <f>"R_" &amp; INDEX(Joined!$A$3:$M$2000, MATCH($A529, Joined!$I$3:$I$2000, FALSE), 7)</f>
        <v>R_VAV-14W-1</v>
      </c>
      <c r="AG529" t="str">
        <f>"B_01'" &amp; "Flr_0" &amp; INDEX(Joined!$A$3:$M$2000, MATCH($A529, Joined!$I$3:$I$2000, FALSE), 8)</f>
        <v>B_01'Flr_014</v>
      </c>
      <c r="AH529" t="str">
        <f>INDEX(Joined!$A$3:$M$2000, MATCH($A529, Joined!$I$3:$I$2000, FALSE), 7)</f>
        <v>VAV-14W-1</v>
      </c>
      <c r="AI529" t="s">
        <v>1857</v>
      </c>
    </row>
    <row r="530" spans="1:35" x14ac:dyDescent="0.2">
      <c r="A530" t="s">
        <v>1391</v>
      </c>
      <c r="B530" t="str">
        <f>"B_01'" &amp; "Flr_0" &amp; INDEX(Joined!$A$3:$M$2000, MATCH($A530, Joined!$I$3:$I$2000, FALSE), 8)</f>
        <v>B_01'Flr_014</v>
      </c>
      <c r="C530" t="str">
        <f>INDEX(Joined!$A$3:$M$2000, MATCH($A530, Joined!$I$3:$I$2000, FALSE), 7)</f>
        <v>VAV-14W-2</v>
      </c>
      <c r="D530">
        <f>INDEX(Joined!$A$3:$M$2000, MATCH($A530, Joined!$I$3:$I$2000, FALSE), 5)</f>
        <v>153902</v>
      </c>
      <c r="E530" t="str">
        <f>INDEX(Joined!$A$3:$M$2000, MATCH($A530, Joined!$I$3:$I$2000, FALSE), 7)</f>
        <v>VAV-14W-2</v>
      </c>
      <c r="F530" t="s">
        <v>38</v>
      </c>
      <c r="G530" t="str">
        <f>INDEX(Schedule!$Q$2:$R$7, MATCH(ABT!$H530,Schedule!$Q$2:$Q$7, 0), 2)</f>
        <v>15011_DXR_VAV_DXR2M12</v>
      </c>
      <c r="H530">
        <f>INDEX(Joined!$A$3:$M$2000, MATCH($A530, Joined!$I$3:$I$2000, FALSE), 6)</f>
        <v>15011</v>
      </c>
      <c r="I530" t="str">
        <f>INDEX(Joined!$A$3:$M$2000, MATCH($A530, Joined!$I$3:$I$2000, FALSE), 4)</f>
        <v>539</v>
      </c>
      <c r="J530" t="b">
        <v>0</v>
      </c>
      <c r="K530">
        <f>INDEX(Joined!$A$3:$M$2000, MATCH($A530, Joined!$I$3:$I$2000, FALSE), 3)</f>
        <v>2</v>
      </c>
      <c r="L530">
        <v>85</v>
      </c>
      <c r="M530">
        <v>38400</v>
      </c>
      <c r="N530" s="27">
        <f>PI()*(INDEX(Schedule!$A$1:$N$2000, MATCH($C530, VAV_Schedule_5_21[[#All],[UNIT TAG]], FALSE), 4)/2/12)^2</f>
        <v>0.3490658503988659</v>
      </c>
      <c r="O530" s="27">
        <f>INDEX(Schedule!$A$1:$N$2000, MATCH($C530, VAV_Schedule_5_21[[#All],[UNIT TAG]], FALSE), 4)</f>
        <v>8</v>
      </c>
      <c r="P530">
        <v>528.63</v>
      </c>
      <c r="Q530" s="27">
        <f>INDEX(Schedule!$A$1:$N$2000, MATCH($C530, VAV_Schedule_5_21[[#All],[UNIT TAG]], FALSE), 5)</f>
        <v>640</v>
      </c>
      <c r="R530" s="27">
        <f>INDEX(Schedule!$A$1:$N$2000, MATCH($C530, VAV_Schedule_5_21[[#All],[UNIT TAG]], FALSE), 6)</f>
        <v>100</v>
      </c>
      <c r="S530" s="27">
        <f>INDEX(Schedule!$A$1:$N$2000, MATCH($C530, VAV_Schedule_5_21[[#All],[UNIT TAG]], FALSE), 5)</f>
        <v>640</v>
      </c>
      <c r="T530" s="27">
        <f>INDEX(Schedule!$A$1:$N$2000, MATCH($C530, VAV_Schedule_5_21[[#All],[UNIT TAG]], FALSE), 6)</f>
        <v>100</v>
      </c>
      <c r="U530" s="27">
        <f>INDEX(Schedule!$A$1:$N$2000, MATCH($C530, VAV_Schedule_5_21[[#All],[UNIT TAG]], FALSE), 5)</f>
        <v>640</v>
      </c>
      <c r="V530" s="27">
        <f>INDEX(Schedule!$A$1:$N$2000, MATCH($C530, VAV_Schedule_5_21[[#All],[UNIT TAG]], FALSE), 6)</f>
        <v>100</v>
      </c>
      <c r="W530" s="27">
        <f>INDEX(Schedule!$A$1:$N$2000, MATCH($C530, VAV_Schedule_5_21[[#All],[UNIT TAG]], FALSE), 6)</f>
        <v>100</v>
      </c>
      <c r="X530" s="27">
        <f>INDEX(Schedule!$A$1:$N$2000, MATCH($C530, VAV_Schedule_5_21[[#All],[UNIT TAG]], FALSE), 6)</f>
        <v>100</v>
      </c>
      <c r="Y530" s="27">
        <f>INDEX(Schedule!$A$1:$N$2000, MATCH($C530, VAV_Schedule_5_21[[#All],[UNIT TAG]], FALSE), 6)</f>
        <v>100</v>
      </c>
      <c r="Z530" s="27">
        <f>INDEX(Schedule!$A$1:$N$2000, MATCH($C530, VAV_Schedule_5_21[[#All],[UNIT TAG]], FALSE), 6)</f>
        <v>100</v>
      </c>
      <c r="AA530" s="27">
        <v>1000</v>
      </c>
      <c r="AB530" s="27">
        <v>1100</v>
      </c>
      <c r="AC530">
        <v>1400</v>
      </c>
      <c r="AD530" s="29" t="str">
        <f>IF(INDEX(Schedule!$A$1:$N$2000, MATCH($C530, VAV_Schedule_5_21[[#All],[UNIT TAG]], FALSE), 7)="-", 0, INDEX(Schedule!$A$1:$N$2000, MATCH($C530, VAV_Schedule_5_21[[#All],[UNIT TAG]], FALSE), 7))</f>
        <v>6</v>
      </c>
      <c r="AE530" t="str">
        <f>"B_01'" &amp; "Flr_0" &amp; INDEX(Joined!$A$3:$M$2000, MATCH($A530, Joined!$I$3:$I$2000, FALSE), 8)</f>
        <v>B_01'Flr_014</v>
      </c>
      <c r="AF530" t="str">
        <f>"R_" &amp; INDEX(Joined!$A$3:$M$2000, MATCH($A530, Joined!$I$3:$I$2000, FALSE), 7)</f>
        <v>R_VAV-14W-2</v>
      </c>
      <c r="AG530" t="str">
        <f>"B_01'" &amp; "Flr_0" &amp; INDEX(Joined!$A$3:$M$2000, MATCH($A530, Joined!$I$3:$I$2000, FALSE), 8)</f>
        <v>B_01'Flr_014</v>
      </c>
      <c r="AH530" t="str">
        <f>INDEX(Joined!$A$3:$M$2000, MATCH($A530, Joined!$I$3:$I$2000, FALSE), 7)</f>
        <v>VAV-14W-2</v>
      </c>
      <c r="AI530" t="s">
        <v>1858</v>
      </c>
    </row>
    <row r="531" spans="1:35" x14ac:dyDescent="0.2">
      <c r="A531" t="s">
        <v>1392</v>
      </c>
      <c r="B531" t="str">
        <f>"B_01'" &amp; "Flr_0" &amp; INDEX(Joined!$A$3:$M$2000, MATCH($A531, Joined!$I$3:$I$2000, FALSE), 8)</f>
        <v>B_01'Flr_014</v>
      </c>
      <c r="C531" t="str">
        <f>INDEX(Joined!$A$3:$M$2000, MATCH($A531, Joined!$I$3:$I$2000, FALSE), 7)</f>
        <v>VAV-14W-3</v>
      </c>
      <c r="D531">
        <f>INDEX(Joined!$A$3:$M$2000, MATCH($A531, Joined!$I$3:$I$2000, FALSE), 5)</f>
        <v>153903</v>
      </c>
      <c r="E531" t="str">
        <f>INDEX(Joined!$A$3:$M$2000, MATCH($A531, Joined!$I$3:$I$2000, FALSE), 7)</f>
        <v>VAV-14W-3</v>
      </c>
      <c r="F531" t="s">
        <v>38</v>
      </c>
      <c r="G531" t="str">
        <f>INDEX(Schedule!$Q$2:$R$7, MATCH(ABT!$H531,Schedule!$Q$2:$Q$7, 0), 2)</f>
        <v>15011_DXR_VAV_DXR2M12</v>
      </c>
      <c r="H531">
        <f>INDEX(Joined!$A$3:$M$2000, MATCH($A531, Joined!$I$3:$I$2000, FALSE), 6)</f>
        <v>15011</v>
      </c>
      <c r="I531" t="str">
        <f>INDEX(Joined!$A$3:$M$2000, MATCH($A531, Joined!$I$3:$I$2000, FALSE), 4)</f>
        <v>539</v>
      </c>
      <c r="J531" t="b">
        <v>0</v>
      </c>
      <c r="K531">
        <f>INDEX(Joined!$A$3:$M$2000, MATCH($A531, Joined!$I$3:$I$2000, FALSE), 3)</f>
        <v>3</v>
      </c>
      <c r="L531">
        <v>85</v>
      </c>
      <c r="M531">
        <v>38400</v>
      </c>
      <c r="N531" s="27">
        <f>PI()*(INDEX(Schedule!$A$1:$N$2000, MATCH($C531, VAV_Schedule_5_21[[#All],[UNIT TAG]], FALSE), 4)/2/12)^2</f>
        <v>0.3490658503988659</v>
      </c>
      <c r="O531" s="27">
        <f>INDEX(Schedule!$A$1:$N$2000, MATCH($C531, VAV_Schedule_5_21[[#All],[UNIT TAG]], FALSE), 4)</f>
        <v>8</v>
      </c>
      <c r="P531">
        <v>529.63</v>
      </c>
      <c r="Q531" s="27">
        <f>INDEX(Schedule!$A$1:$N$2000, MATCH($C531, VAV_Schedule_5_21[[#All],[UNIT TAG]], FALSE), 5)</f>
        <v>640</v>
      </c>
      <c r="R531" s="27">
        <f>INDEX(Schedule!$A$1:$N$2000, MATCH($C531, VAV_Schedule_5_21[[#All],[UNIT TAG]], FALSE), 6)</f>
        <v>100</v>
      </c>
      <c r="S531" s="27">
        <f>INDEX(Schedule!$A$1:$N$2000, MATCH($C531, VAV_Schedule_5_21[[#All],[UNIT TAG]], FALSE), 5)</f>
        <v>640</v>
      </c>
      <c r="T531" s="27">
        <f>INDEX(Schedule!$A$1:$N$2000, MATCH($C531, VAV_Schedule_5_21[[#All],[UNIT TAG]], FALSE), 6)</f>
        <v>100</v>
      </c>
      <c r="U531" s="27">
        <f>INDEX(Schedule!$A$1:$N$2000, MATCH($C531, VAV_Schedule_5_21[[#All],[UNIT TAG]], FALSE), 5)</f>
        <v>640</v>
      </c>
      <c r="V531" s="27">
        <f>INDEX(Schedule!$A$1:$N$2000, MATCH($C531, VAV_Schedule_5_21[[#All],[UNIT TAG]], FALSE), 6)</f>
        <v>100</v>
      </c>
      <c r="W531" s="27">
        <f>INDEX(Schedule!$A$1:$N$2000, MATCH($C531, VAV_Schedule_5_21[[#All],[UNIT TAG]], FALSE), 6)</f>
        <v>100</v>
      </c>
      <c r="X531" s="27">
        <f>INDEX(Schedule!$A$1:$N$2000, MATCH($C531, VAV_Schedule_5_21[[#All],[UNIT TAG]], FALSE), 6)</f>
        <v>100</v>
      </c>
      <c r="Y531" s="27">
        <f>INDEX(Schedule!$A$1:$N$2000, MATCH($C531, VAV_Schedule_5_21[[#All],[UNIT TAG]], FALSE), 6)</f>
        <v>100</v>
      </c>
      <c r="Z531" s="27">
        <f>INDEX(Schedule!$A$1:$N$2000, MATCH($C531, VAV_Schedule_5_21[[#All],[UNIT TAG]], FALSE), 6)</f>
        <v>100</v>
      </c>
      <c r="AA531" s="27">
        <v>1000</v>
      </c>
      <c r="AB531" s="27">
        <v>1100</v>
      </c>
      <c r="AC531">
        <v>1400</v>
      </c>
      <c r="AD531" s="29" t="str">
        <f>IF(INDEX(Schedule!$A$1:$N$2000, MATCH($C531, VAV_Schedule_5_21[[#All],[UNIT TAG]], FALSE), 7)="-", 0, INDEX(Schedule!$A$1:$N$2000, MATCH($C531, VAV_Schedule_5_21[[#All],[UNIT TAG]], FALSE), 7))</f>
        <v>6</v>
      </c>
      <c r="AE531" t="str">
        <f>"B_01'" &amp; "Flr_0" &amp; INDEX(Joined!$A$3:$M$2000, MATCH($A531, Joined!$I$3:$I$2000, FALSE), 8)</f>
        <v>B_01'Flr_014</v>
      </c>
      <c r="AF531" t="str">
        <f>"R_" &amp; INDEX(Joined!$A$3:$M$2000, MATCH($A531, Joined!$I$3:$I$2000, FALSE), 7)</f>
        <v>R_VAV-14W-3</v>
      </c>
      <c r="AG531" t="str">
        <f>"B_01'" &amp; "Flr_0" &amp; INDEX(Joined!$A$3:$M$2000, MATCH($A531, Joined!$I$3:$I$2000, FALSE), 8)</f>
        <v>B_01'Flr_014</v>
      </c>
      <c r="AH531" t="str">
        <f>INDEX(Joined!$A$3:$M$2000, MATCH($A531, Joined!$I$3:$I$2000, FALSE), 7)</f>
        <v>VAV-14W-3</v>
      </c>
      <c r="AI531" t="s">
        <v>1859</v>
      </c>
    </row>
    <row r="532" spans="1:35" x14ac:dyDescent="0.2">
      <c r="A532" t="s">
        <v>1393</v>
      </c>
      <c r="B532" t="str">
        <f>"B_01'" &amp; "Flr_0" &amp; INDEX(Joined!$A$3:$M$2000, MATCH($A532, Joined!$I$3:$I$2000, FALSE), 8)</f>
        <v>B_01'Flr_014</v>
      </c>
      <c r="C532" t="str">
        <f>INDEX(Joined!$A$3:$M$2000, MATCH($A532, Joined!$I$3:$I$2000, FALSE), 7)</f>
        <v>VAV-14W-4</v>
      </c>
      <c r="D532">
        <f>INDEX(Joined!$A$3:$M$2000, MATCH($A532, Joined!$I$3:$I$2000, FALSE), 5)</f>
        <v>153904</v>
      </c>
      <c r="E532" t="str">
        <f>INDEX(Joined!$A$3:$M$2000, MATCH($A532, Joined!$I$3:$I$2000, FALSE), 7)</f>
        <v>VAV-14W-4</v>
      </c>
      <c r="F532" t="s">
        <v>38</v>
      </c>
      <c r="G532" t="str">
        <f>INDEX(Schedule!$Q$2:$R$7, MATCH(ABT!$H532,Schedule!$Q$2:$Q$7, 0), 2)</f>
        <v>15011_DXR_VAV_DXR2M12</v>
      </c>
      <c r="H532">
        <f>INDEX(Joined!$A$3:$M$2000, MATCH($A532, Joined!$I$3:$I$2000, FALSE), 6)</f>
        <v>15011</v>
      </c>
      <c r="I532" t="str">
        <f>INDEX(Joined!$A$3:$M$2000, MATCH($A532, Joined!$I$3:$I$2000, FALSE), 4)</f>
        <v>539</v>
      </c>
      <c r="J532" t="b">
        <v>0</v>
      </c>
      <c r="K532">
        <f>INDEX(Joined!$A$3:$M$2000, MATCH($A532, Joined!$I$3:$I$2000, FALSE), 3)</f>
        <v>4</v>
      </c>
      <c r="L532">
        <v>85</v>
      </c>
      <c r="M532">
        <v>38400</v>
      </c>
      <c r="N532" s="27">
        <f>PI()*(INDEX(Schedule!$A$1:$N$2000, MATCH($C532, VAV_Schedule_5_21[[#All],[UNIT TAG]], FALSE), 4)/2/12)^2</f>
        <v>0.54541539124822802</v>
      </c>
      <c r="O532" s="27">
        <f>INDEX(Schedule!$A$1:$N$2000, MATCH($C532, VAV_Schedule_5_21[[#All],[UNIT TAG]], FALSE), 4)</f>
        <v>10</v>
      </c>
      <c r="P532">
        <v>530.63</v>
      </c>
      <c r="Q532" s="27">
        <f>INDEX(Schedule!$A$1:$N$2000, MATCH($C532, VAV_Schedule_5_21[[#All],[UNIT TAG]], FALSE), 5)</f>
        <v>840</v>
      </c>
      <c r="R532" s="27">
        <f>INDEX(Schedule!$A$1:$N$2000, MATCH($C532, VAV_Schedule_5_21[[#All],[UNIT TAG]], FALSE), 6)</f>
        <v>130</v>
      </c>
      <c r="S532" s="27">
        <f>INDEX(Schedule!$A$1:$N$2000, MATCH($C532, VAV_Schedule_5_21[[#All],[UNIT TAG]], FALSE), 5)</f>
        <v>840</v>
      </c>
      <c r="T532" s="27">
        <f>INDEX(Schedule!$A$1:$N$2000, MATCH($C532, VAV_Schedule_5_21[[#All],[UNIT TAG]], FALSE), 6)</f>
        <v>130</v>
      </c>
      <c r="U532" s="27">
        <f>INDEX(Schedule!$A$1:$N$2000, MATCH($C532, VAV_Schedule_5_21[[#All],[UNIT TAG]], FALSE), 5)</f>
        <v>840</v>
      </c>
      <c r="V532" s="27">
        <f>INDEX(Schedule!$A$1:$N$2000, MATCH($C532, VAV_Schedule_5_21[[#All],[UNIT TAG]], FALSE), 6)</f>
        <v>130</v>
      </c>
      <c r="W532" s="27">
        <f>INDEX(Schedule!$A$1:$N$2000, MATCH($C532, VAV_Schedule_5_21[[#All],[UNIT TAG]], FALSE), 6)</f>
        <v>130</v>
      </c>
      <c r="X532" s="27">
        <f>INDEX(Schedule!$A$1:$N$2000, MATCH($C532, VAV_Schedule_5_21[[#All],[UNIT TAG]], FALSE), 6)</f>
        <v>130</v>
      </c>
      <c r="Y532" s="27">
        <f>INDEX(Schedule!$A$1:$N$2000, MATCH($C532, VAV_Schedule_5_21[[#All],[UNIT TAG]], FALSE), 6)</f>
        <v>130</v>
      </c>
      <c r="Z532" s="27">
        <f>INDEX(Schedule!$A$1:$N$2000, MATCH($C532, VAV_Schedule_5_21[[#All],[UNIT TAG]], FALSE), 6)</f>
        <v>130</v>
      </c>
      <c r="AA532" s="27">
        <v>1000</v>
      </c>
      <c r="AB532" s="27">
        <v>1100</v>
      </c>
      <c r="AC532">
        <v>1400</v>
      </c>
      <c r="AD532" s="29" t="str">
        <f>IF(INDEX(Schedule!$A$1:$N$2000, MATCH($C532, VAV_Schedule_5_21[[#All],[UNIT TAG]], FALSE), 7)="-", 0, INDEX(Schedule!$A$1:$N$2000, MATCH($C532, VAV_Schedule_5_21[[#All],[UNIT TAG]], FALSE), 7))</f>
        <v>6</v>
      </c>
      <c r="AE532" t="str">
        <f>"B_01'" &amp; "Flr_0" &amp; INDEX(Joined!$A$3:$M$2000, MATCH($A532, Joined!$I$3:$I$2000, FALSE), 8)</f>
        <v>B_01'Flr_014</v>
      </c>
      <c r="AF532" t="str">
        <f>"R_" &amp; INDEX(Joined!$A$3:$M$2000, MATCH($A532, Joined!$I$3:$I$2000, FALSE), 7)</f>
        <v>R_VAV-14W-4</v>
      </c>
      <c r="AG532" t="str">
        <f>"B_01'" &amp; "Flr_0" &amp; INDEX(Joined!$A$3:$M$2000, MATCH($A532, Joined!$I$3:$I$2000, FALSE), 8)</f>
        <v>B_01'Flr_014</v>
      </c>
      <c r="AH532" t="str">
        <f>INDEX(Joined!$A$3:$M$2000, MATCH($A532, Joined!$I$3:$I$2000, FALSE), 7)</f>
        <v>VAV-14W-4</v>
      </c>
      <c r="AI532" t="s">
        <v>1860</v>
      </c>
    </row>
    <row r="533" spans="1:35" x14ac:dyDescent="0.2">
      <c r="A533" t="s">
        <v>1394</v>
      </c>
      <c r="B533" t="str">
        <f>"B_01'" &amp; "Flr_0" &amp; INDEX(Joined!$A$3:$M$2000, MATCH($A533, Joined!$I$3:$I$2000, FALSE), 8)</f>
        <v>B_01'Flr_014</v>
      </c>
      <c r="C533" t="str">
        <f>INDEX(Joined!$A$3:$M$2000, MATCH($A533, Joined!$I$3:$I$2000, FALSE), 7)</f>
        <v>VAV-14N-5</v>
      </c>
      <c r="D533">
        <f>INDEX(Joined!$A$3:$M$2000, MATCH($A533, Joined!$I$3:$I$2000, FALSE), 5)</f>
        <v>153701</v>
      </c>
      <c r="E533" t="str">
        <f>INDEX(Joined!$A$3:$M$2000, MATCH($A533, Joined!$I$3:$I$2000, FALSE), 7)</f>
        <v>VAV-14N-5</v>
      </c>
      <c r="F533" t="s">
        <v>38</v>
      </c>
      <c r="G533" t="str">
        <f>INDEX(Schedule!$Q$2:$R$7, MATCH(ABT!$H533,Schedule!$Q$2:$Q$7, 0), 2)</f>
        <v>15010_DXR_VAV_DXR2M12</v>
      </c>
      <c r="H533">
        <f>INDEX(Joined!$A$3:$M$2000, MATCH($A533, Joined!$I$3:$I$2000, FALSE), 6)</f>
        <v>15010</v>
      </c>
      <c r="I533" t="str">
        <f>INDEX(Joined!$A$3:$M$2000, MATCH($A533, Joined!$I$3:$I$2000, FALSE), 4)</f>
        <v>537</v>
      </c>
      <c r="J533" t="b">
        <v>0</v>
      </c>
      <c r="K533">
        <f>INDEX(Joined!$A$3:$M$2000, MATCH($A533, Joined!$I$3:$I$2000, FALSE), 3)</f>
        <v>1</v>
      </c>
      <c r="L533">
        <v>85</v>
      </c>
      <c r="M533">
        <v>38400</v>
      </c>
      <c r="N533" s="27">
        <f>PI()*(INDEX(Schedule!$A$1:$N$2000, MATCH($C533, VAV_Schedule_5_21[[#All],[UNIT TAG]], FALSE), 4)/2/12)^2</f>
        <v>0.78539816339744828</v>
      </c>
      <c r="O533" s="27">
        <f>INDEX(Schedule!$A$1:$N$2000, MATCH($C533, VAV_Schedule_5_21[[#All],[UNIT TAG]], FALSE), 4)</f>
        <v>12</v>
      </c>
      <c r="P533">
        <v>531.63</v>
      </c>
      <c r="Q533" s="27">
        <f>INDEX(Schedule!$A$1:$N$2000, MATCH($C533, VAV_Schedule_5_21[[#All],[UNIT TAG]], FALSE), 5)</f>
        <v>1200</v>
      </c>
      <c r="R533" s="27">
        <f>INDEX(Schedule!$A$1:$N$2000, MATCH($C533, VAV_Schedule_5_21[[#All],[UNIT TAG]], FALSE), 6)</f>
        <v>180</v>
      </c>
      <c r="S533" s="27">
        <f>INDEX(Schedule!$A$1:$N$2000, MATCH($C533, VAV_Schedule_5_21[[#All],[UNIT TAG]], FALSE), 5)</f>
        <v>1200</v>
      </c>
      <c r="T533" s="27">
        <f>INDEX(Schedule!$A$1:$N$2000, MATCH($C533, VAV_Schedule_5_21[[#All],[UNIT TAG]], FALSE), 6)</f>
        <v>180</v>
      </c>
      <c r="U533" s="27">
        <f>INDEX(Schedule!$A$1:$N$2000, MATCH($C533, VAV_Schedule_5_21[[#All],[UNIT TAG]], FALSE), 5)</f>
        <v>1200</v>
      </c>
      <c r="V533" s="27">
        <f>INDEX(Schedule!$A$1:$N$2000, MATCH($C533, VAV_Schedule_5_21[[#All],[UNIT TAG]], FALSE), 6)</f>
        <v>180</v>
      </c>
      <c r="W533" s="27">
        <f>INDEX(Schedule!$A$1:$N$2000, MATCH($C533, VAV_Schedule_5_21[[#All],[UNIT TAG]], FALSE), 6)</f>
        <v>180</v>
      </c>
      <c r="X533" s="27">
        <f>INDEX(Schedule!$A$1:$N$2000, MATCH($C533, VAV_Schedule_5_21[[#All],[UNIT TAG]], FALSE), 6)</f>
        <v>180</v>
      </c>
      <c r="Y533" s="27">
        <f>INDEX(Schedule!$A$1:$N$2000, MATCH($C533, VAV_Schedule_5_21[[#All],[UNIT TAG]], FALSE), 6)</f>
        <v>180</v>
      </c>
      <c r="Z533" s="27">
        <f>INDEX(Schedule!$A$1:$N$2000, MATCH($C533, VAV_Schedule_5_21[[#All],[UNIT TAG]], FALSE), 6)</f>
        <v>180</v>
      </c>
      <c r="AA533" s="27">
        <v>1000</v>
      </c>
      <c r="AB533" s="27">
        <v>1100</v>
      </c>
      <c r="AC533">
        <v>1400</v>
      </c>
      <c r="AD533" s="29">
        <f>IF(INDEX(Schedule!$A$1:$N$2000, MATCH($C533, VAV_Schedule_5_21[[#All],[UNIT TAG]], FALSE), 7)="-", 0, INDEX(Schedule!$A$1:$N$2000, MATCH($C533, VAV_Schedule_5_21[[#All],[UNIT TAG]], FALSE), 7))</f>
        <v>0</v>
      </c>
      <c r="AE533" t="str">
        <f>"B_01'" &amp; "Flr_0" &amp; INDEX(Joined!$A$3:$M$2000, MATCH($A533, Joined!$I$3:$I$2000, FALSE), 8)</f>
        <v>B_01'Flr_014</v>
      </c>
      <c r="AF533" t="str">
        <f>"R_" &amp; INDEX(Joined!$A$3:$M$2000, MATCH($A533, Joined!$I$3:$I$2000, FALSE), 7)</f>
        <v>R_VAV-14N-5</v>
      </c>
      <c r="AG533" t="str">
        <f>"B_01'" &amp; "Flr_0" &amp; INDEX(Joined!$A$3:$M$2000, MATCH($A533, Joined!$I$3:$I$2000, FALSE), 8)</f>
        <v>B_01'Flr_014</v>
      </c>
      <c r="AH533" t="str">
        <f>INDEX(Joined!$A$3:$M$2000, MATCH($A533, Joined!$I$3:$I$2000, FALSE), 7)</f>
        <v>VAV-14N-5</v>
      </c>
      <c r="AI533" t="s">
        <v>1861</v>
      </c>
    </row>
    <row r="534" spans="1:35" x14ac:dyDescent="0.2">
      <c r="A534" t="s">
        <v>1395</v>
      </c>
      <c r="B534" t="str">
        <f>"B_01'" &amp; "Flr_0" &amp; INDEX(Joined!$A$3:$M$2000, MATCH($A534, Joined!$I$3:$I$2000, FALSE), 8)</f>
        <v>B_01'Flr_014</v>
      </c>
      <c r="C534" t="str">
        <f>INDEX(Joined!$A$3:$M$2000, MATCH($A534, Joined!$I$3:$I$2000, FALSE), 7)</f>
        <v>VAV-14N-6</v>
      </c>
      <c r="D534">
        <f>INDEX(Joined!$A$3:$M$2000, MATCH($A534, Joined!$I$3:$I$2000, FALSE), 5)</f>
        <v>153702</v>
      </c>
      <c r="E534" t="str">
        <f>INDEX(Joined!$A$3:$M$2000, MATCH($A534, Joined!$I$3:$I$2000, FALSE), 7)</f>
        <v>VAV-14N-6</v>
      </c>
      <c r="F534" t="s">
        <v>38</v>
      </c>
      <c r="G534" t="str">
        <f>INDEX(Schedule!$Q$2:$R$7, MATCH(ABT!$H534,Schedule!$Q$2:$Q$7, 0), 2)</f>
        <v>15010_DXR_VAV_DXR2M12</v>
      </c>
      <c r="H534">
        <f>INDEX(Joined!$A$3:$M$2000, MATCH($A534, Joined!$I$3:$I$2000, FALSE), 6)</f>
        <v>15010</v>
      </c>
      <c r="I534" t="str">
        <f>INDEX(Joined!$A$3:$M$2000, MATCH($A534, Joined!$I$3:$I$2000, FALSE), 4)</f>
        <v>537</v>
      </c>
      <c r="J534" t="b">
        <v>0</v>
      </c>
      <c r="K534">
        <f>INDEX(Joined!$A$3:$M$2000, MATCH($A534, Joined!$I$3:$I$2000, FALSE), 3)</f>
        <v>2</v>
      </c>
      <c r="L534">
        <v>85</v>
      </c>
      <c r="M534">
        <v>38400</v>
      </c>
      <c r="N534" s="27">
        <f>PI()*(INDEX(Schedule!$A$1:$N$2000, MATCH($C534, VAV_Schedule_5_21[[#All],[UNIT TAG]], FALSE), 4)/2/12)^2</f>
        <v>0.54541539124822802</v>
      </c>
      <c r="O534" s="27">
        <f>INDEX(Schedule!$A$1:$N$2000, MATCH($C534, VAV_Schedule_5_21[[#All],[UNIT TAG]], FALSE), 4)</f>
        <v>10</v>
      </c>
      <c r="P534">
        <v>532.63</v>
      </c>
      <c r="Q534" s="27">
        <f>INDEX(Schedule!$A$1:$N$2000, MATCH($C534, VAV_Schedule_5_21[[#All],[UNIT TAG]], FALSE), 5)</f>
        <v>1120</v>
      </c>
      <c r="R534" s="27">
        <f>INDEX(Schedule!$A$1:$N$2000, MATCH($C534, VAV_Schedule_5_21[[#All],[UNIT TAG]], FALSE), 6)</f>
        <v>170</v>
      </c>
      <c r="S534" s="27">
        <f>INDEX(Schedule!$A$1:$N$2000, MATCH($C534, VAV_Schedule_5_21[[#All],[UNIT TAG]], FALSE), 5)</f>
        <v>1120</v>
      </c>
      <c r="T534" s="27">
        <f>INDEX(Schedule!$A$1:$N$2000, MATCH($C534, VAV_Schedule_5_21[[#All],[UNIT TAG]], FALSE), 6)</f>
        <v>170</v>
      </c>
      <c r="U534" s="27">
        <f>INDEX(Schedule!$A$1:$N$2000, MATCH($C534, VAV_Schedule_5_21[[#All],[UNIT TAG]], FALSE), 5)</f>
        <v>1120</v>
      </c>
      <c r="V534" s="27">
        <f>INDEX(Schedule!$A$1:$N$2000, MATCH($C534, VAV_Schedule_5_21[[#All],[UNIT TAG]], FALSE), 6)</f>
        <v>170</v>
      </c>
      <c r="W534" s="27">
        <f>INDEX(Schedule!$A$1:$N$2000, MATCH($C534, VAV_Schedule_5_21[[#All],[UNIT TAG]], FALSE), 6)</f>
        <v>170</v>
      </c>
      <c r="X534" s="27">
        <f>INDEX(Schedule!$A$1:$N$2000, MATCH($C534, VAV_Schedule_5_21[[#All],[UNIT TAG]], FALSE), 6)</f>
        <v>170</v>
      </c>
      <c r="Y534" s="27">
        <f>INDEX(Schedule!$A$1:$N$2000, MATCH($C534, VAV_Schedule_5_21[[#All],[UNIT TAG]], FALSE), 6)</f>
        <v>170</v>
      </c>
      <c r="Z534" s="27">
        <f>INDEX(Schedule!$A$1:$N$2000, MATCH($C534, VAV_Schedule_5_21[[#All],[UNIT TAG]], FALSE), 6)</f>
        <v>170</v>
      </c>
      <c r="AA534" s="27">
        <v>1000</v>
      </c>
      <c r="AB534" s="27">
        <v>1100</v>
      </c>
      <c r="AC534">
        <v>1400</v>
      </c>
      <c r="AD534" s="29">
        <f>IF(INDEX(Schedule!$A$1:$N$2000, MATCH($C534, VAV_Schedule_5_21[[#All],[UNIT TAG]], FALSE), 7)="-", 0, INDEX(Schedule!$A$1:$N$2000, MATCH($C534, VAV_Schedule_5_21[[#All],[UNIT TAG]], FALSE), 7))</f>
        <v>0</v>
      </c>
      <c r="AE534" t="str">
        <f>"B_01'" &amp; "Flr_0" &amp; INDEX(Joined!$A$3:$M$2000, MATCH($A534, Joined!$I$3:$I$2000, FALSE), 8)</f>
        <v>B_01'Flr_014</v>
      </c>
      <c r="AF534" t="str">
        <f>"R_" &amp; INDEX(Joined!$A$3:$M$2000, MATCH($A534, Joined!$I$3:$I$2000, FALSE), 7)</f>
        <v>R_VAV-14N-6</v>
      </c>
      <c r="AG534" t="str">
        <f>"B_01'" &amp; "Flr_0" &amp; INDEX(Joined!$A$3:$M$2000, MATCH($A534, Joined!$I$3:$I$2000, FALSE), 8)</f>
        <v>B_01'Flr_014</v>
      </c>
      <c r="AH534" t="str">
        <f>INDEX(Joined!$A$3:$M$2000, MATCH($A534, Joined!$I$3:$I$2000, FALSE), 7)</f>
        <v>VAV-14N-6</v>
      </c>
      <c r="AI534" t="s">
        <v>1862</v>
      </c>
    </row>
    <row r="535" spans="1:35" x14ac:dyDescent="0.2">
      <c r="A535" t="s">
        <v>1396</v>
      </c>
      <c r="B535" t="str">
        <f>"B_01'" &amp; "Flr_0" &amp; INDEX(Joined!$A$3:$M$2000, MATCH($A535, Joined!$I$3:$I$2000, FALSE), 8)</f>
        <v>B_01'Flr_014</v>
      </c>
      <c r="C535" t="str">
        <f>INDEX(Joined!$A$3:$M$2000, MATCH($A535, Joined!$I$3:$I$2000, FALSE), 7)</f>
        <v>VAV-14N-7</v>
      </c>
      <c r="D535">
        <f>INDEX(Joined!$A$3:$M$2000, MATCH($A535, Joined!$I$3:$I$2000, FALSE), 5)</f>
        <v>153703</v>
      </c>
      <c r="E535" t="str">
        <f>INDEX(Joined!$A$3:$M$2000, MATCH($A535, Joined!$I$3:$I$2000, FALSE), 7)</f>
        <v>VAV-14N-7</v>
      </c>
      <c r="F535" t="s">
        <v>38</v>
      </c>
      <c r="G535" t="str">
        <f>INDEX(Schedule!$Q$2:$R$7, MATCH(ABT!$H535,Schedule!$Q$2:$Q$7, 0), 2)</f>
        <v>15010_DXR_VAV_DXR2M12</v>
      </c>
      <c r="H535">
        <f>INDEX(Joined!$A$3:$M$2000, MATCH($A535, Joined!$I$3:$I$2000, FALSE), 6)</f>
        <v>15010</v>
      </c>
      <c r="I535" t="str">
        <f>INDEX(Joined!$A$3:$M$2000, MATCH($A535, Joined!$I$3:$I$2000, FALSE), 4)</f>
        <v>537</v>
      </c>
      <c r="J535" t="b">
        <v>0</v>
      </c>
      <c r="K535">
        <f>INDEX(Joined!$A$3:$M$2000, MATCH($A535, Joined!$I$3:$I$2000, FALSE), 3)</f>
        <v>3</v>
      </c>
      <c r="L535">
        <v>85</v>
      </c>
      <c r="M535">
        <v>38400</v>
      </c>
      <c r="N535" s="27">
        <f>PI()*(INDEX(Schedule!$A$1:$N$2000, MATCH($C535, VAV_Schedule_5_21[[#All],[UNIT TAG]], FALSE), 4)/2/12)^2</f>
        <v>0.3490658503988659</v>
      </c>
      <c r="O535" s="27">
        <f>INDEX(Schedule!$A$1:$N$2000, MATCH($C535, VAV_Schedule_5_21[[#All],[UNIT TAG]], FALSE), 4)</f>
        <v>8</v>
      </c>
      <c r="P535">
        <v>533.63</v>
      </c>
      <c r="Q535" s="27">
        <f>INDEX(Schedule!$A$1:$N$2000, MATCH($C535, VAV_Schedule_5_21[[#All],[UNIT TAG]], FALSE), 5)</f>
        <v>600</v>
      </c>
      <c r="R535" s="27">
        <f>INDEX(Schedule!$A$1:$N$2000, MATCH($C535, VAV_Schedule_5_21[[#All],[UNIT TAG]], FALSE), 6)</f>
        <v>90</v>
      </c>
      <c r="S535" s="27">
        <f>INDEX(Schedule!$A$1:$N$2000, MATCH($C535, VAV_Schedule_5_21[[#All],[UNIT TAG]], FALSE), 5)</f>
        <v>600</v>
      </c>
      <c r="T535" s="27">
        <f>INDEX(Schedule!$A$1:$N$2000, MATCH($C535, VAV_Schedule_5_21[[#All],[UNIT TAG]], FALSE), 6)</f>
        <v>90</v>
      </c>
      <c r="U535" s="27">
        <f>INDEX(Schedule!$A$1:$N$2000, MATCH($C535, VAV_Schedule_5_21[[#All],[UNIT TAG]], FALSE), 5)</f>
        <v>600</v>
      </c>
      <c r="V535" s="27">
        <f>INDEX(Schedule!$A$1:$N$2000, MATCH($C535, VAV_Schedule_5_21[[#All],[UNIT TAG]], FALSE), 6)</f>
        <v>90</v>
      </c>
      <c r="W535" s="27">
        <f>INDEX(Schedule!$A$1:$N$2000, MATCH($C535, VAV_Schedule_5_21[[#All],[UNIT TAG]], FALSE), 6)</f>
        <v>90</v>
      </c>
      <c r="X535" s="27">
        <f>INDEX(Schedule!$A$1:$N$2000, MATCH($C535, VAV_Schedule_5_21[[#All],[UNIT TAG]], FALSE), 6)</f>
        <v>90</v>
      </c>
      <c r="Y535" s="27">
        <f>INDEX(Schedule!$A$1:$N$2000, MATCH($C535, VAV_Schedule_5_21[[#All],[UNIT TAG]], FALSE), 6)</f>
        <v>90</v>
      </c>
      <c r="Z535" s="27">
        <f>INDEX(Schedule!$A$1:$N$2000, MATCH($C535, VAV_Schedule_5_21[[#All],[UNIT TAG]], FALSE), 6)</f>
        <v>90</v>
      </c>
      <c r="AA535" s="27">
        <v>1000</v>
      </c>
      <c r="AB535" s="27">
        <v>1100</v>
      </c>
      <c r="AC535">
        <v>1400</v>
      </c>
      <c r="AD535" s="29">
        <f>IF(INDEX(Schedule!$A$1:$N$2000, MATCH($C535, VAV_Schedule_5_21[[#All],[UNIT TAG]], FALSE), 7)="-", 0, INDEX(Schedule!$A$1:$N$2000, MATCH($C535, VAV_Schedule_5_21[[#All],[UNIT TAG]], FALSE), 7))</f>
        <v>0</v>
      </c>
      <c r="AE535" t="str">
        <f>"B_01'" &amp; "Flr_0" &amp; INDEX(Joined!$A$3:$M$2000, MATCH($A535, Joined!$I$3:$I$2000, FALSE), 8)</f>
        <v>B_01'Flr_014</v>
      </c>
      <c r="AF535" t="str">
        <f>"R_" &amp; INDEX(Joined!$A$3:$M$2000, MATCH($A535, Joined!$I$3:$I$2000, FALSE), 7)</f>
        <v>R_VAV-14N-7</v>
      </c>
      <c r="AG535" t="str">
        <f>"B_01'" &amp; "Flr_0" &amp; INDEX(Joined!$A$3:$M$2000, MATCH($A535, Joined!$I$3:$I$2000, FALSE), 8)</f>
        <v>B_01'Flr_014</v>
      </c>
      <c r="AH535" t="str">
        <f>INDEX(Joined!$A$3:$M$2000, MATCH($A535, Joined!$I$3:$I$2000, FALSE), 7)</f>
        <v>VAV-14N-7</v>
      </c>
      <c r="AI535" t="s">
        <v>1863</v>
      </c>
    </row>
    <row r="536" spans="1:35" x14ac:dyDescent="0.2">
      <c r="A536" t="s">
        <v>1397</v>
      </c>
      <c r="B536" t="str">
        <f>"B_01'" &amp; "Flr_0" &amp; INDEX(Joined!$A$3:$M$2000, MATCH($A536, Joined!$I$3:$I$2000, FALSE), 8)</f>
        <v>B_01'Flr_014</v>
      </c>
      <c r="C536" t="str">
        <f>INDEX(Joined!$A$3:$M$2000, MATCH($A536, Joined!$I$3:$I$2000, FALSE), 7)</f>
        <v>VAV-14N-8</v>
      </c>
      <c r="D536">
        <f>INDEX(Joined!$A$3:$M$2000, MATCH($A536, Joined!$I$3:$I$2000, FALSE), 5)</f>
        <v>153704</v>
      </c>
      <c r="E536" t="str">
        <f>INDEX(Joined!$A$3:$M$2000, MATCH($A536, Joined!$I$3:$I$2000, FALSE), 7)</f>
        <v>VAV-14N-8</v>
      </c>
      <c r="F536" t="s">
        <v>38</v>
      </c>
      <c r="G536" t="str">
        <f>INDEX(Schedule!$Q$2:$R$7, MATCH(ABT!$H536,Schedule!$Q$2:$Q$7, 0), 2)</f>
        <v>15010_DXR_VAV_DXR2M12</v>
      </c>
      <c r="H536">
        <f>INDEX(Joined!$A$3:$M$2000, MATCH($A536, Joined!$I$3:$I$2000, FALSE), 6)</f>
        <v>15010</v>
      </c>
      <c r="I536" t="str">
        <f>INDEX(Joined!$A$3:$M$2000, MATCH($A536, Joined!$I$3:$I$2000, FALSE), 4)</f>
        <v>537</v>
      </c>
      <c r="J536" t="b">
        <v>0</v>
      </c>
      <c r="K536">
        <f>INDEX(Joined!$A$3:$M$2000, MATCH($A536, Joined!$I$3:$I$2000, FALSE), 3)</f>
        <v>4</v>
      </c>
      <c r="L536">
        <v>85</v>
      </c>
      <c r="M536">
        <v>38400</v>
      </c>
      <c r="N536" s="27">
        <f>PI()*(INDEX(Schedule!$A$1:$N$2000, MATCH($C536, VAV_Schedule_5_21[[#All],[UNIT TAG]], FALSE), 4)/2/12)^2</f>
        <v>0.78539816339744828</v>
      </c>
      <c r="O536" s="27">
        <f>INDEX(Schedule!$A$1:$N$2000, MATCH($C536, VAV_Schedule_5_21[[#All],[UNIT TAG]], FALSE), 4)</f>
        <v>12</v>
      </c>
      <c r="P536">
        <v>534.63</v>
      </c>
      <c r="Q536" s="27">
        <f>INDEX(Schedule!$A$1:$N$2000, MATCH($C536, VAV_Schedule_5_21[[#All],[UNIT TAG]], FALSE), 5)</f>
        <v>1370</v>
      </c>
      <c r="R536" s="27">
        <f>INDEX(Schedule!$A$1:$N$2000, MATCH($C536, VAV_Schedule_5_21[[#All],[UNIT TAG]], FALSE), 6)</f>
        <v>210</v>
      </c>
      <c r="S536" s="27">
        <f>INDEX(Schedule!$A$1:$N$2000, MATCH($C536, VAV_Schedule_5_21[[#All],[UNIT TAG]], FALSE), 5)</f>
        <v>1370</v>
      </c>
      <c r="T536" s="27">
        <f>INDEX(Schedule!$A$1:$N$2000, MATCH($C536, VAV_Schedule_5_21[[#All],[UNIT TAG]], FALSE), 6)</f>
        <v>210</v>
      </c>
      <c r="U536" s="27">
        <f>INDEX(Schedule!$A$1:$N$2000, MATCH($C536, VAV_Schedule_5_21[[#All],[UNIT TAG]], FALSE), 5)</f>
        <v>1370</v>
      </c>
      <c r="V536" s="27">
        <f>INDEX(Schedule!$A$1:$N$2000, MATCH($C536, VAV_Schedule_5_21[[#All],[UNIT TAG]], FALSE), 6)</f>
        <v>210</v>
      </c>
      <c r="W536" s="27">
        <f>INDEX(Schedule!$A$1:$N$2000, MATCH($C536, VAV_Schedule_5_21[[#All],[UNIT TAG]], FALSE), 6)</f>
        <v>210</v>
      </c>
      <c r="X536" s="27">
        <f>INDEX(Schedule!$A$1:$N$2000, MATCH($C536, VAV_Schedule_5_21[[#All],[UNIT TAG]], FALSE), 6)</f>
        <v>210</v>
      </c>
      <c r="Y536" s="27">
        <f>INDEX(Schedule!$A$1:$N$2000, MATCH($C536, VAV_Schedule_5_21[[#All],[UNIT TAG]], FALSE), 6)</f>
        <v>210</v>
      </c>
      <c r="Z536" s="27">
        <f>INDEX(Schedule!$A$1:$N$2000, MATCH($C536, VAV_Schedule_5_21[[#All],[UNIT TAG]], FALSE), 6)</f>
        <v>210</v>
      </c>
      <c r="AA536" s="27">
        <v>1000</v>
      </c>
      <c r="AB536" s="27">
        <v>1100</v>
      </c>
      <c r="AC536">
        <v>1400</v>
      </c>
      <c r="AD536" s="29">
        <f>IF(INDEX(Schedule!$A$1:$N$2000, MATCH($C536, VAV_Schedule_5_21[[#All],[UNIT TAG]], FALSE), 7)="-", 0, INDEX(Schedule!$A$1:$N$2000, MATCH($C536, VAV_Schedule_5_21[[#All],[UNIT TAG]], FALSE), 7))</f>
        <v>0</v>
      </c>
      <c r="AE536" t="str">
        <f>"B_01'" &amp; "Flr_0" &amp; INDEX(Joined!$A$3:$M$2000, MATCH($A536, Joined!$I$3:$I$2000, FALSE), 8)</f>
        <v>B_01'Flr_014</v>
      </c>
      <c r="AF536" t="str">
        <f>"R_" &amp; INDEX(Joined!$A$3:$M$2000, MATCH($A536, Joined!$I$3:$I$2000, FALSE), 7)</f>
        <v>R_VAV-14N-8</v>
      </c>
      <c r="AG536" t="str">
        <f>"B_01'" &amp; "Flr_0" &amp; INDEX(Joined!$A$3:$M$2000, MATCH($A536, Joined!$I$3:$I$2000, FALSE), 8)</f>
        <v>B_01'Flr_014</v>
      </c>
      <c r="AH536" t="str">
        <f>INDEX(Joined!$A$3:$M$2000, MATCH($A536, Joined!$I$3:$I$2000, FALSE), 7)</f>
        <v>VAV-14N-8</v>
      </c>
      <c r="AI536" t="s">
        <v>1864</v>
      </c>
    </row>
    <row r="537" spans="1:35" x14ac:dyDescent="0.2">
      <c r="A537" t="s">
        <v>1398</v>
      </c>
      <c r="B537" t="str">
        <f>"B_01'" &amp; "Flr_0" &amp; INDEX(Joined!$A$3:$M$2000, MATCH($A537, Joined!$I$3:$I$2000, FALSE), 8)</f>
        <v>B_01'Flr_014</v>
      </c>
      <c r="C537" t="str">
        <f>INDEX(Joined!$A$3:$M$2000, MATCH($A537, Joined!$I$3:$I$2000, FALSE), 7)</f>
        <v>VAV-14N-8A</v>
      </c>
      <c r="D537">
        <f>INDEX(Joined!$A$3:$M$2000, MATCH($A537, Joined!$I$3:$I$2000, FALSE), 5)</f>
        <v>153705</v>
      </c>
      <c r="E537" t="str">
        <f>INDEX(Joined!$A$3:$M$2000, MATCH($A537, Joined!$I$3:$I$2000, FALSE), 7)</f>
        <v>VAV-14N-8A</v>
      </c>
      <c r="F537" t="s">
        <v>38</v>
      </c>
      <c r="G537" t="str">
        <f>INDEX(Schedule!$Q$2:$R$7, MATCH(ABT!$H537,Schedule!$Q$2:$Q$7, 0), 2)</f>
        <v>15010_DXR_VAV_DXR2M12</v>
      </c>
      <c r="H537">
        <f>INDEX(Joined!$A$3:$M$2000, MATCH($A537, Joined!$I$3:$I$2000, FALSE), 6)</f>
        <v>15010</v>
      </c>
      <c r="I537" t="str">
        <f>INDEX(Joined!$A$3:$M$2000, MATCH($A537, Joined!$I$3:$I$2000, FALSE), 4)</f>
        <v>537</v>
      </c>
      <c r="J537" t="b">
        <v>0</v>
      </c>
      <c r="K537">
        <f>INDEX(Joined!$A$3:$M$2000, MATCH($A537, Joined!$I$3:$I$2000, FALSE), 3)</f>
        <v>5</v>
      </c>
      <c r="L537">
        <v>85</v>
      </c>
      <c r="M537">
        <v>38400</v>
      </c>
      <c r="N537" s="27">
        <f>PI()*(INDEX(Schedule!$A$1:$N$2000, MATCH($C537, VAV_Schedule_5_21[[#All],[UNIT TAG]], FALSE), 4)/2/12)^2</f>
        <v>0.3490658503988659</v>
      </c>
      <c r="O537" s="27">
        <f>INDEX(Schedule!$A$1:$N$2000, MATCH($C537, VAV_Schedule_5_21[[#All],[UNIT TAG]], FALSE), 4)</f>
        <v>8</v>
      </c>
      <c r="P537">
        <v>535.63</v>
      </c>
      <c r="Q537" s="27">
        <f>INDEX(Schedule!$A$1:$N$2000, MATCH($C537, VAV_Schedule_5_21[[#All],[UNIT TAG]], FALSE), 5)</f>
        <v>550</v>
      </c>
      <c r="R537" s="27">
        <f>INDEX(Schedule!$A$1:$N$2000, MATCH($C537, VAV_Schedule_5_21[[#All],[UNIT TAG]], FALSE), 6)</f>
        <v>85</v>
      </c>
      <c r="S537" s="27">
        <f>INDEX(Schedule!$A$1:$N$2000, MATCH($C537, VAV_Schedule_5_21[[#All],[UNIT TAG]], FALSE), 5)</f>
        <v>550</v>
      </c>
      <c r="T537" s="27">
        <f>INDEX(Schedule!$A$1:$N$2000, MATCH($C537, VAV_Schedule_5_21[[#All],[UNIT TAG]], FALSE), 6)</f>
        <v>85</v>
      </c>
      <c r="U537" s="27">
        <f>INDEX(Schedule!$A$1:$N$2000, MATCH($C537, VAV_Schedule_5_21[[#All],[UNIT TAG]], FALSE), 5)</f>
        <v>550</v>
      </c>
      <c r="V537" s="27">
        <f>INDEX(Schedule!$A$1:$N$2000, MATCH($C537, VAV_Schedule_5_21[[#All],[UNIT TAG]], FALSE), 6)</f>
        <v>85</v>
      </c>
      <c r="W537" s="27">
        <f>INDEX(Schedule!$A$1:$N$2000, MATCH($C537, VAV_Schedule_5_21[[#All],[UNIT TAG]], FALSE), 6)</f>
        <v>85</v>
      </c>
      <c r="X537" s="27">
        <f>INDEX(Schedule!$A$1:$N$2000, MATCH($C537, VAV_Schedule_5_21[[#All],[UNIT TAG]], FALSE), 6)</f>
        <v>85</v>
      </c>
      <c r="Y537" s="27">
        <f>INDEX(Schedule!$A$1:$N$2000, MATCH($C537, VAV_Schedule_5_21[[#All],[UNIT TAG]], FALSE), 6)</f>
        <v>85</v>
      </c>
      <c r="Z537" s="27">
        <f>INDEX(Schedule!$A$1:$N$2000, MATCH($C537, VAV_Schedule_5_21[[#All],[UNIT TAG]], FALSE), 6)</f>
        <v>85</v>
      </c>
      <c r="AA537" s="27">
        <v>1000</v>
      </c>
      <c r="AB537" s="27">
        <v>1100</v>
      </c>
      <c r="AC537">
        <v>1400</v>
      </c>
      <c r="AD537" s="29">
        <f>IF(INDEX(Schedule!$A$1:$N$2000, MATCH($C537, VAV_Schedule_5_21[[#All],[UNIT TAG]], FALSE), 7)="-", 0, INDEX(Schedule!$A$1:$N$2000, MATCH($C537, VAV_Schedule_5_21[[#All],[UNIT TAG]], FALSE), 7))</f>
        <v>0</v>
      </c>
      <c r="AE537" t="str">
        <f>"B_01'" &amp; "Flr_0" &amp; INDEX(Joined!$A$3:$M$2000, MATCH($A537, Joined!$I$3:$I$2000, FALSE), 8)</f>
        <v>B_01'Flr_014</v>
      </c>
      <c r="AF537" t="str">
        <f>"R_" &amp; INDEX(Joined!$A$3:$M$2000, MATCH($A537, Joined!$I$3:$I$2000, FALSE), 7)</f>
        <v>R_VAV-14N-8A</v>
      </c>
      <c r="AG537" t="str">
        <f>"B_01'" &amp; "Flr_0" &amp; INDEX(Joined!$A$3:$M$2000, MATCH($A537, Joined!$I$3:$I$2000, FALSE), 8)</f>
        <v>B_01'Flr_014</v>
      </c>
      <c r="AH537" t="str">
        <f>INDEX(Joined!$A$3:$M$2000, MATCH($A537, Joined!$I$3:$I$2000, FALSE), 7)</f>
        <v>VAV-14N-8A</v>
      </c>
      <c r="AI537" t="s">
        <v>1865</v>
      </c>
    </row>
    <row r="538" spans="1:35" x14ac:dyDescent="0.2">
      <c r="A538" t="s">
        <v>1399</v>
      </c>
      <c r="B538" t="str">
        <f>"B_01'" &amp; "Flr_0" &amp; INDEX(Joined!$A$3:$M$2000, MATCH($A538, Joined!$I$3:$I$2000, FALSE), 8)</f>
        <v>B_01'Flr_014</v>
      </c>
      <c r="C538" t="str">
        <f>INDEX(Joined!$A$3:$M$2000, MATCH($A538, Joined!$I$3:$I$2000, FALSE), 7)</f>
        <v>VAV-14N-9</v>
      </c>
      <c r="D538">
        <f>INDEX(Joined!$A$3:$M$2000, MATCH($A538, Joined!$I$3:$I$2000, FALSE), 5)</f>
        <v>153706</v>
      </c>
      <c r="E538" t="str">
        <f>INDEX(Joined!$A$3:$M$2000, MATCH($A538, Joined!$I$3:$I$2000, FALSE), 7)</f>
        <v>VAV-14N-9</v>
      </c>
      <c r="F538" t="s">
        <v>38</v>
      </c>
      <c r="G538" t="str">
        <f>INDEX(Schedule!$Q$2:$R$7, MATCH(ABT!$H538,Schedule!$Q$2:$Q$7, 0), 2)</f>
        <v>15010_DXR_VAV_DXR2M12</v>
      </c>
      <c r="H538">
        <f>INDEX(Joined!$A$3:$M$2000, MATCH($A538, Joined!$I$3:$I$2000, FALSE), 6)</f>
        <v>15010</v>
      </c>
      <c r="I538" t="str">
        <f>INDEX(Joined!$A$3:$M$2000, MATCH($A538, Joined!$I$3:$I$2000, FALSE), 4)</f>
        <v>537</v>
      </c>
      <c r="J538" t="b">
        <v>0</v>
      </c>
      <c r="K538">
        <f>INDEX(Joined!$A$3:$M$2000, MATCH($A538, Joined!$I$3:$I$2000, FALSE), 3)</f>
        <v>6</v>
      </c>
      <c r="L538">
        <v>85</v>
      </c>
      <c r="M538">
        <v>38400</v>
      </c>
      <c r="N538" s="27">
        <f>PI()*(INDEX(Schedule!$A$1:$N$2000, MATCH($C538, VAV_Schedule_5_21[[#All],[UNIT TAG]], FALSE), 4)/2/12)^2</f>
        <v>0.54541539124822802</v>
      </c>
      <c r="O538" s="27">
        <f>INDEX(Schedule!$A$1:$N$2000, MATCH($C538, VAV_Schedule_5_21[[#All],[UNIT TAG]], FALSE), 4)</f>
        <v>10</v>
      </c>
      <c r="P538">
        <v>536.63</v>
      </c>
      <c r="Q538" s="27">
        <f>INDEX(Schedule!$A$1:$N$2000, MATCH($C538, VAV_Schedule_5_21[[#All],[UNIT TAG]], FALSE), 5)</f>
        <v>750</v>
      </c>
      <c r="R538" s="27">
        <f>INDEX(Schedule!$A$1:$N$2000, MATCH($C538, VAV_Schedule_5_21[[#All],[UNIT TAG]], FALSE), 6)</f>
        <v>115</v>
      </c>
      <c r="S538" s="27">
        <f>INDEX(Schedule!$A$1:$N$2000, MATCH($C538, VAV_Schedule_5_21[[#All],[UNIT TAG]], FALSE), 5)</f>
        <v>750</v>
      </c>
      <c r="T538" s="27">
        <f>INDEX(Schedule!$A$1:$N$2000, MATCH($C538, VAV_Schedule_5_21[[#All],[UNIT TAG]], FALSE), 6)</f>
        <v>115</v>
      </c>
      <c r="U538" s="27">
        <f>INDEX(Schedule!$A$1:$N$2000, MATCH($C538, VAV_Schedule_5_21[[#All],[UNIT TAG]], FALSE), 5)</f>
        <v>750</v>
      </c>
      <c r="V538" s="27">
        <f>INDEX(Schedule!$A$1:$N$2000, MATCH($C538, VAV_Schedule_5_21[[#All],[UNIT TAG]], FALSE), 6)</f>
        <v>115</v>
      </c>
      <c r="W538" s="27">
        <f>INDEX(Schedule!$A$1:$N$2000, MATCH($C538, VAV_Schedule_5_21[[#All],[UNIT TAG]], FALSE), 6)</f>
        <v>115</v>
      </c>
      <c r="X538" s="27">
        <f>INDEX(Schedule!$A$1:$N$2000, MATCH($C538, VAV_Schedule_5_21[[#All],[UNIT TAG]], FALSE), 6)</f>
        <v>115</v>
      </c>
      <c r="Y538" s="27">
        <f>INDEX(Schedule!$A$1:$N$2000, MATCH($C538, VAV_Schedule_5_21[[#All],[UNIT TAG]], FALSE), 6)</f>
        <v>115</v>
      </c>
      <c r="Z538" s="27">
        <f>INDEX(Schedule!$A$1:$N$2000, MATCH($C538, VAV_Schedule_5_21[[#All],[UNIT TAG]], FALSE), 6)</f>
        <v>115</v>
      </c>
      <c r="AA538" s="27">
        <v>1000</v>
      </c>
      <c r="AB538" s="27">
        <v>1100</v>
      </c>
      <c r="AC538">
        <v>1400</v>
      </c>
      <c r="AD538" s="29">
        <f>IF(INDEX(Schedule!$A$1:$N$2000, MATCH($C538, VAV_Schedule_5_21[[#All],[UNIT TAG]], FALSE), 7)="-", 0, INDEX(Schedule!$A$1:$N$2000, MATCH($C538, VAV_Schedule_5_21[[#All],[UNIT TAG]], FALSE), 7))</f>
        <v>0</v>
      </c>
      <c r="AE538" t="str">
        <f>"B_01'" &amp; "Flr_0" &amp; INDEX(Joined!$A$3:$M$2000, MATCH($A538, Joined!$I$3:$I$2000, FALSE), 8)</f>
        <v>B_01'Flr_014</v>
      </c>
      <c r="AF538" t="str">
        <f>"R_" &amp; INDEX(Joined!$A$3:$M$2000, MATCH($A538, Joined!$I$3:$I$2000, FALSE), 7)</f>
        <v>R_VAV-14N-9</v>
      </c>
      <c r="AG538" t="str">
        <f>"B_01'" &amp; "Flr_0" &amp; INDEX(Joined!$A$3:$M$2000, MATCH($A538, Joined!$I$3:$I$2000, FALSE), 8)</f>
        <v>B_01'Flr_014</v>
      </c>
      <c r="AH538" t="str">
        <f>INDEX(Joined!$A$3:$M$2000, MATCH($A538, Joined!$I$3:$I$2000, FALSE), 7)</f>
        <v>VAV-14N-9</v>
      </c>
      <c r="AI538" t="s">
        <v>1866</v>
      </c>
    </row>
    <row r="539" spans="1:35" x14ac:dyDescent="0.2">
      <c r="A539" t="s">
        <v>1400</v>
      </c>
      <c r="B539" t="str">
        <f>"B_01'" &amp; "Flr_0" &amp; INDEX(Joined!$A$3:$M$2000, MATCH($A539, Joined!$I$3:$I$2000, FALSE), 8)</f>
        <v>B_01'Flr_014</v>
      </c>
      <c r="C539" t="str">
        <f>INDEX(Joined!$A$3:$M$2000, MATCH($A539, Joined!$I$3:$I$2000, FALSE), 7)</f>
        <v>VAV-14N-10</v>
      </c>
      <c r="D539">
        <f>INDEX(Joined!$A$3:$M$2000, MATCH($A539, Joined!$I$3:$I$2000, FALSE), 5)</f>
        <v>153707</v>
      </c>
      <c r="E539" t="str">
        <f>INDEX(Joined!$A$3:$M$2000, MATCH($A539, Joined!$I$3:$I$2000, FALSE), 7)</f>
        <v>VAV-14N-10</v>
      </c>
      <c r="F539" t="s">
        <v>38</v>
      </c>
      <c r="G539" t="str">
        <f>INDEX(Schedule!$Q$2:$R$7, MATCH(ABT!$H539,Schedule!$Q$2:$Q$7, 0), 2)</f>
        <v>15010_DXR_VAV_DXR2M12</v>
      </c>
      <c r="H539">
        <f>INDEX(Joined!$A$3:$M$2000, MATCH($A539, Joined!$I$3:$I$2000, FALSE), 6)</f>
        <v>15010</v>
      </c>
      <c r="I539" t="str">
        <f>INDEX(Joined!$A$3:$M$2000, MATCH($A539, Joined!$I$3:$I$2000, FALSE), 4)</f>
        <v>537</v>
      </c>
      <c r="J539" t="b">
        <v>0</v>
      </c>
      <c r="K539">
        <f>INDEX(Joined!$A$3:$M$2000, MATCH($A539, Joined!$I$3:$I$2000, FALSE), 3)</f>
        <v>7</v>
      </c>
      <c r="L539">
        <v>85</v>
      </c>
      <c r="M539">
        <v>38400</v>
      </c>
      <c r="N539" s="27">
        <f>PI()*(INDEX(Schedule!$A$1:$N$2000, MATCH($C539, VAV_Schedule_5_21[[#All],[UNIT TAG]], FALSE), 4)/2/12)^2</f>
        <v>0.78539816339744828</v>
      </c>
      <c r="O539" s="27">
        <f>INDEX(Schedule!$A$1:$N$2000, MATCH($C539, VAV_Schedule_5_21[[#All],[UNIT TAG]], FALSE), 4)</f>
        <v>12</v>
      </c>
      <c r="P539">
        <v>537.63</v>
      </c>
      <c r="Q539" s="27">
        <f>INDEX(Schedule!$A$1:$N$2000, MATCH($C539, VAV_Schedule_5_21[[#All],[UNIT TAG]], FALSE), 5)</f>
        <v>1200</v>
      </c>
      <c r="R539" s="27">
        <f>INDEX(Schedule!$A$1:$N$2000, MATCH($C539, VAV_Schedule_5_21[[#All],[UNIT TAG]], FALSE), 6)</f>
        <v>180</v>
      </c>
      <c r="S539" s="27">
        <f>INDEX(Schedule!$A$1:$N$2000, MATCH($C539, VAV_Schedule_5_21[[#All],[UNIT TAG]], FALSE), 5)</f>
        <v>1200</v>
      </c>
      <c r="T539" s="27">
        <f>INDEX(Schedule!$A$1:$N$2000, MATCH($C539, VAV_Schedule_5_21[[#All],[UNIT TAG]], FALSE), 6)</f>
        <v>180</v>
      </c>
      <c r="U539" s="27">
        <f>INDEX(Schedule!$A$1:$N$2000, MATCH($C539, VAV_Schedule_5_21[[#All],[UNIT TAG]], FALSE), 5)</f>
        <v>1200</v>
      </c>
      <c r="V539" s="27">
        <f>INDEX(Schedule!$A$1:$N$2000, MATCH($C539, VAV_Schedule_5_21[[#All],[UNIT TAG]], FALSE), 6)</f>
        <v>180</v>
      </c>
      <c r="W539" s="27">
        <f>INDEX(Schedule!$A$1:$N$2000, MATCH($C539, VAV_Schedule_5_21[[#All],[UNIT TAG]], FALSE), 6)</f>
        <v>180</v>
      </c>
      <c r="X539" s="27">
        <f>INDEX(Schedule!$A$1:$N$2000, MATCH($C539, VAV_Schedule_5_21[[#All],[UNIT TAG]], FALSE), 6)</f>
        <v>180</v>
      </c>
      <c r="Y539" s="27">
        <f>INDEX(Schedule!$A$1:$N$2000, MATCH($C539, VAV_Schedule_5_21[[#All],[UNIT TAG]], FALSE), 6)</f>
        <v>180</v>
      </c>
      <c r="Z539" s="27">
        <f>INDEX(Schedule!$A$1:$N$2000, MATCH($C539, VAV_Schedule_5_21[[#All],[UNIT TAG]], FALSE), 6)</f>
        <v>180</v>
      </c>
      <c r="AA539" s="27">
        <v>1000</v>
      </c>
      <c r="AB539" s="27">
        <v>1100</v>
      </c>
      <c r="AC539">
        <v>1400</v>
      </c>
      <c r="AD539" s="29">
        <f>IF(INDEX(Schedule!$A$1:$N$2000, MATCH($C539, VAV_Schedule_5_21[[#All],[UNIT TAG]], FALSE), 7)="-", 0, INDEX(Schedule!$A$1:$N$2000, MATCH($C539, VAV_Schedule_5_21[[#All],[UNIT TAG]], FALSE), 7))</f>
        <v>0</v>
      </c>
      <c r="AE539" t="str">
        <f>"B_01'" &amp; "Flr_0" &amp; INDEX(Joined!$A$3:$M$2000, MATCH($A539, Joined!$I$3:$I$2000, FALSE), 8)</f>
        <v>B_01'Flr_014</v>
      </c>
      <c r="AF539" t="str">
        <f>"R_" &amp; INDEX(Joined!$A$3:$M$2000, MATCH($A539, Joined!$I$3:$I$2000, FALSE), 7)</f>
        <v>R_VAV-14N-10</v>
      </c>
      <c r="AG539" t="str">
        <f>"B_01'" &amp; "Flr_0" &amp; INDEX(Joined!$A$3:$M$2000, MATCH($A539, Joined!$I$3:$I$2000, FALSE), 8)</f>
        <v>B_01'Flr_014</v>
      </c>
      <c r="AH539" t="str">
        <f>INDEX(Joined!$A$3:$M$2000, MATCH($A539, Joined!$I$3:$I$2000, FALSE), 7)</f>
        <v>VAV-14N-10</v>
      </c>
      <c r="AI539" t="s">
        <v>1867</v>
      </c>
    </row>
    <row r="540" spans="1:35" x14ac:dyDescent="0.2">
      <c r="A540" t="s">
        <v>1401</v>
      </c>
      <c r="B540" t="str">
        <f>"B_01'" &amp; "Flr_0" &amp; INDEX(Joined!$A$3:$M$2000, MATCH($A540, Joined!$I$3:$I$2000, FALSE), 8)</f>
        <v>B_01'Flr_014</v>
      </c>
      <c r="C540" t="str">
        <f>INDEX(Joined!$A$3:$M$2000, MATCH($A540, Joined!$I$3:$I$2000, FALSE), 7)</f>
        <v>VAV-14N-11</v>
      </c>
      <c r="D540">
        <f>INDEX(Joined!$A$3:$M$2000, MATCH($A540, Joined!$I$3:$I$2000, FALSE), 5)</f>
        <v>153708</v>
      </c>
      <c r="E540" t="str">
        <f>INDEX(Joined!$A$3:$M$2000, MATCH($A540, Joined!$I$3:$I$2000, FALSE), 7)</f>
        <v>VAV-14N-11</v>
      </c>
      <c r="F540" t="s">
        <v>38</v>
      </c>
      <c r="G540" t="str">
        <f>INDEX(Schedule!$Q$2:$R$7, MATCH(ABT!$H540,Schedule!$Q$2:$Q$7, 0), 2)</f>
        <v>15010_DXR_VAV_DXR2M12</v>
      </c>
      <c r="H540">
        <f>INDEX(Joined!$A$3:$M$2000, MATCH($A540, Joined!$I$3:$I$2000, FALSE), 6)</f>
        <v>15010</v>
      </c>
      <c r="I540" t="str">
        <f>INDEX(Joined!$A$3:$M$2000, MATCH($A540, Joined!$I$3:$I$2000, FALSE), 4)</f>
        <v>537</v>
      </c>
      <c r="J540" t="b">
        <v>0</v>
      </c>
      <c r="K540">
        <f>INDEX(Joined!$A$3:$M$2000, MATCH($A540, Joined!$I$3:$I$2000, FALSE), 3)</f>
        <v>8</v>
      </c>
      <c r="L540">
        <v>85</v>
      </c>
      <c r="M540">
        <v>38400</v>
      </c>
      <c r="N540" s="27">
        <f>PI()*(INDEX(Schedule!$A$1:$N$2000, MATCH($C540, VAV_Schedule_5_21[[#All],[UNIT TAG]], FALSE), 4)/2/12)^2</f>
        <v>0.19634954084936207</v>
      </c>
      <c r="O540" s="27">
        <f>INDEX(Schedule!$A$1:$N$2000, MATCH($C540, VAV_Schedule_5_21[[#All],[UNIT TAG]], FALSE), 4)</f>
        <v>6</v>
      </c>
      <c r="P540">
        <v>538.63</v>
      </c>
      <c r="Q540" s="27">
        <f>INDEX(Schedule!$A$1:$N$2000, MATCH($C540, VAV_Schedule_5_21[[#All],[UNIT TAG]], FALSE), 5)</f>
        <v>240</v>
      </c>
      <c r="R540" s="27">
        <f>INDEX(Schedule!$A$1:$N$2000, MATCH($C540, VAV_Schedule_5_21[[#All],[UNIT TAG]], FALSE), 6)</f>
        <v>40</v>
      </c>
      <c r="S540" s="27">
        <f>INDEX(Schedule!$A$1:$N$2000, MATCH($C540, VAV_Schedule_5_21[[#All],[UNIT TAG]], FALSE), 5)</f>
        <v>240</v>
      </c>
      <c r="T540" s="27">
        <f>INDEX(Schedule!$A$1:$N$2000, MATCH($C540, VAV_Schedule_5_21[[#All],[UNIT TAG]], FALSE), 6)</f>
        <v>40</v>
      </c>
      <c r="U540" s="27">
        <f>INDEX(Schedule!$A$1:$N$2000, MATCH($C540, VAV_Schedule_5_21[[#All],[UNIT TAG]], FALSE), 5)</f>
        <v>240</v>
      </c>
      <c r="V540" s="27">
        <f>INDEX(Schedule!$A$1:$N$2000, MATCH($C540, VAV_Schedule_5_21[[#All],[UNIT TAG]], FALSE), 6)</f>
        <v>40</v>
      </c>
      <c r="W540" s="27">
        <f>INDEX(Schedule!$A$1:$N$2000, MATCH($C540, VAV_Schedule_5_21[[#All],[UNIT TAG]], FALSE), 6)</f>
        <v>40</v>
      </c>
      <c r="X540" s="27">
        <f>INDEX(Schedule!$A$1:$N$2000, MATCH($C540, VAV_Schedule_5_21[[#All],[UNIT TAG]], FALSE), 6)</f>
        <v>40</v>
      </c>
      <c r="Y540" s="27">
        <f>INDEX(Schedule!$A$1:$N$2000, MATCH($C540, VAV_Schedule_5_21[[#All],[UNIT TAG]], FALSE), 6)</f>
        <v>40</v>
      </c>
      <c r="Z540" s="27">
        <f>INDEX(Schedule!$A$1:$N$2000, MATCH($C540, VAV_Schedule_5_21[[#All],[UNIT TAG]], FALSE), 6)</f>
        <v>40</v>
      </c>
      <c r="AA540" s="27">
        <v>1000</v>
      </c>
      <c r="AB540" s="27">
        <v>1100</v>
      </c>
      <c r="AC540">
        <v>1400</v>
      </c>
      <c r="AD540" s="29">
        <f>IF(INDEX(Schedule!$A$1:$N$2000, MATCH($C540, VAV_Schedule_5_21[[#All],[UNIT TAG]], FALSE), 7)="-", 0, INDEX(Schedule!$A$1:$N$2000, MATCH($C540, VAV_Schedule_5_21[[#All],[UNIT TAG]], FALSE), 7))</f>
        <v>0</v>
      </c>
      <c r="AE540" t="str">
        <f>"B_01'" &amp; "Flr_0" &amp; INDEX(Joined!$A$3:$M$2000, MATCH($A540, Joined!$I$3:$I$2000, FALSE), 8)</f>
        <v>B_01'Flr_014</v>
      </c>
      <c r="AF540" t="str">
        <f>"R_" &amp; INDEX(Joined!$A$3:$M$2000, MATCH($A540, Joined!$I$3:$I$2000, FALSE), 7)</f>
        <v>R_VAV-14N-11</v>
      </c>
      <c r="AG540" t="str">
        <f>"B_01'" &amp; "Flr_0" &amp; INDEX(Joined!$A$3:$M$2000, MATCH($A540, Joined!$I$3:$I$2000, FALSE), 8)</f>
        <v>B_01'Flr_014</v>
      </c>
      <c r="AH540" t="str">
        <f>INDEX(Joined!$A$3:$M$2000, MATCH($A540, Joined!$I$3:$I$2000, FALSE), 7)</f>
        <v>VAV-14N-11</v>
      </c>
      <c r="AI540" t="s">
        <v>1868</v>
      </c>
    </row>
    <row r="541" spans="1:35" x14ac:dyDescent="0.2">
      <c r="A541" t="s">
        <v>1402</v>
      </c>
      <c r="B541" t="str">
        <f>"B_01'" &amp; "Flr_0" &amp; INDEX(Joined!$A$3:$M$2000, MATCH($A541, Joined!$I$3:$I$2000, FALSE), 8)</f>
        <v>B_01'Flr_014</v>
      </c>
      <c r="C541" t="str">
        <f>INDEX(Joined!$A$3:$M$2000, MATCH($A541, Joined!$I$3:$I$2000, FALSE), 7)</f>
        <v>VAV-14N-12</v>
      </c>
      <c r="D541">
        <f>INDEX(Joined!$A$3:$M$2000, MATCH($A541, Joined!$I$3:$I$2000, FALSE), 5)</f>
        <v>153709</v>
      </c>
      <c r="E541" t="str">
        <f>INDEX(Joined!$A$3:$M$2000, MATCH($A541, Joined!$I$3:$I$2000, FALSE), 7)</f>
        <v>VAV-14N-12</v>
      </c>
      <c r="F541" t="s">
        <v>38</v>
      </c>
      <c r="G541" t="str">
        <f>INDEX(Schedule!$Q$2:$R$7, MATCH(ABT!$H541,Schedule!$Q$2:$Q$7, 0), 2)</f>
        <v>15010_DXR_VAV_DXR2M12</v>
      </c>
      <c r="H541">
        <f>INDEX(Joined!$A$3:$M$2000, MATCH($A541, Joined!$I$3:$I$2000, FALSE), 6)</f>
        <v>15010</v>
      </c>
      <c r="I541" t="str">
        <f>INDEX(Joined!$A$3:$M$2000, MATCH($A541, Joined!$I$3:$I$2000, FALSE), 4)</f>
        <v>537</v>
      </c>
      <c r="J541" t="b">
        <v>0</v>
      </c>
      <c r="K541">
        <f>INDEX(Joined!$A$3:$M$2000, MATCH($A541, Joined!$I$3:$I$2000, FALSE), 3)</f>
        <v>9</v>
      </c>
      <c r="L541">
        <v>85</v>
      </c>
      <c r="M541">
        <v>38400</v>
      </c>
      <c r="N541" s="27">
        <f>PI()*(INDEX(Schedule!$A$1:$N$2000, MATCH($C541, VAV_Schedule_5_21[[#All],[UNIT TAG]], FALSE), 4)/2/12)^2</f>
        <v>0.78539816339744828</v>
      </c>
      <c r="O541" s="27">
        <f>INDEX(Schedule!$A$1:$N$2000, MATCH($C541, VAV_Schedule_5_21[[#All],[UNIT TAG]], FALSE), 4)</f>
        <v>12</v>
      </c>
      <c r="P541">
        <v>539.63</v>
      </c>
      <c r="Q541" s="27">
        <f>INDEX(Schedule!$A$1:$N$2000, MATCH($C541, VAV_Schedule_5_21[[#All],[UNIT TAG]], FALSE), 5)</f>
        <v>1360</v>
      </c>
      <c r="R541" s="27">
        <f>INDEX(Schedule!$A$1:$N$2000, MATCH($C541, VAV_Schedule_5_21[[#All],[UNIT TAG]], FALSE), 6)</f>
        <v>205</v>
      </c>
      <c r="S541" s="27">
        <f>INDEX(Schedule!$A$1:$N$2000, MATCH($C541, VAV_Schedule_5_21[[#All],[UNIT TAG]], FALSE), 5)</f>
        <v>1360</v>
      </c>
      <c r="T541" s="27">
        <f>INDEX(Schedule!$A$1:$N$2000, MATCH($C541, VAV_Schedule_5_21[[#All],[UNIT TAG]], FALSE), 6)</f>
        <v>205</v>
      </c>
      <c r="U541" s="27">
        <f>INDEX(Schedule!$A$1:$N$2000, MATCH($C541, VAV_Schedule_5_21[[#All],[UNIT TAG]], FALSE), 5)</f>
        <v>1360</v>
      </c>
      <c r="V541" s="27">
        <f>INDEX(Schedule!$A$1:$N$2000, MATCH($C541, VAV_Schedule_5_21[[#All],[UNIT TAG]], FALSE), 6)</f>
        <v>205</v>
      </c>
      <c r="W541" s="27">
        <f>INDEX(Schedule!$A$1:$N$2000, MATCH($C541, VAV_Schedule_5_21[[#All],[UNIT TAG]], FALSE), 6)</f>
        <v>205</v>
      </c>
      <c r="X541" s="27">
        <f>INDEX(Schedule!$A$1:$N$2000, MATCH($C541, VAV_Schedule_5_21[[#All],[UNIT TAG]], FALSE), 6)</f>
        <v>205</v>
      </c>
      <c r="Y541" s="27">
        <f>INDEX(Schedule!$A$1:$N$2000, MATCH($C541, VAV_Schedule_5_21[[#All],[UNIT TAG]], FALSE), 6)</f>
        <v>205</v>
      </c>
      <c r="Z541" s="27">
        <f>INDEX(Schedule!$A$1:$N$2000, MATCH($C541, VAV_Schedule_5_21[[#All],[UNIT TAG]], FALSE), 6)</f>
        <v>205</v>
      </c>
      <c r="AA541" s="27">
        <v>1000</v>
      </c>
      <c r="AB541" s="27">
        <v>1100</v>
      </c>
      <c r="AC541">
        <v>1400</v>
      </c>
      <c r="AD541" s="29">
        <f>IF(INDEX(Schedule!$A$1:$N$2000, MATCH($C541, VAV_Schedule_5_21[[#All],[UNIT TAG]], FALSE), 7)="-", 0, INDEX(Schedule!$A$1:$N$2000, MATCH($C541, VAV_Schedule_5_21[[#All],[UNIT TAG]], FALSE), 7))</f>
        <v>0</v>
      </c>
      <c r="AE541" t="str">
        <f>"B_01'" &amp; "Flr_0" &amp; INDEX(Joined!$A$3:$M$2000, MATCH($A541, Joined!$I$3:$I$2000, FALSE), 8)</f>
        <v>B_01'Flr_014</v>
      </c>
      <c r="AF541" t="str">
        <f>"R_" &amp; INDEX(Joined!$A$3:$M$2000, MATCH($A541, Joined!$I$3:$I$2000, FALSE), 7)</f>
        <v>R_VAV-14N-12</v>
      </c>
      <c r="AG541" t="str">
        <f>"B_01'" &amp; "Flr_0" &amp; INDEX(Joined!$A$3:$M$2000, MATCH($A541, Joined!$I$3:$I$2000, FALSE), 8)</f>
        <v>B_01'Flr_014</v>
      </c>
      <c r="AH541" t="str">
        <f>INDEX(Joined!$A$3:$M$2000, MATCH($A541, Joined!$I$3:$I$2000, FALSE), 7)</f>
        <v>VAV-14N-12</v>
      </c>
      <c r="AI541" t="s">
        <v>1869</v>
      </c>
    </row>
    <row r="542" spans="1:35" x14ac:dyDescent="0.2">
      <c r="A542" t="s">
        <v>1403</v>
      </c>
      <c r="B542" t="str">
        <f>"B_01'" &amp; "Flr_0" &amp; INDEX(Joined!$A$3:$M$2000, MATCH($A542, Joined!$I$3:$I$2000, FALSE), 8)</f>
        <v>B_01'Flr_014</v>
      </c>
      <c r="C542" t="str">
        <f>INDEX(Joined!$A$3:$M$2000, MATCH($A542, Joined!$I$3:$I$2000, FALSE), 7)</f>
        <v>VAV-14N-13</v>
      </c>
      <c r="D542">
        <f>INDEX(Joined!$A$3:$M$2000, MATCH($A542, Joined!$I$3:$I$2000, FALSE), 5)</f>
        <v>153710</v>
      </c>
      <c r="E542" t="str">
        <f>INDEX(Joined!$A$3:$M$2000, MATCH($A542, Joined!$I$3:$I$2000, FALSE), 7)</f>
        <v>VAV-14N-13</v>
      </c>
      <c r="F542" t="s">
        <v>38</v>
      </c>
      <c r="G542" t="str">
        <f>INDEX(Schedule!$Q$2:$R$7, MATCH(ABT!$H542,Schedule!$Q$2:$Q$7, 0), 2)</f>
        <v>15010_DXR_VAV_DXR2M12</v>
      </c>
      <c r="H542">
        <f>INDEX(Joined!$A$3:$M$2000, MATCH($A542, Joined!$I$3:$I$2000, FALSE), 6)</f>
        <v>15010</v>
      </c>
      <c r="I542" t="str">
        <f>INDEX(Joined!$A$3:$M$2000, MATCH($A542, Joined!$I$3:$I$2000, FALSE), 4)</f>
        <v>537</v>
      </c>
      <c r="J542" t="b">
        <v>0</v>
      </c>
      <c r="K542">
        <f>INDEX(Joined!$A$3:$M$2000, MATCH($A542, Joined!$I$3:$I$2000, FALSE), 3)</f>
        <v>10</v>
      </c>
      <c r="L542">
        <v>85</v>
      </c>
      <c r="M542">
        <v>38400</v>
      </c>
      <c r="N542" s="27">
        <f>PI()*(INDEX(Schedule!$A$1:$N$2000, MATCH($C542, VAV_Schedule_5_21[[#All],[UNIT TAG]], FALSE), 4)/2/12)^2</f>
        <v>0.19634954084936207</v>
      </c>
      <c r="O542" s="27">
        <f>INDEX(Schedule!$A$1:$N$2000, MATCH($C542, VAV_Schedule_5_21[[#All],[UNIT TAG]], FALSE), 4)</f>
        <v>6</v>
      </c>
      <c r="P542">
        <v>540.63</v>
      </c>
      <c r="Q542" s="27">
        <f>INDEX(Schedule!$A$1:$N$2000, MATCH($C542, VAV_Schedule_5_21[[#All],[UNIT TAG]], FALSE), 5)</f>
        <v>240</v>
      </c>
      <c r="R542" s="27">
        <f>INDEX(Schedule!$A$1:$N$2000, MATCH($C542, VAV_Schedule_5_21[[#All],[UNIT TAG]], FALSE), 6)</f>
        <v>40</v>
      </c>
      <c r="S542" s="27">
        <f>INDEX(Schedule!$A$1:$N$2000, MATCH($C542, VAV_Schedule_5_21[[#All],[UNIT TAG]], FALSE), 5)</f>
        <v>240</v>
      </c>
      <c r="T542" s="27">
        <f>INDEX(Schedule!$A$1:$N$2000, MATCH($C542, VAV_Schedule_5_21[[#All],[UNIT TAG]], FALSE), 6)</f>
        <v>40</v>
      </c>
      <c r="U542" s="27">
        <f>INDEX(Schedule!$A$1:$N$2000, MATCH($C542, VAV_Schedule_5_21[[#All],[UNIT TAG]], FALSE), 5)</f>
        <v>240</v>
      </c>
      <c r="V542" s="27">
        <f>INDEX(Schedule!$A$1:$N$2000, MATCH($C542, VAV_Schedule_5_21[[#All],[UNIT TAG]], FALSE), 6)</f>
        <v>40</v>
      </c>
      <c r="W542" s="27">
        <f>INDEX(Schedule!$A$1:$N$2000, MATCH($C542, VAV_Schedule_5_21[[#All],[UNIT TAG]], FALSE), 6)</f>
        <v>40</v>
      </c>
      <c r="X542" s="27">
        <f>INDEX(Schedule!$A$1:$N$2000, MATCH($C542, VAV_Schedule_5_21[[#All],[UNIT TAG]], FALSE), 6)</f>
        <v>40</v>
      </c>
      <c r="Y542" s="27">
        <f>INDEX(Schedule!$A$1:$N$2000, MATCH($C542, VAV_Schedule_5_21[[#All],[UNIT TAG]], FALSE), 6)</f>
        <v>40</v>
      </c>
      <c r="Z542" s="27">
        <f>INDEX(Schedule!$A$1:$N$2000, MATCH($C542, VAV_Schedule_5_21[[#All],[UNIT TAG]], FALSE), 6)</f>
        <v>40</v>
      </c>
      <c r="AA542" s="27">
        <v>1000</v>
      </c>
      <c r="AB542" s="27">
        <v>1100</v>
      </c>
      <c r="AC542">
        <v>1400</v>
      </c>
      <c r="AD542" s="29">
        <f>IF(INDEX(Schedule!$A$1:$N$2000, MATCH($C542, VAV_Schedule_5_21[[#All],[UNIT TAG]], FALSE), 7)="-", 0, INDEX(Schedule!$A$1:$N$2000, MATCH($C542, VAV_Schedule_5_21[[#All],[UNIT TAG]], FALSE), 7))</f>
        <v>0</v>
      </c>
      <c r="AE542" t="str">
        <f>"B_01'" &amp; "Flr_0" &amp; INDEX(Joined!$A$3:$M$2000, MATCH($A542, Joined!$I$3:$I$2000, FALSE), 8)</f>
        <v>B_01'Flr_014</v>
      </c>
      <c r="AF542" t="str">
        <f>"R_" &amp; INDEX(Joined!$A$3:$M$2000, MATCH($A542, Joined!$I$3:$I$2000, FALSE), 7)</f>
        <v>R_VAV-14N-13</v>
      </c>
      <c r="AG542" t="str">
        <f>"B_01'" &amp; "Flr_0" &amp; INDEX(Joined!$A$3:$M$2000, MATCH($A542, Joined!$I$3:$I$2000, FALSE), 8)</f>
        <v>B_01'Flr_014</v>
      </c>
      <c r="AH542" t="str">
        <f>INDEX(Joined!$A$3:$M$2000, MATCH($A542, Joined!$I$3:$I$2000, FALSE), 7)</f>
        <v>VAV-14N-13</v>
      </c>
      <c r="AI542" t="s">
        <v>1870</v>
      </c>
    </row>
    <row r="543" spans="1:35" x14ac:dyDescent="0.2">
      <c r="A543" t="s">
        <v>1404</v>
      </c>
      <c r="B543" t="str">
        <f>"B_01'" &amp; "Flr_0" &amp; INDEX(Joined!$A$3:$M$2000, MATCH($A543, Joined!$I$3:$I$2000, FALSE), 8)</f>
        <v>B_01'Flr_014</v>
      </c>
      <c r="C543" t="str">
        <f>INDEX(Joined!$A$3:$M$2000, MATCH($A543, Joined!$I$3:$I$2000, FALSE), 7)</f>
        <v>VAV-14N-14</v>
      </c>
      <c r="D543">
        <f>INDEX(Joined!$A$3:$M$2000, MATCH($A543, Joined!$I$3:$I$2000, FALSE), 5)</f>
        <v>153711</v>
      </c>
      <c r="E543" t="str">
        <f>INDEX(Joined!$A$3:$M$2000, MATCH($A543, Joined!$I$3:$I$2000, FALSE), 7)</f>
        <v>VAV-14N-14</v>
      </c>
      <c r="F543" t="s">
        <v>38</v>
      </c>
      <c r="G543" t="str">
        <f>INDEX(Schedule!$Q$2:$R$7, MATCH(ABT!$H543,Schedule!$Q$2:$Q$7, 0), 2)</f>
        <v>15010_DXR_VAV_DXR2M12</v>
      </c>
      <c r="H543">
        <f>INDEX(Joined!$A$3:$M$2000, MATCH($A543, Joined!$I$3:$I$2000, FALSE), 6)</f>
        <v>15010</v>
      </c>
      <c r="I543" t="str">
        <f>INDEX(Joined!$A$3:$M$2000, MATCH($A543, Joined!$I$3:$I$2000, FALSE), 4)</f>
        <v>537</v>
      </c>
      <c r="J543" t="b">
        <v>0</v>
      </c>
      <c r="K543">
        <f>INDEX(Joined!$A$3:$M$2000, MATCH($A543, Joined!$I$3:$I$2000, FALSE), 3)</f>
        <v>11</v>
      </c>
      <c r="L543">
        <v>85</v>
      </c>
      <c r="M543">
        <v>38400</v>
      </c>
      <c r="N543" s="27">
        <f>PI()*(INDEX(Schedule!$A$1:$N$2000, MATCH($C543, VAV_Schedule_5_21[[#All],[UNIT TAG]], FALSE), 4)/2/12)^2</f>
        <v>0.78539816339744828</v>
      </c>
      <c r="O543" s="27">
        <f>INDEX(Schedule!$A$1:$N$2000, MATCH($C543, VAV_Schedule_5_21[[#All],[UNIT TAG]], FALSE), 4)</f>
        <v>12</v>
      </c>
      <c r="P543">
        <v>541.63</v>
      </c>
      <c r="Q543" s="27">
        <f>INDEX(Schedule!$A$1:$N$2000, MATCH($C543, VAV_Schedule_5_21[[#All],[UNIT TAG]], FALSE), 5)</f>
        <v>1200</v>
      </c>
      <c r="R543" s="27">
        <f>INDEX(Schedule!$A$1:$N$2000, MATCH($C543, VAV_Schedule_5_21[[#All],[UNIT TAG]], FALSE), 6)</f>
        <v>180</v>
      </c>
      <c r="S543" s="27">
        <f>INDEX(Schedule!$A$1:$N$2000, MATCH($C543, VAV_Schedule_5_21[[#All],[UNIT TAG]], FALSE), 5)</f>
        <v>1200</v>
      </c>
      <c r="T543" s="27">
        <f>INDEX(Schedule!$A$1:$N$2000, MATCH($C543, VAV_Schedule_5_21[[#All],[UNIT TAG]], FALSE), 6)</f>
        <v>180</v>
      </c>
      <c r="U543" s="27">
        <f>INDEX(Schedule!$A$1:$N$2000, MATCH($C543, VAV_Schedule_5_21[[#All],[UNIT TAG]], FALSE), 5)</f>
        <v>1200</v>
      </c>
      <c r="V543" s="27">
        <f>INDEX(Schedule!$A$1:$N$2000, MATCH($C543, VAV_Schedule_5_21[[#All],[UNIT TAG]], FALSE), 6)</f>
        <v>180</v>
      </c>
      <c r="W543" s="27">
        <f>INDEX(Schedule!$A$1:$N$2000, MATCH($C543, VAV_Schedule_5_21[[#All],[UNIT TAG]], FALSE), 6)</f>
        <v>180</v>
      </c>
      <c r="X543" s="27">
        <f>INDEX(Schedule!$A$1:$N$2000, MATCH($C543, VAV_Schedule_5_21[[#All],[UNIT TAG]], FALSE), 6)</f>
        <v>180</v>
      </c>
      <c r="Y543" s="27">
        <f>INDEX(Schedule!$A$1:$N$2000, MATCH($C543, VAV_Schedule_5_21[[#All],[UNIT TAG]], FALSE), 6)</f>
        <v>180</v>
      </c>
      <c r="Z543" s="27">
        <f>INDEX(Schedule!$A$1:$N$2000, MATCH($C543, VAV_Schedule_5_21[[#All],[UNIT TAG]], FALSE), 6)</f>
        <v>180</v>
      </c>
      <c r="AA543" s="27">
        <v>1000</v>
      </c>
      <c r="AB543" s="27">
        <v>1100</v>
      </c>
      <c r="AC543">
        <v>1400</v>
      </c>
      <c r="AD543" s="29">
        <f>IF(INDEX(Schedule!$A$1:$N$2000, MATCH($C543, VAV_Schedule_5_21[[#All],[UNIT TAG]], FALSE), 7)="-", 0, INDEX(Schedule!$A$1:$N$2000, MATCH($C543, VAV_Schedule_5_21[[#All],[UNIT TAG]], FALSE), 7))</f>
        <v>0</v>
      </c>
      <c r="AE543" t="str">
        <f>"B_01'" &amp; "Flr_0" &amp; INDEX(Joined!$A$3:$M$2000, MATCH($A543, Joined!$I$3:$I$2000, FALSE), 8)</f>
        <v>B_01'Flr_014</v>
      </c>
      <c r="AF543" t="str">
        <f>"R_" &amp; INDEX(Joined!$A$3:$M$2000, MATCH($A543, Joined!$I$3:$I$2000, FALSE), 7)</f>
        <v>R_VAV-14N-14</v>
      </c>
      <c r="AG543" t="str">
        <f>"B_01'" &amp; "Flr_0" &amp; INDEX(Joined!$A$3:$M$2000, MATCH($A543, Joined!$I$3:$I$2000, FALSE), 8)</f>
        <v>B_01'Flr_014</v>
      </c>
      <c r="AH543" t="str">
        <f>INDEX(Joined!$A$3:$M$2000, MATCH($A543, Joined!$I$3:$I$2000, FALSE), 7)</f>
        <v>VAV-14N-14</v>
      </c>
      <c r="AI543" t="s">
        <v>1871</v>
      </c>
    </row>
    <row r="544" spans="1:35" x14ac:dyDescent="0.2">
      <c r="A544" t="s">
        <v>1405</v>
      </c>
      <c r="B544" t="str">
        <f>"B_01'" &amp; "Flr_0" &amp; INDEX(Joined!$A$3:$M$2000, MATCH($A544, Joined!$I$3:$I$2000, FALSE), 8)</f>
        <v>B_01'Flr_014</v>
      </c>
      <c r="C544" t="str">
        <f>INDEX(Joined!$A$3:$M$2000, MATCH($A544, Joined!$I$3:$I$2000, FALSE), 7)</f>
        <v>VAV-14E-15</v>
      </c>
      <c r="D544">
        <f>INDEX(Joined!$A$3:$M$2000, MATCH($A544, Joined!$I$3:$I$2000, FALSE), 5)</f>
        <v>153801</v>
      </c>
      <c r="E544" t="str">
        <f>INDEX(Joined!$A$3:$M$2000, MATCH($A544, Joined!$I$3:$I$2000, FALSE), 7)</f>
        <v>VAV-14E-15</v>
      </c>
      <c r="F544" t="s">
        <v>38</v>
      </c>
      <c r="G544" t="str">
        <f>INDEX(Schedule!$Q$2:$R$7, MATCH(ABT!$H544,Schedule!$Q$2:$Q$7, 0), 2)</f>
        <v>15011_DXR_VAV_DXR2M12</v>
      </c>
      <c r="H544">
        <f>INDEX(Joined!$A$3:$M$2000, MATCH($A544, Joined!$I$3:$I$2000, FALSE), 6)</f>
        <v>15011</v>
      </c>
      <c r="I544" t="str">
        <f>INDEX(Joined!$A$3:$M$2000, MATCH($A544, Joined!$I$3:$I$2000, FALSE), 4)</f>
        <v>538</v>
      </c>
      <c r="J544" t="b">
        <v>0</v>
      </c>
      <c r="K544">
        <f>INDEX(Joined!$A$3:$M$2000, MATCH($A544, Joined!$I$3:$I$2000, FALSE), 3)</f>
        <v>1</v>
      </c>
      <c r="L544">
        <v>85</v>
      </c>
      <c r="M544">
        <v>38400</v>
      </c>
      <c r="N544" s="27">
        <f>PI()*(INDEX(Schedule!$A$1:$N$2000, MATCH($C544, VAV_Schedule_5_21[[#All],[UNIT TAG]], FALSE), 4)/2/12)^2</f>
        <v>0.54541539124822802</v>
      </c>
      <c r="O544" s="27">
        <f>INDEX(Schedule!$A$1:$N$2000, MATCH($C544, VAV_Schedule_5_21[[#All],[UNIT TAG]], FALSE), 4)</f>
        <v>10</v>
      </c>
      <c r="P544">
        <v>542.63</v>
      </c>
      <c r="Q544" s="27">
        <f>INDEX(Schedule!$A$1:$N$2000, MATCH($C544, VAV_Schedule_5_21[[#All],[UNIT TAG]], FALSE), 5)</f>
        <v>840</v>
      </c>
      <c r="R544" s="27">
        <f>INDEX(Schedule!$A$1:$N$2000, MATCH($C544, VAV_Schedule_5_21[[#All],[UNIT TAG]], FALSE), 6)</f>
        <v>130</v>
      </c>
      <c r="S544" s="27">
        <f>INDEX(Schedule!$A$1:$N$2000, MATCH($C544, VAV_Schedule_5_21[[#All],[UNIT TAG]], FALSE), 5)</f>
        <v>840</v>
      </c>
      <c r="T544" s="27">
        <f>INDEX(Schedule!$A$1:$N$2000, MATCH($C544, VAV_Schedule_5_21[[#All],[UNIT TAG]], FALSE), 6)</f>
        <v>130</v>
      </c>
      <c r="U544" s="27">
        <f>INDEX(Schedule!$A$1:$N$2000, MATCH($C544, VAV_Schedule_5_21[[#All],[UNIT TAG]], FALSE), 5)</f>
        <v>840</v>
      </c>
      <c r="V544" s="27">
        <f>INDEX(Schedule!$A$1:$N$2000, MATCH($C544, VAV_Schedule_5_21[[#All],[UNIT TAG]], FALSE), 6)</f>
        <v>130</v>
      </c>
      <c r="W544" s="27">
        <f>INDEX(Schedule!$A$1:$N$2000, MATCH($C544, VAV_Schedule_5_21[[#All],[UNIT TAG]], FALSE), 6)</f>
        <v>130</v>
      </c>
      <c r="X544" s="27">
        <f>INDEX(Schedule!$A$1:$N$2000, MATCH($C544, VAV_Schedule_5_21[[#All],[UNIT TAG]], FALSE), 6)</f>
        <v>130</v>
      </c>
      <c r="Y544" s="27">
        <f>INDEX(Schedule!$A$1:$N$2000, MATCH($C544, VAV_Schedule_5_21[[#All],[UNIT TAG]], FALSE), 6)</f>
        <v>130</v>
      </c>
      <c r="Z544" s="27">
        <f>INDEX(Schedule!$A$1:$N$2000, MATCH($C544, VAV_Schedule_5_21[[#All],[UNIT TAG]], FALSE), 6)</f>
        <v>130</v>
      </c>
      <c r="AA544" s="27">
        <v>1000</v>
      </c>
      <c r="AB544" s="27">
        <v>1100</v>
      </c>
      <c r="AC544">
        <v>1400</v>
      </c>
      <c r="AD544" s="29" t="str">
        <f>IF(INDEX(Schedule!$A$1:$N$2000, MATCH($C544, VAV_Schedule_5_21[[#All],[UNIT TAG]], FALSE), 7)="-", 0, INDEX(Schedule!$A$1:$N$2000, MATCH($C544, VAV_Schedule_5_21[[#All],[UNIT TAG]], FALSE), 7))</f>
        <v>6</v>
      </c>
      <c r="AE544" t="str">
        <f>"B_01'" &amp; "Flr_0" &amp; INDEX(Joined!$A$3:$M$2000, MATCH($A544, Joined!$I$3:$I$2000, FALSE), 8)</f>
        <v>B_01'Flr_014</v>
      </c>
      <c r="AF544" t="str">
        <f>"R_" &amp; INDEX(Joined!$A$3:$M$2000, MATCH($A544, Joined!$I$3:$I$2000, FALSE), 7)</f>
        <v>R_VAV-14E-15</v>
      </c>
      <c r="AG544" t="str">
        <f>"B_01'" &amp; "Flr_0" &amp; INDEX(Joined!$A$3:$M$2000, MATCH($A544, Joined!$I$3:$I$2000, FALSE), 8)</f>
        <v>B_01'Flr_014</v>
      </c>
      <c r="AH544" t="str">
        <f>INDEX(Joined!$A$3:$M$2000, MATCH($A544, Joined!$I$3:$I$2000, FALSE), 7)</f>
        <v>VAV-14E-15</v>
      </c>
      <c r="AI544" t="s">
        <v>1872</v>
      </c>
    </row>
    <row r="545" spans="1:35" x14ac:dyDescent="0.2">
      <c r="A545" t="s">
        <v>1406</v>
      </c>
      <c r="B545" t="str">
        <f>"B_01'" &amp; "Flr_0" &amp; INDEX(Joined!$A$3:$M$2000, MATCH($A545, Joined!$I$3:$I$2000, FALSE), 8)</f>
        <v>B_01'Flr_014</v>
      </c>
      <c r="C545" t="str">
        <f>INDEX(Joined!$A$3:$M$2000, MATCH($A545, Joined!$I$3:$I$2000, FALSE), 7)</f>
        <v>VAV-14E-16</v>
      </c>
      <c r="D545">
        <f>INDEX(Joined!$A$3:$M$2000, MATCH($A545, Joined!$I$3:$I$2000, FALSE), 5)</f>
        <v>153802</v>
      </c>
      <c r="E545" t="str">
        <f>INDEX(Joined!$A$3:$M$2000, MATCH($A545, Joined!$I$3:$I$2000, FALSE), 7)</f>
        <v>VAV-14E-16</v>
      </c>
      <c r="F545" t="s">
        <v>38</v>
      </c>
      <c r="G545" t="str">
        <f>INDEX(Schedule!$Q$2:$R$7, MATCH(ABT!$H545,Schedule!$Q$2:$Q$7, 0), 2)</f>
        <v>15011_DXR_VAV_DXR2M12</v>
      </c>
      <c r="H545">
        <f>INDEX(Joined!$A$3:$M$2000, MATCH($A545, Joined!$I$3:$I$2000, FALSE), 6)</f>
        <v>15011</v>
      </c>
      <c r="I545" t="str">
        <f>INDEX(Joined!$A$3:$M$2000, MATCH($A545, Joined!$I$3:$I$2000, FALSE), 4)</f>
        <v>538</v>
      </c>
      <c r="J545" t="b">
        <v>0</v>
      </c>
      <c r="K545">
        <f>INDEX(Joined!$A$3:$M$2000, MATCH($A545, Joined!$I$3:$I$2000, FALSE), 3)</f>
        <v>2</v>
      </c>
      <c r="L545">
        <v>85</v>
      </c>
      <c r="M545">
        <v>38400</v>
      </c>
      <c r="N545" s="27">
        <f>PI()*(INDEX(Schedule!$A$1:$N$2000, MATCH($C545, VAV_Schedule_5_21[[#All],[UNIT TAG]], FALSE), 4)/2/12)^2</f>
        <v>0.3490658503988659</v>
      </c>
      <c r="O545" s="27">
        <f>INDEX(Schedule!$A$1:$N$2000, MATCH($C545, VAV_Schedule_5_21[[#All],[UNIT TAG]], FALSE), 4)</f>
        <v>8</v>
      </c>
      <c r="P545">
        <v>543.63</v>
      </c>
      <c r="Q545" s="27">
        <f>INDEX(Schedule!$A$1:$N$2000, MATCH($C545, VAV_Schedule_5_21[[#All],[UNIT TAG]], FALSE), 5)</f>
        <v>640</v>
      </c>
      <c r="R545" s="27">
        <f>INDEX(Schedule!$A$1:$N$2000, MATCH($C545, VAV_Schedule_5_21[[#All],[UNIT TAG]], FALSE), 6)</f>
        <v>100</v>
      </c>
      <c r="S545" s="27">
        <f>INDEX(Schedule!$A$1:$N$2000, MATCH($C545, VAV_Schedule_5_21[[#All],[UNIT TAG]], FALSE), 5)</f>
        <v>640</v>
      </c>
      <c r="T545" s="27">
        <f>INDEX(Schedule!$A$1:$N$2000, MATCH($C545, VAV_Schedule_5_21[[#All],[UNIT TAG]], FALSE), 6)</f>
        <v>100</v>
      </c>
      <c r="U545" s="27">
        <f>INDEX(Schedule!$A$1:$N$2000, MATCH($C545, VAV_Schedule_5_21[[#All],[UNIT TAG]], FALSE), 5)</f>
        <v>640</v>
      </c>
      <c r="V545" s="27">
        <f>INDEX(Schedule!$A$1:$N$2000, MATCH($C545, VAV_Schedule_5_21[[#All],[UNIT TAG]], FALSE), 6)</f>
        <v>100</v>
      </c>
      <c r="W545" s="27">
        <f>INDEX(Schedule!$A$1:$N$2000, MATCH($C545, VAV_Schedule_5_21[[#All],[UNIT TAG]], FALSE), 6)</f>
        <v>100</v>
      </c>
      <c r="X545" s="27">
        <f>INDEX(Schedule!$A$1:$N$2000, MATCH($C545, VAV_Schedule_5_21[[#All],[UNIT TAG]], FALSE), 6)</f>
        <v>100</v>
      </c>
      <c r="Y545" s="27">
        <f>INDEX(Schedule!$A$1:$N$2000, MATCH($C545, VAV_Schedule_5_21[[#All],[UNIT TAG]], FALSE), 6)</f>
        <v>100</v>
      </c>
      <c r="Z545" s="27">
        <f>INDEX(Schedule!$A$1:$N$2000, MATCH($C545, VAV_Schedule_5_21[[#All],[UNIT TAG]], FALSE), 6)</f>
        <v>100</v>
      </c>
      <c r="AA545" s="27">
        <v>1000</v>
      </c>
      <c r="AB545" s="27">
        <v>1100</v>
      </c>
      <c r="AC545">
        <v>1400</v>
      </c>
      <c r="AD545" s="29" t="str">
        <f>IF(INDEX(Schedule!$A$1:$N$2000, MATCH($C545, VAV_Schedule_5_21[[#All],[UNIT TAG]], FALSE), 7)="-", 0, INDEX(Schedule!$A$1:$N$2000, MATCH($C545, VAV_Schedule_5_21[[#All],[UNIT TAG]], FALSE), 7))</f>
        <v>6</v>
      </c>
      <c r="AE545" t="str">
        <f>"B_01'" &amp; "Flr_0" &amp; INDEX(Joined!$A$3:$M$2000, MATCH($A545, Joined!$I$3:$I$2000, FALSE), 8)</f>
        <v>B_01'Flr_014</v>
      </c>
      <c r="AF545" t="str">
        <f>"R_" &amp; INDEX(Joined!$A$3:$M$2000, MATCH($A545, Joined!$I$3:$I$2000, FALSE), 7)</f>
        <v>R_VAV-14E-16</v>
      </c>
      <c r="AG545" t="str">
        <f>"B_01'" &amp; "Flr_0" &amp; INDEX(Joined!$A$3:$M$2000, MATCH($A545, Joined!$I$3:$I$2000, FALSE), 8)</f>
        <v>B_01'Flr_014</v>
      </c>
      <c r="AH545" t="str">
        <f>INDEX(Joined!$A$3:$M$2000, MATCH($A545, Joined!$I$3:$I$2000, FALSE), 7)</f>
        <v>VAV-14E-16</v>
      </c>
      <c r="AI545" t="s">
        <v>1873</v>
      </c>
    </row>
    <row r="546" spans="1:35" x14ac:dyDescent="0.2">
      <c r="A546" t="s">
        <v>1407</v>
      </c>
      <c r="B546" t="str">
        <f>"B_01'" &amp; "Flr_0" &amp; INDEX(Joined!$A$3:$M$2000, MATCH($A546, Joined!$I$3:$I$2000, FALSE), 8)</f>
        <v>B_01'Flr_014</v>
      </c>
      <c r="C546" t="str">
        <f>INDEX(Joined!$A$3:$M$2000, MATCH($A546, Joined!$I$3:$I$2000, FALSE), 7)</f>
        <v>VAV-14E-17</v>
      </c>
      <c r="D546">
        <f>INDEX(Joined!$A$3:$M$2000, MATCH($A546, Joined!$I$3:$I$2000, FALSE), 5)</f>
        <v>153803</v>
      </c>
      <c r="E546" t="str">
        <f>INDEX(Joined!$A$3:$M$2000, MATCH($A546, Joined!$I$3:$I$2000, FALSE), 7)</f>
        <v>VAV-14E-17</v>
      </c>
      <c r="F546" t="s">
        <v>38</v>
      </c>
      <c r="G546" t="str">
        <f>INDEX(Schedule!$Q$2:$R$7, MATCH(ABT!$H546,Schedule!$Q$2:$Q$7, 0), 2)</f>
        <v>15011_DXR_VAV_DXR2M12</v>
      </c>
      <c r="H546">
        <f>INDEX(Joined!$A$3:$M$2000, MATCH($A546, Joined!$I$3:$I$2000, FALSE), 6)</f>
        <v>15011</v>
      </c>
      <c r="I546" t="str">
        <f>INDEX(Joined!$A$3:$M$2000, MATCH($A546, Joined!$I$3:$I$2000, FALSE), 4)</f>
        <v>538</v>
      </c>
      <c r="J546" t="b">
        <v>0</v>
      </c>
      <c r="K546">
        <f>INDEX(Joined!$A$3:$M$2000, MATCH($A546, Joined!$I$3:$I$2000, FALSE), 3)</f>
        <v>3</v>
      </c>
      <c r="L546">
        <v>85</v>
      </c>
      <c r="M546">
        <v>38400</v>
      </c>
      <c r="N546" s="27">
        <f>PI()*(INDEX(Schedule!$A$1:$N$2000, MATCH($C546, VAV_Schedule_5_21[[#All],[UNIT TAG]], FALSE), 4)/2/12)^2</f>
        <v>0.3490658503988659</v>
      </c>
      <c r="O546" s="27">
        <f>INDEX(Schedule!$A$1:$N$2000, MATCH($C546, VAV_Schedule_5_21[[#All],[UNIT TAG]], FALSE), 4)</f>
        <v>8</v>
      </c>
      <c r="P546">
        <v>544.63</v>
      </c>
      <c r="Q546" s="27">
        <f>INDEX(Schedule!$A$1:$N$2000, MATCH($C546, VAV_Schedule_5_21[[#All],[UNIT TAG]], FALSE), 5)</f>
        <v>600</v>
      </c>
      <c r="R546" s="27">
        <f>INDEX(Schedule!$A$1:$N$2000, MATCH($C546, VAV_Schedule_5_21[[#All],[UNIT TAG]], FALSE), 6)</f>
        <v>90</v>
      </c>
      <c r="S546" s="27">
        <f>INDEX(Schedule!$A$1:$N$2000, MATCH($C546, VAV_Schedule_5_21[[#All],[UNIT TAG]], FALSE), 5)</f>
        <v>600</v>
      </c>
      <c r="T546" s="27">
        <f>INDEX(Schedule!$A$1:$N$2000, MATCH($C546, VAV_Schedule_5_21[[#All],[UNIT TAG]], FALSE), 6)</f>
        <v>90</v>
      </c>
      <c r="U546" s="27">
        <f>INDEX(Schedule!$A$1:$N$2000, MATCH($C546, VAV_Schedule_5_21[[#All],[UNIT TAG]], FALSE), 5)</f>
        <v>600</v>
      </c>
      <c r="V546" s="27">
        <f>INDEX(Schedule!$A$1:$N$2000, MATCH($C546, VAV_Schedule_5_21[[#All],[UNIT TAG]], FALSE), 6)</f>
        <v>90</v>
      </c>
      <c r="W546" s="27">
        <f>INDEX(Schedule!$A$1:$N$2000, MATCH($C546, VAV_Schedule_5_21[[#All],[UNIT TAG]], FALSE), 6)</f>
        <v>90</v>
      </c>
      <c r="X546" s="27">
        <f>INDEX(Schedule!$A$1:$N$2000, MATCH($C546, VAV_Schedule_5_21[[#All],[UNIT TAG]], FALSE), 6)</f>
        <v>90</v>
      </c>
      <c r="Y546" s="27">
        <f>INDEX(Schedule!$A$1:$N$2000, MATCH($C546, VAV_Schedule_5_21[[#All],[UNIT TAG]], FALSE), 6)</f>
        <v>90</v>
      </c>
      <c r="Z546" s="27">
        <f>INDEX(Schedule!$A$1:$N$2000, MATCH($C546, VAV_Schedule_5_21[[#All],[UNIT TAG]], FALSE), 6)</f>
        <v>90</v>
      </c>
      <c r="AA546" s="27">
        <v>1000</v>
      </c>
      <c r="AB546" s="27">
        <v>1100</v>
      </c>
      <c r="AC546">
        <v>1400</v>
      </c>
      <c r="AD546" s="29" t="str">
        <f>IF(INDEX(Schedule!$A$1:$N$2000, MATCH($C546, VAV_Schedule_5_21[[#All],[UNIT TAG]], FALSE), 7)="-", 0, INDEX(Schedule!$A$1:$N$2000, MATCH($C546, VAV_Schedule_5_21[[#All],[UNIT TAG]], FALSE), 7))</f>
        <v>5</v>
      </c>
      <c r="AE546" t="str">
        <f>"B_01'" &amp; "Flr_0" &amp; INDEX(Joined!$A$3:$M$2000, MATCH($A546, Joined!$I$3:$I$2000, FALSE), 8)</f>
        <v>B_01'Flr_014</v>
      </c>
      <c r="AF546" t="str">
        <f>"R_" &amp; INDEX(Joined!$A$3:$M$2000, MATCH($A546, Joined!$I$3:$I$2000, FALSE), 7)</f>
        <v>R_VAV-14E-17</v>
      </c>
      <c r="AG546" t="str">
        <f>"B_01'" &amp; "Flr_0" &amp; INDEX(Joined!$A$3:$M$2000, MATCH($A546, Joined!$I$3:$I$2000, FALSE), 8)</f>
        <v>B_01'Flr_014</v>
      </c>
      <c r="AH546" t="str">
        <f>INDEX(Joined!$A$3:$M$2000, MATCH($A546, Joined!$I$3:$I$2000, FALSE), 7)</f>
        <v>VAV-14E-17</v>
      </c>
      <c r="AI546" t="s">
        <v>1874</v>
      </c>
    </row>
    <row r="547" spans="1:35" x14ac:dyDescent="0.2">
      <c r="A547" t="s">
        <v>1408</v>
      </c>
      <c r="B547" t="str">
        <f>"B_01'" &amp; "Flr_0" &amp; INDEX(Joined!$A$3:$M$2000, MATCH($A547, Joined!$I$3:$I$2000, FALSE), 8)</f>
        <v>B_01'Flr_014</v>
      </c>
      <c r="C547" t="str">
        <f>INDEX(Joined!$A$3:$M$2000, MATCH($A547, Joined!$I$3:$I$2000, FALSE), 7)</f>
        <v>VAV-14E-18</v>
      </c>
      <c r="D547">
        <f>INDEX(Joined!$A$3:$M$2000, MATCH($A547, Joined!$I$3:$I$2000, FALSE), 5)</f>
        <v>153804</v>
      </c>
      <c r="E547" t="str">
        <f>INDEX(Joined!$A$3:$M$2000, MATCH($A547, Joined!$I$3:$I$2000, FALSE), 7)</f>
        <v>VAV-14E-18</v>
      </c>
      <c r="F547" t="s">
        <v>38</v>
      </c>
      <c r="G547" t="str">
        <f>INDEX(Schedule!$Q$2:$R$7, MATCH(ABT!$H547,Schedule!$Q$2:$Q$7, 0), 2)</f>
        <v>15011_DXR_VAV_DXR2M12</v>
      </c>
      <c r="H547">
        <f>INDEX(Joined!$A$3:$M$2000, MATCH($A547, Joined!$I$3:$I$2000, FALSE), 6)</f>
        <v>15011</v>
      </c>
      <c r="I547" t="str">
        <f>INDEX(Joined!$A$3:$M$2000, MATCH($A547, Joined!$I$3:$I$2000, FALSE), 4)</f>
        <v>538</v>
      </c>
      <c r="J547" t="b">
        <v>0</v>
      </c>
      <c r="K547">
        <f>INDEX(Joined!$A$3:$M$2000, MATCH($A547, Joined!$I$3:$I$2000, FALSE), 3)</f>
        <v>4</v>
      </c>
      <c r="L547">
        <v>85</v>
      </c>
      <c r="M547">
        <v>38400</v>
      </c>
      <c r="N547" s="27">
        <f>PI()*(INDEX(Schedule!$A$1:$N$2000, MATCH($C547, VAV_Schedule_5_21[[#All],[UNIT TAG]], FALSE), 4)/2/12)^2</f>
        <v>0.54541539124822802</v>
      </c>
      <c r="O547" s="27">
        <f>INDEX(Schedule!$A$1:$N$2000, MATCH($C547, VAV_Schedule_5_21[[#All],[UNIT TAG]], FALSE), 4)</f>
        <v>10</v>
      </c>
      <c r="P547">
        <v>545.63</v>
      </c>
      <c r="Q547" s="27">
        <f>INDEX(Schedule!$A$1:$N$2000, MATCH($C547, VAV_Schedule_5_21[[#All],[UNIT TAG]], FALSE), 5)</f>
        <v>960</v>
      </c>
      <c r="R547" s="27">
        <f>INDEX(Schedule!$A$1:$N$2000, MATCH($C547, VAV_Schedule_5_21[[#All],[UNIT TAG]], FALSE), 6)</f>
        <v>145</v>
      </c>
      <c r="S547" s="27">
        <f>INDEX(Schedule!$A$1:$N$2000, MATCH($C547, VAV_Schedule_5_21[[#All],[UNIT TAG]], FALSE), 5)</f>
        <v>960</v>
      </c>
      <c r="T547" s="27">
        <f>INDEX(Schedule!$A$1:$N$2000, MATCH($C547, VAV_Schedule_5_21[[#All],[UNIT TAG]], FALSE), 6)</f>
        <v>145</v>
      </c>
      <c r="U547" s="27">
        <f>INDEX(Schedule!$A$1:$N$2000, MATCH($C547, VAV_Schedule_5_21[[#All],[UNIT TAG]], FALSE), 5)</f>
        <v>960</v>
      </c>
      <c r="V547" s="27">
        <f>INDEX(Schedule!$A$1:$N$2000, MATCH($C547, VAV_Schedule_5_21[[#All],[UNIT TAG]], FALSE), 6)</f>
        <v>145</v>
      </c>
      <c r="W547" s="27">
        <f>INDEX(Schedule!$A$1:$N$2000, MATCH($C547, VAV_Schedule_5_21[[#All],[UNIT TAG]], FALSE), 6)</f>
        <v>145</v>
      </c>
      <c r="X547" s="27">
        <f>INDEX(Schedule!$A$1:$N$2000, MATCH($C547, VAV_Schedule_5_21[[#All],[UNIT TAG]], FALSE), 6)</f>
        <v>145</v>
      </c>
      <c r="Y547" s="27">
        <f>INDEX(Schedule!$A$1:$N$2000, MATCH($C547, VAV_Schedule_5_21[[#All],[UNIT TAG]], FALSE), 6)</f>
        <v>145</v>
      </c>
      <c r="Z547" s="27">
        <f>INDEX(Schedule!$A$1:$N$2000, MATCH($C547, VAV_Schedule_5_21[[#All],[UNIT TAG]], FALSE), 6)</f>
        <v>145</v>
      </c>
      <c r="AA547" s="27">
        <v>1000</v>
      </c>
      <c r="AB547" s="27">
        <v>1100</v>
      </c>
      <c r="AC547">
        <v>1400</v>
      </c>
      <c r="AD547" s="29" t="str">
        <f>IF(INDEX(Schedule!$A$1:$N$2000, MATCH($C547, VAV_Schedule_5_21[[#All],[UNIT TAG]], FALSE), 7)="-", 0, INDEX(Schedule!$A$1:$N$2000, MATCH($C547, VAV_Schedule_5_21[[#All],[UNIT TAG]], FALSE), 7))</f>
        <v>9</v>
      </c>
      <c r="AE547" t="str">
        <f>"B_01'" &amp; "Flr_0" &amp; INDEX(Joined!$A$3:$M$2000, MATCH($A547, Joined!$I$3:$I$2000, FALSE), 8)</f>
        <v>B_01'Flr_014</v>
      </c>
      <c r="AF547" t="str">
        <f>"R_" &amp; INDEX(Joined!$A$3:$M$2000, MATCH($A547, Joined!$I$3:$I$2000, FALSE), 7)</f>
        <v>R_VAV-14E-18</v>
      </c>
      <c r="AG547" t="str">
        <f>"B_01'" &amp; "Flr_0" &amp; INDEX(Joined!$A$3:$M$2000, MATCH($A547, Joined!$I$3:$I$2000, FALSE), 8)</f>
        <v>B_01'Flr_014</v>
      </c>
      <c r="AH547" t="str">
        <f>INDEX(Joined!$A$3:$M$2000, MATCH($A547, Joined!$I$3:$I$2000, FALSE), 7)</f>
        <v>VAV-14E-18</v>
      </c>
      <c r="AI547" t="s">
        <v>1875</v>
      </c>
    </row>
    <row r="548" spans="1:35" x14ac:dyDescent="0.2">
      <c r="A548" t="s">
        <v>1409</v>
      </c>
      <c r="B548" t="str">
        <f>"B_01'" &amp; "Flr_0" &amp; INDEX(Joined!$A$3:$M$2000, MATCH($A548, Joined!$I$3:$I$2000, FALSE), 8)</f>
        <v>B_01'Flr_014</v>
      </c>
      <c r="C548" t="str">
        <f>INDEX(Joined!$A$3:$M$2000, MATCH($A548, Joined!$I$3:$I$2000, FALSE), 7)</f>
        <v>VAV-14E-19</v>
      </c>
      <c r="D548">
        <f>INDEX(Joined!$A$3:$M$2000, MATCH($A548, Joined!$I$3:$I$2000, FALSE), 5)</f>
        <v>153805</v>
      </c>
      <c r="E548" t="str">
        <f>INDEX(Joined!$A$3:$M$2000, MATCH($A548, Joined!$I$3:$I$2000, FALSE), 7)</f>
        <v>VAV-14E-19</v>
      </c>
      <c r="F548" t="s">
        <v>38</v>
      </c>
      <c r="G548" t="str">
        <f>INDEX(Schedule!$Q$2:$R$7, MATCH(ABT!$H548,Schedule!$Q$2:$Q$7, 0), 2)</f>
        <v>15010_DXR_VAV_DXR2M12</v>
      </c>
      <c r="H548">
        <f>INDEX(Joined!$A$3:$M$2000, MATCH($A548, Joined!$I$3:$I$2000, FALSE), 6)</f>
        <v>15010</v>
      </c>
      <c r="I548" t="str">
        <f>INDEX(Joined!$A$3:$M$2000, MATCH($A548, Joined!$I$3:$I$2000, FALSE), 4)</f>
        <v>538</v>
      </c>
      <c r="J548" t="b">
        <v>0</v>
      </c>
      <c r="K548">
        <f>INDEX(Joined!$A$3:$M$2000, MATCH($A548, Joined!$I$3:$I$2000, FALSE), 3)</f>
        <v>5</v>
      </c>
      <c r="L548">
        <v>85</v>
      </c>
      <c r="M548">
        <v>38400</v>
      </c>
      <c r="N548" s="27">
        <f>PI()*(INDEX(Schedule!$A$1:$N$2000, MATCH($C548, VAV_Schedule_5_21[[#All],[UNIT TAG]], FALSE), 4)/2/12)^2</f>
        <v>0.19634954084936207</v>
      </c>
      <c r="O548" s="27">
        <f>INDEX(Schedule!$A$1:$N$2000, MATCH($C548, VAV_Schedule_5_21[[#All],[UNIT TAG]], FALSE), 4)</f>
        <v>6</v>
      </c>
      <c r="P548">
        <v>546.63</v>
      </c>
      <c r="Q548" s="27">
        <f>INDEX(Schedule!$A$1:$N$2000, MATCH($C548, VAV_Schedule_5_21[[#All],[UNIT TAG]], FALSE), 5)</f>
        <v>200</v>
      </c>
      <c r="R548" s="27">
        <f>INDEX(Schedule!$A$1:$N$2000, MATCH($C548, VAV_Schedule_5_21[[#All],[UNIT TAG]], FALSE), 6)</f>
        <v>30</v>
      </c>
      <c r="S548" s="27">
        <f>INDEX(Schedule!$A$1:$N$2000, MATCH($C548, VAV_Schedule_5_21[[#All],[UNIT TAG]], FALSE), 5)</f>
        <v>200</v>
      </c>
      <c r="T548" s="27">
        <f>INDEX(Schedule!$A$1:$N$2000, MATCH($C548, VAV_Schedule_5_21[[#All],[UNIT TAG]], FALSE), 6)</f>
        <v>30</v>
      </c>
      <c r="U548" s="27">
        <f>INDEX(Schedule!$A$1:$N$2000, MATCH($C548, VAV_Schedule_5_21[[#All],[UNIT TAG]], FALSE), 5)</f>
        <v>200</v>
      </c>
      <c r="V548" s="27">
        <f>INDEX(Schedule!$A$1:$N$2000, MATCH($C548, VAV_Schedule_5_21[[#All],[UNIT TAG]], FALSE), 6)</f>
        <v>30</v>
      </c>
      <c r="W548" s="27">
        <f>INDEX(Schedule!$A$1:$N$2000, MATCH($C548, VAV_Schedule_5_21[[#All],[UNIT TAG]], FALSE), 6)</f>
        <v>30</v>
      </c>
      <c r="X548" s="27">
        <f>INDEX(Schedule!$A$1:$N$2000, MATCH($C548, VAV_Schedule_5_21[[#All],[UNIT TAG]], FALSE), 6)</f>
        <v>30</v>
      </c>
      <c r="Y548" s="27">
        <f>INDEX(Schedule!$A$1:$N$2000, MATCH($C548, VAV_Schedule_5_21[[#All],[UNIT TAG]], FALSE), 6)</f>
        <v>30</v>
      </c>
      <c r="Z548" s="27">
        <f>INDEX(Schedule!$A$1:$N$2000, MATCH($C548, VAV_Schedule_5_21[[#All],[UNIT TAG]], FALSE), 6)</f>
        <v>30</v>
      </c>
      <c r="AA548" s="27">
        <v>1000</v>
      </c>
      <c r="AB548" s="27">
        <v>1100</v>
      </c>
      <c r="AC548">
        <v>1400</v>
      </c>
      <c r="AD548" s="29">
        <f>IF(INDEX(Schedule!$A$1:$N$2000, MATCH($C548, VAV_Schedule_5_21[[#All],[UNIT TAG]], FALSE), 7)="-", 0, INDEX(Schedule!$A$1:$N$2000, MATCH($C548, VAV_Schedule_5_21[[#All],[UNIT TAG]], FALSE), 7))</f>
        <v>0</v>
      </c>
      <c r="AE548" t="str">
        <f>"B_01'" &amp; "Flr_0" &amp; INDEX(Joined!$A$3:$M$2000, MATCH($A548, Joined!$I$3:$I$2000, FALSE), 8)</f>
        <v>B_01'Flr_014</v>
      </c>
      <c r="AF548" t="str">
        <f>"R_" &amp; INDEX(Joined!$A$3:$M$2000, MATCH($A548, Joined!$I$3:$I$2000, FALSE), 7)</f>
        <v>R_VAV-14E-19</v>
      </c>
      <c r="AG548" t="str">
        <f>"B_01'" &amp; "Flr_0" &amp; INDEX(Joined!$A$3:$M$2000, MATCH($A548, Joined!$I$3:$I$2000, FALSE), 8)</f>
        <v>B_01'Flr_014</v>
      </c>
      <c r="AH548" t="str">
        <f>INDEX(Joined!$A$3:$M$2000, MATCH($A548, Joined!$I$3:$I$2000, FALSE), 7)</f>
        <v>VAV-14E-19</v>
      </c>
      <c r="AI548" t="s">
        <v>1876</v>
      </c>
    </row>
    <row r="549" spans="1:35" x14ac:dyDescent="0.2">
      <c r="A549" t="s">
        <v>1410</v>
      </c>
      <c r="B549" t="str">
        <f>"B_01'" &amp; "Flr_0" &amp; INDEX(Joined!$A$3:$M$2000, MATCH($A549, Joined!$I$3:$I$2000, FALSE), 8)</f>
        <v>B_01'Flr_014</v>
      </c>
      <c r="C549" t="str">
        <f>INDEX(Joined!$A$3:$M$2000, MATCH($A549, Joined!$I$3:$I$2000, FALSE), 7)</f>
        <v>VAV-14E-20</v>
      </c>
      <c r="D549">
        <f>INDEX(Joined!$A$3:$M$2000, MATCH($A549, Joined!$I$3:$I$2000, FALSE), 5)</f>
        <v>153806</v>
      </c>
      <c r="E549" t="str">
        <f>INDEX(Joined!$A$3:$M$2000, MATCH($A549, Joined!$I$3:$I$2000, FALSE), 7)</f>
        <v>VAV-14E-20</v>
      </c>
      <c r="F549" t="s">
        <v>38</v>
      </c>
      <c r="G549" t="str">
        <f>INDEX(Schedule!$Q$2:$R$7, MATCH(ABT!$H549,Schedule!$Q$2:$Q$7, 0), 2)</f>
        <v>15011_DXR_VAV_DXR2M12</v>
      </c>
      <c r="H549">
        <f>INDEX(Joined!$A$3:$M$2000, MATCH($A549, Joined!$I$3:$I$2000, FALSE), 6)</f>
        <v>15011</v>
      </c>
      <c r="I549" t="str">
        <f>INDEX(Joined!$A$3:$M$2000, MATCH($A549, Joined!$I$3:$I$2000, FALSE), 4)</f>
        <v>538</v>
      </c>
      <c r="J549" t="b">
        <v>0</v>
      </c>
      <c r="K549">
        <f>INDEX(Joined!$A$3:$M$2000, MATCH($A549, Joined!$I$3:$I$2000, FALSE), 3)</f>
        <v>6</v>
      </c>
      <c r="L549">
        <v>85</v>
      </c>
      <c r="M549">
        <v>38400</v>
      </c>
      <c r="N549" s="27">
        <f>PI()*(INDEX(Schedule!$A$1:$N$2000, MATCH($C549, VAV_Schedule_5_21[[#All],[UNIT TAG]], FALSE), 4)/2/12)^2</f>
        <v>0.3490658503988659</v>
      </c>
      <c r="O549" s="27">
        <f>INDEX(Schedule!$A$1:$N$2000, MATCH($C549, VAV_Schedule_5_21[[#All],[UNIT TAG]], FALSE), 4)</f>
        <v>8</v>
      </c>
      <c r="P549">
        <v>547.63</v>
      </c>
      <c r="Q549" s="27">
        <f>INDEX(Schedule!$A$1:$N$2000, MATCH($C549, VAV_Schedule_5_21[[#All],[UNIT TAG]], FALSE), 5)</f>
        <v>690</v>
      </c>
      <c r="R549" s="27">
        <f>INDEX(Schedule!$A$1:$N$2000, MATCH($C549, VAV_Schedule_5_21[[#All],[UNIT TAG]], FALSE), 6)</f>
        <v>105</v>
      </c>
      <c r="S549" s="27">
        <f>INDEX(Schedule!$A$1:$N$2000, MATCH($C549, VAV_Schedule_5_21[[#All],[UNIT TAG]], FALSE), 5)</f>
        <v>690</v>
      </c>
      <c r="T549" s="27">
        <f>INDEX(Schedule!$A$1:$N$2000, MATCH($C549, VAV_Schedule_5_21[[#All],[UNIT TAG]], FALSE), 6)</f>
        <v>105</v>
      </c>
      <c r="U549" s="27">
        <f>INDEX(Schedule!$A$1:$N$2000, MATCH($C549, VAV_Schedule_5_21[[#All],[UNIT TAG]], FALSE), 5)</f>
        <v>690</v>
      </c>
      <c r="V549" s="27">
        <f>INDEX(Schedule!$A$1:$N$2000, MATCH($C549, VAV_Schedule_5_21[[#All],[UNIT TAG]], FALSE), 6)</f>
        <v>105</v>
      </c>
      <c r="W549" s="27">
        <f>INDEX(Schedule!$A$1:$N$2000, MATCH($C549, VAV_Schedule_5_21[[#All],[UNIT TAG]], FALSE), 6)</f>
        <v>105</v>
      </c>
      <c r="X549" s="27">
        <f>INDEX(Schedule!$A$1:$N$2000, MATCH($C549, VAV_Schedule_5_21[[#All],[UNIT TAG]], FALSE), 6)</f>
        <v>105</v>
      </c>
      <c r="Y549" s="27">
        <f>INDEX(Schedule!$A$1:$N$2000, MATCH($C549, VAV_Schedule_5_21[[#All],[UNIT TAG]], FALSE), 6)</f>
        <v>105</v>
      </c>
      <c r="Z549" s="27">
        <f>INDEX(Schedule!$A$1:$N$2000, MATCH($C549, VAV_Schedule_5_21[[#All],[UNIT TAG]], FALSE), 6)</f>
        <v>105</v>
      </c>
      <c r="AA549" s="27">
        <v>1000</v>
      </c>
      <c r="AB549" s="27">
        <v>1100</v>
      </c>
      <c r="AC549">
        <v>1400</v>
      </c>
      <c r="AD549" s="29" t="str">
        <f>IF(INDEX(Schedule!$A$1:$N$2000, MATCH($C549, VAV_Schedule_5_21[[#All],[UNIT TAG]], FALSE), 7)="-", 0, INDEX(Schedule!$A$1:$N$2000, MATCH($C549, VAV_Schedule_5_21[[#All],[UNIT TAG]], FALSE), 7))</f>
        <v>5</v>
      </c>
      <c r="AE549" t="str">
        <f>"B_01'" &amp; "Flr_0" &amp; INDEX(Joined!$A$3:$M$2000, MATCH($A549, Joined!$I$3:$I$2000, FALSE), 8)</f>
        <v>B_01'Flr_014</v>
      </c>
      <c r="AF549" t="str">
        <f>"R_" &amp; INDEX(Joined!$A$3:$M$2000, MATCH($A549, Joined!$I$3:$I$2000, FALSE), 7)</f>
        <v>R_VAV-14E-20</v>
      </c>
      <c r="AG549" t="str">
        <f>"B_01'" &amp; "Flr_0" &amp; INDEX(Joined!$A$3:$M$2000, MATCH($A549, Joined!$I$3:$I$2000, FALSE), 8)</f>
        <v>B_01'Flr_014</v>
      </c>
      <c r="AH549" t="str">
        <f>INDEX(Joined!$A$3:$M$2000, MATCH($A549, Joined!$I$3:$I$2000, FALSE), 7)</f>
        <v>VAV-14E-20</v>
      </c>
      <c r="AI549" t="s">
        <v>1877</v>
      </c>
    </row>
    <row r="550" spans="1:35" x14ac:dyDescent="0.2">
      <c r="A550" t="s">
        <v>1411</v>
      </c>
      <c r="B550" t="str">
        <f>"B_01'" &amp; "Flr_0" &amp; INDEX(Joined!$A$3:$M$2000, MATCH($A550, Joined!$I$3:$I$2000, FALSE), 8)</f>
        <v>B_01'Flr_014</v>
      </c>
      <c r="C550" t="str">
        <f>INDEX(Joined!$A$3:$M$2000, MATCH($A550, Joined!$I$3:$I$2000, FALSE), 7)</f>
        <v>VAV-14E-21</v>
      </c>
      <c r="D550">
        <f>INDEX(Joined!$A$3:$M$2000, MATCH($A550, Joined!$I$3:$I$2000, FALSE), 5)</f>
        <v>153807</v>
      </c>
      <c r="E550" t="str">
        <f>INDEX(Joined!$A$3:$M$2000, MATCH($A550, Joined!$I$3:$I$2000, FALSE), 7)</f>
        <v>VAV-14E-21</v>
      </c>
      <c r="F550" t="s">
        <v>38</v>
      </c>
      <c r="G550" t="str">
        <f>INDEX(Schedule!$Q$2:$R$7, MATCH(ABT!$H550,Schedule!$Q$2:$Q$7, 0), 2)</f>
        <v>15011_DXR_VAV_DXR2M12</v>
      </c>
      <c r="H550">
        <f>INDEX(Joined!$A$3:$M$2000, MATCH($A550, Joined!$I$3:$I$2000, FALSE), 6)</f>
        <v>15011</v>
      </c>
      <c r="I550" t="str">
        <f>INDEX(Joined!$A$3:$M$2000, MATCH($A550, Joined!$I$3:$I$2000, FALSE), 4)</f>
        <v>538</v>
      </c>
      <c r="J550" t="b">
        <v>0</v>
      </c>
      <c r="K550">
        <f>INDEX(Joined!$A$3:$M$2000, MATCH($A550, Joined!$I$3:$I$2000, FALSE), 3)</f>
        <v>7</v>
      </c>
      <c r="L550">
        <v>85</v>
      </c>
      <c r="M550">
        <v>38400</v>
      </c>
      <c r="N550" s="27">
        <f>PI()*(INDEX(Schedule!$A$1:$N$2000, MATCH($C550, VAV_Schedule_5_21[[#All],[UNIT TAG]], FALSE), 4)/2/12)^2</f>
        <v>0.54541539124822802</v>
      </c>
      <c r="O550" s="27">
        <f>INDEX(Schedule!$A$1:$N$2000, MATCH($C550, VAV_Schedule_5_21[[#All],[UNIT TAG]], FALSE), 4)</f>
        <v>10</v>
      </c>
      <c r="P550">
        <v>548.63</v>
      </c>
      <c r="Q550" s="27">
        <f>INDEX(Schedule!$A$1:$N$2000, MATCH($C550, VAV_Schedule_5_21[[#All],[UNIT TAG]], FALSE), 5)</f>
        <v>880</v>
      </c>
      <c r="R550" s="27">
        <f>INDEX(Schedule!$A$1:$N$2000, MATCH($C550, VAV_Schedule_5_21[[#All],[UNIT TAG]], FALSE), 6)</f>
        <v>135</v>
      </c>
      <c r="S550" s="27">
        <f>INDEX(Schedule!$A$1:$N$2000, MATCH($C550, VAV_Schedule_5_21[[#All],[UNIT TAG]], FALSE), 5)</f>
        <v>880</v>
      </c>
      <c r="T550" s="27">
        <f>INDEX(Schedule!$A$1:$N$2000, MATCH($C550, VAV_Schedule_5_21[[#All],[UNIT TAG]], FALSE), 6)</f>
        <v>135</v>
      </c>
      <c r="U550" s="27">
        <f>INDEX(Schedule!$A$1:$N$2000, MATCH($C550, VAV_Schedule_5_21[[#All],[UNIT TAG]], FALSE), 5)</f>
        <v>880</v>
      </c>
      <c r="V550" s="27">
        <f>INDEX(Schedule!$A$1:$N$2000, MATCH($C550, VAV_Schedule_5_21[[#All],[UNIT TAG]], FALSE), 6)</f>
        <v>135</v>
      </c>
      <c r="W550" s="27">
        <f>INDEX(Schedule!$A$1:$N$2000, MATCH($C550, VAV_Schedule_5_21[[#All],[UNIT TAG]], FALSE), 6)</f>
        <v>135</v>
      </c>
      <c r="X550" s="27">
        <f>INDEX(Schedule!$A$1:$N$2000, MATCH($C550, VAV_Schedule_5_21[[#All],[UNIT TAG]], FALSE), 6)</f>
        <v>135</v>
      </c>
      <c r="Y550" s="27">
        <f>INDEX(Schedule!$A$1:$N$2000, MATCH($C550, VAV_Schedule_5_21[[#All],[UNIT TAG]], FALSE), 6)</f>
        <v>135</v>
      </c>
      <c r="Z550" s="27">
        <f>INDEX(Schedule!$A$1:$N$2000, MATCH($C550, VAV_Schedule_5_21[[#All],[UNIT TAG]], FALSE), 6)</f>
        <v>135</v>
      </c>
      <c r="AA550" s="27">
        <v>1000</v>
      </c>
      <c r="AB550" s="27">
        <v>1100</v>
      </c>
      <c r="AC550">
        <v>1400</v>
      </c>
      <c r="AD550" s="29" t="str">
        <f>IF(INDEX(Schedule!$A$1:$N$2000, MATCH($C550, VAV_Schedule_5_21[[#All],[UNIT TAG]], FALSE), 7)="-", 0, INDEX(Schedule!$A$1:$N$2000, MATCH($C550, VAV_Schedule_5_21[[#All],[UNIT TAG]], FALSE), 7))</f>
        <v>6</v>
      </c>
      <c r="AE550" t="str">
        <f>"B_01'" &amp; "Flr_0" &amp; INDEX(Joined!$A$3:$M$2000, MATCH($A550, Joined!$I$3:$I$2000, FALSE), 8)</f>
        <v>B_01'Flr_014</v>
      </c>
      <c r="AF550" t="str">
        <f>"R_" &amp; INDEX(Joined!$A$3:$M$2000, MATCH($A550, Joined!$I$3:$I$2000, FALSE), 7)</f>
        <v>R_VAV-14E-21</v>
      </c>
      <c r="AG550" t="str">
        <f>"B_01'" &amp; "Flr_0" &amp; INDEX(Joined!$A$3:$M$2000, MATCH($A550, Joined!$I$3:$I$2000, FALSE), 8)</f>
        <v>B_01'Flr_014</v>
      </c>
      <c r="AH550" t="str">
        <f>INDEX(Joined!$A$3:$M$2000, MATCH($A550, Joined!$I$3:$I$2000, FALSE), 7)</f>
        <v>VAV-14E-21</v>
      </c>
      <c r="AI550" t="s">
        <v>1878</v>
      </c>
    </row>
    <row r="551" spans="1:35" x14ac:dyDescent="0.2">
      <c r="A551" t="s">
        <v>1412</v>
      </c>
      <c r="B551" t="str">
        <f>"B_01'" &amp; "Flr_0" &amp; INDEX(Joined!$A$3:$M$2000, MATCH($A551, Joined!$I$3:$I$2000, FALSE), 8)</f>
        <v>B_01'Flr_014</v>
      </c>
      <c r="C551" t="str">
        <f>INDEX(Joined!$A$3:$M$2000, MATCH($A551, Joined!$I$3:$I$2000, FALSE), 7)</f>
        <v>VAV-14E-22</v>
      </c>
      <c r="D551">
        <f>INDEX(Joined!$A$3:$M$2000, MATCH($A551, Joined!$I$3:$I$2000, FALSE), 5)</f>
        <v>153808</v>
      </c>
      <c r="E551" t="str">
        <f>INDEX(Joined!$A$3:$M$2000, MATCH($A551, Joined!$I$3:$I$2000, FALSE), 7)</f>
        <v>VAV-14E-22</v>
      </c>
      <c r="F551" t="s">
        <v>38</v>
      </c>
      <c r="G551" t="str">
        <f>INDEX(Schedule!$Q$2:$R$7, MATCH(ABT!$H551,Schedule!$Q$2:$Q$7, 0), 2)</f>
        <v>15011_DXR_VAV_DXR2M12</v>
      </c>
      <c r="H551">
        <f>INDEX(Joined!$A$3:$M$2000, MATCH($A551, Joined!$I$3:$I$2000, FALSE), 6)</f>
        <v>15011</v>
      </c>
      <c r="I551" t="str">
        <f>INDEX(Joined!$A$3:$M$2000, MATCH($A551, Joined!$I$3:$I$2000, FALSE), 4)</f>
        <v>538</v>
      </c>
      <c r="J551" t="b">
        <v>0</v>
      </c>
      <c r="K551">
        <f>INDEX(Joined!$A$3:$M$2000, MATCH($A551, Joined!$I$3:$I$2000, FALSE), 3)</f>
        <v>8</v>
      </c>
      <c r="L551">
        <v>85</v>
      </c>
      <c r="M551">
        <v>38400</v>
      </c>
      <c r="N551" s="27">
        <f>PI()*(INDEX(Schedule!$A$1:$N$2000, MATCH($C551, VAV_Schedule_5_21[[#All],[UNIT TAG]], FALSE), 4)/2/12)^2</f>
        <v>0.3490658503988659</v>
      </c>
      <c r="O551" s="27">
        <f>INDEX(Schedule!$A$1:$N$2000, MATCH($C551, VAV_Schedule_5_21[[#All],[UNIT TAG]], FALSE), 4)</f>
        <v>8</v>
      </c>
      <c r="P551">
        <v>549.63</v>
      </c>
      <c r="Q551" s="27">
        <f>INDEX(Schedule!$A$1:$N$2000, MATCH($C551, VAV_Schedule_5_21[[#All],[UNIT TAG]], FALSE), 5)</f>
        <v>660</v>
      </c>
      <c r="R551" s="27">
        <f>INDEX(Schedule!$A$1:$N$2000, MATCH($C551, VAV_Schedule_5_21[[#All],[UNIT TAG]], FALSE), 6)</f>
        <v>100</v>
      </c>
      <c r="S551" s="27">
        <f>INDEX(Schedule!$A$1:$N$2000, MATCH($C551, VAV_Schedule_5_21[[#All],[UNIT TAG]], FALSE), 5)</f>
        <v>660</v>
      </c>
      <c r="T551" s="27">
        <f>INDEX(Schedule!$A$1:$N$2000, MATCH($C551, VAV_Schedule_5_21[[#All],[UNIT TAG]], FALSE), 6)</f>
        <v>100</v>
      </c>
      <c r="U551" s="27">
        <f>INDEX(Schedule!$A$1:$N$2000, MATCH($C551, VAV_Schedule_5_21[[#All],[UNIT TAG]], FALSE), 5)</f>
        <v>660</v>
      </c>
      <c r="V551" s="27">
        <f>INDEX(Schedule!$A$1:$N$2000, MATCH($C551, VAV_Schedule_5_21[[#All],[UNIT TAG]], FALSE), 6)</f>
        <v>100</v>
      </c>
      <c r="W551" s="27">
        <f>INDEX(Schedule!$A$1:$N$2000, MATCH($C551, VAV_Schedule_5_21[[#All],[UNIT TAG]], FALSE), 6)</f>
        <v>100</v>
      </c>
      <c r="X551" s="27">
        <f>INDEX(Schedule!$A$1:$N$2000, MATCH($C551, VAV_Schedule_5_21[[#All],[UNIT TAG]], FALSE), 6)</f>
        <v>100</v>
      </c>
      <c r="Y551" s="27">
        <f>INDEX(Schedule!$A$1:$N$2000, MATCH($C551, VAV_Schedule_5_21[[#All],[UNIT TAG]], FALSE), 6)</f>
        <v>100</v>
      </c>
      <c r="Z551" s="27">
        <f>INDEX(Schedule!$A$1:$N$2000, MATCH($C551, VAV_Schedule_5_21[[#All],[UNIT TAG]], FALSE), 6)</f>
        <v>100</v>
      </c>
      <c r="AA551" s="27">
        <v>1000</v>
      </c>
      <c r="AB551" s="27">
        <v>1100</v>
      </c>
      <c r="AC551">
        <v>1400</v>
      </c>
      <c r="AD551" s="29" t="str">
        <f>IF(INDEX(Schedule!$A$1:$N$2000, MATCH($C551, VAV_Schedule_5_21[[#All],[UNIT TAG]], FALSE), 7)="-", 0, INDEX(Schedule!$A$1:$N$2000, MATCH($C551, VAV_Schedule_5_21[[#All],[UNIT TAG]], FALSE), 7))</f>
        <v>5</v>
      </c>
      <c r="AE551" t="str">
        <f>"B_01'" &amp; "Flr_0" &amp; INDEX(Joined!$A$3:$M$2000, MATCH($A551, Joined!$I$3:$I$2000, FALSE), 8)</f>
        <v>B_01'Flr_014</v>
      </c>
      <c r="AF551" t="str">
        <f>"R_" &amp; INDEX(Joined!$A$3:$M$2000, MATCH($A551, Joined!$I$3:$I$2000, FALSE), 7)</f>
        <v>R_VAV-14E-22</v>
      </c>
      <c r="AG551" t="str">
        <f>"B_01'" &amp; "Flr_0" &amp; INDEX(Joined!$A$3:$M$2000, MATCH($A551, Joined!$I$3:$I$2000, FALSE), 8)</f>
        <v>B_01'Flr_014</v>
      </c>
      <c r="AH551" t="str">
        <f>INDEX(Joined!$A$3:$M$2000, MATCH($A551, Joined!$I$3:$I$2000, FALSE), 7)</f>
        <v>VAV-14E-22</v>
      </c>
      <c r="AI551" t="s">
        <v>1879</v>
      </c>
    </row>
    <row r="552" spans="1:35" x14ac:dyDescent="0.2">
      <c r="A552" t="s">
        <v>1413</v>
      </c>
      <c r="B552" t="str">
        <f>"B_01'" &amp; "Flr_0" &amp; INDEX(Joined!$A$3:$M$2000, MATCH($A552, Joined!$I$3:$I$2000, FALSE), 8)</f>
        <v>B_01'Flr_014</v>
      </c>
      <c r="C552" t="str">
        <f>INDEX(Joined!$A$3:$M$2000, MATCH($A552, Joined!$I$3:$I$2000, FALSE), 7)</f>
        <v>VAV-14E-23</v>
      </c>
      <c r="D552">
        <f>INDEX(Joined!$A$3:$M$2000, MATCH($A552, Joined!$I$3:$I$2000, FALSE), 5)</f>
        <v>153809</v>
      </c>
      <c r="E552" t="str">
        <f>INDEX(Joined!$A$3:$M$2000, MATCH($A552, Joined!$I$3:$I$2000, FALSE), 7)</f>
        <v>VAV-14E-23</v>
      </c>
      <c r="F552" t="s">
        <v>38</v>
      </c>
      <c r="G552" t="str">
        <f>INDEX(Schedule!$Q$2:$R$7, MATCH(ABT!$H552,Schedule!$Q$2:$Q$7, 0), 2)</f>
        <v>15010_DXR_VAV_DXR2M12</v>
      </c>
      <c r="H552">
        <f>INDEX(Joined!$A$3:$M$2000, MATCH($A552, Joined!$I$3:$I$2000, FALSE), 6)</f>
        <v>15010</v>
      </c>
      <c r="I552" t="str">
        <f>INDEX(Joined!$A$3:$M$2000, MATCH($A552, Joined!$I$3:$I$2000, FALSE), 4)</f>
        <v>538</v>
      </c>
      <c r="J552" t="b">
        <v>0</v>
      </c>
      <c r="K552">
        <f>INDEX(Joined!$A$3:$M$2000, MATCH($A552, Joined!$I$3:$I$2000, FALSE), 3)</f>
        <v>9</v>
      </c>
      <c r="L552">
        <v>85</v>
      </c>
      <c r="M552">
        <v>38400</v>
      </c>
      <c r="N552" s="27">
        <f>PI()*(INDEX(Schedule!$A$1:$N$2000, MATCH($C552, VAV_Schedule_5_21[[#All],[UNIT TAG]], FALSE), 4)/2/12)^2</f>
        <v>0.78539816339744828</v>
      </c>
      <c r="O552" s="27">
        <f>INDEX(Schedule!$A$1:$N$2000, MATCH($C552, VAV_Schedule_5_21[[#All],[UNIT TAG]], FALSE), 4)</f>
        <v>12</v>
      </c>
      <c r="P552">
        <v>550.63</v>
      </c>
      <c r="Q552" s="27">
        <f>INDEX(Schedule!$A$1:$N$2000, MATCH($C552, VAV_Schedule_5_21[[#All],[UNIT TAG]], FALSE), 5)</f>
        <v>1150</v>
      </c>
      <c r="R552" s="27">
        <f>INDEX(Schedule!$A$1:$N$2000, MATCH($C552, VAV_Schedule_5_21[[#All],[UNIT TAG]], FALSE), 6)</f>
        <v>175</v>
      </c>
      <c r="S552" s="27">
        <f>INDEX(Schedule!$A$1:$N$2000, MATCH($C552, VAV_Schedule_5_21[[#All],[UNIT TAG]], FALSE), 5)</f>
        <v>1150</v>
      </c>
      <c r="T552" s="27">
        <f>INDEX(Schedule!$A$1:$N$2000, MATCH($C552, VAV_Schedule_5_21[[#All],[UNIT TAG]], FALSE), 6)</f>
        <v>175</v>
      </c>
      <c r="U552" s="27">
        <f>INDEX(Schedule!$A$1:$N$2000, MATCH($C552, VAV_Schedule_5_21[[#All],[UNIT TAG]], FALSE), 5)</f>
        <v>1150</v>
      </c>
      <c r="V552" s="27">
        <f>INDEX(Schedule!$A$1:$N$2000, MATCH($C552, VAV_Schedule_5_21[[#All],[UNIT TAG]], FALSE), 6)</f>
        <v>175</v>
      </c>
      <c r="W552" s="27">
        <f>INDEX(Schedule!$A$1:$N$2000, MATCH($C552, VAV_Schedule_5_21[[#All],[UNIT TAG]], FALSE), 6)</f>
        <v>175</v>
      </c>
      <c r="X552" s="27">
        <f>INDEX(Schedule!$A$1:$N$2000, MATCH($C552, VAV_Schedule_5_21[[#All],[UNIT TAG]], FALSE), 6)</f>
        <v>175</v>
      </c>
      <c r="Y552" s="27">
        <f>INDEX(Schedule!$A$1:$N$2000, MATCH($C552, VAV_Schedule_5_21[[#All],[UNIT TAG]], FALSE), 6)</f>
        <v>175</v>
      </c>
      <c r="Z552" s="27">
        <f>INDEX(Schedule!$A$1:$N$2000, MATCH($C552, VAV_Schedule_5_21[[#All],[UNIT TAG]], FALSE), 6)</f>
        <v>175</v>
      </c>
      <c r="AA552" s="27">
        <v>1000</v>
      </c>
      <c r="AB552" s="27">
        <v>1100</v>
      </c>
      <c r="AC552">
        <v>1400</v>
      </c>
      <c r="AD552" s="29">
        <f>IF(INDEX(Schedule!$A$1:$N$2000, MATCH($C552, VAV_Schedule_5_21[[#All],[UNIT TAG]], FALSE), 7)="-", 0, INDEX(Schedule!$A$1:$N$2000, MATCH($C552, VAV_Schedule_5_21[[#All],[UNIT TAG]], FALSE), 7))</f>
        <v>0</v>
      </c>
      <c r="AE552" t="str">
        <f>"B_01'" &amp; "Flr_0" &amp; INDEX(Joined!$A$3:$M$2000, MATCH($A552, Joined!$I$3:$I$2000, FALSE), 8)</f>
        <v>B_01'Flr_014</v>
      </c>
      <c r="AF552" t="str">
        <f>"R_" &amp; INDEX(Joined!$A$3:$M$2000, MATCH($A552, Joined!$I$3:$I$2000, FALSE), 7)</f>
        <v>R_VAV-14E-23</v>
      </c>
      <c r="AG552" t="str">
        <f>"B_01'" &amp; "Flr_0" &amp; INDEX(Joined!$A$3:$M$2000, MATCH($A552, Joined!$I$3:$I$2000, FALSE), 8)</f>
        <v>B_01'Flr_014</v>
      </c>
      <c r="AH552" t="str">
        <f>INDEX(Joined!$A$3:$M$2000, MATCH($A552, Joined!$I$3:$I$2000, FALSE), 7)</f>
        <v>VAV-14E-23</v>
      </c>
      <c r="AI552" t="s">
        <v>1880</v>
      </c>
    </row>
    <row r="553" spans="1:35" x14ac:dyDescent="0.2">
      <c r="A553" t="s">
        <v>1414</v>
      </c>
      <c r="B553" t="str">
        <f>"B_01'" &amp; "Flr_0" &amp; INDEX(Joined!$A$3:$M$2000, MATCH($A553, Joined!$I$3:$I$2000, FALSE), 8)</f>
        <v>B_01'Flr_014</v>
      </c>
      <c r="C553" t="str">
        <f>INDEX(Joined!$A$3:$M$2000, MATCH($A553, Joined!$I$3:$I$2000, FALSE), 7)</f>
        <v>VAV-14E-24</v>
      </c>
      <c r="D553">
        <f>INDEX(Joined!$A$3:$M$2000, MATCH($A553, Joined!$I$3:$I$2000, FALSE), 5)</f>
        <v>153810</v>
      </c>
      <c r="E553" t="str">
        <f>INDEX(Joined!$A$3:$M$2000, MATCH($A553, Joined!$I$3:$I$2000, FALSE), 7)</f>
        <v>VAV-14E-24</v>
      </c>
      <c r="F553" t="s">
        <v>38</v>
      </c>
      <c r="G553" t="str">
        <f>INDEX(Schedule!$Q$2:$R$7, MATCH(ABT!$H553,Schedule!$Q$2:$Q$7, 0), 2)</f>
        <v>15010_DXR_VAV_DXR2M12</v>
      </c>
      <c r="H553">
        <f>INDEX(Joined!$A$3:$M$2000, MATCH($A553, Joined!$I$3:$I$2000, FALSE), 6)</f>
        <v>15010</v>
      </c>
      <c r="I553" t="str">
        <f>INDEX(Joined!$A$3:$M$2000, MATCH($A553, Joined!$I$3:$I$2000, FALSE), 4)</f>
        <v>538</v>
      </c>
      <c r="J553" t="b">
        <v>0</v>
      </c>
      <c r="K553">
        <f>INDEX(Joined!$A$3:$M$2000, MATCH($A553, Joined!$I$3:$I$2000, FALSE), 3)</f>
        <v>10</v>
      </c>
      <c r="L553">
        <v>85</v>
      </c>
      <c r="M553">
        <v>38400</v>
      </c>
      <c r="N553" s="27">
        <f>PI()*(INDEX(Schedule!$A$1:$N$2000, MATCH($C553, VAV_Schedule_5_21[[#All],[UNIT TAG]], FALSE), 4)/2/12)^2</f>
        <v>0.19634954084936207</v>
      </c>
      <c r="O553" s="27">
        <f>INDEX(Schedule!$A$1:$N$2000, MATCH($C553, VAV_Schedule_5_21[[#All],[UNIT TAG]], FALSE), 4)</f>
        <v>6</v>
      </c>
      <c r="P553">
        <v>551.63</v>
      </c>
      <c r="Q553" s="27">
        <f>INDEX(Schedule!$A$1:$N$2000, MATCH($C553, VAV_Schedule_5_21[[#All],[UNIT TAG]], FALSE), 5)</f>
        <v>200</v>
      </c>
      <c r="R553" s="27">
        <f>INDEX(Schedule!$A$1:$N$2000, MATCH($C553, VAV_Schedule_5_21[[#All],[UNIT TAG]], FALSE), 6)</f>
        <v>30</v>
      </c>
      <c r="S553" s="27">
        <f>INDEX(Schedule!$A$1:$N$2000, MATCH($C553, VAV_Schedule_5_21[[#All],[UNIT TAG]], FALSE), 5)</f>
        <v>200</v>
      </c>
      <c r="T553" s="27">
        <f>INDEX(Schedule!$A$1:$N$2000, MATCH($C553, VAV_Schedule_5_21[[#All],[UNIT TAG]], FALSE), 6)</f>
        <v>30</v>
      </c>
      <c r="U553" s="27">
        <f>INDEX(Schedule!$A$1:$N$2000, MATCH($C553, VAV_Schedule_5_21[[#All],[UNIT TAG]], FALSE), 5)</f>
        <v>200</v>
      </c>
      <c r="V553" s="27">
        <f>INDEX(Schedule!$A$1:$N$2000, MATCH($C553, VAV_Schedule_5_21[[#All],[UNIT TAG]], FALSE), 6)</f>
        <v>30</v>
      </c>
      <c r="W553" s="27">
        <f>INDEX(Schedule!$A$1:$N$2000, MATCH($C553, VAV_Schedule_5_21[[#All],[UNIT TAG]], FALSE), 6)</f>
        <v>30</v>
      </c>
      <c r="X553" s="27">
        <f>INDEX(Schedule!$A$1:$N$2000, MATCH($C553, VAV_Schedule_5_21[[#All],[UNIT TAG]], FALSE), 6)</f>
        <v>30</v>
      </c>
      <c r="Y553" s="27">
        <f>INDEX(Schedule!$A$1:$N$2000, MATCH($C553, VAV_Schedule_5_21[[#All],[UNIT TAG]], FALSE), 6)</f>
        <v>30</v>
      </c>
      <c r="Z553" s="27">
        <f>INDEX(Schedule!$A$1:$N$2000, MATCH($C553, VAV_Schedule_5_21[[#All],[UNIT TAG]], FALSE), 6)</f>
        <v>30</v>
      </c>
      <c r="AA553" s="27">
        <v>1000</v>
      </c>
      <c r="AB553" s="27">
        <v>1100</v>
      </c>
      <c r="AC553">
        <v>1400</v>
      </c>
      <c r="AD553" s="29">
        <f>IF(INDEX(Schedule!$A$1:$N$2000, MATCH($C553, VAV_Schedule_5_21[[#All],[UNIT TAG]], FALSE), 7)="-", 0, INDEX(Schedule!$A$1:$N$2000, MATCH($C553, VAV_Schedule_5_21[[#All],[UNIT TAG]], FALSE), 7))</f>
        <v>0</v>
      </c>
      <c r="AE553" t="str">
        <f>"B_01'" &amp; "Flr_0" &amp; INDEX(Joined!$A$3:$M$2000, MATCH($A553, Joined!$I$3:$I$2000, FALSE), 8)</f>
        <v>B_01'Flr_014</v>
      </c>
      <c r="AF553" t="str">
        <f>"R_" &amp; INDEX(Joined!$A$3:$M$2000, MATCH($A553, Joined!$I$3:$I$2000, FALSE), 7)</f>
        <v>R_VAV-14E-24</v>
      </c>
      <c r="AG553" t="str">
        <f>"B_01'" &amp; "Flr_0" &amp; INDEX(Joined!$A$3:$M$2000, MATCH($A553, Joined!$I$3:$I$2000, FALSE), 8)</f>
        <v>B_01'Flr_014</v>
      </c>
      <c r="AH553" t="str">
        <f>INDEX(Joined!$A$3:$M$2000, MATCH($A553, Joined!$I$3:$I$2000, FALSE), 7)</f>
        <v>VAV-14E-24</v>
      </c>
      <c r="AI553" t="s">
        <v>1881</v>
      </c>
    </row>
    <row r="554" spans="1:35" x14ac:dyDescent="0.2">
      <c r="A554" t="s">
        <v>1415</v>
      </c>
      <c r="B554" t="str">
        <f>"B_01'" &amp; "Flr_0" &amp; INDEX(Joined!$A$3:$M$2000, MATCH($A554, Joined!$I$3:$I$2000, FALSE), 8)</f>
        <v>B_01'Flr_014</v>
      </c>
      <c r="C554" t="str">
        <f>INDEX(Joined!$A$3:$M$2000, MATCH($A554, Joined!$I$3:$I$2000, FALSE), 7)</f>
        <v>VAV-14E-25</v>
      </c>
      <c r="D554">
        <f>INDEX(Joined!$A$3:$M$2000, MATCH($A554, Joined!$I$3:$I$2000, FALSE), 5)</f>
        <v>153811</v>
      </c>
      <c r="E554" t="str">
        <f>INDEX(Joined!$A$3:$M$2000, MATCH($A554, Joined!$I$3:$I$2000, FALSE), 7)</f>
        <v>VAV-14E-25</v>
      </c>
      <c r="F554" t="s">
        <v>38</v>
      </c>
      <c r="G554" t="str">
        <f>INDEX(Schedule!$Q$2:$R$7, MATCH(ABT!$H554,Schedule!$Q$2:$Q$7, 0), 2)</f>
        <v>15011_DXR_VAV_DXR2M12</v>
      </c>
      <c r="H554">
        <f>INDEX(Joined!$A$3:$M$2000, MATCH($A554, Joined!$I$3:$I$2000, FALSE), 6)</f>
        <v>15011</v>
      </c>
      <c r="I554" t="str">
        <f>INDEX(Joined!$A$3:$M$2000, MATCH($A554, Joined!$I$3:$I$2000, FALSE), 4)</f>
        <v>538</v>
      </c>
      <c r="J554" t="b">
        <v>0</v>
      </c>
      <c r="K554">
        <f>INDEX(Joined!$A$3:$M$2000, MATCH($A554, Joined!$I$3:$I$2000, FALSE), 3)</f>
        <v>11</v>
      </c>
      <c r="L554">
        <v>85</v>
      </c>
      <c r="M554">
        <v>38400</v>
      </c>
      <c r="N554" s="27">
        <f>PI()*(INDEX(Schedule!$A$1:$N$2000, MATCH($C554, VAV_Schedule_5_21[[#All],[UNIT TAG]], FALSE), 4)/2/12)^2</f>
        <v>0.78539816339744828</v>
      </c>
      <c r="O554" s="27">
        <f>INDEX(Schedule!$A$1:$N$2000, MATCH($C554, VAV_Schedule_5_21[[#All],[UNIT TAG]], FALSE), 4)</f>
        <v>12</v>
      </c>
      <c r="P554">
        <v>552.63</v>
      </c>
      <c r="Q554" s="27">
        <f>INDEX(Schedule!$A$1:$N$2000, MATCH($C554, VAV_Schedule_5_21[[#All],[UNIT TAG]], FALSE), 5)</f>
        <v>1140</v>
      </c>
      <c r="R554" s="27">
        <f>INDEX(Schedule!$A$1:$N$2000, MATCH($C554, VAV_Schedule_5_21[[#All],[UNIT TAG]], FALSE), 6)</f>
        <v>175</v>
      </c>
      <c r="S554" s="27">
        <f>INDEX(Schedule!$A$1:$N$2000, MATCH($C554, VAV_Schedule_5_21[[#All],[UNIT TAG]], FALSE), 5)</f>
        <v>1140</v>
      </c>
      <c r="T554" s="27">
        <f>INDEX(Schedule!$A$1:$N$2000, MATCH($C554, VAV_Schedule_5_21[[#All],[UNIT TAG]], FALSE), 6)</f>
        <v>175</v>
      </c>
      <c r="U554" s="27">
        <f>INDEX(Schedule!$A$1:$N$2000, MATCH($C554, VAV_Schedule_5_21[[#All],[UNIT TAG]], FALSE), 5)</f>
        <v>1140</v>
      </c>
      <c r="V554" s="27">
        <f>INDEX(Schedule!$A$1:$N$2000, MATCH($C554, VAV_Schedule_5_21[[#All],[UNIT TAG]], FALSE), 6)</f>
        <v>175</v>
      </c>
      <c r="W554" s="27">
        <f>INDEX(Schedule!$A$1:$N$2000, MATCH($C554, VAV_Schedule_5_21[[#All],[UNIT TAG]], FALSE), 6)</f>
        <v>175</v>
      </c>
      <c r="X554" s="27">
        <f>INDEX(Schedule!$A$1:$N$2000, MATCH($C554, VAV_Schedule_5_21[[#All],[UNIT TAG]], FALSE), 6)</f>
        <v>175</v>
      </c>
      <c r="Y554" s="27">
        <f>INDEX(Schedule!$A$1:$N$2000, MATCH($C554, VAV_Schedule_5_21[[#All],[UNIT TAG]], FALSE), 6)</f>
        <v>175</v>
      </c>
      <c r="Z554" s="27">
        <f>INDEX(Schedule!$A$1:$N$2000, MATCH($C554, VAV_Schedule_5_21[[#All],[UNIT TAG]], FALSE), 6)</f>
        <v>175</v>
      </c>
      <c r="AA554" s="27">
        <v>1000</v>
      </c>
      <c r="AB554" s="27">
        <v>1100</v>
      </c>
      <c r="AC554">
        <v>1400</v>
      </c>
      <c r="AD554" s="29" t="str">
        <f>IF(INDEX(Schedule!$A$1:$N$2000, MATCH($C554, VAV_Schedule_5_21[[#All],[UNIT TAG]], FALSE), 7)="-", 0, INDEX(Schedule!$A$1:$N$2000, MATCH($C554, VAV_Schedule_5_21[[#All],[UNIT TAG]], FALSE), 7))</f>
        <v>9</v>
      </c>
      <c r="AE554" t="str">
        <f>"B_01'" &amp; "Flr_0" &amp; INDEX(Joined!$A$3:$M$2000, MATCH($A554, Joined!$I$3:$I$2000, FALSE), 8)</f>
        <v>B_01'Flr_014</v>
      </c>
      <c r="AF554" t="str">
        <f>"R_" &amp; INDEX(Joined!$A$3:$M$2000, MATCH($A554, Joined!$I$3:$I$2000, FALSE), 7)</f>
        <v>R_VAV-14E-25</v>
      </c>
      <c r="AG554" t="str">
        <f>"B_01'" &amp; "Flr_0" &amp; INDEX(Joined!$A$3:$M$2000, MATCH($A554, Joined!$I$3:$I$2000, FALSE), 8)</f>
        <v>B_01'Flr_014</v>
      </c>
      <c r="AH554" t="str">
        <f>INDEX(Joined!$A$3:$M$2000, MATCH($A554, Joined!$I$3:$I$2000, FALSE), 7)</f>
        <v>VAV-14E-25</v>
      </c>
      <c r="AI554" t="s">
        <v>1882</v>
      </c>
    </row>
    <row r="555" spans="1:35" x14ac:dyDescent="0.2">
      <c r="A555" t="s">
        <v>1416</v>
      </c>
      <c r="B555" t="str">
        <f>"B_01'" &amp; "Flr_0" &amp; INDEX(Joined!$A$3:$M$2000, MATCH($A555, Joined!$I$3:$I$2000, FALSE), 8)</f>
        <v>B_01'Flr_014</v>
      </c>
      <c r="C555" t="str">
        <f>INDEX(Joined!$A$3:$M$2000, MATCH($A555, Joined!$I$3:$I$2000, FALSE), 7)</f>
        <v>VAV-14E-26</v>
      </c>
      <c r="D555">
        <f>INDEX(Joined!$A$3:$M$2000, MATCH($A555, Joined!$I$3:$I$2000, FALSE), 5)</f>
        <v>153812</v>
      </c>
      <c r="E555" t="str">
        <f>INDEX(Joined!$A$3:$M$2000, MATCH($A555, Joined!$I$3:$I$2000, FALSE), 7)</f>
        <v>VAV-14E-26</v>
      </c>
      <c r="F555" t="s">
        <v>38</v>
      </c>
      <c r="G555" t="str">
        <f>INDEX(Schedule!$Q$2:$R$7, MATCH(ABT!$H555,Schedule!$Q$2:$Q$7, 0), 2)</f>
        <v>15011_DXR_VAV_DXR2M12</v>
      </c>
      <c r="H555">
        <f>INDEX(Joined!$A$3:$M$2000, MATCH($A555, Joined!$I$3:$I$2000, FALSE), 6)</f>
        <v>15011</v>
      </c>
      <c r="I555" t="str">
        <f>INDEX(Joined!$A$3:$M$2000, MATCH($A555, Joined!$I$3:$I$2000, FALSE), 4)</f>
        <v>538</v>
      </c>
      <c r="J555" t="b">
        <v>0</v>
      </c>
      <c r="K555">
        <f>INDEX(Joined!$A$3:$M$2000, MATCH($A555, Joined!$I$3:$I$2000, FALSE), 3)</f>
        <v>12</v>
      </c>
      <c r="L555">
        <v>85</v>
      </c>
      <c r="M555">
        <v>38400</v>
      </c>
      <c r="N555" s="27">
        <f>PI()*(INDEX(Schedule!$A$1:$N$2000, MATCH($C555, VAV_Schedule_5_21[[#All],[UNIT TAG]], FALSE), 4)/2/12)^2</f>
        <v>0.3490658503988659</v>
      </c>
      <c r="O555" s="27">
        <f>INDEX(Schedule!$A$1:$N$2000, MATCH($C555, VAV_Schedule_5_21[[#All],[UNIT TAG]], FALSE), 4)</f>
        <v>8</v>
      </c>
      <c r="P555">
        <v>553.63</v>
      </c>
      <c r="Q555" s="27">
        <f>INDEX(Schedule!$A$1:$N$2000, MATCH($C555, VAV_Schedule_5_21[[#All],[UNIT TAG]], FALSE), 5)</f>
        <v>700</v>
      </c>
      <c r="R555" s="27">
        <f>INDEX(Schedule!$A$1:$N$2000, MATCH($C555, VAV_Schedule_5_21[[#All],[UNIT TAG]], FALSE), 6)</f>
        <v>105</v>
      </c>
      <c r="S555" s="27">
        <f>INDEX(Schedule!$A$1:$N$2000, MATCH($C555, VAV_Schedule_5_21[[#All],[UNIT TAG]], FALSE), 5)</f>
        <v>700</v>
      </c>
      <c r="T555" s="27">
        <f>INDEX(Schedule!$A$1:$N$2000, MATCH($C555, VAV_Schedule_5_21[[#All],[UNIT TAG]], FALSE), 6)</f>
        <v>105</v>
      </c>
      <c r="U555" s="27">
        <f>INDEX(Schedule!$A$1:$N$2000, MATCH($C555, VAV_Schedule_5_21[[#All],[UNIT TAG]], FALSE), 5)</f>
        <v>700</v>
      </c>
      <c r="V555" s="27">
        <f>INDEX(Schedule!$A$1:$N$2000, MATCH($C555, VAV_Schedule_5_21[[#All],[UNIT TAG]], FALSE), 6)</f>
        <v>105</v>
      </c>
      <c r="W555" s="27">
        <f>INDEX(Schedule!$A$1:$N$2000, MATCH($C555, VAV_Schedule_5_21[[#All],[UNIT TAG]], FALSE), 6)</f>
        <v>105</v>
      </c>
      <c r="X555" s="27">
        <f>INDEX(Schedule!$A$1:$N$2000, MATCH($C555, VAV_Schedule_5_21[[#All],[UNIT TAG]], FALSE), 6)</f>
        <v>105</v>
      </c>
      <c r="Y555" s="27">
        <f>INDEX(Schedule!$A$1:$N$2000, MATCH($C555, VAV_Schedule_5_21[[#All],[UNIT TAG]], FALSE), 6)</f>
        <v>105</v>
      </c>
      <c r="Z555" s="27">
        <f>INDEX(Schedule!$A$1:$N$2000, MATCH($C555, VAV_Schedule_5_21[[#All],[UNIT TAG]], FALSE), 6)</f>
        <v>105</v>
      </c>
      <c r="AA555" s="27">
        <v>1000</v>
      </c>
      <c r="AB555" s="27">
        <v>1100</v>
      </c>
      <c r="AC555">
        <v>1400</v>
      </c>
      <c r="AD555" s="29" t="str">
        <f>IF(INDEX(Schedule!$A$1:$N$2000, MATCH($C555, VAV_Schedule_5_21[[#All],[UNIT TAG]], FALSE), 7)="-", 0, INDEX(Schedule!$A$1:$N$2000, MATCH($C555, VAV_Schedule_5_21[[#All],[UNIT TAG]], FALSE), 7))</f>
        <v>6</v>
      </c>
      <c r="AE555" t="str">
        <f>"B_01'" &amp; "Flr_0" &amp; INDEX(Joined!$A$3:$M$2000, MATCH($A555, Joined!$I$3:$I$2000, FALSE), 8)</f>
        <v>B_01'Flr_014</v>
      </c>
      <c r="AF555" t="str">
        <f>"R_" &amp; INDEX(Joined!$A$3:$M$2000, MATCH($A555, Joined!$I$3:$I$2000, FALSE), 7)</f>
        <v>R_VAV-14E-26</v>
      </c>
      <c r="AG555" t="str">
        <f>"B_01'" &amp; "Flr_0" &amp; INDEX(Joined!$A$3:$M$2000, MATCH($A555, Joined!$I$3:$I$2000, FALSE), 8)</f>
        <v>B_01'Flr_014</v>
      </c>
      <c r="AH555" t="str">
        <f>INDEX(Joined!$A$3:$M$2000, MATCH($A555, Joined!$I$3:$I$2000, FALSE), 7)</f>
        <v>VAV-14E-26</v>
      </c>
      <c r="AI555" t="s">
        <v>1883</v>
      </c>
    </row>
    <row r="556" spans="1:35" x14ac:dyDescent="0.2">
      <c r="A556" t="s">
        <v>1417</v>
      </c>
      <c r="B556" t="str">
        <f>"B_01'" &amp; "Flr_0" &amp; INDEX(Joined!$A$3:$M$2000, MATCH($A556, Joined!$I$3:$I$2000, FALSE), 8)</f>
        <v>B_01'Flr_014</v>
      </c>
      <c r="C556" t="str">
        <f>INDEX(Joined!$A$3:$M$2000, MATCH($A556, Joined!$I$3:$I$2000, FALSE), 7)</f>
        <v>VAV-14E-27</v>
      </c>
      <c r="D556">
        <f>INDEX(Joined!$A$3:$M$2000, MATCH($A556, Joined!$I$3:$I$2000, FALSE), 5)</f>
        <v>153813</v>
      </c>
      <c r="E556" t="str">
        <f>INDEX(Joined!$A$3:$M$2000, MATCH($A556, Joined!$I$3:$I$2000, FALSE), 7)</f>
        <v>VAV-14E-27</v>
      </c>
      <c r="F556" t="s">
        <v>38</v>
      </c>
      <c r="G556" t="str">
        <f>INDEX(Schedule!$Q$2:$R$7, MATCH(ABT!$H556,Schedule!$Q$2:$Q$7, 0), 2)</f>
        <v>15011_DXR_VAV_DXR2M12</v>
      </c>
      <c r="H556">
        <f>INDEX(Joined!$A$3:$M$2000, MATCH($A556, Joined!$I$3:$I$2000, FALSE), 6)</f>
        <v>15011</v>
      </c>
      <c r="I556" t="str">
        <f>INDEX(Joined!$A$3:$M$2000, MATCH($A556, Joined!$I$3:$I$2000, FALSE), 4)</f>
        <v>538</v>
      </c>
      <c r="J556" t="b">
        <v>0</v>
      </c>
      <c r="K556">
        <f>INDEX(Joined!$A$3:$M$2000, MATCH($A556, Joined!$I$3:$I$2000, FALSE), 3)</f>
        <v>13</v>
      </c>
      <c r="L556">
        <v>85</v>
      </c>
      <c r="M556">
        <v>38400</v>
      </c>
      <c r="N556" s="27">
        <f>PI()*(INDEX(Schedule!$A$1:$N$2000, MATCH($C556, VAV_Schedule_5_21[[#All],[UNIT TAG]], FALSE), 4)/2/12)^2</f>
        <v>0.3490658503988659</v>
      </c>
      <c r="O556" s="27">
        <f>INDEX(Schedule!$A$1:$N$2000, MATCH($C556, VAV_Schedule_5_21[[#All],[UNIT TAG]], FALSE), 4)</f>
        <v>8</v>
      </c>
      <c r="P556">
        <v>554.63</v>
      </c>
      <c r="Q556" s="27">
        <f>INDEX(Schedule!$A$1:$N$2000, MATCH($C556, VAV_Schedule_5_21[[#All],[UNIT TAG]], FALSE), 5)</f>
        <v>700</v>
      </c>
      <c r="R556" s="27">
        <f>INDEX(Schedule!$A$1:$N$2000, MATCH($C556, VAV_Schedule_5_21[[#All],[UNIT TAG]], FALSE), 6)</f>
        <v>105</v>
      </c>
      <c r="S556" s="27">
        <f>INDEX(Schedule!$A$1:$N$2000, MATCH($C556, VAV_Schedule_5_21[[#All],[UNIT TAG]], FALSE), 5)</f>
        <v>700</v>
      </c>
      <c r="T556" s="27">
        <f>INDEX(Schedule!$A$1:$N$2000, MATCH($C556, VAV_Schedule_5_21[[#All],[UNIT TAG]], FALSE), 6)</f>
        <v>105</v>
      </c>
      <c r="U556" s="27">
        <f>INDEX(Schedule!$A$1:$N$2000, MATCH($C556, VAV_Schedule_5_21[[#All],[UNIT TAG]], FALSE), 5)</f>
        <v>700</v>
      </c>
      <c r="V556" s="27">
        <f>INDEX(Schedule!$A$1:$N$2000, MATCH($C556, VAV_Schedule_5_21[[#All],[UNIT TAG]], FALSE), 6)</f>
        <v>105</v>
      </c>
      <c r="W556" s="27">
        <f>INDEX(Schedule!$A$1:$N$2000, MATCH($C556, VAV_Schedule_5_21[[#All],[UNIT TAG]], FALSE), 6)</f>
        <v>105</v>
      </c>
      <c r="X556" s="27">
        <f>INDEX(Schedule!$A$1:$N$2000, MATCH($C556, VAV_Schedule_5_21[[#All],[UNIT TAG]], FALSE), 6)</f>
        <v>105</v>
      </c>
      <c r="Y556" s="27">
        <f>INDEX(Schedule!$A$1:$N$2000, MATCH($C556, VAV_Schedule_5_21[[#All],[UNIT TAG]], FALSE), 6)</f>
        <v>105</v>
      </c>
      <c r="Z556" s="27">
        <f>INDEX(Schedule!$A$1:$N$2000, MATCH($C556, VAV_Schedule_5_21[[#All],[UNIT TAG]], FALSE), 6)</f>
        <v>105</v>
      </c>
      <c r="AA556" s="27">
        <v>1000</v>
      </c>
      <c r="AB556" s="27">
        <v>1100</v>
      </c>
      <c r="AC556">
        <v>1400</v>
      </c>
      <c r="AD556" s="29" t="str">
        <f>IF(INDEX(Schedule!$A$1:$N$2000, MATCH($C556, VAV_Schedule_5_21[[#All],[UNIT TAG]], FALSE), 7)="-", 0, INDEX(Schedule!$A$1:$N$2000, MATCH($C556, VAV_Schedule_5_21[[#All],[UNIT TAG]], FALSE), 7))</f>
        <v>6</v>
      </c>
      <c r="AE556" t="str">
        <f>"B_01'" &amp; "Flr_0" &amp; INDEX(Joined!$A$3:$M$2000, MATCH($A556, Joined!$I$3:$I$2000, FALSE), 8)</f>
        <v>B_01'Flr_014</v>
      </c>
      <c r="AF556" t="str">
        <f>"R_" &amp; INDEX(Joined!$A$3:$M$2000, MATCH($A556, Joined!$I$3:$I$2000, FALSE), 7)</f>
        <v>R_VAV-14E-27</v>
      </c>
      <c r="AG556" t="str">
        <f>"B_01'" &amp; "Flr_0" &amp; INDEX(Joined!$A$3:$M$2000, MATCH($A556, Joined!$I$3:$I$2000, FALSE), 8)</f>
        <v>B_01'Flr_014</v>
      </c>
      <c r="AH556" t="str">
        <f>INDEX(Joined!$A$3:$M$2000, MATCH($A556, Joined!$I$3:$I$2000, FALSE), 7)</f>
        <v>VAV-14E-27</v>
      </c>
      <c r="AI556" t="s">
        <v>1884</v>
      </c>
    </row>
    <row r="557" spans="1:35" x14ac:dyDescent="0.2">
      <c r="A557" t="s">
        <v>1418</v>
      </c>
      <c r="B557" t="str">
        <f>"B_01'" &amp; "Flr_0" &amp; INDEX(Joined!$A$3:$M$2000, MATCH($A557, Joined!$I$3:$I$2000, FALSE), 8)</f>
        <v>B_01'Flr_014</v>
      </c>
      <c r="C557" t="str">
        <f>INDEX(Joined!$A$3:$M$2000, MATCH($A557, Joined!$I$3:$I$2000, FALSE), 7)</f>
        <v>VAV-14E-28</v>
      </c>
      <c r="D557">
        <f>INDEX(Joined!$A$3:$M$2000, MATCH($A557, Joined!$I$3:$I$2000, FALSE), 5)</f>
        <v>153814</v>
      </c>
      <c r="E557" t="str">
        <f>INDEX(Joined!$A$3:$M$2000, MATCH($A557, Joined!$I$3:$I$2000, FALSE), 7)</f>
        <v>VAV-14E-28</v>
      </c>
      <c r="F557" t="s">
        <v>38</v>
      </c>
      <c r="G557" t="str">
        <f>INDEX(Schedule!$Q$2:$R$7, MATCH(ABT!$H557,Schedule!$Q$2:$Q$7, 0), 2)</f>
        <v>15010_DXR_VAV_DXR2M12</v>
      </c>
      <c r="H557">
        <f>INDEX(Joined!$A$3:$M$2000, MATCH($A557, Joined!$I$3:$I$2000, FALSE), 6)</f>
        <v>15010</v>
      </c>
      <c r="I557" t="str">
        <f>INDEX(Joined!$A$3:$M$2000, MATCH($A557, Joined!$I$3:$I$2000, FALSE), 4)</f>
        <v>538</v>
      </c>
      <c r="J557" t="b">
        <v>0</v>
      </c>
      <c r="K557">
        <f>INDEX(Joined!$A$3:$M$2000, MATCH($A557, Joined!$I$3:$I$2000, FALSE), 3)</f>
        <v>14</v>
      </c>
      <c r="L557">
        <v>85</v>
      </c>
      <c r="M557">
        <v>38400</v>
      </c>
      <c r="N557" s="27">
        <f>PI()*(INDEX(Schedule!$A$1:$N$2000, MATCH($C557, VAV_Schedule_5_21[[#All],[UNIT TAG]], FALSE), 4)/2/12)^2</f>
        <v>0.54541539124822802</v>
      </c>
      <c r="O557" s="27">
        <f>INDEX(Schedule!$A$1:$N$2000, MATCH($C557, VAV_Schedule_5_21[[#All],[UNIT TAG]], FALSE), 4)</f>
        <v>10</v>
      </c>
      <c r="P557">
        <v>555.63</v>
      </c>
      <c r="Q557" s="27">
        <f>INDEX(Schedule!$A$1:$N$2000, MATCH($C557, VAV_Schedule_5_21[[#All],[UNIT TAG]], FALSE), 5)</f>
        <v>770</v>
      </c>
      <c r="R557" s="27">
        <f>INDEX(Schedule!$A$1:$N$2000, MATCH($C557, VAV_Schedule_5_21[[#All],[UNIT TAG]], FALSE), 6)</f>
        <v>120</v>
      </c>
      <c r="S557" s="27">
        <f>INDEX(Schedule!$A$1:$N$2000, MATCH($C557, VAV_Schedule_5_21[[#All],[UNIT TAG]], FALSE), 5)</f>
        <v>770</v>
      </c>
      <c r="T557" s="27">
        <f>INDEX(Schedule!$A$1:$N$2000, MATCH($C557, VAV_Schedule_5_21[[#All],[UNIT TAG]], FALSE), 6)</f>
        <v>120</v>
      </c>
      <c r="U557" s="27">
        <f>INDEX(Schedule!$A$1:$N$2000, MATCH($C557, VAV_Schedule_5_21[[#All],[UNIT TAG]], FALSE), 5)</f>
        <v>770</v>
      </c>
      <c r="V557" s="27">
        <f>INDEX(Schedule!$A$1:$N$2000, MATCH($C557, VAV_Schedule_5_21[[#All],[UNIT TAG]], FALSE), 6)</f>
        <v>120</v>
      </c>
      <c r="W557" s="27">
        <f>INDEX(Schedule!$A$1:$N$2000, MATCH($C557, VAV_Schedule_5_21[[#All],[UNIT TAG]], FALSE), 6)</f>
        <v>120</v>
      </c>
      <c r="X557" s="27">
        <f>INDEX(Schedule!$A$1:$N$2000, MATCH($C557, VAV_Schedule_5_21[[#All],[UNIT TAG]], FALSE), 6)</f>
        <v>120</v>
      </c>
      <c r="Y557" s="27">
        <f>INDEX(Schedule!$A$1:$N$2000, MATCH($C557, VAV_Schedule_5_21[[#All],[UNIT TAG]], FALSE), 6)</f>
        <v>120</v>
      </c>
      <c r="Z557" s="27">
        <f>INDEX(Schedule!$A$1:$N$2000, MATCH($C557, VAV_Schedule_5_21[[#All],[UNIT TAG]], FALSE), 6)</f>
        <v>120</v>
      </c>
      <c r="AA557" s="27">
        <v>1000</v>
      </c>
      <c r="AB557" s="27">
        <v>1100</v>
      </c>
      <c r="AC557">
        <v>1400</v>
      </c>
      <c r="AD557" s="29">
        <f>IF(INDEX(Schedule!$A$1:$N$2000, MATCH($C557, VAV_Schedule_5_21[[#All],[UNIT TAG]], FALSE), 7)="-", 0, INDEX(Schedule!$A$1:$N$2000, MATCH($C557, VAV_Schedule_5_21[[#All],[UNIT TAG]], FALSE), 7))</f>
        <v>0</v>
      </c>
      <c r="AE557" t="str">
        <f>"B_01'" &amp; "Flr_0" &amp; INDEX(Joined!$A$3:$M$2000, MATCH($A557, Joined!$I$3:$I$2000, FALSE), 8)</f>
        <v>B_01'Flr_014</v>
      </c>
      <c r="AF557" t="str">
        <f>"R_" &amp; INDEX(Joined!$A$3:$M$2000, MATCH($A557, Joined!$I$3:$I$2000, FALSE), 7)</f>
        <v>R_VAV-14E-28</v>
      </c>
      <c r="AG557" t="str">
        <f>"B_01'" &amp; "Flr_0" &amp; INDEX(Joined!$A$3:$M$2000, MATCH($A557, Joined!$I$3:$I$2000, FALSE), 8)</f>
        <v>B_01'Flr_014</v>
      </c>
      <c r="AH557" t="str">
        <f>INDEX(Joined!$A$3:$M$2000, MATCH($A557, Joined!$I$3:$I$2000, FALSE), 7)</f>
        <v>VAV-14E-28</v>
      </c>
      <c r="AI557" t="s">
        <v>1885</v>
      </c>
    </row>
    <row r="558" spans="1:35" x14ac:dyDescent="0.2">
      <c r="A558" t="s">
        <v>1419</v>
      </c>
      <c r="B558" t="str">
        <f>"B_01'" &amp; "Flr_0" &amp; INDEX(Joined!$A$3:$M$2000, MATCH($A558, Joined!$I$3:$I$2000, FALSE), 8)</f>
        <v>B_01'Flr_014</v>
      </c>
      <c r="C558" t="str">
        <f>INDEX(Joined!$A$3:$M$2000, MATCH($A558, Joined!$I$3:$I$2000, FALSE), 7)</f>
        <v>VAV-14E-29</v>
      </c>
      <c r="D558">
        <f>INDEX(Joined!$A$3:$M$2000, MATCH($A558, Joined!$I$3:$I$2000, FALSE), 5)</f>
        <v>153815</v>
      </c>
      <c r="E558" t="str">
        <f>INDEX(Joined!$A$3:$M$2000, MATCH($A558, Joined!$I$3:$I$2000, FALSE), 7)</f>
        <v>VAV-14E-29</v>
      </c>
      <c r="F558" t="s">
        <v>38</v>
      </c>
      <c r="G558" t="str">
        <f>INDEX(Schedule!$Q$2:$R$7, MATCH(ABT!$H558,Schedule!$Q$2:$Q$7, 0), 2)</f>
        <v>15010_DXR_VAV_DXR2M12</v>
      </c>
      <c r="H558">
        <f>INDEX(Joined!$A$3:$M$2000, MATCH($A558, Joined!$I$3:$I$2000, FALSE), 6)</f>
        <v>15010</v>
      </c>
      <c r="I558" t="str">
        <f>INDEX(Joined!$A$3:$M$2000, MATCH($A558, Joined!$I$3:$I$2000, FALSE), 4)</f>
        <v>538</v>
      </c>
      <c r="J558" t="b">
        <v>0</v>
      </c>
      <c r="K558">
        <f>INDEX(Joined!$A$3:$M$2000, MATCH($A558, Joined!$I$3:$I$2000, FALSE), 3)</f>
        <v>15</v>
      </c>
      <c r="L558">
        <v>85</v>
      </c>
      <c r="M558">
        <v>38400</v>
      </c>
      <c r="N558" s="27">
        <f>PI()*(INDEX(Schedule!$A$1:$N$2000, MATCH($C558, VAV_Schedule_5_21[[#All],[UNIT TAG]], FALSE), 4)/2/12)^2</f>
        <v>0.78539816339744828</v>
      </c>
      <c r="O558" s="27">
        <f>INDEX(Schedule!$A$1:$N$2000, MATCH($C558, VAV_Schedule_5_21[[#All],[UNIT TAG]], FALSE), 4)</f>
        <v>12</v>
      </c>
      <c r="P558">
        <v>556.63</v>
      </c>
      <c r="Q558" s="27">
        <f>INDEX(Schedule!$A$1:$N$2000, MATCH($C558, VAV_Schedule_5_21[[#All],[UNIT TAG]], FALSE), 5)</f>
        <v>1305</v>
      </c>
      <c r="R558" s="27">
        <f>INDEX(Schedule!$A$1:$N$2000, MATCH($C558, VAV_Schedule_5_21[[#All],[UNIT TAG]], FALSE), 6)</f>
        <v>200</v>
      </c>
      <c r="S558" s="27">
        <f>INDEX(Schedule!$A$1:$N$2000, MATCH($C558, VAV_Schedule_5_21[[#All],[UNIT TAG]], FALSE), 5)</f>
        <v>1305</v>
      </c>
      <c r="T558" s="27">
        <f>INDEX(Schedule!$A$1:$N$2000, MATCH($C558, VAV_Schedule_5_21[[#All],[UNIT TAG]], FALSE), 6)</f>
        <v>200</v>
      </c>
      <c r="U558" s="27">
        <f>INDEX(Schedule!$A$1:$N$2000, MATCH($C558, VAV_Schedule_5_21[[#All],[UNIT TAG]], FALSE), 5)</f>
        <v>1305</v>
      </c>
      <c r="V558" s="27">
        <f>INDEX(Schedule!$A$1:$N$2000, MATCH($C558, VAV_Schedule_5_21[[#All],[UNIT TAG]], FALSE), 6)</f>
        <v>200</v>
      </c>
      <c r="W558" s="27">
        <f>INDEX(Schedule!$A$1:$N$2000, MATCH($C558, VAV_Schedule_5_21[[#All],[UNIT TAG]], FALSE), 6)</f>
        <v>200</v>
      </c>
      <c r="X558" s="27">
        <f>INDEX(Schedule!$A$1:$N$2000, MATCH($C558, VAV_Schedule_5_21[[#All],[UNIT TAG]], FALSE), 6)</f>
        <v>200</v>
      </c>
      <c r="Y558" s="27">
        <f>INDEX(Schedule!$A$1:$N$2000, MATCH($C558, VAV_Schedule_5_21[[#All],[UNIT TAG]], FALSE), 6)</f>
        <v>200</v>
      </c>
      <c r="Z558" s="27">
        <f>INDEX(Schedule!$A$1:$N$2000, MATCH($C558, VAV_Schedule_5_21[[#All],[UNIT TAG]], FALSE), 6)</f>
        <v>200</v>
      </c>
      <c r="AA558" s="27">
        <v>1000</v>
      </c>
      <c r="AB558" s="27">
        <v>1100</v>
      </c>
      <c r="AC558">
        <v>1400</v>
      </c>
      <c r="AD558" s="29">
        <f>IF(INDEX(Schedule!$A$1:$N$2000, MATCH($C558, VAV_Schedule_5_21[[#All],[UNIT TAG]], FALSE), 7)="-", 0, INDEX(Schedule!$A$1:$N$2000, MATCH($C558, VAV_Schedule_5_21[[#All],[UNIT TAG]], FALSE), 7))</f>
        <v>0</v>
      </c>
      <c r="AE558" t="str">
        <f>"B_01'" &amp; "Flr_0" &amp; INDEX(Joined!$A$3:$M$2000, MATCH($A558, Joined!$I$3:$I$2000, FALSE), 8)</f>
        <v>B_01'Flr_014</v>
      </c>
      <c r="AF558" t="str">
        <f>"R_" &amp; INDEX(Joined!$A$3:$M$2000, MATCH($A558, Joined!$I$3:$I$2000, FALSE), 7)</f>
        <v>R_VAV-14E-29</v>
      </c>
      <c r="AG558" t="str">
        <f>"B_01'" &amp; "Flr_0" &amp; INDEX(Joined!$A$3:$M$2000, MATCH($A558, Joined!$I$3:$I$2000, FALSE), 8)</f>
        <v>B_01'Flr_014</v>
      </c>
      <c r="AH558" t="str">
        <f>INDEX(Joined!$A$3:$M$2000, MATCH($A558, Joined!$I$3:$I$2000, FALSE), 7)</f>
        <v>VAV-14E-29</v>
      </c>
      <c r="AI558" t="s">
        <v>1886</v>
      </c>
    </row>
    <row r="559" spans="1:35" x14ac:dyDescent="0.2">
      <c r="A559" t="s">
        <v>1420</v>
      </c>
      <c r="B559" t="str">
        <f>"B_01'" &amp; "Flr_0" &amp; INDEX(Joined!$A$3:$M$2000, MATCH($A559, Joined!$I$3:$I$2000, FALSE), 8)</f>
        <v>B_01'Flr_014</v>
      </c>
      <c r="C559" t="str">
        <f>INDEX(Joined!$A$3:$M$2000, MATCH($A559, Joined!$I$3:$I$2000, FALSE), 7)</f>
        <v>VAV-14E-30</v>
      </c>
      <c r="D559">
        <f>INDEX(Joined!$A$3:$M$2000, MATCH($A559, Joined!$I$3:$I$2000, FALSE), 5)</f>
        <v>153816</v>
      </c>
      <c r="E559" t="str">
        <f>INDEX(Joined!$A$3:$M$2000, MATCH($A559, Joined!$I$3:$I$2000, FALSE), 7)</f>
        <v>VAV-14E-30</v>
      </c>
      <c r="F559" t="s">
        <v>38</v>
      </c>
      <c r="G559" t="str">
        <f>INDEX(Schedule!$Q$2:$R$7, MATCH(ABT!$H559,Schedule!$Q$2:$Q$7, 0), 2)</f>
        <v>15011_DXR_VAV_DXR2M12</v>
      </c>
      <c r="H559">
        <f>INDEX(Joined!$A$3:$M$2000, MATCH($A559, Joined!$I$3:$I$2000, FALSE), 6)</f>
        <v>15011</v>
      </c>
      <c r="I559" t="str">
        <f>INDEX(Joined!$A$3:$M$2000, MATCH($A559, Joined!$I$3:$I$2000, FALSE), 4)</f>
        <v>538</v>
      </c>
      <c r="J559" t="b">
        <v>0</v>
      </c>
      <c r="K559">
        <f>INDEX(Joined!$A$3:$M$2000, MATCH($A559, Joined!$I$3:$I$2000, FALSE), 3)</f>
        <v>16</v>
      </c>
      <c r="L559">
        <v>85</v>
      </c>
      <c r="M559">
        <v>38400</v>
      </c>
      <c r="N559" s="27">
        <f>PI()*(INDEX(Schedule!$A$1:$N$2000, MATCH($C559, VAV_Schedule_5_21[[#All],[UNIT TAG]], FALSE), 4)/2/12)^2</f>
        <v>0.54541539124822802</v>
      </c>
      <c r="O559" s="27">
        <f>INDEX(Schedule!$A$1:$N$2000, MATCH($C559, VAV_Schedule_5_21[[#All],[UNIT TAG]], FALSE), 4)</f>
        <v>10</v>
      </c>
      <c r="P559">
        <v>557.63</v>
      </c>
      <c r="Q559" s="27">
        <f>INDEX(Schedule!$A$1:$N$2000, MATCH($C559, VAV_Schedule_5_21[[#All],[UNIT TAG]], FALSE), 5)</f>
        <v>1000</v>
      </c>
      <c r="R559" s="27">
        <f>INDEX(Schedule!$A$1:$N$2000, MATCH($C559, VAV_Schedule_5_21[[#All],[UNIT TAG]], FALSE), 6)</f>
        <v>150</v>
      </c>
      <c r="S559" s="27">
        <f>INDEX(Schedule!$A$1:$N$2000, MATCH($C559, VAV_Schedule_5_21[[#All],[UNIT TAG]], FALSE), 5)</f>
        <v>1000</v>
      </c>
      <c r="T559" s="27">
        <f>INDEX(Schedule!$A$1:$N$2000, MATCH($C559, VAV_Schedule_5_21[[#All],[UNIT TAG]], FALSE), 6)</f>
        <v>150</v>
      </c>
      <c r="U559" s="27">
        <f>INDEX(Schedule!$A$1:$N$2000, MATCH($C559, VAV_Schedule_5_21[[#All],[UNIT TAG]], FALSE), 5)</f>
        <v>1000</v>
      </c>
      <c r="V559" s="27">
        <f>INDEX(Schedule!$A$1:$N$2000, MATCH($C559, VAV_Schedule_5_21[[#All],[UNIT TAG]], FALSE), 6)</f>
        <v>150</v>
      </c>
      <c r="W559" s="27">
        <f>INDEX(Schedule!$A$1:$N$2000, MATCH($C559, VAV_Schedule_5_21[[#All],[UNIT TAG]], FALSE), 6)</f>
        <v>150</v>
      </c>
      <c r="X559" s="27">
        <f>INDEX(Schedule!$A$1:$N$2000, MATCH($C559, VAV_Schedule_5_21[[#All],[UNIT TAG]], FALSE), 6)</f>
        <v>150</v>
      </c>
      <c r="Y559" s="27">
        <f>INDEX(Schedule!$A$1:$N$2000, MATCH($C559, VAV_Schedule_5_21[[#All],[UNIT TAG]], FALSE), 6)</f>
        <v>150</v>
      </c>
      <c r="Z559" s="27">
        <f>INDEX(Schedule!$A$1:$N$2000, MATCH($C559, VAV_Schedule_5_21[[#All],[UNIT TAG]], FALSE), 6)</f>
        <v>150</v>
      </c>
      <c r="AA559" s="27">
        <v>1000</v>
      </c>
      <c r="AB559" s="27">
        <v>1100</v>
      </c>
      <c r="AC559">
        <v>1400</v>
      </c>
      <c r="AD559" s="29" t="str">
        <f>IF(INDEX(Schedule!$A$1:$N$2000, MATCH($C559, VAV_Schedule_5_21[[#All],[UNIT TAG]], FALSE), 7)="-", 0, INDEX(Schedule!$A$1:$N$2000, MATCH($C559, VAV_Schedule_5_21[[#All],[UNIT TAG]], FALSE), 7))</f>
        <v>8</v>
      </c>
      <c r="AE559" t="str">
        <f>"B_01'" &amp; "Flr_0" &amp; INDEX(Joined!$A$3:$M$2000, MATCH($A559, Joined!$I$3:$I$2000, FALSE), 8)</f>
        <v>B_01'Flr_014</v>
      </c>
      <c r="AF559" t="str">
        <f>"R_" &amp; INDEX(Joined!$A$3:$M$2000, MATCH($A559, Joined!$I$3:$I$2000, FALSE), 7)</f>
        <v>R_VAV-14E-30</v>
      </c>
      <c r="AG559" t="str">
        <f>"B_01'" &amp; "Flr_0" &amp; INDEX(Joined!$A$3:$M$2000, MATCH($A559, Joined!$I$3:$I$2000, FALSE), 8)</f>
        <v>B_01'Flr_014</v>
      </c>
      <c r="AH559" t="str">
        <f>INDEX(Joined!$A$3:$M$2000, MATCH($A559, Joined!$I$3:$I$2000, FALSE), 7)</f>
        <v>VAV-14E-30</v>
      </c>
      <c r="AI559" t="s">
        <v>1887</v>
      </c>
    </row>
    <row r="560" spans="1:35" x14ac:dyDescent="0.2">
      <c r="A560" t="s">
        <v>1421</v>
      </c>
      <c r="B560" t="str">
        <f>"B_01'" &amp; "Flr_0" &amp; INDEX(Joined!$A$3:$M$2000, MATCH($A560, Joined!$I$3:$I$2000, FALSE), 8)</f>
        <v>B_01'Flr_014</v>
      </c>
      <c r="C560" t="str">
        <f>INDEX(Joined!$A$3:$M$2000, MATCH($A560, Joined!$I$3:$I$2000, FALSE), 7)</f>
        <v>VAV-14E-31</v>
      </c>
      <c r="D560">
        <f>INDEX(Joined!$A$3:$M$2000, MATCH($A560, Joined!$I$3:$I$2000, FALSE), 5)</f>
        <v>153817</v>
      </c>
      <c r="E560" t="str">
        <f>INDEX(Joined!$A$3:$M$2000, MATCH($A560, Joined!$I$3:$I$2000, FALSE), 7)</f>
        <v>VAV-14E-31</v>
      </c>
      <c r="F560" t="s">
        <v>38</v>
      </c>
      <c r="G560" t="str">
        <f>INDEX(Schedule!$Q$2:$R$7, MATCH(ABT!$H560,Schedule!$Q$2:$Q$7, 0), 2)</f>
        <v>15011_DXR_VAV_DXR2M12</v>
      </c>
      <c r="H560">
        <f>INDEX(Joined!$A$3:$M$2000, MATCH($A560, Joined!$I$3:$I$2000, FALSE), 6)</f>
        <v>15011</v>
      </c>
      <c r="I560" t="str">
        <f>INDEX(Joined!$A$3:$M$2000, MATCH($A560, Joined!$I$3:$I$2000, FALSE), 4)</f>
        <v>538</v>
      </c>
      <c r="J560" t="b">
        <v>0</v>
      </c>
      <c r="K560">
        <f>INDEX(Joined!$A$3:$M$2000, MATCH($A560, Joined!$I$3:$I$2000, FALSE), 3)</f>
        <v>17</v>
      </c>
      <c r="L560">
        <v>85</v>
      </c>
      <c r="M560">
        <v>38400</v>
      </c>
      <c r="N560" s="27">
        <f>PI()*(INDEX(Schedule!$A$1:$N$2000, MATCH($C560, VAV_Schedule_5_21[[#All],[UNIT TAG]], FALSE), 4)/2/12)^2</f>
        <v>0.78539816339744828</v>
      </c>
      <c r="O560" s="27">
        <f>INDEX(Schedule!$A$1:$N$2000, MATCH($C560, VAV_Schedule_5_21[[#All],[UNIT TAG]], FALSE), 4)</f>
        <v>12</v>
      </c>
      <c r="P560">
        <v>558.63</v>
      </c>
      <c r="Q560" s="27">
        <f>INDEX(Schedule!$A$1:$N$2000, MATCH($C560, VAV_Schedule_5_21[[#All],[UNIT TAG]], FALSE), 5)</f>
        <v>1300</v>
      </c>
      <c r="R560" s="27">
        <f>INDEX(Schedule!$A$1:$N$2000, MATCH($C560, VAV_Schedule_5_21[[#All],[UNIT TAG]], FALSE), 6)</f>
        <v>195</v>
      </c>
      <c r="S560" s="27">
        <f>INDEX(Schedule!$A$1:$N$2000, MATCH($C560, VAV_Schedule_5_21[[#All],[UNIT TAG]], FALSE), 5)</f>
        <v>1300</v>
      </c>
      <c r="T560" s="27">
        <f>INDEX(Schedule!$A$1:$N$2000, MATCH($C560, VAV_Schedule_5_21[[#All],[UNIT TAG]], FALSE), 6)</f>
        <v>195</v>
      </c>
      <c r="U560" s="27">
        <f>INDEX(Schedule!$A$1:$N$2000, MATCH($C560, VAV_Schedule_5_21[[#All],[UNIT TAG]], FALSE), 5)</f>
        <v>1300</v>
      </c>
      <c r="V560" s="27">
        <f>INDEX(Schedule!$A$1:$N$2000, MATCH($C560, VAV_Schedule_5_21[[#All],[UNIT TAG]], FALSE), 6)</f>
        <v>195</v>
      </c>
      <c r="W560" s="27">
        <f>INDEX(Schedule!$A$1:$N$2000, MATCH($C560, VAV_Schedule_5_21[[#All],[UNIT TAG]], FALSE), 6)</f>
        <v>195</v>
      </c>
      <c r="X560" s="27">
        <f>INDEX(Schedule!$A$1:$N$2000, MATCH($C560, VAV_Schedule_5_21[[#All],[UNIT TAG]], FALSE), 6)</f>
        <v>195</v>
      </c>
      <c r="Y560" s="27">
        <f>INDEX(Schedule!$A$1:$N$2000, MATCH($C560, VAV_Schedule_5_21[[#All],[UNIT TAG]], FALSE), 6)</f>
        <v>195</v>
      </c>
      <c r="Z560" s="27">
        <f>INDEX(Schedule!$A$1:$N$2000, MATCH($C560, VAV_Schedule_5_21[[#All],[UNIT TAG]], FALSE), 6)</f>
        <v>195</v>
      </c>
      <c r="AA560" s="27">
        <v>1000</v>
      </c>
      <c r="AB560" s="27">
        <v>1100</v>
      </c>
      <c r="AC560">
        <v>1400</v>
      </c>
      <c r="AD560" s="29" t="str">
        <f>IF(INDEX(Schedule!$A$1:$N$2000, MATCH($C560, VAV_Schedule_5_21[[#All],[UNIT TAG]], FALSE), 7)="-", 0, INDEX(Schedule!$A$1:$N$2000, MATCH($C560, VAV_Schedule_5_21[[#All],[UNIT TAG]], FALSE), 7))</f>
        <v>8</v>
      </c>
      <c r="AE560" t="str">
        <f>"B_01'" &amp; "Flr_0" &amp; INDEX(Joined!$A$3:$M$2000, MATCH($A560, Joined!$I$3:$I$2000, FALSE), 8)</f>
        <v>B_01'Flr_014</v>
      </c>
      <c r="AF560" t="str">
        <f>"R_" &amp; INDEX(Joined!$A$3:$M$2000, MATCH($A560, Joined!$I$3:$I$2000, FALSE), 7)</f>
        <v>R_VAV-14E-31</v>
      </c>
      <c r="AG560" t="str">
        <f>"B_01'" &amp; "Flr_0" &amp; INDEX(Joined!$A$3:$M$2000, MATCH($A560, Joined!$I$3:$I$2000, FALSE), 8)</f>
        <v>B_01'Flr_014</v>
      </c>
      <c r="AH560" t="str">
        <f>INDEX(Joined!$A$3:$M$2000, MATCH($A560, Joined!$I$3:$I$2000, FALSE), 7)</f>
        <v>VAV-14E-31</v>
      </c>
      <c r="AI560" t="s">
        <v>1888</v>
      </c>
    </row>
    <row r="561" spans="1:35" x14ac:dyDescent="0.2">
      <c r="A561" t="s">
        <v>1422</v>
      </c>
      <c r="B561" t="str">
        <f>"B_01'" &amp; "Flr_0" &amp; INDEX(Joined!$A$3:$M$2000, MATCH($A561, Joined!$I$3:$I$2000, FALSE), 8)</f>
        <v>B_01'Flr_014</v>
      </c>
      <c r="C561" t="str">
        <f>INDEX(Joined!$A$3:$M$2000, MATCH($A561, Joined!$I$3:$I$2000, FALSE), 7)</f>
        <v>VAV-14W-32</v>
      </c>
      <c r="D561">
        <f>INDEX(Joined!$A$3:$M$2000, MATCH($A561, Joined!$I$3:$I$2000, FALSE), 5)</f>
        <v>153905</v>
      </c>
      <c r="E561" t="str">
        <f>INDEX(Joined!$A$3:$M$2000, MATCH($A561, Joined!$I$3:$I$2000, FALSE), 7)</f>
        <v>VAV-14W-32</v>
      </c>
      <c r="F561" t="s">
        <v>38</v>
      </c>
      <c r="G561" t="str">
        <f>INDEX(Schedule!$Q$2:$R$7, MATCH(ABT!$H561,Schedule!$Q$2:$Q$7, 0), 2)</f>
        <v>15010_DXR_VAV_DXR2M12</v>
      </c>
      <c r="H561">
        <f>INDEX(Joined!$A$3:$M$2000, MATCH($A561, Joined!$I$3:$I$2000, FALSE), 6)</f>
        <v>15010</v>
      </c>
      <c r="I561" t="str">
        <f>INDEX(Joined!$A$3:$M$2000, MATCH($A561, Joined!$I$3:$I$2000, FALSE), 4)</f>
        <v>539</v>
      </c>
      <c r="J561" t="b">
        <v>0</v>
      </c>
      <c r="K561">
        <f>INDEX(Joined!$A$3:$M$2000, MATCH($A561, Joined!$I$3:$I$2000, FALSE), 3)</f>
        <v>5</v>
      </c>
      <c r="L561">
        <v>85</v>
      </c>
      <c r="M561">
        <v>38400</v>
      </c>
      <c r="N561" s="27">
        <f>PI()*(INDEX(Schedule!$A$1:$N$2000, MATCH($C561, VAV_Schedule_5_21[[#All],[UNIT TAG]], FALSE), 4)/2/12)^2</f>
        <v>0.3490658503988659</v>
      </c>
      <c r="O561" s="27">
        <f>INDEX(Schedule!$A$1:$N$2000, MATCH($C561, VAV_Schedule_5_21[[#All],[UNIT TAG]], FALSE), 4)</f>
        <v>8</v>
      </c>
      <c r="P561">
        <v>559.63</v>
      </c>
      <c r="Q561" s="27">
        <f>INDEX(Schedule!$A$1:$N$2000, MATCH($C561, VAV_Schedule_5_21[[#All],[UNIT TAG]], FALSE), 5)</f>
        <v>645</v>
      </c>
      <c r="R561" s="27">
        <f>INDEX(Schedule!$A$1:$N$2000, MATCH($C561, VAV_Schedule_5_21[[#All],[UNIT TAG]], FALSE), 6)</f>
        <v>100</v>
      </c>
      <c r="S561" s="27">
        <f>INDEX(Schedule!$A$1:$N$2000, MATCH($C561, VAV_Schedule_5_21[[#All],[UNIT TAG]], FALSE), 5)</f>
        <v>645</v>
      </c>
      <c r="T561" s="27">
        <f>INDEX(Schedule!$A$1:$N$2000, MATCH($C561, VAV_Schedule_5_21[[#All],[UNIT TAG]], FALSE), 6)</f>
        <v>100</v>
      </c>
      <c r="U561" s="27">
        <f>INDEX(Schedule!$A$1:$N$2000, MATCH($C561, VAV_Schedule_5_21[[#All],[UNIT TAG]], FALSE), 5)</f>
        <v>645</v>
      </c>
      <c r="V561" s="27">
        <f>INDEX(Schedule!$A$1:$N$2000, MATCH($C561, VAV_Schedule_5_21[[#All],[UNIT TAG]], FALSE), 6)</f>
        <v>100</v>
      </c>
      <c r="W561" s="27">
        <f>INDEX(Schedule!$A$1:$N$2000, MATCH($C561, VAV_Schedule_5_21[[#All],[UNIT TAG]], FALSE), 6)</f>
        <v>100</v>
      </c>
      <c r="X561" s="27">
        <f>INDEX(Schedule!$A$1:$N$2000, MATCH($C561, VAV_Schedule_5_21[[#All],[UNIT TAG]], FALSE), 6)</f>
        <v>100</v>
      </c>
      <c r="Y561" s="27">
        <f>INDEX(Schedule!$A$1:$N$2000, MATCH($C561, VAV_Schedule_5_21[[#All],[UNIT TAG]], FALSE), 6)</f>
        <v>100</v>
      </c>
      <c r="Z561" s="27">
        <f>INDEX(Schedule!$A$1:$N$2000, MATCH($C561, VAV_Schedule_5_21[[#All],[UNIT TAG]], FALSE), 6)</f>
        <v>100</v>
      </c>
      <c r="AA561" s="27">
        <v>1000</v>
      </c>
      <c r="AB561" s="27">
        <v>1100</v>
      </c>
      <c r="AC561">
        <v>1400</v>
      </c>
      <c r="AD561" s="29">
        <f>IF(INDEX(Schedule!$A$1:$N$2000, MATCH($C561, VAV_Schedule_5_21[[#All],[UNIT TAG]], FALSE), 7)="-", 0, INDEX(Schedule!$A$1:$N$2000, MATCH($C561, VAV_Schedule_5_21[[#All],[UNIT TAG]], FALSE), 7))</f>
        <v>0</v>
      </c>
      <c r="AE561" t="str">
        <f>"B_01'" &amp; "Flr_0" &amp; INDEX(Joined!$A$3:$M$2000, MATCH($A561, Joined!$I$3:$I$2000, FALSE), 8)</f>
        <v>B_01'Flr_014</v>
      </c>
      <c r="AF561" t="str">
        <f>"R_" &amp; INDEX(Joined!$A$3:$M$2000, MATCH($A561, Joined!$I$3:$I$2000, FALSE), 7)</f>
        <v>R_VAV-14W-32</v>
      </c>
      <c r="AG561" t="str">
        <f>"B_01'" &amp; "Flr_0" &amp; INDEX(Joined!$A$3:$M$2000, MATCH($A561, Joined!$I$3:$I$2000, FALSE), 8)</f>
        <v>B_01'Flr_014</v>
      </c>
      <c r="AH561" t="str">
        <f>INDEX(Joined!$A$3:$M$2000, MATCH($A561, Joined!$I$3:$I$2000, FALSE), 7)</f>
        <v>VAV-14W-32</v>
      </c>
      <c r="AI561" t="s">
        <v>1889</v>
      </c>
    </row>
    <row r="562" spans="1:35" x14ac:dyDescent="0.2">
      <c r="A562" t="s">
        <v>1423</v>
      </c>
      <c r="B562" t="str">
        <f>"B_01'" &amp; "Flr_0" &amp; INDEX(Joined!$A$3:$M$2000, MATCH($A562, Joined!$I$3:$I$2000, FALSE), 8)</f>
        <v>B_01'Flr_014</v>
      </c>
      <c r="C562" t="str">
        <f>INDEX(Joined!$A$3:$M$2000, MATCH($A562, Joined!$I$3:$I$2000, FALSE), 7)</f>
        <v>VAV-14W-33</v>
      </c>
      <c r="D562">
        <f>INDEX(Joined!$A$3:$M$2000, MATCH($A562, Joined!$I$3:$I$2000, FALSE), 5)</f>
        <v>153906</v>
      </c>
      <c r="E562" t="str">
        <f>INDEX(Joined!$A$3:$M$2000, MATCH($A562, Joined!$I$3:$I$2000, FALSE), 7)</f>
        <v>VAV-14W-33</v>
      </c>
      <c r="F562" t="s">
        <v>38</v>
      </c>
      <c r="G562" t="str">
        <f>INDEX(Schedule!$Q$2:$R$7, MATCH(ABT!$H562,Schedule!$Q$2:$Q$7, 0), 2)</f>
        <v>15010_DXR_VAV_DXR2M12</v>
      </c>
      <c r="H562">
        <f>INDEX(Joined!$A$3:$M$2000, MATCH($A562, Joined!$I$3:$I$2000, FALSE), 6)</f>
        <v>15010</v>
      </c>
      <c r="I562" t="str">
        <f>INDEX(Joined!$A$3:$M$2000, MATCH($A562, Joined!$I$3:$I$2000, FALSE), 4)</f>
        <v>539</v>
      </c>
      <c r="J562" t="b">
        <v>0</v>
      </c>
      <c r="K562">
        <f>INDEX(Joined!$A$3:$M$2000, MATCH($A562, Joined!$I$3:$I$2000, FALSE), 3)</f>
        <v>6</v>
      </c>
      <c r="L562">
        <v>85</v>
      </c>
      <c r="M562">
        <v>38400</v>
      </c>
      <c r="N562" s="27">
        <f>PI()*(INDEX(Schedule!$A$1:$N$2000, MATCH($C562, VAV_Schedule_5_21[[#All],[UNIT TAG]], FALSE), 4)/2/12)^2</f>
        <v>0.78539816339744828</v>
      </c>
      <c r="O562" s="27">
        <f>INDEX(Schedule!$A$1:$N$2000, MATCH($C562, VAV_Schedule_5_21[[#All],[UNIT TAG]], FALSE), 4)</f>
        <v>12</v>
      </c>
      <c r="P562">
        <v>560.63</v>
      </c>
      <c r="Q562" s="27">
        <f>INDEX(Schedule!$A$1:$N$2000, MATCH($C562, VAV_Schedule_5_21[[#All],[UNIT TAG]], FALSE), 5)</f>
        <v>1200</v>
      </c>
      <c r="R562" s="27">
        <f>INDEX(Schedule!$A$1:$N$2000, MATCH($C562, VAV_Schedule_5_21[[#All],[UNIT TAG]], FALSE), 6)</f>
        <v>180</v>
      </c>
      <c r="S562" s="27">
        <f>INDEX(Schedule!$A$1:$N$2000, MATCH($C562, VAV_Schedule_5_21[[#All],[UNIT TAG]], FALSE), 5)</f>
        <v>1200</v>
      </c>
      <c r="T562" s="27">
        <f>INDEX(Schedule!$A$1:$N$2000, MATCH($C562, VAV_Schedule_5_21[[#All],[UNIT TAG]], FALSE), 6)</f>
        <v>180</v>
      </c>
      <c r="U562" s="27">
        <f>INDEX(Schedule!$A$1:$N$2000, MATCH($C562, VAV_Schedule_5_21[[#All],[UNIT TAG]], FALSE), 5)</f>
        <v>1200</v>
      </c>
      <c r="V562" s="27">
        <f>INDEX(Schedule!$A$1:$N$2000, MATCH($C562, VAV_Schedule_5_21[[#All],[UNIT TAG]], FALSE), 6)</f>
        <v>180</v>
      </c>
      <c r="W562" s="27">
        <f>INDEX(Schedule!$A$1:$N$2000, MATCH($C562, VAV_Schedule_5_21[[#All],[UNIT TAG]], FALSE), 6)</f>
        <v>180</v>
      </c>
      <c r="X562" s="27">
        <f>INDEX(Schedule!$A$1:$N$2000, MATCH($C562, VAV_Schedule_5_21[[#All],[UNIT TAG]], FALSE), 6)</f>
        <v>180</v>
      </c>
      <c r="Y562" s="27">
        <f>INDEX(Schedule!$A$1:$N$2000, MATCH($C562, VAV_Schedule_5_21[[#All],[UNIT TAG]], FALSE), 6)</f>
        <v>180</v>
      </c>
      <c r="Z562" s="27">
        <f>INDEX(Schedule!$A$1:$N$2000, MATCH($C562, VAV_Schedule_5_21[[#All],[UNIT TAG]], FALSE), 6)</f>
        <v>180</v>
      </c>
      <c r="AA562" s="27">
        <v>1000</v>
      </c>
      <c r="AB562" s="27">
        <v>1100</v>
      </c>
      <c r="AC562">
        <v>1400</v>
      </c>
      <c r="AD562" s="29">
        <f>IF(INDEX(Schedule!$A$1:$N$2000, MATCH($C562, VAV_Schedule_5_21[[#All],[UNIT TAG]], FALSE), 7)="-", 0, INDEX(Schedule!$A$1:$N$2000, MATCH($C562, VAV_Schedule_5_21[[#All],[UNIT TAG]], FALSE), 7))</f>
        <v>0</v>
      </c>
      <c r="AE562" t="str">
        <f>"B_01'" &amp; "Flr_0" &amp; INDEX(Joined!$A$3:$M$2000, MATCH($A562, Joined!$I$3:$I$2000, FALSE), 8)</f>
        <v>B_01'Flr_014</v>
      </c>
      <c r="AF562" t="str">
        <f>"R_" &amp; INDEX(Joined!$A$3:$M$2000, MATCH($A562, Joined!$I$3:$I$2000, FALSE), 7)</f>
        <v>R_VAV-14W-33</v>
      </c>
      <c r="AG562" t="str">
        <f>"B_01'" &amp; "Flr_0" &amp; INDEX(Joined!$A$3:$M$2000, MATCH($A562, Joined!$I$3:$I$2000, FALSE), 8)</f>
        <v>B_01'Flr_014</v>
      </c>
      <c r="AH562" t="str">
        <f>INDEX(Joined!$A$3:$M$2000, MATCH($A562, Joined!$I$3:$I$2000, FALSE), 7)</f>
        <v>VAV-14W-33</v>
      </c>
      <c r="AI562" t="s">
        <v>1890</v>
      </c>
    </row>
    <row r="563" spans="1:35" x14ac:dyDescent="0.2">
      <c r="A563" t="s">
        <v>1424</v>
      </c>
      <c r="B563" t="str">
        <f>"B_01'" &amp; "Flr_0" &amp; INDEX(Joined!$A$3:$M$2000, MATCH($A563, Joined!$I$3:$I$2000, FALSE), 8)</f>
        <v>B_01'Flr_014</v>
      </c>
      <c r="C563" t="str">
        <f>INDEX(Joined!$A$3:$M$2000, MATCH($A563, Joined!$I$3:$I$2000, FALSE), 7)</f>
        <v>VAV-14W-34</v>
      </c>
      <c r="D563">
        <f>INDEX(Joined!$A$3:$M$2000, MATCH($A563, Joined!$I$3:$I$2000, FALSE), 5)</f>
        <v>153907</v>
      </c>
      <c r="E563" t="str">
        <f>INDEX(Joined!$A$3:$M$2000, MATCH($A563, Joined!$I$3:$I$2000, FALSE), 7)</f>
        <v>VAV-14W-34</v>
      </c>
      <c r="F563" t="s">
        <v>38</v>
      </c>
      <c r="G563" t="str">
        <f>INDEX(Schedule!$Q$2:$R$7, MATCH(ABT!$H563,Schedule!$Q$2:$Q$7, 0), 2)</f>
        <v>15011_DXR_VAV_DXR2M12</v>
      </c>
      <c r="H563">
        <f>INDEX(Joined!$A$3:$M$2000, MATCH($A563, Joined!$I$3:$I$2000, FALSE), 6)</f>
        <v>15011</v>
      </c>
      <c r="I563" t="str">
        <f>INDEX(Joined!$A$3:$M$2000, MATCH($A563, Joined!$I$3:$I$2000, FALSE), 4)</f>
        <v>539</v>
      </c>
      <c r="J563" t="b">
        <v>0</v>
      </c>
      <c r="K563">
        <f>INDEX(Joined!$A$3:$M$2000, MATCH($A563, Joined!$I$3:$I$2000, FALSE), 3)</f>
        <v>7</v>
      </c>
      <c r="L563">
        <v>85</v>
      </c>
      <c r="M563">
        <v>38400</v>
      </c>
      <c r="N563" s="27">
        <f>PI()*(INDEX(Schedule!$A$1:$N$2000, MATCH($C563, VAV_Schedule_5_21[[#All],[UNIT TAG]], FALSE), 4)/2/12)^2</f>
        <v>0.3490658503988659</v>
      </c>
      <c r="O563" s="27">
        <f>INDEX(Schedule!$A$1:$N$2000, MATCH($C563, VAV_Schedule_5_21[[#All],[UNIT TAG]], FALSE), 4)</f>
        <v>8</v>
      </c>
      <c r="P563">
        <v>561.63</v>
      </c>
      <c r="Q563" s="27">
        <f>INDEX(Schedule!$A$1:$N$2000, MATCH($C563, VAV_Schedule_5_21[[#All],[UNIT TAG]], FALSE), 5)</f>
        <v>640</v>
      </c>
      <c r="R563" s="27">
        <f>INDEX(Schedule!$A$1:$N$2000, MATCH($C563, VAV_Schedule_5_21[[#All],[UNIT TAG]], FALSE), 6)</f>
        <v>100</v>
      </c>
      <c r="S563" s="27">
        <f>INDEX(Schedule!$A$1:$N$2000, MATCH($C563, VAV_Schedule_5_21[[#All],[UNIT TAG]], FALSE), 5)</f>
        <v>640</v>
      </c>
      <c r="T563" s="27">
        <f>INDEX(Schedule!$A$1:$N$2000, MATCH($C563, VAV_Schedule_5_21[[#All],[UNIT TAG]], FALSE), 6)</f>
        <v>100</v>
      </c>
      <c r="U563" s="27">
        <f>INDEX(Schedule!$A$1:$N$2000, MATCH($C563, VAV_Schedule_5_21[[#All],[UNIT TAG]], FALSE), 5)</f>
        <v>640</v>
      </c>
      <c r="V563" s="27">
        <f>INDEX(Schedule!$A$1:$N$2000, MATCH($C563, VAV_Schedule_5_21[[#All],[UNIT TAG]], FALSE), 6)</f>
        <v>100</v>
      </c>
      <c r="W563" s="27">
        <f>INDEX(Schedule!$A$1:$N$2000, MATCH($C563, VAV_Schedule_5_21[[#All],[UNIT TAG]], FALSE), 6)</f>
        <v>100</v>
      </c>
      <c r="X563" s="27">
        <f>INDEX(Schedule!$A$1:$N$2000, MATCH($C563, VAV_Schedule_5_21[[#All],[UNIT TAG]], FALSE), 6)</f>
        <v>100</v>
      </c>
      <c r="Y563" s="27">
        <f>INDEX(Schedule!$A$1:$N$2000, MATCH($C563, VAV_Schedule_5_21[[#All],[UNIT TAG]], FALSE), 6)</f>
        <v>100</v>
      </c>
      <c r="Z563" s="27">
        <f>INDEX(Schedule!$A$1:$N$2000, MATCH($C563, VAV_Schedule_5_21[[#All],[UNIT TAG]], FALSE), 6)</f>
        <v>100</v>
      </c>
      <c r="AA563" s="27">
        <v>1000</v>
      </c>
      <c r="AB563" s="27">
        <v>1100</v>
      </c>
      <c r="AC563">
        <v>1400</v>
      </c>
      <c r="AD563" s="29" t="str">
        <f>IF(INDEX(Schedule!$A$1:$N$2000, MATCH($C563, VAV_Schedule_5_21[[#All],[UNIT TAG]], FALSE), 7)="-", 0, INDEX(Schedule!$A$1:$N$2000, MATCH($C563, VAV_Schedule_5_21[[#All],[UNIT TAG]], FALSE), 7))</f>
        <v>6</v>
      </c>
      <c r="AE563" t="str">
        <f>"B_01'" &amp; "Flr_0" &amp; INDEX(Joined!$A$3:$M$2000, MATCH($A563, Joined!$I$3:$I$2000, FALSE), 8)</f>
        <v>B_01'Flr_014</v>
      </c>
      <c r="AF563" t="str">
        <f>"R_" &amp; INDEX(Joined!$A$3:$M$2000, MATCH($A563, Joined!$I$3:$I$2000, FALSE), 7)</f>
        <v>R_VAV-14W-34</v>
      </c>
      <c r="AG563" t="str">
        <f>"B_01'" &amp; "Flr_0" &amp; INDEX(Joined!$A$3:$M$2000, MATCH($A563, Joined!$I$3:$I$2000, FALSE), 8)</f>
        <v>B_01'Flr_014</v>
      </c>
      <c r="AH563" t="str">
        <f>INDEX(Joined!$A$3:$M$2000, MATCH($A563, Joined!$I$3:$I$2000, FALSE), 7)</f>
        <v>VAV-14W-34</v>
      </c>
      <c r="AI563" t="s">
        <v>1891</v>
      </c>
    </row>
    <row r="564" spans="1:35" x14ac:dyDescent="0.2">
      <c r="A564" t="s">
        <v>1425</v>
      </c>
      <c r="B564" t="str">
        <f>"B_01'" &amp; "Flr_0" &amp; INDEX(Joined!$A$3:$M$2000, MATCH($A564, Joined!$I$3:$I$2000, FALSE), 8)</f>
        <v>B_01'Flr_014</v>
      </c>
      <c r="C564" t="str">
        <f>INDEX(Joined!$A$3:$M$2000, MATCH($A564, Joined!$I$3:$I$2000, FALSE), 7)</f>
        <v>VAV-14W-35</v>
      </c>
      <c r="D564">
        <f>INDEX(Joined!$A$3:$M$2000, MATCH($A564, Joined!$I$3:$I$2000, FALSE), 5)</f>
        <v>153908</v>
      </c>
      <c r="E564" t="str">
        <f>INDEX(Joined!$A$3:$M$2000, MATCH($A564, Joined!$I$3:$I$2000, FALSE), 7)</f>
        <v>VAV-14W-35</v>
      </c>
      <c r="F564" t="s">
        <v>38</v>
      </c>
      <c r="G564" t="str">
        <f>INDEX(Schedule!$Q$2:$R$7, MATCH(ABT!$H564,Schedule!$Q$2:$Q$7, 0), 2)</f>
        <v>15011_DXR_VAV_DXR2M12</v>
      </c>
      <c r="H564">
        <f>INDEX(Joined!$A$3:$M$2000, MATCH($A564, Joined!$I$3:$I$2000, FALSE), 6)</f>
        <v>15011</v>
      </c>
      <c r="I564" t="str">
        <f>INDEX(Joined!$A$3:$M$2000, MATCH($A564, Joined!$I$3:$I$2000, FALSE), 4)</f>
        <v>539</v>
      </c>
      <c r="J564" t="b">
        <v>0</v>
      </c>
      <c r="K564">
        <f>INDEX(Joined!$A$3:$M$2000, MATCH($A564, Joined!$I$3:$I$2000, FALSE), 3)</f>
        <v>8</v>
      </c>
      <c r="L564">
        <v>85</v>
      </c>
      <c r="M564">
        <v>38400</v>
      </c>
      <c r="N564" s="27">
        <f>PI()*(INDEX(Schedule!$A$1:$N$2000, MATCH($C564, VAV_Schedule_5_21[[#All],[UNIT TAG]], FALSE), 4)/2/12)^2</f>
        <v>0.3490658503988659</v>
      </c>
      <c r="O564" s="27">
        <f>INDEX(Schedule!$A$1:$N$2000, MATCH($C564, VAV_Schedule_5_21[[#All],[UNIT TAG]], FALSE), 4)</f>
        <v>8</v>
      </c>
      <c r="P564">
        <v>562.63</v>
      </c>
      <c r="Q564" s="27">
        <f>INDEX(Schedule!$A$1:$N$2000, MATCH($C564, VAV_Schedule_5_21[[#All],[UNIT TAG]], FALSE), 5)</f>
        <v>700</v>
      </c>
      <c r="R564" s="27">
        <f>INDEX(Schedule!$A$1:$N$2000, MATCH($C564, VAV_Schedule_5_21[[#All],[UNIT TAG]], FALSE), 6)</f>
        <v>105</v>
      </c>
      <c r="S564" s="27">
        <f>INDEX(Schedule!$A$1:$N$2000, MATCH($C564, VAV_Schedule_5_21[[#All],[UNIT TAG]], FALSE), 5)</f>
        <v>700</v>
      </c>
      <c r="T564" s="27">
        <f>INDEX(Schedule!$A$1:$N$2000, MATCH($C564, VAV_Schedule_5_21[[#All],[UNIT TAG]], FALSE), 6)</f>
        <v>105</v>
      </c>
      <c r="U564" s="27">
        <f>INDEX(Schedule!$A$1:$N$2000, MATCH($C564, VAV_Schedule_5_21[[#All],[UNIT TAG]], FALSE), 5)</f>
        <v>700</v>
      </c>
      <c r="V564" s="27">
        <f>INDEX(Schedule!$A$1:$N$2000, MATCH($C564, VAV_Schedule_5_21[[#All],[UNIT TAG]], FALSE), 6)</f>
        <v>105</v>
      </c>
      <c r="W564" s="27">
        <f>INDEX(Schedule!$A$1:$N$2000, MATCH($C564, VAV_Schedule_5_21[[#All],[UNIT TAG]], FALSE), 6)</f>
        <v>105</v>
      </c>
      <c r="X564" s="27">
        <f>INDEX(Schedule!$A$1:$N$2000, MATCH($C564, VAV_Schedule_5_21[[#All],[UNIT TAG]], FALSE), 6)</f>
        <v>105</v>
      </c>
      <c r="Y564" s="27">
        <f>INDEX(Schedule!$A$1:$N$2000, MATCH($C564, VAV_Schedule_5_21[[#All],[UNIT TAG]], FALSE), 6)</f>
        <v>105</v>
      </c>
      <c r="Z564" s="27">
        <f>INDEX(Schedule!$A$1:$N$2000, MATCH($C564, VAV_Schedule_5_21[[#All],[UNIT TAG]], FALSE), 6)</f>
        <v>105</v>
      </c>
      <c r="AA564" s="27">
        <v>1000</v>
      </c>
      <c r="AB564" s="27">
        <v>1100</v>
      </c>
      <c r="AC564">
        <v>1400</v>
      </c>
      <c r="AD564" s="29" t="str">
        <f>IF(INDEX(Schedule!$A$1:$N$2000, MATCH($C564, VAV_Schedule_5_21[[#All],[UNIT TAG]], FALSE), 7)="-", 0, INDEX(Schedule!$A$1:$N$2000, MATCH($C564, VAV_Schedule_5_21[[#All],[UNIT TAG]], FALSE), 7))</f>
        <v>6</v>
      </c>
      <c r="AE564" t="str">
        <f>"B_01'" &amp; "Flr_0" &amp; INDEX(Joined!$A$3:$M$2000, MATCH($A564, Joined!$I$3:$I$2000, FALSE), 8)</f>
        <v>B_01'Flr_014</v>
      </c>
      <c r="AF564" t="str">
        <f>"R_" &amp; INDEX(Joined!$A$3:$M$2000, MATCH($A564, Joined!$I$3:$I$2000, FALSE), 7)</f>
        <v>R_VAV-14W-35</v>
      </c>
      <c r="AG564" t="str">
        <f>"B_01'" &amp; "Flr_0" &amp; INDEX(Joined!$A$3:$M$2000, MATCH($A564, Joined!$I$3:$I$2000, FALSE), 8)</f>
        <v>B_01'Flr_014</v>
      </c>
      <c r="AH564" t="str">
        <f>INDEX(Joined!$A$3:$M$2000, MATCH($A564, Joined!$I$3:$I$2000, FALSE), 7)</f>
        <v>VAV-14W-35</v>
      </c>
      <c r="AI564" t="s">
        <v>1892</v>
      </c>
    </row>
    <row r="565" spans="1:35" x14ac:dyDescent="0.2">
      <c r="A565" t="s">
        <v>1426</v>
      </c>
      <c r="B565" t="str">
        <f>"B_01'" &amp; "Flr_0" &amp; INDEX(Joined!$A$3:$M$2000, MATCH($A565, Joined!$I$3:$I$2000, FALSE), 8)</f>
        <v>B_01'Flr_014</v>
      </c>
      <c r="C565" t="str">
        <f>INDEX(Joined!$A$3:$M$2000, MATCH($A565, Joined!$I$3:$I$2000, FALSE), 7)</f>
        <v>VAV-14W-36</v>
      </c>
      <c r="D565">
        <f>INDEX(Joined!$A$3:$M$2000, MATCH($A565, Joined!$I$3:$I$2000, FALSE), 5)</f>
        <v>153909</v>
      </c>
      <c r="E565" t="str">
        <f>INDEX(Joined!$A$3:$M$2000, MATCH($A565, Joined!$I$3:$I$2000, FALSE), 7)</f>
        <v>VAV-14W-36</v>
      </c>
      <c r="F565" t="s">
        <v>38</v>
      </c>
      <c r="G565" t="str">
        <f>INDEX(Schedule!$Q$2:$R$7, MATCH(ABT!$H565,Schedule!$Q$2:$Q$7, 0), 2)</f>
        <v>15010_DXR_VAV_DXR2M12</v>
      </c>
      <c r="H565">
        <f>INDEX(Joined!$A$3:$M$2000, MATCH($A565, Joined!$I$3:$I$2000, FALSE), 6)</f>
        <v>15010</v>
      </c>
      <c r="I565" t="str">
        <f>INDEX(Joined!$A$3:$M$2000, MATCH($A565, Joined!$I$3:$I$2000, FALSE), 4)</f>
        <v>539</v>
      </c>
      <c r="J565" t="b">
        <v>0</v>
      </c>
      <c r="K565">
        <f>INDEX(Joined!$A$3:$M$2000, MATCH($A565, Joined!$I$3:$I$2000, FALSE), 3)</f>
        <v>9</v>
      </c>
      <c r="L565">
        <v>85</v>
      </c>
      <c r="M565">
        <v>38400</v>
      </c>
      <c r="N565" s="27">
        <f>PI()*(INDEX(Schedule!$A$1:$N$2000, MATCH($C565, VAV_Schedule_5_21[[#All],[UNIT TAG]], FALSE), 4)/2/12)^2</f>
        <v>0.78539816339744828</v>
      </c>
      <c r="O565" s="27">
        <f>INDEX(Schedule!$A$1:$N$2000, MATCH($C565, VAV_Schedule_5_21[[#All],[UNIT TAG]], FALSE), 4)</f>
        <v>12</v>
      </c>
      <c r="P565">
        <v>563.63</v>
      </c>
      <c r="Q565" s="27">
        <f>INDEX(Schedule!$A$1:$N$2000, MATCH($C565, VAV_Schedule_5_21[[#All],[UNIT TAG]], FALSE), 5)</f>
        <v>1150</v>
      </c>
      <c r="R565" s="27">
        <f>INDEX(Schedule!$A$1:$N$2000, MATCH($C565, VAV_Schedule_5_21[[#All],[UNIT TAG]], FALSE), 6)</f>
        <v>175</v>
      </c>
      <c r="S565" s="27">
        <f>INDEX(Schedule!$A$1:$N$2000, MATCH($C565, VAV_Schedule_5_21[[#All],[UNIT TAG]], FALSE), 5)</f>
        <v>1150</v>
      </c>
      <c r="T565" s="27">
        <f>INDEX(Schedule!$A$1:$N$2000, MATCH($C565, VAV_Schedule_5_21[[#All],[UNIT TAG]], FALSE), 6)</f>
        <v>175</v>
      </c>
      <c r="U565" s="27">
        <f>INDEX(Schedule!$A$1:$N$2000, MATCH($C565, VAV_Schedule_5_21[[#All],[UNIT TAG]], FALSE), 5)</f>
        <v>1150</v>
      </c>
      <c r="V565" s="27">
        <f>INDEX(Schedule!$A$1:$N$2000, MATCH($C565, VAV_Schedule_5_21[[#All],[UNIT TAG]], FALSE), 6)</f>
        <v>175</v>
      </c>
      <c r="W565" s="27">
        <f>INDEX(Schedule!$A$1:$N$2000, MATCH($C565, VAV_Schedule_5_21[[#All],[UNIT TAG]], FALSE), 6)</f>
        <v>175</v>
      </c>
      <c r="X565" s="27">
        <f>INDEX(Schedule!$A$1:$N$2000, MATCH($C565, VAV_Schedule_5_21[[#All],[UNIT TAG]], FALSE), 6)</f>
        <v>175</v>
      </c>
      <c r="Y565" s="27">
        <f>INDEX(Schedule!$A$1:$N$2000, MATCH($C565, VAV_Schedule_5_21[[#All],[UNIT TAG]], FALSE), 6)</f>
        <v>175</v>
      </c>
      <c r="Z565" s="27">
        <f>INDEX(Schedule!$A$1:$N$2000, MATCH($C565, VAV_Schedule_5_21[[#All],[UNIT TAG]], FALSE), 6)</f>
        <v>175</v>
      </c>
      <c r="AA565" s="27">
        <v>1000</v>
      </c>
      <c r="AB565" s="27">
        <v>1100</v>
      </c>
      <c r="AC565">
        <v>1400</v>
      </c>
      <c r="AD565" s="29">
        <f>IF(INDEX(Schedule!$A$1:$N$2000, MATCH($C565, VAV_Schedule_5_21[[#All],[UNIT TAG]], FALSE), 7)="-", 0, INDEX(Schedule!$A$1:$N$2000, MATCH($C565, VAV_Schedule_5_21[[#All],[UNIT TAG]], FALSE), 7))</f>
        <v>0</v>
      </c>
      <c r="AE565" t="str">
        <f>"B_01'" &amp; "Flr_0" &amp; INDEX(Joined!$A$3:$M$2000, MATCH($A565, Joined!$I$3:$I$2000, FALSE), 8)</f>
        <v>B_01'Flr_014</v>
      </c>
      <c r="AF565" t="str">
        <f>"R_" &amp; INDEX(Joined!$A$3:$M$2000, MATCH($A565, Joined!$I$3:$I$2000, FALSE), 7)</f>
        <v>R_VAV-14W-36</v>
      </c>
      <c r="AG565" t="str">
        <f>"B_01'" &amp; "Flr_0" &amp; INDEX(Joined!$A$3:$M$2000, MATCH($A565, Joined!$I$3:$I$2000, FALSE), 8)</f>
        <v>B_01'Flr_014</v>
      </c>
      <c r="AH565" t="str">
        <f>INDEX(Joined!$A$3:$M$2000, MATCH($A565, Joined!$I$3:$I$2000, FALSE), 7)</f>
        <v>VAV-14W-36</v>
      </c>
      <c r="AI565" t="s">
        <v>1893</v>
      </c>
    </row>
    <row r="566" spans="1:35" x14ac:dyDescent="0.2">
      <c r="A566" t="s">
        <v>1427</v>
      </c>
      <c r="B566" t="str">
        <f>"B_01'" &amp; "Flr_0" &amp; INDEX(Joined!$A$3:$M$2000, MATCH($A566, Joined!$I$3:$I$2000, FALSE), 8)</f>
        <v>B_01'Flr_014</v>
      </c>
      <c r="C566" t="str">
        <f>INDEX(Joined!$A$3:$M$2000, MATCH($A566, Joined!$I$3:$I$2000, FALSE), 7)</f>
        <v>VAV-14W-37</v>
      </c>
      <c r="D566">
        <f>INDEX(Joined!$A$3:$M$2000, MATCH($A566, Joined!$I$3:$I$2000, FALSE), 5)</f>
        <v>153910</v>
      </c>
      <c r="E566" t="str">
        <f>INDEX(Joined!$A$3:$M$2000, MATCH($A566, Joined!$I$3:$I$2000, FALSE), 7)</f>
        <v>VAV-14W-37</v>
      </c>
      <c r="F566" t="s">
        <v>38</v>
      </c>
      <c r="G566" t="str">
        <f>INDEX(Schedule!$Q$2:$R$7, MATCH(ABT!$H566,Schedule!$Q$2:$Q$7, 0), 2)</f>
        <v>15011_DXR_VAV_DXR2M12</v>
      </c>
      <c r="H566">
        <f>INDEX(Joined!$A$3:$M$2000, MATCH($A566, Joined!$I$3:$I$2000, FALSE), 6)</f>
        <v>15011</v>
      </c>
      <c r="I566" t="str">
        <f>INDEX(Joined!$A$3:$M$2000, MATCH($A566, Joined!$I$3:$I$2000, FALSE), 4)</f>
        <v>539</v>
      </c>
      <c r="J566" t="b">
        <v>0</v>
      </c>
      <c r="K566">
        <f>INDEX(Joined!$A$3:$M$2000, MATCH($A566, Joined!$I$3:$I$2000, FALSE), 3)</f>
        <v>10</v>
      </c>
      <c r="L566">
        <v>85</v>
      </c>
      <c r="M566">
        <v>38400</v>
      </c>
      <c r="N566" s="27">
        <f>PI()*(INDEX(Schedule!$A$1:$N$2000, MATCH($C566, VAV_Schedule_5_21[[#All],[UNIT TAG]], FALSE), 4)/2/12)^2</f>
        <v>0.78539816339744828</v>
      </c>
      <c r="O566" s="27">
        <f>INDEX(Schedule!$A$1:$N$2000, MATCH($C566, VAV_Schedule_5_21[[#All],[UNIT TAG]], FALSE), 4)</f>
        <v>12</v>
      </c>
      <c r="P566">
        <v>564.63</v>
      </c>
      <c r="Q566" s="27">
        <f>INDEX(Schedule!$A$1:$N$2000, MATCH($C566, VAV_Schedule_5_21[[#All],[UNIT TAG]], FALSE), 5)</f>
        <v>1200</v>
      </c>
      <c r="R566" s="27">
        <f>INDEX(Schedule!$A$1:$N$2000, MATCH($C566, VAV_Schedule_5_21[[#All],[UNIT TAG]], FALSE), 6)</f>
        <v>180</v>
      </c>
      <c r="S566" s="27">
        <f>INDEX(Schedule!$A$1:$N$2000, MATCH($C566, VAV_Schedule_5_21[[#All],[UNIT TAG]], FALSE), 5)</f>
        <v>1200</v>
      </c>
      <c r="T566" s="27">
        <f>INDEX(Schedule!$A$1:$N$2000, MATCH($C566, VAV_Schedule_5_21[[#All],[UNIT TAG]], FALSE), 6)</f>
        <v>180</v>
      </c>
      <c r="U566" s="27">
        <f>INDEX(Schedule!$A$1:$N$2000, MATCH($C566, VAV_Schedule_5_21[[#All],[UNIT TAG]], FALSE), 5)</f>
        <v>1200</v>
      </c>
      <c r="V566" s="27">
        <f>INDEX(Schedule!$A$1:$N$2000, MATCH($C566, VAV_Schedule_5_21[[#All],[UNIT TAG]], FALSE), 6)</f>
        <v>180</v>
      </c>
      <c r="W566" s="27">
        <f>INDEX(Schedule!$A$1:$N$2000, MATCH($C566, VAV_Schedule_5_21[[#All],[UNIT TAG]], FALSE), 6)</f>
        <v>180</v>
      </c>
      <c r="X566" s="27">
        <f>INDEX(Schedule!$A$1:$N$2000, MATCH($C566, VAV_Schedule_5_21[[#All],[UNIT TAG]], FALSE), 6)</f>
        <v>180</v>
      </c>
      <c r="Y566" s="27">
        <f>INDEX(Schedule!$A$1:$N$2000, MATCH($C566, VAV_Schedule_5_21[[#All],[UNIT TAG]], FALSE), 6)</f>
        <v>180</v>
      </c>
      <c r="Z566" s="27">
        <f>INDEX(Schedule!$A$1:$N$2000, MATCH($C566, VAV_Schedule_5_21[[#All],[UNIT TAG]], FALSE), 6)</f>
        <v>180</v>
      </c>
      <c r="AA566" s="27">
        <v>1000</v>
      </c>
      <c r="AB566" s="27">
        <v>1100</v>
      </c>
      <c r="AC566">
        <v>1400</v>
      </c>
      <c r="AD566" s="29" t="str">
        <f>IF(INDEX(Schedule!$A$1:$N$2000, MATCH($C566, VAV_Schedule_5_21[[#All],[UNIT TAG]], FALSE), 7)="-", 0, INDEX(Schedule!$A$1:$N$2000, MATCH($C566, VAV_Schedule_5_21[[#All],[UNIT TAG]], FALSE), 7))</f>
        <v>9</v>
      </c>
      <c r="AE566" t="str">
        <f>"B_01'" &amp; "Flr_0" &amp; INDEX(Joined!$A$3:$M$2000, MATCH($A566, Joined!$I$3:$I$2000, FALSE), 8)</f>
        <v>B_01'Flr_014</v>
      </c>
      <c r="AF566" t="str">
        <f>"R_" &amp; INDEX(Joined!$A$3:$M$2000, MATCH($A566, Joined!$I$3:$I$2000, FALSE), 7)</f>
        <v>R_VAV-14W-37</v>
      </c>
      <c r="AG566" t="str">
        <f>"B_01'" &amp; "Flr_0" &amp; INDEX(Joined!$A$3:$M$2000, MATCH($A566, Joined!$I$3:$I$2000, FALSE), 8)</f>
        <v>B_01'Flr_014</v>
      </c>
      <c r="AH566" t="str">
        <f>INDEX(Joined!$A$3:$M$2000, MATCH($A566, Joined!$I$3:$I$2000, FALSE), 7)</f>
        <v>VAV-14W-37</v>
      </c>
      <c r="AI566" t="s">
        <v>1894</v>
      </c>
    </row>
    <row r="567" spans="1:35" x14ac:dyDescent="0.2">
      <c r="A567" t="s">
        <v>1428</v>
      </c>
      <c r="B567" t="str">
        <f>"B_01'" &amp; "Flr_0" &amp; INDEX(Joined!$A$3:$M$2000, MATCH($A567, Joined!$I$3:$I$2000, FALSE), 8)</f>
        <v>B_01'Flr_014</v>
      </c>
      <c r="C567" t="str">
        <f>INDEX(Joined!$A$3:$M$2000, MATCH($A567, Joined!$I$3:$I$2000, FALSE), 7)</f>
        <v>VAV-14W-38</v>
      </c>
      <c r="D567">
        <f>INDEX(Joined!$A$3:$M$2000, MATCH($A567, Joined!$I$3:$I$2000, FALSE), 5)</f>
        <v>153911</v>
      </c>
      <c r="E567" t="str">
        <f>INDEX(Joined!$A$3:$M$2000, MATCH($A567, Joined!$I$3:$I$2000, FALSE), 7)</f>
        <v>VAV-14W-38</v>
      </c>
      <c r="F567" t="s">
        <v>38</v>
      </c>
      <c r="G567" t="str">
        <f>INDEX(Schedule!$Q$2:$R$7, MATCH(ABT!$H567,Schedule!$Q$2:$Q$7, 0), 2)</f>
        <v>15010_DXR_VAV_DXR2M12</v>
      </c>
      <c r="H567">
        <f>INDEX(Joined!$A$3:$M$2000, MATCH($A567, Joined!$I$3:$I$2000, FALSE), 6)</f>
        <v>15010</v>
      </c>
      <c r="I567" t="str">
        <f>INDEX(Joined!$A$3:$M$2000, MATCH($A567, Joined!$I$3:$I$2000, FALSE), 4)</f>
        <v>539</v>
      </c>
      <c r="J567" t="b">
        <v>0</v>
      </c>
      <c r="K567">
        <f>INDEX(Joined!$A$3:$M$2000, MATCH($A567, Joined!$I$3:$I$2000, FALSE), 3)</f>
        <v>11</v>
      </c>
      <c r="L567">
        <v>85</v>
      </c>
      <c r="M567">
        <v>38400</v>
      </c>
      <c r="N567" s="27">
        <f>PI()*(INDEX(Schedule!$A$1:$N$2000, MATCH($C567, VAV_Schedule_5_21[[#All],[UNIT TAG]], FALSE), 4)/2/12)^2</f>
        <v>0.19634954084936207</v>
      </c>
      <c r="O567" s="27">
        <f>INDEX(Schedule!$A$1:$N$2000, MATCH($C567, VAV_Schedule_5_21[[#All],[UNIT TAG]], FALSE), 4)</f>
        <v>6</v>
      </c>
      <c r="P567">
        <v>565.63</v>
      </c>
      <c r="Q567" s="27">
        <f>INDEX(Schedule!$A$1:$N$2000, MATCH($C567, VAV_Schedule_5_21[[#All],[UNIT TAG]], FALSE), 5)</f>
        <v>185</v>
      </c>
      <c r="R567" s="27">
        <f>INDEX(Schedule!$A$1:$N$2000, MATCH($C567, VAV_Schedule_5_21[[#All],[UNIT TAG]], FALSE), 6)</f>
        <v>30</v>
      </c>
      <c r="S567" s="27">
        <f>INDEX(Schedule!$A$1:$N$2000, MATCH($C567, VAV_Schedule_5_21[[#All],[UNIT TAG]], FALSE), 5)</f>
        <v>185</v>
      </c>
      <c r="T567" s="27">
        <f>INDEX(Schedule!$A$1:$N$2000, MATCH($C567, VAV_Schedule_5_21[[#All],[UNIT TAG]], FALSE), 6)</f>
        <v>30</v>
      </c>
      <c r="U567" s="27">
        <f>INDEX(Schedule!$A$1:$N$2000, MATCH($C567, VAV_Schedule_5_21[[#All],[UNIT TAG]], FALSE), 5)</f>
        <v>185</v>
      </c>
      <c r="V567" s="27">
        <f>INDEX(Schedule!$A$1:$N$2000, MATCH($C567, VAV_Schedule_5_21[[#All],[UNIT TAG]], FALSE), 6)</f>
        <v>30</v>
      </c>
      <c r="W567" s="27">
        <f>INDEX(Schedule!$A$1:$N$2000, MATCH($C567, VAV_Schedule_5_21[[#All],[UNIT TAG]], FALSE), 6)</f>
        <v>30</v>
      </c>
      <c r="X567" s="27">
        <f>INDEX(Schedule!$A$1:$N$2000, MATCH($C567, VAV_Schedule_5_21[[#All],[UNIT TAG]], FALSE), 6)</f>
        <v>30</v>
      </c>
      <c r="Y567" s="27">
        <f>INDEX(Schedule!$A$1:$N$2000, MATCH($C567, VAV_Schedule_5_21[[#All],[UNIT TAG]], FALSE), 6)</f>
        <v>30</v>
      </c>
      <c r="Z567" s="27">
        <f>INDEX(Schedule!$A$1:$N$2000, MATCH($C567, VAV_Schedule_5_21[[#All],[UNIT TAG]], FALSE), 6)</f>
        <v>30</v>
      </c>
      <c r="AA567" s="27">
        <v>1000</v>
      </c>
      <c r="AB567" s="27">
        <v>1100</v>
      </c>
      <c r="AC567">
        <v>1400</v>
      </c>
      <c r="AD567" s="29">
        <f>IF(INDEX(Schedule!$A$1:$N$2000, MATCH($C567, VAV_Schedule_5_21[[#All],[UNIT TAG]], FALSE), 7)="-", 0, INDEX(Schedule!$A$1:$N$2000, MATCH($C567, VAV_Schedule_5_21[[#All],[UNIT TAG]], FALSE), 7))</f>
        <v>0</v>
      </c>
      <c r="AE567" t="str">
        <f>"B_01'" &amp; "Flr_0" &amp; INDEX(Joined!$A$3:$M$2000, MATCH($A567, Joined!$I$3:$I$2000, FALSE), 8)</f>
        <v>B_01'Flr_014</v>
      </c>
      <c r="AF567" t="str">
        <f>"R_" &amp; INDEX(Joined!$A$3:$M$2000, MATCH($A567, Joined!$I$3:$I$2000, FALSE), 7)</f>
        <v>R_VAV-14W-38</v>
      </c>
      <c r="AG567" t="str">
        <f>"B_01'" &amp; "Flr_0" &amp; INDEX(Joined!$A$3:$M$2000, MATCH($A567, Joined!$I$3:$I$2000, FALSE), 8)</f>
        <v>B_01'Flr_014</v>
      </c>
      <c r="AH567" t="str">
        <f>INDEX(Joined!$A$3:$M$2000, MATCH($A567, Joined!$I$3:$I$2000, FALSE), 7)</f>
        <v>VAV-14W-38</v>
      </c>
      <c r="AI567" t="s">
        <v>1895</v>
      </c>
    </row>
    <row r="568" spans="1:35" x14ac:dyDescent="0.2">
      <c r="A568" t="s">
        <v>1429</v>
      </c>
      <c r="B568" t="str">
        <f>"B_01'" &amp; "Flr_0" &amp; INDEX(Joined!$A$3:$M$2000, MATCH($A568, Joined!$I$3:$I$2000, FALSE), 8)</f>
        <v>B_01'Flr_014</v>
      </c>
      <c r="C568" t="str">
        <f>INDEX(Joined!$A$3:$M$2000, MATCH($A568, Joined!$I$3:$I$2000, FALSE), 7)</f>
        <v>VAV-14W-39</v>
      </c>
      <c r="D568">
        <f>INDEX(Joined!$A$3:$M$2000, MATCH($A568, Joined!$I$3:$I$2000, FALSE), 5)</f>
        <v>153912</v>
      </c>
      <c r="E568" t="str">
        <f>INDEX(Joined!$A$3:$M$2000, MATCH($A568, Joined!$I$3:$I$2000, FALSE), 7)</f>
        <v>VAV-14W-39</v>
      </c>
      <c r="F568" t="s">
        <v>38</v>
      </c>
      <c r="G568" t="str">
        <f>INDEX(Schedule!$Q$2:$R$7, MATCH(ABT!$H568,Schedule!$Q$2:$Q$7, 0), 2)</f>
        <v>15011_DXR_VAV_DXR2M12</v>
      </c>
      <c r="H568">
        <f>INDEX(Joined!$A$3:$M$2000, MATCH($A568, Joined!$I$3:$I$2000, FALSE), 6)</f>
        <v>15011</v>
      </c>
      <c r="I568" t="str">
        <f>INDEX(Joined!$A$3:$M$2000, MATCH($A568, Joined!$I$3:$I$2000, FALSE), 4)</f>
        <v>539</v>
      </c>
      <c r="J568" t="b">
        <v>0</v>
      </c>
      <c r="K568">
        <f>INDEX(Joined!$A$3:$M$2000, MATCH($A568, Joined!$I$3:$I$2000, FALSE), 3)</f>
        <v>12</v>
      </c>
      <c r="L568">
        <v>85</v>
      </c>
      <c r="M568">
        <v>38400</v>
      </c>
      <c r="N568" s="27">
        <f>PI()*(INDEX(Schedule!$A$1:$N$2000, MATCH($C568, VAV_Schedule_5_21[[#All],[UNIT TAG]], FALSE), 4)/2/12)^2</f>
        <v>0.54541539124822802</v>
      </c>
      <c r="O568" s="27">
        <f>INDEX(Schedule!$A$1:$N$2000, MATCH($C568, VAV_Schedule_5_21[[#All],[UNIT TAG]], FALSE), 4)</f>
        <v>10</v>
      </c>
      <c r="P568">
        <v>566.63</v>
      </c>
      <c r="Q568" s="27">
        <f>INDEX(Schedule!$A$1:$N$2000, MATCH($C568, VAV_Schedule_5_21[[#All],[UNIT TAG]], FALSE), 5)</f>
        <v>780</v>
      </c>
      <c r="R568" s="27">
        <f>INDEX(Schedule!$A$1:$N$2000, MATCH($C568, VAV_Schedule_5_21[[#All],[UNIT TAG]], FALSE), 6)</f>
        <v>120</v>
      </c>
      <c r="S568" s="27">
        <f>INDEX(Schedule!$A$1:$N$2000, MATCH($C568, VAV_Schedule_5_21[[#All],[UNIT TAG]], FALSE), 5)</f>
        <v>780</v>
      </c>
      <c r="T568" s="27">
        <f>INDEX(Schedule!$A$1:$N$2000, MATCH($C568, VAV_Schedule_5_21[[#All],[UNIT TAG]], FALSE), 6)</f>
        <v>120</v>
      </c>
      <c r="U568" s="27">
        <f>INDEX(Schedule!$A$1:$N$2000, MATCH($C568, VAV_Schedule_5_21[[#All],[UNIT TAG]], FALSE), 5)</f>
        <v>780</v>
      </c>
      <c r="V568" s="27">
        <f>INDEX(Schedule!$A$1:$N$2000, MATCH($C568, VAV_Schedule_5_21[[#All],[UNIT TAG]], FALSE), 6)</f>
        <v>120</v>
      </c>
      <c r="W568" s="27">
        <f>INDEX(Schedule!$A$1:$N$2000, MATCH($C568, VAV_Schedule_5_21[[#All],[UNIT TAG]], FALSE), 6)</f>
        <v>120</v>
      </c>
      <c r="X568" s="27">
        <f>INDEX(Schedule!$A$1:$N$2000, MATCH($C568, VAV_Schedule_5_21[[#All],[UNIT TAG]], FALSE), 6)</f>
        <v>120</v>
      </c>
      <c r="Y568" s="27">
        <f>INDEX(Schedule!$A$1:$N$2000, MATCH($C568, VAV_Schedule_5_21[[#All],[UNIT TAG]], FALSE), 6)</f>
        <v>120</v>
      </c>
      <c r="Z568" s="27">
        <f>INDEX(Schedule!$A$1:$N$2000, MATCH($C568, VAV_Schedule_5_21[[#All],[UNIT TAG]], FALSE), 6)</f>
        <v>120</v>
      </c>
      <c r="AA568" s="27">
        <v>1000</v>
      </c>
      <c r="AB568" s="27">
        <v>1100</v>
      </c>
      <c r="AC568">
        <v>1400</v>
      </c>
      <c r="AD568" s="29" t="str">
        <f>IF(INDEX(Schedule!$A$1:$N$2000, MATCH($C568, VAV_Schedule_5_21[[#All],[UNIT TAG]], FALSE), 7)="-", 0, INDEX(Schedule!$A$1:$N$2000, MATCH($C568, VAV_Schedule_5_21[[#All],[UNIT TAG]], FALSE), 7))</f>
        <v>5</v>
      </c>
      <c r="AE568" t="str">
        <f>"B_01'" &amp; "Flr_0" &amp; INDEX(Joined!$A$3:$M$2000, MATCH($A568, Joined!$I$3:$I$2000, FALSE), 8)</f>
        <v>B_01'Flr_014</v>
      </c>
      <c r="AF568" t="str">
        <f>"R_" &amp; INDEX(Joined!$A$3:$M$2000, MATCH($A568, Joined!$I$3:$I$2000, FALSE), 7)</f>
        <v>R_VAV-14W-39</v>
      </c>
      <c r="AG568" t="str">
        <f>"B_01'" &amp; "Flr_0" &amp; INDEX(Joined!$A$3:$M$2000, MATCH($A568, Joined!$I$3:$I$2000, FALSE), 8)</f>
        <v>B_01'Flr_014</v>
      </c>
      <c r="AH568" t="str">
        <f>INDEX(Joined!$A$3:$M$2000, MATCH($A568, Joined!$I$3:$I$2000, FALSE), 7)</f>
        <v>VAV-14W-39</v>
      </c>
      <c r="AI568" t="s">
        <v>1896</v>
      </c>
    </row>
    <row r="569" spans="1:35" x14ac:dyDescent="0.2">
      <c r="A569" t="s">
        <v>1430</v>
      </c>
      <c r="B569" t="str">
        <f>"B_01'" &amp; "Flr_0" &amp; INDEX(Joined!$A$3:$M$2000, MATCH($A569, Joined!$I$3:$I$2000, FALSE), 8)</f>
        <v>B_01'Flr_014</v>
      </c>
      <c r="C569" t="str">
        <f>INDEX(Joined!$A$3:$M$2000, MATCH($A569, Joined!$I$3:$I$2000, FALSE), 7)</f>
        <v>VAV-14W-40</v>
      </c>
      <c r="D569">
        <f>INDEX(Joined!$A$3:$M$2000, MATCH($A569, Joined!$I$3:$I$2000, FALSE), 5)</f>
        <v>153913</v>
      </c>
      <c r="E569" t="str">
        <f>INDEX(Joined!$A$3:$M$2000, MATCH($A569, Joined!$I$3:$I$2000, FALSE), 7)</f>
        <v>VAV-14W-40</v>
      </c>
      <c r="F569" t="s">
        <v>38</v>
      </c>
      <c r="G569" t="str">
        <f>INDEX(Schedule!$Q$2:$R$7, MATCH(ABT!$H569,Schedule!$Q$2:$Q$7, 0), 2)</f>
        <v>15011_DXR_VAV_DXR2M12</v>
      </c>
      <c r="H569">
        <f>INDEX(Joined!$A$3:$M$2000, MATCH($A569, Joined!$I$3:$I$2000, FALSE), 6)</f>
        <v>15011</v>
      </c>
      <c r="I569" t="str">
        <f>INDEX(Joined!$A$3:$M$2000, MATCH($A569, Joined!$I$3:$I$2000, FALSE), 4)</f>
        <v>539</v>
      </c>
      <c r="J569" t="b">
        <v>0</v>
      </c>
      <c r="K569">
        <f>INDEX(Joined!$A$3:$M$2000, MATCH($A569, Joined!$I$3:$I$2000, FALSE), 3)</f>
        <v>13</v>
      </c>
      <c r="L569">
        <v>85</v>
      </c>
      <c r="M569">
        <v>38400</v>
      </c>
      <c r="N569" s="27">
        <f>PI()*(INDEX(Schedule!$A$1:$N$2000, MATCH($C569, VAV_Schedule_5_21[[#All],[UNIT TAG]], FALSE), 4)/2/12)^2</f>
        <v>0.54541539124822802</v>
      </c>
      <c r="O569" s="27">
        <f>INDEX(Schedule!$A$1:$N$2000, MATCH($C569, VAV_Schedule_5_21[[#All],[UNIT TAG]], FALSE), 4)</f>
        <v>10</v>
      </c>
      <c r="P569">
        <v>567.63</v>
      </c>
      <c r="Q569" s="27">
        <f>INDEX(Schedule!$A$1:$N$2000, MATCH($C569, VAV_Schedule_5_21[[#All],[UNIT TAG]], FALSE), 5)</f>
        <v>1040</v>
      </c>
      <c r="R569" s="27">
        <f>INDEX(Schedule!$A$1:$N$2000, MATCH($C569, VAV_Schedule_5_21[[#All],[UNIT TAG]], FALSE), 6)</f>
        <v>160</v>
      </c>
      <c r="S569" s="27">
        <f>INDEX(Schedule!$A$1:$N$2000, MATCH($C569, VAV_Schedule_5_21[[#All],[UNIT TAG]], FALSE), 5)</f>
        <v>1040</v>
      </c>
      <c r="T569" s="27">
        <f>INDEX(Schedule!$A$1:$N$2000, MATCH($C569, VAV_Schedule_5_21[[#All],[UNIT TAG]], FALSE), 6)</f>
        <v>160</v>
      </c>
      <c r="U569" s="27">
        <f>INDEX(Schedule!$A$1:$N$2000, MATCH($C569, VAV_Schedule_5_21[[#All],[UNIT TAG]], FALSE), 5)</f>
        <v>1040</v>
      </c>
      <c r="V569" s="27">
        <f>INDEX(Schedule!$A$1:$N$2000, MATCH($C569, VAV_Schedule_5_21[[#All],[UNIT TAG]], FALSE), 6)</f>
        <v>160</v>
      </c>
      <c r="W569" s="27">
        <f>INDEX(Schedule!$A$1:$N$2000, MATCH($C569, VAV_Schedule_5_21[[#All],[UNIT TAG]], FALSE), 6)</f>
        <v>160</v>
      </c>
      <c r="X569" s="27">
        <f>INDEX(Schedule!$A$1:$N$2000, MATCH($C569, VAV_Schedule_5_21[[#All],[UNIT TAG]], FALSE), 6)</f>
        <v>160</v>
      </c>
      <c r="Y569" s="27">
        <f>INDEX(Schedule!$A$1:$N$2000, MATCH($C569, VAV_Schedule_5_21[[#All],[UNIT TAG]], FALSE), 6)</f>
        <v>160</v>
      </c>
      <c r="Z569" s="27">
        <f>INDEX(Schedule!$A$1:$N$2000, MATCH($C569, VAV_Schedule_5_21[[#All],[UNIT TAG]], FALSE), 6)</f>
        <v>160</v>
      </c>
      <c r="AA569" s="27">
        <v>1000</v>
      </c>
      <c r="AB569" s="27">
        <v>1100</v>
      </c>
      <c r="AC569">
        <v>1400</v>
      </c>
      <c r="AD569" s="29" t="str">
        <f>IF(INDEX(Schedule!$A$1:$N$2000, MATCH($C569, VAV_Schedule_5_21[[#All],[UNIT TAG]], FALSE), 7)="-", 0, INDEX(Schedule!$A$1:$N$2000, MATCH($C569, VAV_Schedule_5_21[[#All],[UNIT TAG]], FALSE), 7))</f>
        <v>6</v>
      </c>
      <c r="AE569" t="str">
        <f>"B_01'" &amp; "Flr_0" &amp; INDEX(Joined!$A$3:$M$2000, MATCH($A569, Joined!$I$3:$I$2000, FALSE), 8)</f>
        <v>B_01'Flr_014</v>
      </c>
      <c r="AF569" t="str">
        <f>"R_" &amp; INDEX(Joined!$A$3:$M$2000, MATCH($A569, Joined!$I$3:$I$2000, FALSE), 7)</f>
        <v>R_VAV-14W-40</v>
      </c>
      <c r="AG569" t="str">
        <f>"B_01'" &amp; "Flr_0" &amp; INDEX(Joined!$A$3:$M$2000, MATCH($A569, Joined!$I$3:$I$2000, FALSE), 8)</f>
        <v>B_01'Flr_014</v>
      </c>
      <c r="AH569" t="str">
        <f>INDEX(Joined!$A$3:$M$2000, MATCH($A569, Joined!$I$3:$I$2000, FALSE), 7)</f>
        <v>VAV-14W-40</v>
      </c>
      <c r="AI569" t="s">
        <v>1897</v>
      </c>
    </row>
    <row r="570" spans="1:35" x14ac:dyDescent="0.2">
      <c r="A570" t="s">
        <v>1431</v>
      </c>
      <c r="B570" t="str">
        <f>"B_01'" &amp; "Flr_0" &amp; INDEX(Joined!$A$3:$M$2000, MATCH($A570, Joined!$I$3:$I$2000, FALSE), 8)</f>
        <v>B_01'Flr_014</v>
      </c>
      <c r="C570" t="str">
        <f>INDEX(Joined!$A$3:$M$2000, MATCH($A570, Joined!$I$3:$I$2000, FALSE), 7)</f>
        <v>VAV-14W-41</v>
      </c>
      <c r="D570">
        <f>INDEX(Joined!$A$3:$M$2000, MATCH($A570, Joined!$I$3:$I$2000, FALSE), 5)</f>
        <v>153914</v>
      </c>
      <c r="E570" t="str">
        <f>INDEX(Joined!$A$3:$M$2000, MATCH($A570, Joined!$I$3:$I$2000, FALSE), 7)</f>
        <v>VAV-14W-41</v>
      </c>
      <c r="F570" t="s">
        <v>38</v>
      </c>
      <c r="G570" t="str">
        <f>INDEX(Schedule!$Q$2:$R$7, MATCH(ABT!$H570,Schedule!$Q$2:$Q$7, 0), 2)</f>
        <v>15011_DXR_VAV_DXR2M12</v>
      </c>
      <c r="H570">
        <f>INDEX(Joined!$A$3:$M$2000, MATCH($A570, Joined!$I$3:$I$2000, FALSE), 6)</f>
        <v>15011</v>
      </c>
      <c r="I570" t="str">
        <f>INDEX(Joined!$A$3:$M$2000, MATCH($A570, Joined!$I$3:$I$2000, FALSE), 4)</f>
        <v>539</v>
      </c>
      <c r="J570" t="b">
        <v>0</v>
      </c>
      <c r="K570">
        <f>INDEX(Joined!$A$3:$M$2000, MATCH($A570, Joined!$I$3:$I$2000, FALSE), 3)</f>
        <v>14</v>
      </c>
      <c r="L570">
        <v>85</v>
      </c>
      <c r="M570">
        <v>38400</v>
      </c>
      <c r="N570" s="27">
        <f>PI()*(INDEX(Schedule!$A$1:$N$2000, MATCH($C570, VAV_Schedule_5_21[[#All],[UNIT TAG]], FALSE), 4)/2/12)^2</f>
        <v>0.54541539124822802</v>
      </c>
      <c r="O570" s="27">
        <f>INDEX(Schedule!$A$1:$N$2000, MATCH($C570, VAV_Schedule_5_21[[#All],[UNIT TAG]], FALSE), 4)</f>
        <v>10</v>
      </c>
      <c r="P570">
        <v>568.63</v>
      </c>
      <c r="Q570" s="27">
        <f>INDEX(Schedule!$A$1:$N$2000, MATCH($C570, VAV_Schedule_5_21[[#All],[UNIT TAG]], FALSE), 5)</f>
        <v>820</v>
      </c>
      <c r="R570" s="27">
        <f>INDEX(Schedule!$A$1:$N$2000, MATCH($C570, VAV_Schedule_5_21[[#All],[UNIT TAG]], FALSE), 6)</f>
        <v>125</v>
      </c>
      <c r="S570" s="27">
        <f>INDEX(Schedule!$A$1:$N$2000, MATCH($C570, VAV_Schedule_5_21[[#All],[UNIT TAG]], FALSE), 5)</f>
        <v>820</v>
      </c>
      <c r="T570" s="27">
        <f>INDEX(Schedule!$A$1:$N$2000, MATCH($C570, VAV_Schedule_5_21[[#All],[UNIT TAG]], FALSE), 6)</f>
        <v>125</v>
      </c>
      <c r="U570" s="27">
        <f>INDEX(Schedule!$A$1:$N$2000, MATCH($C570, VAV_Schedule_5_21[[#All],[UNIT TAG]], FALSE), 5)</f>
        <v>820</v>
      </c>
      <c r="V570" s="27">
        <f>INDEX(Schedule!$A$1:$N$2000, MATCH($C570, VAV_Schedule_5_21[[#All],[UNIT TAG]], FALSE), 6)</f>
        <v>125</v>
      </c>
      <c r="W570" s="27">
        <f>INDEX(Schedule!$A$1:$N$2000, MATCH($C570, VAV_Schedule_5_21[[#All],[UNIT TAG]], FALSE), 6)</f>
        <v>125</v>
      </c>
      <c r="X570" s="27">
        <f>INDEX(Schedule!$A$1:$N$2000, MATCH($C570, VAV_Schedule_5_21[[#All],[UNIT TAG]], FALSE), 6)</f>
        <v>125</v>
      </c>
      <c r="Y570" s="27">
        <f>INDEX(Schedule!$A$1:$N$2000, MATCH($C570, VAV_Schedule_5_21[[#All],[UNIT TAG]], FALSE), 6)</f>
        <v>125</v>
      </c>
      <c r="Z570" s="27">
        <f>INDEX(Schedule!$A$1:$N$2000, MATCH($C570, VAV_Schedule_5_21[[#All],[UNIT TAG]], FALSE), 6)</f>
        <v>125</v>
      </c>
      <c r="AA570" s="27">
        <v>1000</v>
      </c>
      <c r="AB570" s="27">
        <v>1100</v>
      </c>
      <c r="AC570">
        <v>1400</v>
      </c>
      <c r="AD570" s="29" t="str">
        <f>IF(INDEX(Schedule!$A$1:$N$2000, MATCH($C570, VAV_Schedule_5_21[[#All],[UNIT TAG]], FALSE), 7)="-", 0, INDEX(Schedule!$A$1:$N$2000, MATCH($C570, VAV_Schedule_5_21[[#All],[UNIT TAG]], FALSE), 7))</f>
        <v>5</v>
      </c>
      <c r="AE570" t="str">
        <f>"B_01'" &amp; "Flr_0" &amp; INDEX(Joined!$A$3:$M$2000, MATCH($A570, Joined!$I$3:$I$2000, FALSE), 8)</f>
        <v>B_01'Flr_014</v>
      </c>
      <c r="AF570" t="str">
        <f>"R_" &amp; INDEX(Joined!$A$3:$M$2000, MATCH($A570, Joined!$I$3:$I$2000, FALSE), 7)</f>
        <v>R_VAV-14W-41</v>
      </c>
      <c r="AG570" t="str">
        <f>"B_01'" &amp; "Flr_0" &amp; INDEX(Joined!$A$3:$M$2000, MATCH($A570, Joined!$I$3:$I$2000, FALSE), 8)</f>
        <v>B_01'Flr_014</v>
      </c>
      <c r="AH570" t="str">
        <f>INDEX(Joined!$A$3:$M$2000, MATCH($A570, Joined!$I$3:$I$2000, FALSE), 7)</f>
        <v>VAV-14W-41</v>
      </c>
      <c r="AI570" t="s">
        <v>1898</v>
      </c>
    </row>
    <row r="571" spans="1:35" x14ac:dyDescent="0.2">
      <c r="A571" t="s">
        <v>1432</v>
      </c>
      <c r="B571" t="str">
        <f>"B_01'" &amp; "Flr_0" &amp; INDEX(Joined!$A$3:$M$2000, MATCH($A571, Joined!$I$3:$I$2000, FALSE), 8)</f>
        <v>B_01'Flr_014</v>
      </c>
      <c r="C571" t="str">
        <f>INDEX(Joined!$A$3:$M$2000, MATCH($A571, Joined!$I$3:$I$2000, FALSE), 7)</f>
        <v>VAV-14W-42</v>
      </c>
      <c r="D571">
        <f>INDEX(Joined!$A$3:$M$2000, MATCH($A571, Joined!$I$3:$I$2000, FALSE), 5)</f>
        <v>153915</v>
      </c>
      <c r="E571" t="str">
        <f>INDEX(Joined!$A$3:$M$2000, MATCH($A571, Joined!$I$3:$I$2000, FALSE), 7)</f>
        <v>VAV-14W-42</v>
      </c>
      <c r="F571" t="s">
        <v>38</v>
      </c>
      <c r="G571" t="str">
        <f>INDEX(Schedule!$Q$2:$R$7, MATCH(ABT!$H571,Schedule!$Q$2:$Q$7, 0), 2)</f>
        <v>15010_DXR_VAV_DXR2M12</v>
      </c>
      <c r="H571">
        <f>INDEX(Joined!$A$3:$M$2000, MATCH($A571, Joined!$I$3:$I$2000, FALSE), 6)</f>
        <v>15010</v>
      </c>
      <c r="I571" t="str">
        <f>INDEX(Joined!$A$3:$M$2000, MATCH($A571, Joined!$I$3:$I$2000, FALSE), 4)</f>
        <v>539</v>
      </c>
      <c r="J571" t="b">
        <v>0</v>
      </c>
      <c r="K571">
        <f>INDEX(Joined!$A$3:$M$2000, MATCH($A571, Joined!$I$3:$I$2000, FALSE), 3)</f>
        <v>15</v>
      </c>
      <c r="L571">
        <v>85</v>
      </c>
      <c r="M571">
        <v>38400</v>
      </c>
      <c r="N571" s="27">
        <f>PI()*(INDEX(Schedule!$A$1:$N$2000, MATCH($C571, VAV_Schedule_5_21[[#All],[UNIT TAG]], FALSE), 4)/2/12)^2</f>
        <v>0.19634954084936207</v>
      </c>
      <c r="O571" s="27">
        <f>INDEX(Schedule!$A$1:$N$2000, MATCH($C571, VAV_Schedule_5_21[[#All],[UNIT TAG]], FALSE), 4)</f>
        <v>6</v>
      </c>
      <c r="P571">
        <v>569.63</v>
      </c>
      <c r="Q571" s="27">
        <f>INDEX(Schedule!$A$1:$N$2000, MATCH($C571, VAV_Schedule_5_21[[#All],[UNIT TAG]], FALSE), 5)</f>
        <v>100</v>
      </c>
      <c r="R571" s="27">
        <f>INDEX(Schedule!$A$1:$N$2000, MATCH($C571, VAV_Schedule_5_21[[#All],[UNIT TAG]], FALSE), 6)</f>
        <v>15</v>
      </c>
      <c r="S571" s="27">
        <f>INDEX(Schedule!$A$1:$N$2000, MATCH($C571, VAV_Schedule_5_21[[#All],[UNIT TAG]], FALSE), 5)</f>
        <v>100</v>
      </c>
      <c r="T571" s="27">
        <f>INDEX(Schedule!$A$1:$N$2000, MATCH($C571, VAV_Schedule_5_21[[#All],[UNIT TAG]], FALSE), 6)</f>
        <v>15</v>
      </c>
      <c r="U571" s="27">
        <f>INDEX(Schedule!$A$1:$N$2000, MATCH($C571, VAV_Schedule_5_21[[#All],[UNIT TAG]], FALSE), 5)</f>
        <v>100</v>
      </c>
      <c r="V571" s="27">
        <f>INDEX(Schedule!$A$1:$N$2000, MATCH($C571, VAV_Schedule_5_21[[#All],[UNIT TAG]], FALSE), 6)</f>
        <v>15</v>
      </c>
      <c r="W571" s="27">
        <f>INDEX(Schedule!$A$1:$N$2000, MATCH($C571, VAV_Schedule_5_21[[#All],[UNIT TAG]], FALSE), 6)</f>
        <v>15</v>
      </c>
      <c r="X571" s="27">
        <f>INDEX(Schedule!$A$1:$N$2000, MATCH($C571, VAV_Schedule_5_21[[#All],[UNIT TAG]], FALSE), 6)</f>
        <v>15</v>
      </c>
      <c r="Y571" s="27">
        <f>INDEX(Schedule!$A$1:$N$2000, MATCH($C571, VAV_Schedule_5_21[[#All],[UNIT TAG]], FALSE), 6)</f>
        <v>15</v>
      </c>
      <c r="Z571" s="27">
        <f>INDEX(Schedule!$A$1:$N$2000, MATCH($C571, VAV_Schedule_5_21[[#All],[UNIT TAG]], FALSE), 6)</f>
        <v>15</v>
      </c>
      <c r="AA571" s="27">
        <v>1000</v>
      </c>
      <c r="AB571" s="27">
        <v>1100</v>
      </c>
      <c r="AC571">
        <v>1400</v>
      </c>
      <c r="AD571" s="29">
        <f>IF(INDEX(Schedule!$A$1:$N$2000, MATCH($C571, VAV_Schedule_5_21[[#All],[UNIT TAG]], FALSE), 7)="-", 0, INDEX(Schedule!$A$1:$N$2000, MATCH($C571, VAV_Schedule_5_21[[#All],[UNIT TAG]], FALSE), 7))</f>
        <v>0</v>
      </c>
      <c r="AE571" t="str">
        <f>"B_01'" &amp; "Flr_0" &amp; INDEX(Joined!$A$3:$M$2000, MATCH($A571, Joined!$I$3:$I$2000, FALSE), 8)</f>
        <v>B_01'Flr_014</v>
      </c>
      <c r="AF571" t="str">
        <f>"R_" &amp; INDEX(Joined!$A$3:$M$2000, MATCH($A571, Joined!$I$3:$I$2000, FALSE), 7)</f>
        <v>R_VAV-14W-42</v>
      </c>
      <c r="AG571" t="str">
        <f>"B_01'" &amp; "Flr_0" &amp; INDEX(Joined!$A$3:$M$2000, MATCH($A571, Joined!$I$3:$I$2000, FALSE), 8)</f>
        <v>B_01'Flr_014</v>
      </c>
      <c r="AH571" t="str">
        <f>INDEX(Joined!$A$3:$M$2000, MATCH($A571, Joined!$I$3:$I$2000, FALSE), 7)</f>
        <v>VAV-14W-42</v>
      </c>
      <c r="AI571" t="s">
        <v>1899</v>
      </c>
    </row>
  </sheetData>
  <autoFilter ref="A1:AI348" xr:uid="{9B1F00CC-4C28-4E59-AFAD-A2F7B140179D}"/>
  <sortState xmlns:xlrd2="http://schemas.microsoft.com/office/spreadsheetml/2017/richdata2" ref="A2:A348">
    <sortCondition ref="A2:A348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BF2CB-1994-4499-8842-CCCB24AC17F5}">
  <dimension ref="A1:R571"/>
  <sheetViews>
    <sheetView tabSelected="1" topLeftCell="B105" workbookViewId="0">
      <selection activeCell="F126" sqref="F126"/>
    </sheetView>
  </sheetViews>
  <sheetFormatPr defaultRowHeight="12.75" x14ac:dyDescent="0.2"/>
  <cols>
    <col min="1" max="1" width="5.140625" bestFit="1" customWidth="1"/>
    <col min="2" max="2" width="12" bestFit="1" customWidth="1"/>
    <col min="3" max="3" width="8.7109375" bestFit="1" customWidth="1"/>
    <col min="4" max="4" width="8.7109375" customWidth="1"/>
    <col min="5" max="5" width="30.7109375" bestFit="1" customWidth="1"/>
    <col min="6" max="6" width="24" bestFit="1" customWidth="1"/>
    <col min="7" max="7" width="14.28515625" style="27" bestFit="1" customWidth="1"/>
    <col min="8" max="8" width="24.7109375" bestFit="1" customWidth="1"/>
    <col min="9" max="9" width="8" bestFit="1" customWidth="1"/>
    <col min="10" max="10" width="9.5703125" style="22" bestFit="1" customWidth="1"/>
    <col min="16" max="16" width="15.5703125" bestFit="1" customWidth="1"/>
    <col min="17" max="17" width="11.7109375" bestFit="1" customWidth="1"/>
    <col min="18" max="18" width="32.42578125" bestFit="1" customWidth="1"/>
  </cols>
  <sheetData>
    <row r="1" spans="1:18" x14ac:dyDescent="0.2">
      <c r="A1" t="s">
        <v>610</v>
      </c>
      <c r="B1" t="s">
        <v>611</v>
      </c>
      <c r="C1" t="s">
        <v>612</v>
      </c>
      <c r="D1" t="s">
        <v>427</v>
      </c>
      <c r="E1" t="s">
        <v>613</v>
      </c>
      <c r="F1" t="s">
        <v>614</v>
      </c>
      <c r="G1" s="27" t="s">
        <v>615</v>
      </c>
      <c r="H1" t="s">
        <v>616</v>
      </c>
      <c r="I1" t="s">
        <v>424</v>
      </c>
      <c r="J1" s="22" t="s">
        <v>617</v>
      </c>
      <c r="P1" t="s">
        <v>428</v>
      </c>
      <c r="Q1" t="s">
        <v>429</v>
      </c>
      <c r="R1" t="s">
        <v>880</v>
      </c>
    </row>
    <row r="2" spans="1:18" x14ac:dyDescent="0.2">
      <c r="A2" s="24">
        <v>1</v>
      </c>
      <c r="B2" s="23" t="s">
        <v>41</v>
      </c>
      <c r="C2" s="23" t="s">
        <v>618</v>
      </c>
      <c r="D2" s="23">
        <f>INDEX($P$10:$Q$14, MATCH(VAV_Schedule_5_21[[#This Row],[MARK]], $P$10:$P$14, 0), 2)</f>
        <v>10</v>
      </c>
      <c r="E2" s="24">
        <v>800</v>
      </c>
      <c r="F2" s="24">
        <v>160</v>
      </c>
      <c r="G2" s="28" t="s">
        <v>619</v>
      </c>
      <c r="H2" s="23" t="s">
        <v>620</v>
      </c>
      <c r="I2" s="23">
        <v>2</v>
      </c>
      <c r="J2" s="25"/>
      <c r="K2" t="str">
        <f>IF(G2="-","Cooling","Heating")</f>
        <v>Heating</v>
      </c>
      <c r="L2" t="str">
        <f>IF(IFERROR(FIND("1", VAV_Schedule_5_21[[#This Row],[NOTES]]), FALSE), "P70", "P30")</f>
        <v>P30</v>
      </c>
      <c r="M2" t="s">
        <v>596</v>
      </c>
      <c r="N2">
        <f>INDEX($P$2:$Q$9, MATCH(_xlfn.CONCAT($K2,$L2,M2), $P$2:$P$9, 0), 2)</f>
        <v>15007</v>
      </c>
      <c r="P2" t="s">
        <v>600</v>
      </c>
      <c r="Q2">
        <v>15007</v>
      </c>
      <c r="R2" t="s">
        <v>881</v>
      </c>
    </row>
    <row r="3" spans="1:18" x14ac:dyDescent="0.2">
      <c r="A3" s="24">
        <v>2</v>
      </c>
      <c r="B3" s="23" t="s">
        <v>42</v>
      </c>
      <c r="C3" s="23" t="s">
        <v>618</v>
      </c>
      <c r="D3" s="23">
        <f>INDEX($P$10:$Q$14, MATCH(VAV_Schedule_5_21[[#This Row],[MARK]], $P$10:$P$14, 0), 2)</f>
        <v>10</v>
      </c>
      <c r="E3" s="24">
        <v>1050</v>
      </c>
      <c r="F3" s="24">
        <v>210</v>
      </c>
      <c r="G3" s="28" t="s">
        <v>621</v>
      </c>
      <c r="H3" s="23" t="s">
        <v>622</v>
      </c>
      <c r="I3" s="23">
        <v>2</v>
      </c>
      <c r="J3" s="25"/>
      <c r="K3" t="str">
        <f t="shared" ref="K3:K66" si="0">IF(G3="-","Cooling","Heating")</f>
        <v>Heating</v>
      </c>
      <c r="L3" t="str">
        <f>IF(IFERROR(FIND("1", VAV_Schedule_5_21[[#This Row],[NOTES]]), FALSE), "P70", "P30")</f>
        <v>P30</v>
      </c>
      <c r="M3" t="s">
        <v>596</v>
      </c>
      <c r="N3">
        <f t="shared" ref="N3:N66" si="1">INDEX($P$2:$Q$9, MATCH(_xlfn.CONCAT($K3,$L3,M3), $P$2:$P$9, 0), 2)</f>
        <v>15007</v>
      </c>
      <c r="P3" t="s">
        <v>601</v>
      </c>
      <c r="Q3">
        <v>15006</v>
      </c>
      <c r="R3" t="s">
        <v>882</v>
      </c>
    </row>
    <row r="4" spans="1:18" x14ac:dyDescent="0.2">
      <c r="A4" s="24">
        <v>3</v>
      </c>
      <c r="B4" s="23" t="s">
        <v>43</v>
      </c>
      <c r="C4" s="23" t="s">
        <v>618</v>
      </c>
      <c r="D4" s="23">
        <f>INDEX($P$10:$Q$14, MATCH(VAV_Schedule_5_21[[#This Row],[MARK]], $P$10:$P$14, 0), 2)</f>
        <v>10</v>
      </c>
      <c r="E4" s="24">
        <v>930</v>
      </c>
      <c r="F4" s="24">
        <v>190</v>
      </c>
      <c r="G4" s="28" t="s">
        <v>623</v>
      </c>
      <c r="H4" s="23" t="s">
        <v>624</v>
      </c>
      <c r="I4" s="23">
        <v>2</v>
      </c>
      <c r="J4" s="25"/>
      <c r="K4" t="str">
        <f t="shared" si="0"/>
        <v>Cooling</v>
      </c>
      <c r="L4" t="str">
        <f>IF(IFERROR(FIND("1", VAV_Schedule_5_21[[#This Row],[NOTES]]), FALSE), "P70", "P30")</f>
        <v>P30</v>
      </c>
      <c r="M4" t="s">
        <v>596</v>
      </c>
      <c r="N4">
        <f t="shared" si="1"/>
        <v>15006</v>
      </c>
      <c r="P4" t="s">
        <v>602</v>
      </c>
      <c r="Q4">
        <v>15008</v>
      </c>
      <c r="R4" t="s">
        <v>883</v>
      </c>
    </row>
    <row r="5" spans="1:18" x14ac:dyDescent="0.2">
      <c r="A5" s="24">
        <v>4</v>
      </c>
      <c r="B5" s="23" t="s">
        <v>44</v>
      </c>
      <c r="C5" s="23" t="s">
        <v>625</v>
      </c>
      <c r="D5" s="23">
        <f>INDEX($P$10:$Q$14, MATCH(VAV_Schedule_5_21[[#This Row],[MARK]], $P$10:$P$14, 0), 2)</f>
        <v>8</v>
      </c>
      <c r="E5" s="24">
        <v>450</v>
      </c>
      <c r="F5" s="24">
        <v>90</v>
      </c>
      <c r="G5" s="28" t="s">
        <v>623</v>
      </c>
      <c r="H5" s="23" t="s">
        <v>624</v>
      </c>
      <c r="I5" s="23">
        <v>2</v>
      </c>
      <c r="J5" s="25"/>
      <c r="K5" t="str">
        <f t="shared" si="0"/>
        <v>Cooling</v>
      </c>
      <c r="L5" t="str">
        <f>IF(IFERROR(FIND("1", VAV_Schedule_5_21[[#This Row],[NOTES]]), FALSE), "P70", "P30")</f>
        <v>P30</v>
      </c>
      <c r="M5" t="s">
        <v>596</v>
      </c>
      <c r="N5">
        <f t="shared" si="1"/>
        <v>15006</v>
      </c>
      <c r="P5" t="s">
        <v>603</v>
      </c>
      <c r="Q5">
        <v>15009</v>
      </c>
      <c r="R5" t="s">
        <v>884</v>
      </c>
    </row>
    <row r="6" spans="1:18" x14ac:dyDescent="0.2">
      <c r="A6" s="24">
        <v>5</v>
      </c>
      <c r="B6" s="23" t="s">
        <v>45</v>
      </c>
      <c r="C6" s="23" t="s">
        <v>618</v>
      </c>
      <c r="D6" s="23">
        <f>INDEX($P$10:$Q$14, MATCH(VAV_Schedule_5_21[[#This Row],[MARK]], $P$10:$P$14, 0), 2)</f>
        <v>10</v>
      </c>
      <c r="E6" s="24">
        <v>850</v>
      </c>
      <c r="F6" s="24">
        <v>170</v>
      </c>
      <c r="G6" s="28" t="s">
        <v>623</v>
      </c>
      <c r="H6" s="23" t="s">
        <v>624</v>
      </c>
      <c r="I6" s="23">
        <v>2</v>
      </c>
      <c r="J6" s="25"/>
      <c r="K6" t="str">
        <f t="shared" si="0"/>
        <v>Cooling</v>
      </c>
      <c r="L6" t="str">
        <f>IF(IFERROR(FIND("1", VAV_Schedule_5_21[[#This Row],[NOTES]]), FALSE), "P70", "P30")</f>
        <v>P30</v>
      </c>
      <c r="M6" t="s">
        <v>596</v>
      </c>
      <c r="N6">
        <f t="shared" si="1"/>
        <v>15006</v>
      </c>
      <c r="P6" t="s">
        <v>598</v>
      </c>
      <c r="Q6">
        <v>15011</v>
      </c>
      <c r="R6" t="s">
        <v>1901</v>
      </c>
    </row>
    <row r="7" spans="1:18" x14ac:dyDescent="0.2">
      <c r="A7" s="24">
        <v>6</v>
      </c>
      <c r="B7" s="23" t="s">
        <v>46</v>
      </c>
      <c r="C7" s="23" t="s">
        <v>618</v>
      </c>
      <c r="D7" s="23">
        <f>INDEX($P$10:$Q$14, MATCH(VAV_Schedule_5_21[[#This Row],[MARK]], $P$10:$P$14, 0), 2)</f>
        <v>10</v>
      </c>
      <c r="E7" s="24">
        <v>840</v>
      </c>
      <c r="F7" s="24">
        <v>170</v>
      </c>
      <c r="G7" s="28" t="s">
        <v>623</v>
      </c>
      <c r="H7" s="23" t="s">
        <v>624</v>
      </c>
      <c r="I7" s="23">
        <v>2</v>
      </c>
      <c r="J7" s="25"/>
      <c r="K7" t="str">
        <f t="shared" si="0"/>
        <v>Cooling</v>
      </c>
      <c r="L7" t="str">
        <f>IF(IFERROR(FIND("1", VAV_Schedule_5_21[[#This Row],[NOTES]]), FALSE), "P70", "P30")</f>
        <v>P30</v>
      </c>
      <c r="M7" t="s">
        <v>596</v>
      </c>
      <c r="N7">
        <f t="shared" si="1"/>
        <v>15006</v>
      </c>
      <c r="P7" t="s">
        <v>599</v>
      </c>
      <c r="Q7">
        <v>15010</v>
      </c>
      <c r="R7" t="s">
        <v>1900</v>
      </c>
    </row>
    <row r="8" spans="1:18" x14ac:dyDescent="0.2">
      <c r="A8" s="24">
        <v>7</v>
      </c>
      <c r="B8" s="26" t="s">
        <v>626</v>
      </c>
      <c r="C8" s="23" t="s">
        <v>625</v>
      </c>
      <c r="D8" s="23">
        <f>INDEX($P$10:$Q$14, MATCH(VAV_Schedule_5_21[[#This Row],[MARK]], $P$10:$P$14, 0), 2)</f>
        <v>8</v>
      </c>
      <c r="E8" s="24">
        <v>550</v>
      </c>
      <c r="F8" s="24">
        <v>110</v>
      </c>
      <c r="G8" s="28" t="s">
        <v>623</v>
      </c>
      <c r="H8" s="23" t="s">
        <v>624</v>
      </c>
      <c r="I8" s="23">
        <v>2</v>
      </c>
      <c r="J8" s="25"/>
      <c r="K8" t="str">
        <f t="shared" si="0"/>
        <v>Cooling</v>
      </c>
      <c r="L8" t="str">
        <f>IF(IFERROR(FIND("1", VAV_Schedule_5_21[[#This Row],[NOTES]]), FALSE), "P70", "P30")</f>
        <v>P30</v>
      </c>
      <c r="M8" t="s">
        <v>596</v>
      </c>
      <c r="N8">
        <f t="shared" si="1"/>
        <v>15006</v>
      </c>
    </row>
    <row r="9" spans="1:18" x14ac:dyDescent="0.2">
      <c r="A9" s="24">
        <v>8</v>
      </c>
      <c r="B9" s="23" t="s">
        <v>47</v>
      </c>
      <c r="C9" s="23" t="s">
        <v>618</v>
      </c>
      <c r="D9" s="23">
        <f>INDEX($P$10:$Q$14, MATCH(VAV_Schedule_5_21[[#This Row],[MARK]], $P$10:$P$14, 0), 2)</f>
        <v>10</v>
      </c>
      <c r="E9" s="24">
        <v>1100</v>
      </c>
      <c r="F9" s="24">
        <v>220</v>
      </c>
      <c r="G9" s="28" t="s">
        <v>623</v>
      </c>
      <c r="H9" s="23" t="s">
        <v>624</v>
      </c>
      <c r="I9" s="23">
        <v>2</v>
      </c>
      <c r="J9" s="25"/>
      <c r="K9" t="str">
        <f t="shared" si="0"/>
        <v>Cooling</v>
      </c>
      <c r="L9" t="str">
        <f>IF(IFERROR(FIND("1", VAV_Schedule_5_21[[#This Row],[NOTES]]), FALSE), "P70", "P30")</f>
        <v>P30</v>
      </c>
      <c r="M9" t="s">
        <v>596</v>
      </c>
      <c r="N9">
        <f t="shared" si="1"/>
        <v>15006</v>
      </c>
      <c r="P9" t="s">
        <v>693</v>
      </c>
      <c r="Q9" t="s">
        <v>427</v>
      </c>
    </row>
    <row r="10" spans="1:18" x14ac:dyDescent="0.2">
      <c r="A10" s="24">
        <v>9</v>
      </c>
      <c r="B10" s="23" t="s">
        <v>48</v>
      </c>
      <c r="C10" s="23" t="s">
        <v>627</v>
      </c>
      <c r="D10" s="23">
        <f>INDEX($P$10:$Q$14, MATCH(VAV_Schedule_5_21[[#This Row],[MARK]], $P$10:$P$14, 0), 2)</f>
        <v>14</v>
      </c>
      <c r="E10" s="24">
        <v>1680</v>
      </c>
      <c r="F10" s="24">
        <v>0</v>
      </c>
      <c r="G10" s="28" t="s">
        <v>623</v>
      </c>
      <c r="H10" s="23" t="s">
        <v>624</v>
      </c>
      <c r="I10" s="23">
        <v>2</v>
      </c>
      <c r="J10" s="25"/>
      <c r="K10" t="str">
        <f t="shared" si="0"/>
        <v>Cooling</v>
      </c>
      <c r="L10" t="str">
        <f>IF(IFERROR(FIND("1", VAV_Schedule_5_21[[#This Row],[NOTES]]), FALSE), "P70", "P30")</f>
        <v>P30</v>
      </c>
      <c r="M10" t="s">
        <v>596</v>
      </c>
      <c r="N10">
        <f t="shared" si="1"/>
        <v>15006</v>
      </c>
      <c r="P10" t="s">
        <v>632</v>
      </c>
      <c r="Q10">
        <v>6</v>
      </c>
    </row>
    <row r="11" spans="1:18" x14ac:dyDescent="0.2">
      <c r="A11" s="24">
        <v>10</v>
      </c>
      <c r="B11" s="23" t="s">
        <v>49</v>
      </c>
      <c r="C11" s="23" t="s">
        <v>628</v>
      </c>
      <c r="D11" s="23">
        <f>INDEX($P$10:$Q$14, MATCH(VAV_Schedule_5_21[[#This Row],[MARK]], $P$10:$P$14, 0), 2)</f>
        <v>12</v>
      </c>
      <c r="E11" s="24">
        <v>1400</v>
      </c>
      <c r="F11" s="24">
        <v>280</v>
      </c>
      <c r="G11" s="28" t="s">
        <v>629</v>
      </c>
      <c r="H11" s="23" t="s">
        <v>622</v>
      </c>
      <c r="I11" s="23">
        <v>2</v>
      </c>
      <c r="J11" s="25"/>
      <c r="K11" t="str">
        <f t="shared" si="0"/>
        <v>Heating</v>
      </c>
      <c r="L11" t="str">
        <f>IF(IFERROR(FIND("1", VAV_Schedule_5_21[[#This Row],[NOTES]]), FALSE), "P70", "P30")</f>
        <v>P30</v>
      </c>
      <c r="M11" t="s">
        <v>596</v>
      </c>
      <c r="N11">
        <f t="shared" si="1"/>
        <v>15007</v>
      </c>
      <c r="P11" t="s">
        <v>625</v>
      </c>
      <c r="Q11">
        <v>8</v>
      </c>
    </row>
    <row r="12" spans="1:18" x14ac:dyDescent="0.2">
      <c r="A12" s="24">
        <v>11</v>
      </c>
      <c r="B12" s="23" t="s">
        <v>50</v>
      </c>
      <c r="C12" s="23" t="s">
        <v>618</v>
      </c>
      <c r="D12" s="23">
        <f>INDEX($P$10:$Q$14, MATCH(VAV_Schedule_5_21[[#This Row],[MARK]], $P$10:$P$14, 0), 2)</f>
        <v>10</v>
      </c>
      <c r="E12" s="24">
        <v>1050</v>
      </c>
      <c r="F12" s="24">
        <v>210</v>
      </c>
      <c r="G12" s="28" t="s">
        <v>621</v>
      </c>
      <c r="H12" s="23" t="s">
        <v>622</v>
      </c>
      <c r="I12" s="23">
        <v>2</v>
      </c>
      <c r="J12" s="25" t="s">
        <v>630</v>
      </c>
      <c r="K12" t="str">
        <f t="shared" si="0"/>
        <v>Heating</v>
      </c>
      <c r="L12" t="str">
        <f>IF(IFERROR(FIND("1", VAV_Schedule_5_21[[#This Row],[NOTES]]), FALSE), "P70", "P30")</f>
        <v>P30</v>
      </c>
      <c r="M12" t="s">
        <v>596</v>
      </c>
      <c r="N12">
        <f t="shared" si="1"/>
        <v>15007</v>
      </c>
      <c r="P12" t="s">
        <v>618</v>
      </c>
      <c r="Q12">
        <v>10</v>
      </c>
    </row>
    <row r="13" spans="1:18" x14ac:dyDescent="0.2">
      <c r="A13" s="24">
        <v>12</v>
      </c>
      <c r="B13" s="23" t="s">
        <v>51</v>
      </c>
      <c r="C13" s="23" t="s">
        <v>618</v>
      </c>
      <c r="D13" s="23">
        <f>INDEX($P$10:$Q$14, MATCH(VAV_Schedule_5_21[[#This Row],[MARK]], $P$10:$P$14, 0), 2)</f>
        <v>10</v>
      </c>
      <c r="E13" s="24">
        <v>870</v>
      </c>
      <c r="F13" s="24">
        <v>175</v>
      </c>
      <c r="G13" s="28" t="s">
        <v>623</v>
      </c>
      <c r="H13" s="23" t="s">
        <v>624</v>
      </c>
      <c r="I13" s="23">
        <v>2</v>
      </c>
      <c r="J13" s="25"/>
      <c r="K13" t="str">
        <f t="shared" si="0"/>
        <v>Cooling</v>
      </c>
      <c r="L13" t="str">
        <f>IF(IFERROR(FIND("1", VAV_Schedule_5_21[[#This Row],[NOTES]]), FALSE), "P70", "P30")</f>
        <v>P30</v>
      </c>
      <c r="M13" t="s">
        <v>596</v>
      </c>
      <c r="N13">
        <f t="shared" si="1"/>
        <v>15006</v>
      </c>
      <c r="P13" t="s">
        <v>628</v>
      </c>
      <c r="Q13">
        <v>12</v>
      </c>
    </row>
    <row r="14" spans="1:18" x14ac:dyDescent="0.2">
      <c r="A14" s="24">
        <v>13</v>
      </c>
      <c r="B14" s="23" t="s">
        <v>52</v>
      </c>
      <c r="C14" s="23" t="s">
        <v>625</v>
      </c>
      <c r="D14" s="23">
        <f>INDEX($P$10:$Q$14, MATCH(VAV_Schedule_5_21[[#This Row],[MARK]], $P$10:$P$14, 0), 2)</f>
        <v>8</v>
      </c>
      <c r="E14" s="24">
        <v>700</v>
      </c>
      <c r="F14" s="24">
        <v>140</v>
      </c>
      <c r="G14" s="28" t="s">
        <v>619</v>
      </c>
      <c r="H14" s="23" t="s">
        <v>620</v>
      </c>
      <c r="I14" s="23">
        <v>2</v>
      </c>
      <c r="J14" s="25"/>
      <c r="K14" t="str">
        <f t="shared" si="0"/>
        <v>Heating</v>
      </c>
      <c r="L14" t="str">
        <f>IF(IFERROR(FIND("1", VAV_Schedule_5_21[[#This Row],[NOTES]]), FALSE), "P70", "P30")</f>
        <v>P30</v>
      </c>
      <c r="M14" t="s">
        <v>596</v>
      </c>
      <c r="N14">
        <f t="shared" si="1"/>
        <v>15007</v>
      </c>
      <c r="P14" t="s">
        <v>627</v>
      </c>
      <c r="Q14">
        <v>14</v>
      </c>
    </row>
    <row r="15" spans="1:18" x14ac:dyDescent="0.2">
      <c r="A15" s="24">
        <v>14</v>
      </c>
      <c r="B15" s="23" t="s">
        <v>53</v>
      </c>
      <c r="C15" s="23" t="s">
        <v>618</v>
      </c>
      <c r="D15" s="23">
        <f>INDEX($P$10:$Q$14, MATCH(VAV_Schedule_5_21[[#This Row],[MARK]], $P$10:$P$14, 0), 2)</f>
        <v>10</v>
      </c>
      <c r="E15" s="24">
        <v>1090</v>
      </c>
      <c r="F15" s="24">
        <v>220</v>
      </c>
      <c r="G15" s="28" t="s">
        <v>631</v>
      </c>
      <c r="H15" s="23" t="s">
        <v>622</v>
      </c>
      <c r="I15" s="23">
        <v>2</v>
      </c>
      <c r="J15" s="25"/>
      <c r="K15" t="str">
        <f t="shared" si="0"/>
        <v>Heating</v>
      </c>
      <c r="L15" t="str">
        <f>IF(IFERROR(FIND("1", VAV_Schedule_5_21[[#This Row],[NOTES]]), FALSE), "P70", "P30")</f>
        <v>P30</v>
      </c>
      <c r="M15" t="s">
        <v>596</v>
      </c>
      <c r="N15">
        <f t="shared" si="1"/>
        <v>15007</v>
      </c>
    </row>
    <row r="16" spans="1:18" x14ac:dyDescent="0.2">
      <c r="A16" s="24">
        <v>15</v>
      </c>
      <c r="B16" s="23" t="s">
        <v>54</v>
      </c>
      <c r="C16" s="23" t="s">
        <v>628</v>
      </c>
      <c r="D16" s="23">
        <f>INDEX($P$10:$Q$14, MATCH(VAV_Schedule_5_21[[#This Row],[MARK]], $P$10:$P$14, 0), 2)</f>
        <v>12</v>
      </c>
      <c r="E16" s="24">
        <v>1170</v>
      </c>
      <c r="F16" s="24">
        <v>235</v>
      </c>
      <c r="G16" s="28" t="s">
        <v>623</v>
      </c>
      <c r="H16" s="23" t="s">
        <v>624</v>
      </c>
      <c r="I16" s="23">
        <v>2</v>
      </c>
      <c r="J16" s="25"/>
      <c r="K16" t="str">
        <f t="shared" si="0"/>
        <v>Cooling</v>
      </c>
      <c r="L16" t="str">
        <f>IF(IFERROR(FIND("1", VAV_Schedule_5_21[[#This Row],[NOTES]]), FALSE), "P70", "P30")</f>
        <v>P30</v>
      </c>
      <c r="M16" t="s">
        <v>596</v>
      </c>
      <c r="N16">
        <f t="shared" si="1"/>
        <v>15006</v>
      </c>
    </row>
    <row r="17" spans="1:14" x14ac:dyDescent="0.2">
      <c r="A17" s="24">
        <v>16</v>
      </c>
      <c r="B17" s="23" t="s">
        <v>55</v>
      </c>
      <c r="C17" s="23" t="s">
        <v>618</v>
      </c>
      <c r="D17" s="23">
        <f>INDEX($P$10:$Q$14, MATCH(VAV_Schedule_5_21[[#This Row],[MARK]], $P$10:$P$14, 0), 2)</f>
        <v>10</v>
      </c>
      <c r="E17" s="24">
        <v>1010</v>
      </c>
      <c r="F17" s="24">
        <v>205</v>
      </c>
      <c r="G17" s="28" t="s">
        <v>631</v>
      </c>
      <c r="H17" s="23" t="s">
        <v>622</v>
      </c>
      <c r="I17" s="23">
        <v>2</v>
      </c>
      <c r="J17" s="25"/>
      <c r="K17" t="str">
        <f t="shared" si="0"/>
        <v>Heating</v>
      </c>
      <c r="L17" t="str">
        <f>IF(IFERROR(FIND("1", VAV_Schedule_5_21[[#This Row],[NOTES]]), FALSE), "P70", "P30")</f>
        <v>P30</v>
      </c>
      <c r="M17" t="s">
        <v>596</v>
      </c>
      <c r="N17">
        <f t="shared" si="1"/>
        <v>15007</v>
      </c>
    </row>
    <row r="18" spans="1:14" x14ac:dyDescent="0.2">
      <c r="A18" s="24">
        <v>17</v>
      </c>
      <c r="B18" s="23" t="s">
        <v>56</v>
      </c>
      <c r="C18" s="23" t="s">
        <v>632</v>
      </c>
      <c r="D18" s="23">
        <f>INDEX($P$10:$Q$14, MATCH(VAV_Schedule_5_21[[#This Row],[MARK]], $P$10:$P$14, 0), 2)</f>
        <v>6</v>
      </c>
      <c r="E18" s="24">
        <v>400</v>
      </c>
      <c r="F18" s="24">
        <v>80</v>
      </c>
      <c r="G18" s="28" t="s">
        <v>623</v>
      </c>
      <c r="H18" s="23" t="s">
        <v>624</v>
      </c>
      <c r="I18" s="23">
        <v>2</v>
      </c>
      <c r="J18" s="25"/>
      <c r="K18" t="str">
        <f t="shared" si="0"/>
        <v>Cooling</v>
      </c>
      <c r="L18" t="str">
        <f>IF(IFERROR(FIND("1", VAV_Schedule_5_21[[#This Row],[NOTES]]), FALSE), "P70", "P30")</f>
        <v>P30</v>
      </c>
      <c r="M18" t="s">
        <v>596</v>
      </c>
      <c r="N18">
        <f t="shared" si="1"/>
        <v>15006</v>
      </c>
    </row>
    <row r="19" spans="1:14" x14ac:dyDescent="0.2">
      <c r="A19" s="24">
        <v>18</v>
      </c>
      <c r="B19" s="23" t="s">
        <v>57</v>
      </c>
      <c r="C19" s="23" t="s">
        <v>628</v>
      </c>
      <c r="D19" s="23">
        <f>INDEX($P$10:$Q$14, MATCH(VAV_Schedule_5_21[[#This Row],[MARK]], $P$10:$P$14, 0), 2)</f>
        <v>12</v>
      </c>
      <c r="E19" s="24">
        <v>1275</v>
      </c>
      <c r="F19" s="24">
        <v>255</v>
      </c>
      <c r="G19" s="28" t="s">
        <v>623</v>
      </c>
      <c r="H19" s="23" t="s">
        <v>624</v>
      </c>
      <c r="I19" s="23">
        <v>2</v>
      </c>
      <c r="J19" s="25"/>
      <c r="K19" t="str">
        <f t="shared" si="0"/>
        <v>Cooling</v>
      </c>
      <c r="L19" t="str">
        <f>IF(IFERROR(FIND("1", VAV_Schedule_5_21[[#This Row],[NOTES]]), FALSE), "P70", "P30")</f>
        <v>P30</v>
      </c>
      <c r="M19" t="s">
        <v>596</v>
      </c>
      <c r="N19">
        <f t="shared" si="1"/>
        <v>15006</v>
      </c>
    </row>
    <row r="20" spans="1:14" x14ac:dyDescent="0.2">
      <c r="A20" s="24">
        <v>19</v>
      </c>
      <c r="B20" s="23" t="s">
        <v>58</v>
      </c>
      <c r="C20" s="23" t="s">
        <v>625</v>
      </c>
      <c r="D20" s="23">
        <f>INDEX($P$10:$Q$14, MATCH(VAV_Schedule_5_21[[#This Row],[MARK]], $P$10:$P$14, 0), 2)</f>
        <v>8</v>
      </c>
      <c r="E20" s="24">
        <v>640</v>
      </c>
      <c r="F20" s="24">
        <v>130</v>
      </c>
      <c r="G20" s="28" t="s">
        <v>619</v>
      </c>
      <c r="H20" s="23" t="s">
        <v>620</v>
      </c>
      <c r="I20" s="23">
        <v>2</v>
      </c>
      <c r="J20" s="25"/>
      <c r="K20" t="str">
        <f t="shared" si="0"/>
        <v>Heating</v>
      </c>
      <c r="L20" t="str">
        <f>IF(IFERROR(FIND("1", VAV_Schedule_5_21[[#This Row],[NOTES]]), FALSE), "P70", "P30")</f>
        <v>P30</v>
      </c>
      <c r="M20" t="s">
        <v>596</v>
      </c>
      <c r="N20">
        <f t="shared" si="1"/>
        <v>15007</v>
      </c>
    </row>
    <row r="21" spans="1:14" x14ac:dyDescent="0.2">
      <c r="A21" s="24">
        <v>20</v>
      </c>
      <c r="B21" s="23" t="s">
        <v>59</v>
      </c>
      <c r="C21" s="23" t="s">
        <v>618</v>
      </c>
      <c r="D21" s="23">
        <f>INDEX($P$10:$Q$14, MATCH(VAV_Schedule_5_21[[#This Row],[MARK]], $P$10:$P$14, 0), 2)</f>
        <v>10</v>
      </c>
      <c r="E21" s="24">
        <v>960</v>
      </c>
      <c r="F21" s="24">
        <v>195</v>
      </c>
      <c r="G21" s="28" t="s">
        <v>619</v>
      </c>
      <c r="H21" s="23" t="s">
        <v>620</v>
      </c>
      <c r="I21" s="23">
        <v>2</v>
      </c>
      <c r="J21" s="25"/>
      <c r="K21" t="str">
        <f t="shared" si="0"/>
        <v>Heating</v>
      </c>
      <c r="L21" t="str">
        <f>IF(IFERROR(FIND("1", VAV_Schedule_5_21[[#This Row],[NOTES]]), FALSE), "P70", "P30")</f>
        <v>P30</v>
      </c>
      <c r="M21" t="s">
        <v>596</v>
      </c>
      <c r="N21">
        <f t="shared" si="1"/>
        <v>15007</v>
      </c>
    </row>
    <row r="22" spans="1:14" x14ac:dyDescent="0.2">
      <c r="A22" s="24">
        <v>21</v>
      </c>
      <c r="B22" s="23" t="s">
        <v>60</v>
      </c>
      <c r="C22" s="23" t="s">
        <v>618</v>
      </c>
      <c r="D22" s="23">
        <f>INDEX($P$10:$Q$14, MATCH(VAV_Schedule_5_21[[#This Row],[MARK]], $P$10:$P$14, 0), 2)</f>
        <v>10</v>
      </c>
      <c r="E22" s="24">
        <v>875</v>
      </c>
      <c r="F22" s="24">
        <v>175</v>
      </c>
      <c r="G22" s="28" t="s">
        <v>631</v>
      </c>
      <c r="H22" s="23" t="s">
        <v>622</v>
      </c>
      <c r="I22" s="23">
        <v>2</v>
      </c>
      <c r="J22" s="25" t="s">
        <v>630</v>
      </c>
      <c r="K22" t="str">
        <f t="shared" si="0"/>
        <v>Heating</v>
      </c>
      <c r="L22" t="str">
        <f>IF(IFERROR(FIND("1", VAV_Schedule_5_21[[#This Row],[NOTES]]), FALSE), "P70", "P30")</f>
        <v>P30</v>
      </c>
      <c r="M22" t="s">
        <v>596</v>
      </c>
      <c r="N22">
        <f t="shared" si="1"/>
        <v>15007</v>
      </c>
    </row>
    <row r="23" spans="1:14" x14ac:dyDescent="0.2">
      <c r="A23" s="24">
        <v>22</v>
      </c>
      <c r="B23" s="23" t="s">
        <v>61</v>
      </c>
      <c r="C23" s="23" t="s">
        <v>618</v>
      </c>
      <c r="D23" s="23">
        <f>INDEX($P$10:$Q$14, MATCH(VAV_Schedule_5_21[[#This Row],[MARK]], $P$10:$P$14, 0), 2)</f>
        <v>10</v>
      </c>
      <c r="E23" s="24">
        <v>840</v>
      </c>
      <c r="F23" s="24">
        <v>170</v>
      </c>
      <c r="G23" s="28" t="s">
        <v>623</v>
      </c>
      <c r="H23" s="23" t="s">
        <v>624</v>
      </c>
      <c r="I23" s="23">
        <v>2</v>
      </c>
      <c r="J23" s="25"/>
      <c r="K23" t="str">
        <f t="shared" si="0"/>
        <v>Cooling</v>
      </c>
      <c r="L23" t="str">
        <f>IF(IFERROR(FIND("1", VAV_Schedule_5_21[[#This Row],[NOTES]]), FALSE), "P70", "P30")</f>
        <v>P30</v>
      </c>
      <c r="M23" t="s">
        <v>596</v>
      </c>
      <c r="N23">
        <f t="shared" si="1"/>
        <v>15006</v>
      </c>
    </row>
    <row r="24" spans="1:14" x14ac:dyDescent="0.2">
      <c r="A24" s="24">
        <v>23</v>
      </c>
      <c r="B24" s="23" t="s">
        <v>62</v>
      </c>
      <c r="C24" s="23" t="s">
        <v>618</v>
      </c>
      <c r="D24" s="23">
        <f>INDEX($P$10:$Q$14, MATCH(VAV_Schedule_5_21[[#This Row],[MARK]], $P$10:$P$14, 0), 2)</f>
        <v>10</v>
      </c>
      <c r="E24" s="24">
        <v>875</v>
      </c>
      <c r="F24" s="24">
        <v>175</v>
      </c>
      <c r="G24" s="28" t="s">
        <v>631</v>
      </c>
      <c r="H24" s="23" t="s">
        <v>622</v>
      </c>
      <c r="I24" s="23">
        <v>2</v>
      </c>
      <c r="J24" s="25"/>
      <c r="K24" t="str">
        <f t="shared" si="0"/>
        <v>Heating</v>
      </c>
      <c r="L24" t="str">
        <f>IF(IFERROR(FIND("1", VAV_Schedule_5_21[[#This Row],[NOTES]]), FALSE), "P70", "P30")</f>
        <v>P30</v>
      </c>
      <c r="M24" t="s">
        <v>596</v>
      </c>
      <c r="N24">
        <f t="shared" si="1"/>
        <v>15007</v>
      </c>
    </row>
    <row r="25" spans="1:14" x14ac:dyDescent="0.2">
      <c r="A25" s="24">
        <v>24</v>
      </c>
      <c r="B25" s="23" t="s">
        <v>63</v>
      </c>
      <c r="C25" s="23" t="s">
        <v>618</v>
      </c>
      <c r="D25" s="23">
        <f>INDEX($P$10:$Q$14, MATCH(VAV_Schedule_5_21[[#This Row],[MARK]], $P$10:$P$14, 0), 2)</f>
        <v>10</v>
      </c>
      <c r="E25" s="24">
        <v>960</v>
      </c>
      <c r="F25" s="24">
        <v>195</v>
      </c>
      <c r="G25" s="28" t="s">
        <v>619</v>
      </c>
      <c r="H25" s="23" t="s">
        <v>620</v>
      </c>
      <c r="I25" s="23">
        <v>2</v>
      </c>
      <c r="J25" s="25"/>
      <c r="K25" t="str">
        <f t="shared" si="0"/>
        <v>Heating</v>
      </c>
      <c r="L25" t="str">
        <f>IF(IFERROR(FIND("1", VAV_Schedule_5_21[[#This Row],[NOTES]]), FALSE), "P70", "P30")</f>
        <v>P30</v>
      </c>
      <c r="M25" t="s">
        <v>596</v>
      </c>
      <c r="N25">
        <f t="shared" si="1"/>
        <v>15007</v>
      </c>
    </row>
    <row r="26" spans="1:14" x14ac:dyDescent="0.2">
      <c r="A26" s="24">
        <v>25</v>
      </c>
      <c r="B26" s="23" t="s">
        <v>64</v>
      </c>
      <c r="C26" s="23" t="s">
        <v>625</v>
      </c>
      <c r="D26" s="23">
        <f>INDEX($P$10:$Q$14, MATCH(VAV_Schedule_5_21[[#This Row],[MARK]], $P$10:$P$14, 0), 2)</f>
        <v>8</v>
      </c>
      <c r="E26" s="24">
        <v>700</v>
      </c>
      <c r="F26" s="24">
        <v>140</v>
      </c>
      <c r="G26" s="28" t="s">
        <v>619</v>
      </c>
      <c r="H26" s="23" t="s">
        <v>620</v>
      </c>
      <c r="I26" s="23">
        <v>2</v>
      </c>
      <c r="J26" s="25"/>
      <c r="K26" t="str">
        <f t="shared" si="0"/>
        <v>Heating</v>
      </c>
      <c r="L26" t="str">
        <f>IF(IFERROR(FIND("1", VAV_Schedule_5_21[[#This Row],[NOTES]]), FALSE), "P70", "P30")</f>
        <v>P30</v>
      </c>
      <c r="M26" t="s">
        <v>596</v>
      </c>
      <c r="N26">
        <f t="shared" si="1"/>
        <v>15007</v>
      </c>
    </row>
    <row r="27" spans="1:14" x14ac:dyDescent="0.2">
      <c r="A27" s="24">
        <v>26</v>
      </c>
      <c r="B27" s="23" t="s">
        <v>65</v>
      </c>
      <c r="C27" s="23" t="s">
        <v>625</v>
      </c>
      <c r="D27" s="23">
        <f>INDEX($P$10:$Q$14, MATCH(VAV_Schedule_5_21[[#This Row],[MARK]], $P$10:$P$14, 0), 2)</f>
        <v>8</v>
      </c>
      <c r="E27" s="24">
        <v>650</v>
      </c>
      <c r="F27" s="24">
        <v>130</v>
      </c>
      <c r="G27" s="28" t="s">
        <v>623</v>
      </c>
      <c r="H27" s="23" t="s">
        <v>624</v>
      </c>
      <c r="I27" s="23">
        <v>2</v>
      </c>
      <c r="J27" s="25"/>
      <c r="K27" t="str">
        <f t="shared" si="0"/>
        <v>Cooling</v>
      </c>
      <c r="L27" t="str">
        <f>IF(IFERROR(FIND("1", VAV_Schedule_5_21[[#This Row],[NOTES]]), FALSE), "P70", "P30")</f>
        <v>P30</v>
      </c>
      <c r="M27" t="s">
        <v>596</v>
      </c>
      <c r="N27">
        <f t="shared" si="1"/>
        <v>15006</v>
      </c>
    </row>
    <row r="28" spans="1:14" x14ac:dyDescent="0.2">
      <c r="A28" s="24">
        <v>27</v>
      </c>
      <c r="B28" s="23" t="s">
        <v>66</v>
      </c>
      <c r="C28" s="23" t="s">
        <v>632</v>
      </c>
      <c r="D28" s="23">
        <f>INDEX($P$10:$Q$14, MATCH(VAV_Schedule_5_21[[#This Row],[MARK]], $P$10:$P$14, 0), 2)</f>
        <v>6</v>
      </c>
      <c r="E28" s="24">
        <v>300</v>
      </c>
      <c r="F28" s="24">
        <v>60</v>
      </c>
      <c r="G28" s="28" t="s">
        <v>623</v>
      </c>
      <c r="H28" s="23" t="s">
        <v>624</v>
      </c>
      <c r="I28" s="23">
        <v>2</v>
      </c>
      <c r="J28" s="25"/>
      <c r="K28" t="str">
        <f t="shared" si="0"/>
        <v>Cooling</v>
      </c>
      <c r="L28" t="str">
        <f>IF(IFERROR(FIND("1", VAV_Schedule_5_21[[#This Row],[NOTES]]), FALSE), "P70", "P30")</f>
        <v>P30</v>
      </c>
      <c r="M28" t="s">
        <v>596</v>
      </c>
      <c r="N28">
        <f t="shared" si="1"/>
        <v>15006</v>
      </c>
    </row>
    <row r="29" spans="1:14" x14ac:dyDescent="0.2">
      <c r="A29" s="24">
        <v>28</v>
      </c>
      <c r="B29" s="23" t="s">
        <v>67</v>
      </c>
      <c r="C29" s="23" t="s">
        <v>618</v>
      </c>
      <c r="D29" s="23">
        <f>INDEX($P$10:$Q$14, MATCH(VAV_Schedule_5_21[[#This Row],[MARK]], $P$10:$P$14, 0), 2)</f>
        <v>10</v>
      </c>
      <c r="E29" s="24">
        <v>1040</v>
      </c>
      <c r="F29" s="24">
        <v>210</v>
      </c>
      <c r="G29" s="28" t="s">
        <v>623</v>
      </c>
      <c r="H29" s="23" t="s">
        <v>624</v>
      </c>
      <c r="I29" s="23">
        <v>2</v>
      </c>
      <c r="J29" s="25"/>
      <c r="K29" t="str">
        <f t="shared" si="0"/>
        <v>Cooling</v>
      </c>
      <c r="L29" t="str">
        <f>IF(IFERROR(FIND("1", VAV_Schedule_5_21[[#This Row],[NOTES]]), FALSE), "P70", "P30")</f>
        <v>P30</v>
      </c>
      <c r="M29" t="s">
        <v>596</v>
      </c>
      <c r="N29">
        <f t="shared" si="1"/>
        <v>15006</v>
      </c>
    </row>
    <row r="30" spans="1:14" x14ac:dyDescent="0.2">
      <c r="A30" s="24">
        <v>29</v>
      </c>
      <c r="B30" s="23" t="s">
        <v>68</v>
      </c>
      <c r="C30" s="23" t="s">
        <v>628</v>
      </c>
      <c r="D30" s="23">
        <f>INDEX($P$10:$Q$14, MATCH(VAV_Schedule_5_21[[#This Row],[MARK]], $P$10:$P$14, 0), 2)</f>
        <v>12</v>
      </c>
      <c r="E30" s="24">
        <v>1300</v>
      </c>
      <c r="F30" s="24">
        <v>260</v>
      </c>
      <c r="G30" s="28" t="s">
        <v>631</v>
      </c>
      <c r="H30" s="23" t="s">
        <v>622</v>
      </c>
      <c r="I30" s="23">
        <v>2</v>
      </c>
      <c r="J30" s="25"/>
      <c r="K30" t="str">
        <f t="shared" si="0"/>
        <v>Heating</v>
      </c>
      <c r="L30" t="str">
        <f>IF(IFERROR(FIND("1", VAV_Schedule_5_21[[#This Row],[NOTES]]), FALSE), "P70", "P30")</f>
        <v>P30</v>
      </c>
      <c r="M30" t="s">
        <v>596</v>
      </c>
      <c r="N30">
        <f t="shared" si="1"/>
        <v>15007</v>
      </c>
    </row>
    <row r="31" spans="1:14" x14ac:dyDescent="0.2">
      <c r="A31" s="24">
        <v>30</v>
      </c>
      <c r="B31" s="23" t="s">
        <v>69</v>
      </c>
      <c r="C31" s="23" t="s">
        <v>628</v>
      </c>
      <c r="D31" s="23">
        <f>INDEX($P$10:$Q$14, MATCH(VAV_Schedule_5_21[[#This Row],[MARK]], $P$10:$P$14, 0), 2)</f>
        <v>12</v>
      </c>
      <c r="E31" s="24">
        <v>1300</v>
      </c>
      <c r="F31" s="24">
        <v>260</v>
      </c>
      <c r="G31" s="28" t="s">
        <v>631</v>
      </c>
      <c r="H31" s="23" t="s">
        <v>622</v>
      </c>
      <c r="I31" s="23">
        <v>2</v>
      </c>
      <c r="J31" s="25"/>
      <c r="K31" t="str">
        <f t="shared" si="0"/>
        <v>Heating</v>
      </c>
      <c r="L31" t="str">
        <f>IF(IFERROR(FIND("1", VAV_Schedule_5_21[[#This Row],[NOTES]]), FALSE), "P70", "P30")</f>
        <v>P30</v>
      </c>
      <c r="M31" t="s">
        <v>596</v>
      </c>
      <c r="N31">
        <f t="shared" si="1"/>
        <v>15007</v>
      </c>
    </row>
    <row r="32" spans="1:14" x14ac:dyDescent="0.2">
      <c r="A32" s="24">
        <v>31</v>
      </c>
      <c r="B32" s="23" t="s">
        <v>70</v>
      </c>
      <c r="C32" s="23" t="s">
        <v>625</v>
      </c>
      <c r="D32" s="23">
        <f>INDEX($P$10:$Q$14, MATCH(VAV_Schedule_5_21[[#This Row],[MARK]], $P$10:$P$14, 0), 2)</f>
        <v>8</v>
      </c>
      <c r="E32" s="24">
        <v>580</v>
      </c>
      <c r="F32" s="24">
        <v>120</v>
      </c>
      <c r="G32" s="28" t="s">
        <v>633</v>
      </c>
      <c r="H32" s="23" t="s">
        <v>620</v>
      </c>
      <c r="I32" s="23">
        <v>3</v>
      </c>
      <c r="J32" s="25"/>
      <c r="K32" t="str">
        <f t="shared" si="0"/>
        <v>Heating</v>
      </c>
      <c r="L32" t="str">
        <f>IF(IFERROR(FIND("1", VAV_Schedule_5_21[[#This Row],[NOTES]]), FALSE), "P70", "P30")</f>
        <v>P30</v>
      </c>
      <c r="M32" t="s">
        <v>596</v>
      </c>
      <c r="N32">
        <f t="shared" si="1"/>
        <v>15007</v>
      </c>
    </row>
    <row r="33" spans="1:14" x14ac:dyDescent="0.2">
      <c r="A33" s="24">
        <v>32</v>
      </c>
      <c r="B33" s="23" t="s">
        <v>71</v>
      </c>
      <c r="C33" s="23" t="s">
        <v>625</v>
      </c>
      <c r="D33" s="23">
        <f>INDEX($P$10:$Q$14, MATCH(VAV_Schedule_5_21[[#This Row],[MARK]], $P$10:$P$14, 0), 2)</f>
        <v>8</v>
      </c>
      <c r="E33" s="24">
        <v>540</v>
      </c>
      <c r="F33" s="24">
        <v>110</v>
      </c>
      <c r="G33" s="28" t="s">
        <v>633</v>
      </c>
      <c r="H33" s="23" t="s">
        <v>620</v>
      </c>
      <c r="I33" s="23">
        <v>3</v>
      </c>
      <c r="J33" s="25"/>
      <c r="K33" t="str">
        <f t="shared" si="0"/>
        <v>Heating</v>
      </c>
      <c r="L33" t="str">
        <f>IF(IFERROR(FIND("1", VAV_Schedule_5_21[[#This Row],[NOTES]]), FALSE), "P70", "P30")</f>
        <v>P30</v>
      </c>
      <c r="M33" t="s">
        <v>596</v>
      </c>
      <c r="N33">
        <f t="shared" si="1"/>
        <v>15007</v>
      </c>
    </row>
    <row r="34" spans="1:14" x14ac:dyDescent="0.2">
      <c r="A34" s="24">
        <v>33</v>
      </c>
      <c r="B34" s="23" t="s">
        <v>72</v>
      </c>
      <c r="C34" s="23" t="s">
        <v>625</v>
      </c>
      <c r="D34" s="23">
        <f>INDEX($P$10:$Q$14, MATCH(VAV_Schedule_5_21[[#This Row],[MARK]], $P$10:$P$14, 0), 2)</f>
        <v>8</v>
      </c>
      <c r="E34" s="24">
        <v>500</v>
      </c>
      <c r="F34" s="24">
        <v>100</v>
      </c>
      <c r="G34" s="28" t="s">
        <v>633</v>
      </c>
      <c r="H34" s="23" t="s">
        <v>620</v>
      </c>
      <c r="I34" s="23">
        <v>3</v>
      </c>
      <c r="J34" s="25"/>
      <c r="K34" t="str">
        <f t="shared" si="0"/>
        <v>Heating</v>
      </c>
      <c r="L34" t="str">
        <f>IF(IFERROR(FIND("1", VAV_Schedule_5_21[[#This Row],[NOTES]]), FALSE), "P70", "P30")</f>
        <v>P30</v>
      </c>
      <c r="M34" t="s">
        <v>596</v>
      </c>
      <c r="N34">
        <f t="shared" si="1"/>
        <v>15007</v>
      </c>
    </row>
    <row r="35" spans="1:14" x14ac:dyDescent="0.2">
      <c r="A35" s="24">
        <v>34</v>
      </c>
      <c r="B35" s="23" t="s">
        <v>73</v>
      </c>
      <c r="C35" s="23" t="s">
        <v>628</v>
      </c>
      <c r="D35" s="23">
        <f>INDEX($P$10:$Q$14, MATCH(VAV_Schedule_5_21[[#This Row],[MARK]], $P$10:$P$14, 0), 2)</f>
        <v>12</v>
      </c>
      <c r="E35" s="24">
        <v>1200</v>
      </c>
      <c r="F35" s="24">
        <v>240</v>
      </c>
      <c r="G35" s="28" t="s">
        <v>634</v>
      </c>
      <c r="H35" s="23" t="s">
        <v>622</v>
      </c>
      <c r="I35" s="23">
        <v>3</v>
      </c>
      <c r="J35" s="25"/>
      <c r="K35" t="str">
        <f t="shared" si="0"/>
        <v>Heating</v>
      </c>
      <c r="L35" t="str">
        <f>IF(IFERROR(FIND("1", VAV_Schedule_5_21[[#This Row],[NOTES]]), FALSE), "P70", "P30")</f>
        <v>P30</v>
      </c>
      <c r="M35" t="s">
        <v>596</v>
      </c>
      <c r="N35">
        <f t="shared" si="1"/>
        <v>15007</v>
      </c>
    </row>
    <row r="36" spans="1:14" x14ac:dyDescent="0.2">
      <c r="A36" s="24">
        <v>35</v>
      </c>
      <c r="B36" s="23" t="s">
        <v>74</v>
      </c>
      <c r="C36" s="23" t="s">
        <v>628</v>
      </c>
      <c r="D36" s="23">
        <f>INDEX($P$10:$Q$14, MATCH(VAV_Schedule_5_21[[#This Row],[MARK]], $P$10:$P$14, 0), 2)</f>
        <v>12</v>
      </c>
      <c r="E36" s="24">
        <v>1200</v>
      </c>
      <c r="F36" s="24">
        <v>240</v>
      </c>
      <c r="G36" s="28" t="s">
        <v>623</v>
      </c>
      <c r="H36" s="23" t="s">
        <v>624</v>
      </c>
      <c r="I36" s="23">
        <v>3</v>
      </c>
      <c r="J36" s="25"/>
      <c r="K36" t="str">
        <f t="shared" si="0"/>
        <v>Cooling</v>
      </c>
      <c r="L36" t="str">
        <f>IF(IFERROR(FIND("1", VAV_Schedule_5_21[[#This Row],[NOTES]]), FALSE), "P70", "P30")</f>
        <v>P30</v>
      </c>
      <c r="M36" t="s">
        <v>596</v>
      </c>
      <c r="N36">
        <f t="shared" si="1"/>
        <v>15006</v>
      </c>
    </row>
    <row r="37" spans="1:14" x14ac:dyDescent="0.2">
      <c r="A37" s="24">
        <v>36</v>
      </c>
      <c r="B37" s="23" t="s">
        <v>75</v>
      </c>
      <c r="C37" s="23" t="s">
        <v>618</v>
      </c>
      <c r="D37" s="23">
        <f>INDEX($P$10:$Q$14, MATCH(VAV_Schedule_5_21[[#This Row],[MARK]], $P$10:$P$14, 0), 2)</f>
        <v>10</v>
      </c>
      <c r="E37" s="24">
        <v>950</v>
      </c>
      <c r="F37" s="24">
        <v>190</v>
      </c>
      <c r="G37" s="28" t="s">
        <v>623</v>
      </c>
      <c r="H37" s="23" t="s">
        <v>624</v>
      </c>
      <c r="I37" s="23">
        <v>3</v>
      </c>
      <c r="J37" s="25"/>
      <c r="K37" t="str">
        <f t="shared" si="0"/>
        <v>Cooling</v>
      </c>
      <c r="L37" t="str">
        <f>IF(IFERROR(FIND("1", VAV_Schedule_5_21[[#This Row],[NOTES]]), FALSE), "P70", "P30")</f>
        <v>P30</v>
      </c>
      <c r="M37" t="s">
        <v>596</v>
      </c>
      <c r="N37">
        <f t="shared" si="1"/>
        <v>15006</v>
      </c>
    </row>
    <row r="38" spans="1:14" x14ac:dyDescent="0.2">
      <c r="A38" s="24">
        <v>37</v>
      </c>
      <c r="B38" s="23" t="s">
        <v>76</v>
      </c>
      <c r="C38" s="23" t="s">
        <v>618</v>
      </c>
      <c r="D38" s="23">
        <f>INDEX($P$10:$Q$14, MATCH(VAV_Schedule_5_21[[#This Row],[MARK]], $P$10:$P$14, 0), 2)</f>
        <v>10</v>
      </c>
      <c r="E38" s="24">
        <v>1090</v>
      </c>
      <c r="F38" s="24">
        <v>220</v>
      </c>
      <c r="G38" s="28" t="s">
        <v>623</v>
      </c>
      <c r="H38" s="23" t="s">
        <v>624</v>
      </c>
      <c r="I38" s="23">
        <v>3</v>
      </c>
      <c r="J38" s="25"/>
      <c r="K38" t="str">
        <f t="shared" si="0"/>
        <v>Cooling</v>
      </c>
      <c r="L38" t="str">
        <f>IF(IFERROR(FIND("1", VAV_Schedule_5_21[[#This Row],[NOTES]]), FALSE), "P70", "P30")</f>
        <v>P30</v>
      </c>
      <c r="M38" t="s">
        <v>596</v>
      </c>
      <c r="N38">
        <f t="shared" si="1"/>
        <v>15006</v>
      </c>
    </row>
    <row r="39" spans="1:14" x14ac:dyDescent="0.2">
      <c r="A39" s="24">
        <v>38</v>
      </c>
      <c r="B39" s="26" t="s">
        <v>635</v>
      </c>
      <c r="C39" s="23" t="s">
        <v>625</v>
      </c>
      <c r="D39" s="23">
        <f>INDEX($P$10:$Q$14, MATCH(VAV_Schedule_5_21[[#This Row],[MARK]], $P$10:$P$14, 0), 2)</f>
        <v>8</v>
      </c>
      <c r="E39" s="24">
        <v>550</v>
      </c>
      <c r="F39" s="24">
        <v>110</v>
      </c>
      <c r="G39" s="28" t="s">
        <v>623</v>
      </c>
      <c r="H39" s="23" t="s">
        <v>624</v>
      </c>
      <c r="I39" s="23">
        <v>3</v>
      </c>
      <c r="J39" s="25"/>
      <c r="K39" t="str">
        <f t="shared" si="0"/>
        <v>Cooling</v>
      </c>
      <c r="L39" t="str">
        <f>IF(IFERROR(FIND("1", VAV_Schedule_5_21[[#This Row],[NOTES]]), FALSE), "P70", "P30")</f>
        <v>P30</v>
      </c>
      <c r="M39" t="s">
        <v>596</v>
      </c>
      <c r="N39">
        <f t="shared" si="1"/>
        <v>15006</v>
      </c>
    </row>
    <row r="40" spans="1:14" x14ac:dyDescent="0.2">
      <c r="A40" s="24">
        <v>39</v>
      </c>
      <c r="B40" s="23" t="s">
        <v>77</v>
      </c>
      <c r="C40" s="23" t="s">
        <v>618</v>
      </c>
      <c r="D40" s="23">
        <f>INDEX($P$10:$Q$14, MATCH(VAV_Schedule_5_21[[#This Row],[MARK]], $P$10:$P$14, 0), 2)</f>
        <v>10</v>
      </c>
      <c r="E40" s="24">
        <v>1060</v>
      </c>
      <c r="F40" s="24">
        <v>0</v>
      </c>
      <c r="G40" s="28" t="s">
        <v>623</v>
      </c>
      <c r="H40" s="23" t="s">
        <v>624</v>
      </c>
      <c r="I40" s="23">
        <v>3</v>
      </c>
      <c r="J40" s="25" t="s">
        <v>636</v>
      </c>
      <c r="K40" t="str">
        <f t="shared" si="0"/>
        <v>Cooling</v>
      </c>
      <c r="L40" t="str">
        <f>IF(IFERROR(FIND("1", VAV_Schedule_5_21[[#This Row],[NOTES]]), FALSE), "P70", "P30")</f>
        <v>P70</v>
      </c>
      <c r="M40" t="s">
        <v>596</v>
      </c>
      <c r="N40">
        <f t="shared" si="1"/>
        <v>15008</v>
      </c>
    </row>
    <row r="41" spans="1:14" x14ac:dyDescent="0.2">
      <c r="A41" s="24">
        <v>40</v>
      </c>
      <c r="B41" s="23" t="s">
        <v>78</v>
      </c>
      <c r="C41" s="23" t="s">
        <v>625</v>
      </c>
      <c r="D41" s="23">
        <f>INDEX($P$10:$Q$14, MATCH(VAV_Schedule_5_21[[#This Row],[MARK]], $P$10:$P$14, 0), 2)</f>
        <v>8</v>
      </c>
      <c r="E41" s="24">
        <v>600</v>
      </c>
      <c r="F41" s="24">
        <v>120</v>
      </c>
      <c r="G41" s="28" t="s">
        <v>623</v>
      </c>
      <c r="H41" s="23" t="s">
        <v>624</v>
      </c>
      <c r="I41" s="23">
        <v>3</v>
      </c>
      <c r="J41" s="25"/>
      <c r="K41" t="str">
        <f t="shared" si="0"/>
        <v>Cooling</v>
      </c>
      <c r="L41" t="str">
        <f>IF(IFERROR(FIND("1", VAV_Schedule_5_21[[#This Row],[NOTES]]), FALSE), "P70", "P30")</f>
        <v>P30</v>
      </c>
      <c r="M41" t="s">
        <v>596</v>
      </c>
      <c r="N41">
        <f t="shared" si="1"/>
        <v>15006</v>
      </c>
    </row>
    <row r="42" spans="1:14" x14ac:dyDescent="0.2">
      <c r="A42" s="24">
        <v>41</v>
      </c>
      <c r="B42" s="23" t="s">
        <v>79</v>
      </c>
      <c r="C42" s="23" t="s">
        <v>618</v>
      </c>
      <c r="D42" s="23">
        <f>INDEX($P$10:$Q$14, MATCH(VAV_Schedule_5_21[[#This Row],[MARK]], $P$10:$P$14, 0), 2)</f>
        <v>10</v>
      </c>
      <c r="E42" s="24">
        <v>1100</v>
      </c>
      <c r="F42" s="24">
        <v>220</v>
      </c>
      <c r="G42" s="28" t="s">
        <v>623</v>
      </c>
      <c r="H42" s="23" t="s">
        <v>624</v>
      </c>
      <c r="I42" s="23">
        <v>3</v>
      </c>
      <c r="J42" s="25"/>
      <c r="K42" t="str">
        <f t="shared" si="0"/>
        <v>Cooling</v>
      </c>
      <c r="L42" t="str">
        <f>IF(IFERROR(FIND("1", VAV_Schedule_5_21[[#This Row],[NOTES]]), FALSE), "P70", "P30")</f>
        <v>P30</v>
      </c>
      <c r="M42" t="s">
        <v>596</v>
      </c>
      <c r="N42">
        <f t="shared" si="1"/>
        <v>15006</v>
      </c>
    </row>
    <row r="43" spans="1:14" x14ac:dyDescent="0.2">
      <c r="A43" s="24">
        <v>42</v>
      </c>
      <c r="B43" s="23" t="s">
        <v>80</v>
      </c>
      <c r="C43" s="23" t="s">
        <v>618</v>
      </c>
      <c r="D43" s="23">
        <f>INDEX($P$10:$Q$14, MATCH(VAV_Schedule_5_21[[#This Row],[MARK]], $P$10:$P$14, 0), 2)</f>
        <v>10</v>
      </c>
      <c r="E43" s="24">
        <v>970</v>
      </c>
      <c r="F43" s="24">
        <v>195</v>
      </c>
      <c r="G43" s="28" t="s">
        <v>623</v>
      </c>
      <c r="H43" s="23" t="s">
        <v>624</v>
      </c>
      <c r="I43" s="23">
        <v>3</v>
      </c>
      <c r="J43" s="25"/>
      <c r="K43" t="str">
        <f t="shared" si="0"/>
        <v>Cooling</v>
      </c>
      <c r="L43" t="str">
        <f>IF(IFERROR(FIND("1", VAV_Schedule_5_21[[#This Row],[NOTES]]), FALSE), "P70", "P30")</f>
        <v>P30</v>
      </c>
      <c r="M43" t="s">
        <v>596</v>
      </c>
      <c r="N43">
        <f t="shared" si="1"/>
        <v>15006</v>
      </c>
    </row>
    <row r="44" spans="1:14" x14ac:dyDescent="0.2">
      <c r="A44" s="24">
        <v>43</v>
      </c>
      <c r="B44" s="23" t="s">
        <v>81</v>
      </c>
      <c r="C44" s="23" t="s">
        <v>628</v>
      </c>
      <c r="D44" s="23">
        <f>INDEX($P$10:$Q$14, MATCH(VAV_Schedule_5_21[[#This Row],[MARK]], $P$10:$P$14, 0), 2)</f>
        <v>12</v>
      </c>
      <c r="E44" s="24">
        <v>1200</v>
      </c>
      <c r="F44" s="24">
        <v>240</v>
      </c>
      <c r="G44" s="28" t="s">
        <v>634</v>
      </c>
      <c r="H44" s="23" t="s">
        <v>622</v>
      </c>
      <c r="I44" s="23">
        <v>3</v>
      </c>
      <c r="J44" s="25"/>
      <c r="K44" t="str">
        <f t="shared" si="0"/>
        <v>Heating</v>
      </c>
      <c r="L44" t="str">
        <f>IF(IFERROR(FIND("1", VAV_Schedule_5_21[[#This Row],[NOTES]]), FALSE), "P70", "P30")</f>
        <v>P30</v>
      </c>
      <c r="M44" t="s">
        <v>596</v>
      </c>
      <c r="N44">
        <f t="shared" si="1"/>
        <v>15007</v>
      </c>
    </row>
    <row r="45" spans="1:14" x14ac:dyDescent="0.2">
      <c r="A45" s="24">
        <v>44</v>
      </c>
      <c r="B45" s="23" t="s">
        <v>82</v>
      </c>
      <c r="C45" s="23" t="s">
        <v>625</v>
      </c>
      <c r="D45" s="23">
        <f>INDEX($P$10:$Q$14, MATCH(VAV_Schedule_5_21[[#This Row],[MARK]], $P$10:$P$14, 0), 2)</f>
        <v>8</v>
      </c>
      <c r="E45" s="24">
        <v>570</v>
      </c>
      <c r="F45" s="24">
        <v>115</v>
      </c>
      <c r="G45" s="28" t="s">
        <v>633</v>
      </c>
      <c r="H45" s="23" t="s">
        <v>620</v>
      </c>
      <c r="I45" s="23">
        <v>3</v>
      </c>
      <c r="J45" s="25" t="s">
        <v>630</v>
      </c>
      <c r="K45" t="str">
        <f t="shared" si="0"/>
        <v>Heating</v>
      </c>
      <c r="L45" t="str">
        <f>IF(IFERROR(FIND("1", VAV_Schedule_5_21[[#This Row],[NOTES]]), FALSE), "P70", "P30")</f>
        <v>P30</v>
      </c>
      <c r="M45" t="s">
        <v>596</v>
      </c>
      <c r="N45">
        <f t="shared" si="1"/>
        <v>15007</v>
      </c>
    </row>
    <row r="46" spans="1:14" x14ac:dyDescent="0.2">
      <c r="A46" s="24">
        <v>45</v>
      </c>
      <c r="B46" s="23" t="s">
        <v>83</v>
      </c>
      <c r="C46" s="23" t="s">
        <v>625</v>
      </c>
      <c r="D46" s="23">
        <f>INDEX($P$10:$Q$14, MATCH(VAV_Schedule_5_21[[#This Row],[MARK]], $P$10:$P$14, 0), 2)</f>
        <v>8</v>
      </c>
      <c r="E46" s="24">
        <v>540</v>
      </c>
      <c r="F46" s="24">
        <v>110</v>
      </c>
      <c r="G46" s="28" t="s">
        <v>633</v>
      </c>
      <c r="H46" s="23" t="s">
        <v>620</v>
      </c>
      <c r="I46" s="23">
        <v>3</v>
      </c>
      <c r="J46" s="25" t="s">
        <v>630</v>
      </c>
      <c r="K46" t="str">
        <f t="shared" si="0"/>
        <v>Heating</v>
      </c>
      <c r="L46" t="str">
        <f>IF(IFERROR(FIND("1", VAV_Schedule_5_21[[#This Row],[NOTES]]), FALSE), "P70", "P30")</f>
        <v>P30</v>
      </c>
      <c r="M46" t="s">
        <v>596</v>
      </c>
      <c r="N46">
        <f t="shared" si="1"/>
        <v>15007</v>
      </c>
    </row>
    <row r="47" spans="1:14" x14ac:dyDescent="0.2">
      <c r="A47" s="24">
        <v>46</v>
      </c>
      <c r="B47" s="23" t="s">
        <v>84</v>
      </c>
      <c r="C47" s="23" t="s">
        <v>625</v>
      </c>
      <c r="D47" s="23">
        <f>INDEX($P$10:$Q$14, MATCH(VAV_Schedule_5_21[[#This Row],[MARK]], $P$10:$P$14, 0), 2)</f>
        <v>8</v>
      </c>
      <c r="E47" s="24">
        <v>500</v>
      </c>
      <c r="F47" s="24">
        <v>100</v>
      </c>
      <c r="G47" s="28" t="s">
        <v>633</v>
      </c>
      <c r="H47" s="23" t="s">
        <v>620</v>
      </c>
      <c r="I47" s="23">
        <v>3</v>
      </c>
      <c r="J47" s="25"/>
      <c r="K47" t="str">
        <f t="shared" si="0"/>
        <v>Heating</v>
      </c>
      <c r="L47" t="str">
        <f>IF(IFERROR(FIND("1", VAV_Schedule_5_21[[#This Row],[NOTES]]), FALSE), "P70", "P30")</f>
        <v>P30</v>
      </c>
      <c r="M47" t="s">
        <v>596</v>
      </c>
      <c r="N47">
        <f t="shared" si="1"/>
        <v>15007</v>
      </c>
    </row>
    <row r="48" spans="1:14" x14ac:dyDescent="0.2">
      <c r="A48" s="24">
        <v>47</v>
      </c>
      <c r="B48" s="23" t="s">
        <v>85</v>
      </c>
      <c r="C48" s="23" t="s">
        <v>618</v>
      </c>
      <c r="D48" s="23">
        <f>INDEX($P$10:$Q$14, MATCH(VAV_Schedule_5_21[[#This Row],[MARK]], $P$10:$P$14, 0), 2)</f>
        <v>10</v>
      </c>
      <c r="E48" s="24">
        <v>1050</v>
      </c>
      <c r="F48" s="24">
        <v>210</v>
      </c>
      <c r="G48" s="28" t="s">
        <v>631</v>
      </c>
      <c r="H48" s="23" t="s">
        <v>622</v>
      </c>
      <c r="I48" s="23">
        <v>3</v>
      </c>
      <c r="J48" s="25" t="s">
        <v>630</v>
      </c>
      <c r="K48" t="str">
        <f t="shared" si="0"/>
        <v>Heating</v>
      </c>
      <c r="L48" t="str">
        <f>IF(IFERROR(FIND("1", VAV_Schedule_5_21[[#This Row],[NOTES]]), FALSE), "P70", "P30")</f>
        <v>P30</v>
      </c>
      <c r="M48" t="s">
        <v>596</v>
      </c>
      <c r="N48">
        <f t="shared" si="1"/>
        <v>15007</v>
      </c>
    </row>
    <row r="49" spans="1:14" x14ac:dyDescent="0.2">
      <c r="A49" s="24">
        <v>48</v>
      </c>
      <c r="B49" s="23" t="s">
        <v>86</v>
      </c>
      <c r="C49" s="23" t="s">
        <v>632</v>
      </c>
      <c r="D49" s="23">
        <f>INDEX($P$10:$Q$14, MATCH(VAV_Schedule_5_21[[#This Row],[MARK]], $P$10:$P$14, 0), 2)</f>
        <v>6</v>
      </c>
      <c r="E49" s="24">
        <v>400</v>
      </c>
      <c r="F49" s="24">
        <v>80</v>
      </c>
      <c r="G49" s="28" t="s">
        <v>623</v>
      </c>
      <c r="H49" s="23" t="s">
        <v>624</v>
      </c>
      <c r="I49" s="23">
        <v>3</v>
      </c>
      <c r="J49" s="25"/>
      <c r="K49" t="str">
        <f t="shared" si="0"/>
        <v>Cooling</v>
      </c>
      <c r="L49" t="str">
        <f>IF(IFERROR(FIND("1", VAV_Schedule_5_21[[#This Row],[NOTES]]), FALSE), "P70", "P30")</f>
        <v>P30</v>
      </c>
      <c r="M49" t="s">
        <v>596</v>
      </c>
      <c r="N49">
        <f t="shared" si="1"/>
        <v>15006</v>
      </c>
    </row>
    <row r="50" spans="1:14" x14ac:dyDescent="0.2">
      <c r="A50" s="24">
        <v>49</v>
      </c>
      <c r="B50" s="23" t="s">
        <v>87</v>
      </c>
      <c r="C50" s="23" t="s">
        <v>618</v>
      </c>
      <c r="D50" s="23">
        <f>INDEX($P$10:$Q$14, MATCH(VAV_Schedule_5_21[[#This Row],[MARK]], $P$10:$P$14, 0), 2)</f>
        <v>10</v>
      </c>
      <c r="E50" s="24">
        <v>840</v>
      </c>
      <c r="F50" s="24">
        <v>170</v>
      </c>
      <c r="G50" s="28" t="s">
        <v>619</v>
      </c>
      <c r="H50" s="23" t="s">
        <v>620</v>
      </c>
      <c r="I50" s="23">
        <v>3</v>
      </c>
      <c r="J50" s="25"/>
      <c r="K50" t="str">
        <f t="shared" si="0"/>
        <v>Heating</v>
      </c>
      <c r="L50" t="str">
        <f>IF(IFERROR(FIND("1", VAV_Schedule_5_21[[#This Row],[NOTES]]), FALSE), "P70", "P30")</f>
        <v>P30</v>
      </c>
      <c r="M50" t="s">
        <v>596</v>
      </c>
      <c r="N50">
        <f t="shared" si="1"/>
        <v>15007</v>
      </c>
    </row>
    <row r="51" spans="1:14" x14ac:dyDescent="0.2">
      <c r="A51" s="24">
        <v>50</v>
      </c>
      <c r="B51" s="23" t="s">
        <v>88</v>
      </c>
      <c r="C51" s="23" t="s">
        <v>618</v>
      </c>
      <c r="D51" s="23">
        <f>INDEX($P$10:$Q$14, MATCH(VAV_Schedule_5_21[[#This Row],[MARK]], $P$10:$P$14, 0), 2)</f>
        <v>10</v>
      </c>
      <c r="E51" s="24">
        <v>1050</v>
      </c>
      <c r="F51" s="24">
        <v>210</v>
      </c>
      <c r="G51" s="28" t="s">
        <v>631</v>
      </c>
      <c r="H51" s="23" t="s">
        <v>622</v>
      </c>
      <c r="I51" s="23">
        <v>3</v>
      </c>
      <c r="J51" s="25"/>
      <c r="K51" t="str">
        <f t="shared" si="0"/>
        <v>Heating</v>
      </c>
      <c r="L51" t="str">
        <f>IF(IFERROR(FIND("1", VAV_Schedule_5_21[[#This Row],[NOTES]]), FALSE), "P70", "P30")</f>
        <v>P30</v>
      </c>
      <c r="M51" t="s">
        <v>596</v>
      </c>
      <c r="N51">
        <f t="shared" si="1"/>
        <v>15007</v>
      </c>
    </row>
    <row r="52" spans="1:14" x14ac:dyDescent="0.2">
      <c r="A52" s="24">
        <v>51</v>
      </c>
      <c r="B52" s="23" t="s">
        <v>89</v>
      </c>
      <c r="C52" s="23" t="s">
        <v>625</v>
      </c>
      <c r="D52" s="23">
        <f>INDEX($P$10:$Q$14, MATCH(VAV_Schedule_5_21[[#This Row],[MARK]], $P$10:$P$14, 0), 2)</f>
        <v>8</v>
      </c>
      <c r="E52" s="24">
        <v>640</v>
      </c>
      <c r="F52" s="24">
        <v>130</v>
      </c>
      <c r="G52" s="28" t="s">
        <v>619</v>
      </c>
      <c r="H52" s="23" t="s">
        <v>620</v>
      </c>
      <c r="I52" s="23">
        <v>3</v>
      </c>
      <c r="J52" s="25" t="s">
        <v>630</v>
      </c>
      <c r="K52" t="str">
        <f t="shared" si="0"/>
        <v>Heating</v>
      </c>
      <c r="L52" t="str">
        <f>IF(IFERROR(FIND("1", VAV_Schedule_5_21[[#This Row],[NOTES]]), FALSE), "P70", "P30")</f>
        <v>P30</v>
      </c>
      <c r="M52" t="s">
        <v>596</v>
      </c>
      <c r="N52">
        <f t="shared" si="1"/>
        <v>15007</v>
      </c>
    </row>
    <row r="53" spans="1:14" x14ac:dyDescent="0.2">
      <c r="A53" s="24">
        <v>52</v>
      </c>
      <c r="B53" s="23" t="s">
        <v>90</v>
      </c>
      <c r="C53" s="23" t="s">
        <v>618</v>
      </c>
      <c r="D53" s="23">
        <f>INDEX($P$10:$Q$14, MATCH(VAV_Schedule_5_21[[#This Row],[MARK]], $P$10:$P$14, 0), 2)</f>
        <v>10</v>
      </c>
      <c r="E53" s="24">
        <v>860</v>
      </c>
      <c r="F53" s="24">
        <v>175</v>
      </c>
      <c r="G53" s="28" t="s">
        <v>619</v>
      </c>
      <c r="H53" s="23" t="s">
        <v>620</v>
      </c>
      <c r="I53" s="23">
        <v>3</v>
      </c>
      <c r="J53" s="25"/>
      <c r="K53" t="str">
        <f t="shared" si="0"/>
        <v>Heating</v>
      </c>
      <c r="L53" t="str">
        <f>IF(IFERROR(FIND("1", VAV_Schedule_5_21[[#This Row],[NOTES]]), FALSE), "P70", "P30")</f>
        <v>P30</v>
      </c>
      <c r="M53" t="s">
        <v>596</v>
      </c>
      <c r="N53">
        <f t="shared" si="1"/>
        <v>15007</v>
      </c>
    </row>
    <row r="54" spans="1:14" x14ac:dyDescent="0.2">
      <c r="A54" s="24">
        <v>53</v>
      </c>
      <c r="B54" s="23" t="s">
        <v>91</v>
      </c>
      <c r="C54" s="23" t="s">
        <v>625</v>
      </c>
      <c r="D54" s="23">
        <f>INDEX($P$10:$Q$14, MATCH(VAV_Schedule_5_21[[#This Row],[MARK]], $P$10:$P$14, 0), 2)</f>
        <v>8</v>
      </c>
      <c r="E54" s="24">
        <v>700</v>
      </c>
      <c r="F54" s="24">
        <v>140</v>
      </c>
      <c r="G54" s="28" t="s">
        <v>619</v>
      </c>
      <c r="H54" s="23" t="s">
        <v>620</v>
      </c>
      <c r="I54" s="23">
        <v>3</v>
      </c>
      <c r="J54" s="25"/>
      <c r="K54" t="str">
        <f t="shared" si="0"/>
        <v>Heating</v>
      </c>
      <c r="L54" t="str">
        <f>IF(IFERROR(FIND("1", VAV_Schedule_5_21[[#This Row],[NOTES]]), FALSE), "P70", "P30")</f>
        <v>P30</v>
      </c>
      <c r="M54" t="s">
        <v>596</v>
      </c>
      <c r="N54">
        <f t="shared" si="1"/>
        <v>15007</v>
      </c>
    </row>
    <row r="55" spans="1:14" x14ac:dyDescent="0.2">
      <c r="A55" s="24">
        <v>54</v>
      </c>
      <c r="B55" s="23" t="s">
        <v>92</v>
      </c>
      <c r="C55" s="23" t="s">
        <v>628</v>
      </c>
      <c r="D55" s="23">
        <f>INDEX($P$10:$Q$14, MATCH(VAV_Schedule_5_21[[#This Row],[MARK]], $P$10:$P$14, 0), 2)</f>
        <v>12</v>
      </c>
      <c r="E55" s="24">
        <v>1280</v>
      </c>
      <c r="F55" s="24">
        <v>260</v>
      </c>
      <c r="G55" s="28" t="s">
        <v>623</v>
      </c>
      <c r="H55" s="23" t="s">
        <v>624</v>
      </c>
      <c r="I55" s="23">
        <v>3</v>
      </c>
      <c r="J55" s="25"/>
      <c r="K55" t="str">
        <f t="shared" si="0"/>
        <v>Cooling</v>
      </c>
      <c r="L55" t="str">
        <f>IF(IFERROR(FIND("1", VAV_Schedule_5_21[[#This Row],[NOTES]]), FALSE), "P70", "P30")</f>
        <v>P30</v>
      </c>
      <c r="M55" t="s">
        <v>596</v>
      </c>
      <c r="N55">
        <f t="shared" si="1"/>
        <v>15006</v>
      </c>
    </row>
    <row r="56" spans="1:14" x14ac:dyDescent="0.2">
      <c r="A56" s="24">
        <v>55</v>
      </c>
      <c r="B56" s="23" t="s">
        <v>93</v>
      </c>
      <c r="C56" s="23" t="s">
        <v>625</v>
      </c>
      <c r="D56" s="23">
        <f>INDEX($P$10:$Q$14, MATCH(VAV_Schedule_5_21[[#This Row],[MARK]], $P$10:$P$14, 0), 2)</f>
        <v>8</v>
      </c>
      <c r="E56" s="24">
        <v>600</v>
      </c>
      <c r="F56" s="24">
        <v>120</v>
      </c>
      <c r="G56" s="28" t="s">
        <v>623</v>
      </c>
      <c r="H56" s="23" t="s">
        <v>624</v>
      </c>
      <c r="I56" s="23">
        <v>3</v>
      </c>
      <c r="J56" s="25"/>
      <c r="K56" t="str">
        <f t="shared" si="0"/>
        <v>Cooling</v>
      </c>
      <c r="L56" t="str">
        <f>IF(IFERROR(FIND("1", VAV_Schedule_5_21[[#This Row],[NOTES]]), FALSE), "P70", "P30")</f>
        <v>P30</v>
      </c>
      <c r="M56" t="s">
        <v>596</v>
      </c>
      <c r="N56">
        <f t="shared" si="1"/>
        <v>15006</v>
      </c>
    </row>
    <row r="57" spans="1:14" x14ac:dyDescent="0.2">
      <c r="A57" s="24">
        <v>56</v>
      </c>
      <c r="B57" s="23" t="s">
        <v>94</v>
      </c>
      <c r="C57" s="23" t="s">
        <v>628</v>
      </c>
      <c r="D57" s="23">
        <f>INDEX($P$10:$Q$14, MATCH(VAV_Schedule_5_21[[#This Row],[MARK]], $P$10:$P$14, 0), 2)</f>
        <v>12</v>
      </c>
      <c r="E57" s="24">
        <v>1300</v>
      </c>
      <c r="F57" s="24">
        <v>260</v>
      </c>
      <c r="G57" s="28" t="s">
        <v>623</v>
      </c>
      <c r="H57" s="23" t="s">
        <v>624</v>
      </c>
      <c r="I57" s="23">
        <v>3</v>
      </c>
      <c r="J57" s="25"/>
      <c r="K57" t="str">
        <f t="shared" si="0"/>
        <v>Cooling</v>
      </c>
      <c r="L57" t="str">
        <f>IF(IFERROR(FIND("1", VAV_Schedule_5_21[[#This Row],[NOTES]]), FALSE), "P70", "P30")</f>
        <v>P30</v>
      </c>
      <c r="M57" t="s">
        <v>596</v>
      </c>
      <c r="N57">
        <f t="shared" si="1"/>
        <v>15006</v>
      </c>
    </row>
    <row r="58" spans="1:14" x14ac:dyDescent="0.2">
      <c r="A58" s="24">
        <v>57</v>
      </c>
      <c r="B58" s="23" t="s">
        <v>95</v>
      </c>
      <c r="C58" s="23" t="s">
        <v>625</v>
      </c>
      <c r="D58" s="23">
        <f>INDEX($P$10:$Q$14, MATCH(VAV_Schedule_5_21[[#This Row],[MARK]], $P$10:$P$14, 0), 2)</f>
        <v>8</v>
      </c>
      <c r="E58" s="24">
        <v>450</v>
      </c>
      <c r="F58" s="24">
        <v>90</v>
      </c>
      <c r="G58" s="28" t="s">
        <v>623</v>
      </c>
      <c r="H58" s="23" t="s">
        <v>624</v>
      </c>
      <c r="I58" s="23">
        <v>3</v>
      </c>
      <c r="J58" s="25"/>
      <c r="K58" t="str">
        <f t="shared" si="0"/>
        <v>Cooling</v>
      </c>
      <c r="L58" t="str">
        <f>IF(IFERROR(FIND("1", VAV_Schedule_5_21[[#This Row],[NOTES]]), FALSE), "P70", "P30")</f>
        <v>P30</v>
      </c>
      <c r="M58" t="s">
        <v>596</v>
      </c>
      <c r="N58">
        <f t="shared" si="1"/>
        <v>15006</v>
      </c>
    </row>
    <row r="59" spans="1:14" x14ac:dyDescent="0.2">
      <c r="A59" s="24">
        <v>58</v>
      </c>
      <c r="B59" s="23" t="s">
        <v>96</v>
      </c>
      <c r="C59" s="23" t="s">
        <v>618</v>
      </c>
      <c r="D59" s="23">
        <f>INDEX($P$10:$Q$14, MATCH(VAV_Schedule_5_21[[#This Row],[MARK]], $P$10:$P$14, 0), 2)</f>
        <v>10</v>
      </c>
      <c r="E59" s="24">
        <v>925</v>
      </c>
      <c r="F59" s="24">
        <v>0</v>
      </c>
      <c r="G59" s="28" t="s">
        <v>623</v>
      </c>
      <c r="H59" s="23" t="s">
        <v>624</v>
      </c>
      <c r="I59" s="23">
        <v>3</v>
      </c>
      <c r="J59" s="25"/>
      <c r="K59" t="str">
        <f t="shared" si="0"/>
        <v>Cooling</v>
      </c>
      <c r="L59" t="str">
        <f>IF(IFERROR(FIND("1", VAV_Schedule_5_21[[#This Row],[NOTES]]), FALSE), "P70", "P30")</f>
        <v>P30</v>
      </c>
      <c r="M59" t="s">
        <v>596</v>
      </c>
      <c r="N59">
        <f t="shared" si="1"/>
        <v>15006</v>
      </c>
    </row>
    <row r="60" spans="1:14" x14ac:dyDescent="0.2">
      <c r="A60" s="24">
        <v>59</v>
      </c>
      <c r="B60" s="23" t="s">
        <v>97</v>
      </c>
      <c r="C60" s="23" t="s">
        <v>625</v>
      </c>
      <c r="D60" s="23">
        <f>INDEX($P$10:$Q$14, MATCH(VAV_Schedule_5_21[[#This Row],[MARK]], $P$10:$P$14, 0), 2)</f>
        <v>8</v>
      </c>
      <c r="E60" s="24">
        <v>560</v>
      </c>
      <c r="F60" s="24">
        <v>115</v>
      </c>
      <c r="G60" s="28" t="s">
        <v>623</v>
      </c>
      <c r="H60" s="23" t="s">
        <v>624</v>
      </c>
      <c r="I60" s="23">
        <v>3</v>
      </c>
      <c r="J60" s="25"/>
      <c r="K60" t="str">
        <f t="shared" si="0"/>
        <v>Cooling</v>
      </c>
      <c r="L60" t="str">
        <f>IF(IFERROR(FIND("1", VAV_Schedule_5_21[[#This Row],[NOTES]]), FALSE), "P70", "P30")</f>
        <v>P30</v>
      </c>
      <c r="M60" t="s">
        <v>596</v>
      </c>
      <c r="N60">
        <f t="shared" si="1"/>
        <v>15006</v>
      </c>
    </row>
    <row r="61" spans="1:14" x14ac:dyDescent="0.2">
      <c r="A61" s="24">
        <v>60</v>
      </c>
      <c r="B61" s="23" t="s">
        <v>98</v>
      </c>
      <c r="C61" s="23" t="s">
        <v>628</v>
      </c>
      <c r="D61" s="23">
        <f>INDEX($P$10:$Q$14, MATCH(VAV_Schedule_5_21[[#This Row],[MARK]], $P$10:$P$14, 0), 2)</f>
        <v>12</v>
      </c>
      <c r="E61" s="24">
        <v>1180</v>
      </c>
      <c r="F61" s="24">
        <v>240</v>
      </c>
      <c r="G61" s="28" t="s">
        <v>623</v>
      </c>
      <c r="H61" s="23" t="s">
        <v>624</v>
      </c>
      <c r="I61" s="23">
        <v>3</v>
      </c>
      <c r="J61" s="25"/>
      <c r="K61" t="str">
        <f t="shared" si="0"/>
        <v>Cooling</v>
      </c>
      <c r="L61" t="str">
        <f>IF(IFERROR(FIND("1", VAV_Schedule_5_21[[#This Row],[NOTES]]), FALSE), "P70", "P30")</f>
        <v>P30</v>
      </c>
      <c r="M61" t="s">
        <v>596</v>
      </c>
      <c r="N61">
        <f t="shared" si="1"/>
        <v>15006</v>
      </c>
    </row>
    <row r="62" spans="1:14" x14ac:dyDescent="0.2">
      <c r="A62" s="24">
        <v>61</v>
      </c>
      <c r="B62" s="23" t="s">
        <v>99</v>
      </c>
      <c r="C62" s="23" t="s">
        <v>625</v>
      </c>
      <c r="D62" s="23">
        <f>INDEX($P$10:$Q$14, MATCH(VAV_Schedule_5_21[[#This Row],[MARK]], $P$10:$P$14, 0), 2)</f>
        <v>8</v>
      </c>
      <c r="E62" s="24">
        <v>640</v>
      </c>
      <c r="F62" s="24">
        <v>130</v>
      </c>
      <c r="G62" s="28" t="s">
        <v>619</v>
      </c>
      <c r="H62" s="23" t="s">
        <v>620</v>
      </c>
      <c r="I62" s="23">
        <v>3</v>
      </c>
      <c r="J62" s="25"/>
      <c r="K62" t="str">
        <f t="shared" si="0"/>
        <v>Heating</v>
      </c>
      <c r="L62" t="str">
        <f>IF(IFERROR(FIND("1", VAV_Schedule_5_21[[#This Row],[NOTES]]), FALSE), "P70", "P30")</f>
        <v>P30</v>
      </c>
      <c r="M62" t="s">
        <v>596</v>
      </c>
      <c r="N62">
        <f t="shared" si="1"/>
        <v>15007</v>
      </c>
    </row>
    <row r="63" spans="1:14" x14ac:dyDescent="0.2">
      <c r="A63" s="24">
        <v>62</v>
      </c>
      <c r="B63" s="23" t="s">
        <v>100</v>
      </c>
      <c r="C63" s="23" t="s">
        <v>618</v>
      </c>
      <c r="D63" s="23">
        <f>INDEX($P$10:$Q$14, MATCH(VAV_Schedule_5_21[[#This Row],[MARK]], $P$10:$P$14, 0), 2)</f>
        <v>10</v>
      </c>
      <c r="E63" s="24">
        <v>860</v>
      </c>
      <c r="F63" s="24">
        <v>175</v>
      </c>
      <c r="G63" s="28" t="s">
        <v>619</v>
      </c>
      <c r="H63" s="23" t="s">
        <v>620</v>
      </c>
      <c r="I63" s="23">
        <v>3</v>
      </c>
      <c r="J63" s="25"/>
      <c r="K63" t="str">
        <f t="shared" si="0"/>
        <v>Heating</v>
      </c>
      <c r="L63" t="str">
        <f>IF(IFERROR(FIND("1", VAV_Schedule_5_21[[#This Row],[NOTES]]), FALSE), "P70", "P30")</f>
        <v>P30</v>
      </c>
      <c r="M63" t="s">
        <v>596</v>
      </c>
      <c r="N63">
        <f t="shared" si="1"/>
        <v>15007</v>
      </c>
    </row>
    <row r="64" spans="1:14" x14ac:dyDescent="0.2">
      <c r="A64" s="24">
        <v>63</v>
      </c>
      <c r="B64" s="23" t="s">
        <v>101</v>
      </c>
      <c r="C64" s="23" t="s">
        <v>625</v>
      </c>
      <c r="D64" s="23">
        <f>INDEX($P$10:$Q$14, MATCH(VAV_Schedule_5_21[[#This Row],[MARK]], $P$10:$P$14, 0), 2)</f>
        <v>8</v>
      </c>
      <c r="E64" s="24">
        <v>700</v>
      </c>
      <c r="F64" s="24">
        <v>140</v>
      </c>
      <c r="G64" s="28" t="s">
        <v>619</v>
      </c>
      <c r="H64" s="23" t="s">
        <v>620</v>
      </c>
      <c r="I64" s="23">
        <v>3</v>
      </c>
      <c r="J64" s="25"/>
      <c r="K64" t="str">
        <f t="shared" si="0"/>
        <v>Heating</v>
      </c>
      <c r="L64" t="str">
        <f>IF(IFERROR(FIND("1", VAV_Schedule_5_21[[#This Row],[NOTES]]), FALSE), "P70", "P30")</f>
        <v>P30</v>
      </c>
      <c r="M64" t="s">
        <v>596</v>
      </c>
      <c r="N64">
        <f t="shared" si="1"/>
        <v>15007</v>
      </c>
    </row>
    <row r="65" spans="1:14" x14ac:dyDescent="0.2">
      <c r="A65" s="24">
        <v>64</v>
      </c>
      <c r="B65" s="23" t="s">
        <v>102</v>
      </c>
      <c r="C65" s="23" t="s">
        <v>628</v>
      </c>
      <c r="D65" s="23">
        <f>INDEX($P$10:$Q$14, MATCH(VAV_Schedule_5_21[[#This Row],[MARK]], $P$10:$P$14, 0), 2)</f>
        <v>12</v>
      </c>
      <c r="E65" s="24">
        <v>1260</v>
      </c>
      <c r="F65" s="24">
        <v>255</v>
      </c>
      <c r="G65" s="28" t="s">
        <v>623</v>
      </c>
      <c r="H65" s="23" t="s">
        <v>624</v>
      </c>
      <c r="I65" s="23">
        <v>3</v>
      </c>
      <c r="J65" s="25"/>
      <c r="K65" t="str">
        <f t="shared" si="0"/>
        <v>Cooling</v>
      </c>
      <c r="L65" t="str">
        <f>IF(IFERROR(FIND("1", VAV_Schedule_5_21[[#This Row],[NOTES]]), FALSE), "P70", "P30")</f>
        <v>P30</v>
      </c>
      <c r="M65" t="s">
        <v>596</v>
      </c>
      <c r="N65">
        <f t="shared" si="1"/>
        <v>15006</v>
      </c>
    </row>
    <row r="66" spans="1:14" x14ac:dyDescent="0.2">
      <c r="A66" s="24">
        <v>65</v>
      </c>
      <c r="B66" s="23" t="s">
        <v>103</v>
      </c>
      <c r="C66" s="23" t="s">
        <v>625</v>
      </c>
      <c r="D66" s="23">
        <f>INDEX($P$10:$Q$14, MATCH(VAV_Schedule_5_21[[#This Row],[MARK]], $P$10:$P$14, 0), 2)</f>
        <v>8</v>
      </c>
      <c r="E66" s="24">
        <v>600</v>
      </c>
      <c r="F66" s="24">
        <v>120</v>
      </c>
      <c r="G66" s="28" t="s">
        <v>623</v>
      </c>
      <c r="H66" s="23" t="s">
        <v>624</v>
      </c>
      <c r="I66" s="23">
        <v>3</v>
      </c>
      <c r="J66" s="25"/>
      <c r="K66" t="str">
        <f t="shared" si="0"/>
        <v>Cooling</v>
      </c>
      <c r="L66" t="str">
        <f>IF(IFERROR(FIND("1", VAV_Schedule_5_21[[#This Row],[NOTES]]), FALSE), "P70", "P30")</f>
        <v>P30</v>
      </c>
      <c r="M66" t="s">
        <v>596</v>
      </c>
      <c r="N66">
        <f t="shared" si="1"/>
        <v>15006</v>
      </c>
    </row>
    <row r="67" spans="1:14" x14ac:dyDescent="0.2">
      <c r="A67" s="24">
        <v>66</v>
      </c>
      <c r="B67" s="23" t="s">
        <v>104</v>
      </c>
      <c r="C67" s="23" t="s">
        <v>628</v>
      </c>
      <c r="D67" s="23">
        <f>INDEX($P$10:$Q$14, MATCH(VAV_Schedule_5_21[[#This Row],[MARK]], $P$10:$P$14, 0), 2)</f>
        <v>12</v>
      </c>
      <c r="E67" s="24">
        <v>1200</v>
      </c>
      <c r="F67" s="24">
        <v>240</v>
      </c>
      <c r="G67" s="28" t="s">
        <v>631</v>
      </c>
      <c r="H67" s="23" t="s">
        <v>622</v>
      </c>
      <c r="I67" s="23">
        <v>3</v>
      </c>
      <c r="J67" s="25"/>
      <c r="K67" t="str">
        <f t="shared" ref="K67:K130" si="2">IF(G67="-","Cooling","Heating")</f>
        <v>Heating</v>
      </c>
      <c r="L67" t="str">
        <f>IF(IFERROR(FIND("1", VAV_Schedule_5_21[[#This Row],[NOTES]]), FALSE), "P70", "P30")</f>
        <v>P30</v>
      </c>
      <c r="M67" t="s">
        <v>596</v>
      </c>
      <c r="N67">
        <f t="shared" ref="N67:N130" si="3">INDEX($P$2:$Q$9, MATCH(_xlfn.CONCAT($K67,$L67,M67), $P$2:$P$9, 0), 2)</f>
        <v>15007</v>
      </c>
    </row>
    <row r="68" spans="1:14" x14ac:dyDescent="0.2">
      <c r="A68" s="24">
        <v>67</v>
      </c>
      <c r="B68" s="23" t="s">
        <v>105</v>
      </c>
      <c r="C68" s="23" t="s">
        <v>618</v>
      </c>
      <c r="D68" s="23">
        <f>INDEX($P$10:$Q$14, MATCH(VAV_Schedule_5_21[[#This Row],[MARK]], $P$10:$P$14, 0), 2)</f>
        <v>10</v>
      </c>
      <c r="E68" s="24">
        <v>960</v>
      </c>
      <c r="F68" s="24">
        <v>195</v>
      </c>
      <c r="G68" s="28" t="s">
        <v>619</v>
      </c>
      <c r="H68" s="23" t="s">
        <v>620</v>
      </c>
      <c r="I68" s="23">
        <v>3</v>
      </c>
      <c r="J68" s="25"/>
      <c r="K68" t="str">
        <f t="shared" si="2"/>
        <v>Heating</v>
      </c>
      <c r="L68" t="str">
        <f>IF(IFERROR(FIND("1", VAV_Schedule_5_21[[#This Row],[NOTES]]), FALSE), "P70", "P30")</f>
        <v>P30</v>
      </c>
      <c r="M68" t="s">
        <v>596</v>
      </c>
      <c r="N68">
        <f t="shared" si="3"/>
        <v>15007</v>
      </c>
    </row>
    <row r="69" spans="1:14" x14ac:dyDescent="0.2">
      <c r="A69" s="24">
        <v>68</v>
      </c>
      <c r="B69" s="23" t="s">
        <v>106</v>
      </c>
      <c r="C69" s="23" t="s">
        <v>632</v>
      </c>
      <c r="D69" s="23">
        <f>INDEX($P$10:$Q$14, MATCH(VAV_Schedule_5_21[[#This Row],[MARK]], $P$10:$P$14, 0), 2)</f>
        <v>6</v>
      </c>
      <c r="E69" s="24">
        <v>400</v>
      </c>
      <c r="F69" s="24">
        <v>80</v>
      </c>
      <c r="G69" s="28" t="s">
        <v>623</v>
      </c>
      <c r="H69" s="23" t="s">
        <v>624</v>
      </c>
      <c r="I69" s="23">
        <v>3</v>
      </c>
      <c r="J69" s="25"/>
      <c r="K69" t="str">
        <f t="shared" si="2"/>
        <v>Cooling</v>
      </c>
      <c r="L69" t="str">
        <f>IF(IFERROR(FIND("1", VAV_Schedule_5_21[[#This Row],[NOTES]]), FALSE), "P70", "P30")</f>
        <v>P30</v>
      </c>
      <c r="M69" t="s">
        <v>596</v>
      </c>
      <c r="N69">
        <f t="shared" si="3"/>
        <v>15006</v>
      </c>
    </row>
    <row r="70" spans="1:14" x14ac:dyDescent="0.2">
      <c r="A70" s="24">
        <v>69</v>
      </c>
      <c r="B70" s="23" t="s">
        <v>107</v>
      </c>
      <c r="C70" s="23" t="s">
        <v>628</v>
      </c>
      <c r="D70" s="23">
        <f>INDEX($P$10:$Q$14, MATCH(VAV_Schedule_5_21[[#This Row],[MARK]], $P$10:$P$14, 0), 2)</f>
        <v>12</v>
      </c>
      <c r="E70" s="24">
        <v>1200</v>
      </c>
      <c r="F70" s="24">
        <v>240</v>
      </c>
      <c r="G70" s="28" t="s">
        <v>631</v>
      </c>
      <c r="H70" s="23" t="s">
        <v>622</v>
      </c>
      <c r="I70" s="23">
        <v>3</v>
      </c>
      <c r="J70" s="25"/>
      <c r="K70" t="str">
        <f t="shared" si="2"/>
        <v>Heating</v>
      </c>
      <c r="L70" t="str">
        <f>IF(IFERROR(FIND("1", VAV_Schedule_5_21[[#This Row],[NOTES]]), FALSE), "P70", "P30")</f>
        <v>P30</v>
      </c>
      <c r="M70" t="s">
        <v>596</v>
      </c>
      <c r="N70">
        <f t="shared" si="3"/>
        <v>15007</v>
      </c>
    </row>
    <row r="71" spans="1:14" x14ac:dyDescent="0.2">
      <c r="A71" s="24">
        <v>70</v>
      </c>
      <c r="B71" s="23" t="s">
        <v>108</v>
      </c>
      <c r="C71" s="23" t="s">
        <v>625</v>
      </c>
      <c r="D71" s="23">
        <f>INDEX($P$10:$Q$14, MATCH(VAV_Schedule_5_21[[#This Row],[MARK]], $P$10:$P$14, 0), 2)</f>
        <v>8</v>
      </c>
      <c r="E71" s="24">
        <v>580</v>
      </c>
      <c r="F71" s="24">
        <v>0</v>
      </c>
      <c r="G71" s="28" t="s">
        <v>633</v>
      </c>
      <c r="H71" s="23" t="s">
        <v>620</v>
      </c>
      <c r="I71" s="23">
        <v>4</v>
      </c>
      <c r="J71" s="25">
        <v>1.2</v>
      </c>
      <c r="K71" t="str">
        <f t="shared" si="2"/>
        <v>Heating</v>
      </c>
      <c r="L71" t="str">
        <f>IF(IFERROR(FIND("1", VAV_Schedule_5_21[[#This Row],[NOTES]]), FALSE), "P70", "P30")</f>
        <v>P70</v>
      </c>
      <c r="M71" t="s">
        <v>596</v>
      </c>
      <c r="N71">
        <f t="shared" si="3"/>
        <v>15009</v>
      </c>
    </row>
    <row r="72" spans="1:14" x14ac:dyDescent="0.2">
      <c r="A72" s="24">
        <v>71</v>
      </c>
      <c r="B72" s="23" t="s">
        <v>109</v>
      </c>
      <c r="C72" s="23" t="s">
        <v>625</v>
      </c>
      <c r="D72" s="23">
        <f>INDEX($P$10:$Q$14, MATCH(VAV_Schedule_5_21[[#This Row],[MARK]], $P$10:$P$14, 0), 2)</f>
        <v>8</v>
      </c>
      <c r="E72" s="24">
        <v>600</v>
      </c>
      <c r="F72" s="24">
        <v>0</v>
      </c>
      <c r="G72" s="28" t="s">
        <v>630</v>
      </c>
      <c r="H72" s="23" t="s">
        <v>620</v>
      </c>
      <c r="I72" s="23">
        <v>4</v>
      </c>
      <c r="J72" s="25" t="s">
        <v>637</v>
      </c>
      <c r="K72" t="str">
        <f t="shared" si="2"/>
        <v>Heating</v>
      </c>
      <c r="L72" t="str">
        <f>IF(IFERROR(FIND("1", VAV_Schedule_5_21[[#This Row],[NOTES]]), FALSE), "P70", "P30")</f>
        <v>P70</v>
      </c>
      <c r="M72" t="s">
        <v>596</v>
      </c>
      <c r="N72">
        <f t="shared" si="3"/>
        <v>15009</v>
      </c>
    </row>
    <row r="73" spans="1:14" x14ac:dyDescent="0.2">
      <c r="A73" s="24">
        <v>72</v>
      </c>
      <c r="B73" s="23" t="s">
        <v>110</v>
      </c>
      <c r="C73" s="23" t="s">
        <v>625</v>
      </c>
      <c r="D73" s="23">
        <f>INDEX($P$10:$Q$14, MATCH(VAV_Schedule_5_21[[#This Row],[MARK]], $P$10:$P$14, 0), 2)</f>
        <v>8</v>
      </c>
      <c r="E73" s="24">
        <v>540</v>
      </c>
      <c r="F73" s="24">
        <v>0</v>
      </c>
      <c r="G73" s="28" t="s">
        <v>633</v>
      </c>
      <c r="H73" s="23" t="s">
        <v>620</v>
      </c>
      <c r="I73" s="23">
        <v>4</v>
      </c>
      <c r="J73" s="25" t="s">
        <v>636</v>
      </c>
      <c r="K73" t="str">
        <f t="shared" si="2"/>
        <v>Heating</v>
      </c>
      <c r="L73" t="str">
        <f>IF(IFERROR(FIND("1", VAV_Schedule_5_21[[#This Row],[NOTES]]), FALSE), "P70", "P30")</f>
        <v>P70</v>
      </c>
      <c r="M73" t="s">
        <v>596</v>
      </c>
      <c r="N73">
        <f t="shared" si="3"/>
        <v>15009</v>
      </c>
    </row>
    <row r="74" spans="1:14" x14ac:dyDescent="0.2">
      <c r="A74" s="24">
        <v>73</v>
      </c>
      <c r="B74" s="23" t="s">
        <v>111</v>
      </c>
      <c r="C74" s="23" t="s">
        <v>625</v>
      </c>
      <c r="D74" s="23">
        <f>INDEX($P$10:$Q$14, MATCH(VAV_Schedule_5_21[[#This Row],[MARK]], $P$10:$P$14, 0), 2)</f>
        <v>8</v>
      </c>
      <c r="E74" s="24">
        <v>450</v>
      </c>
      <c r="F74" s="24">
        <v>0</v>
      </c>
      <c r="G74" s="28" t="s">
        <v>638</v>
      </c>
      <c r="H74" s="23" t="s">
        <v>620</v>
      </c>
      <c r="I74" s="23">
        <v>4</v>
      </c>
      <c r="J74" s="25" t="s">
        <v>636</v>
      </c>
      <c r="K74" t="str">
        <f t="shared" si="2"/>
        <v>Heating</v>
      </c>
      <c r="L74" t="str">
        <f>IF(IFERROR(FIND("1", VAV_Schedule_5_21[[#This Row],[NOTES]]), FALSE), "P70", "P30")</f>
        <v>P70</v>
      </c>
      <c r="M74" t="s">
        <v>596</v>
      </c>
      <c r="N74">
        <f t="shared" si="3"/>
        <v>15009</v>
      </c>
    </row>
    <row r="75" spans="1:14" x14ac:dyDescent="0.2">
      <c r="A75" s="24">
        <v>74</v>
      </c>
      <c r="B75" s="23" t="s">
        <v>112</v>
      </c>
      <c r="C75" s="23" t="s">
        <v>625</v>
      </c>
      <c r="D75" s="23">
        <f>INDEX($P$10:$Q$14, MATCH(VAV_Schedule_5_21[[#This Row],[MARK]], $P$10:$P$14, 0), 2)</f>
        <v>8</v>
      </c>
      <c r="E75" s="24">
        <v>450</v>
      </c>
      <c r="F75" s="24">
        <v>0</v>
      </c>
      <c r="G75" s="28" t="s">
        <v>638</v>
      </c>
      <c r="H75" s="23" t="s">
        <v>620</v>
      </c>
      <c r="I75" s="23">
        <v>4</v>
      </c>
      <c r="J75" s="25" t="s">
        <v>636</v>
      </c>
      <c r="K75" t="str">
        <f t="shared" si="2"/>
        <v>Heating</v>
      </c>
      <c r="L75" t="str">
        <f>IF(IFERROR(FIND("1", VAV_Schedule_5_21[[#This Row],[NOTES]]), FALSE), "P70", "P30")</f>
        <v>P70</v>
      </c>
      <c r="M75" t="s">
        <v>596</v>
      </c>
      <c r="N75">
        <f t="shared" si="3"/>
        <v>15009</v>
      </c>
    </row>
    <row r="76" spans="1:14" x14ac:dyDescent="0.2">
      <c r="A76" s="24">
        <v>75</v>
      </c>
      <c r="B76" s="23" t="s">
        <v>113</v>
      </c>
      <c r="C76" s="23" t="s">
        <v>625</v>
      </c>
      <c r="D76" s="23">
        <f>INDEX($P$10:$Q$14, MATCH(VAV_Schedule_5_21[[#This Row],[MARK]], $P$10:$P$14, 0), 2)</f>
        <v>8</v>
      </c>
      <c r="E76" s="24">
        <v>510</v>
      </c>
      <c r="F76" s="24">
        <v>0</v>
      </c>
      <c r="G76" s="28" t="s">
        <v>633</v>
      </c>
      <c r="H76" s="23" t="s">
        <v>620</v>
      </c>
      <c r="I76" s="23">
        <v>4</v>
      </c>
      <c r="J76" s="25" t="s">
        <v>636</v>
      </c>
      <c r="K76" t="str">
        <f t="shared" si="2"/>
        <v>Heating</v>
      </c>
      <c r="L76" t="str">
        <f>IF(IFERROR(FIND("1", VAV_Schedule_5_21[[#This Row],[NOTES]]), FALSE), "P70", "P30")</f>
        <v>P70</v>
      </c>
      <c r="M76" t="s">
        <v>596</v>
      </c>
      <c r="N76">
        <f t="shared" si="3"/>
        <v>15009</v>
      </c>
    </row>
    <row r="77" spans="1:14" x14ac:dyDescent="0.2">
      <c r="A77" s="24">
        <v>76</v>
      </c>
      <c r="B77" s="23" t="s">
        <v>114</v>
      </c>
      <c r="C77" s="23" t="s">
        <v>628</v>
      </c>
      <c r="D77" s="23">
        <f>INDEX($P$10:$Q$14, MATCH(VAV_Schedule_5_21[[#This Row],[MARK]], $P$10:$P$14, 0), 2)</f>
        <v>12</v>
      </c>
      <c r="E77" s="24">
        <v>1.26</v>
      </c>
      <c r="F77" s="24">
        <v>0</v>
      </c>
      <c r="G77" s="28" t="s">
        <v>634</v>
      </c>
      <c r="H77" s="23" t="s">
        <v>622</v>
      </c>
      <c r="I77" s="23">
        <v>4</v>
      </c>
      <c r="J77" s="25" t="s">
        <v>636</v>
      </c>
      <c r="K77" t="str">
        <f t="shared" si="2"/>
        <v>Heating</v>
      </c>
      <c r="L77" t="str">
        <f>IF(IFERROR(FIND("1", VAV_Schedule_5_21[[#This Row],[NOTES]]), FALSE), "P70", "P30")</f>
        <v>P70</v>
      </c>
      <c r="M77" t="s">
        <v>596</v>
      </c>
      <c r="N77">
        <f t="shared" si="3"/>
        <v>15009</v>
      </c>
    </row>
    <row r="78" spans="1:14" x14ac:dyDescent="0.2">
      <c r="A78" s="24">
        <v>77</v>
      </c>
      <c r="B78" s="23" t="s">
        <v>115</v>
      </c>
      <c r="C78" s="23" t="s">
        <v>628</v>
      </c>
      <c r="D78" s="23">
        <f>INDEX($P$10:$Q$14, MATCH(VAV_Schedule_5_21[[#This Row],[MARK]], $P$10:$P$14, 0), 2)</f>
        <v>12</v>
      </c>
      <c r="E78" s="24">
        <v>1.1499999999999999</v>
      </c>
      <c r="F78" s="24">
        <v>230</v>
      </c>
      <c r="G78" s="28" t="s">
        <v>623</v>
      </c>
      <c r="H78" s="23" t="s">
        <v>624</v>
      </c>
      <c r="I78" s="23">
        <v>4</v>
      </c>
      <c r="J78" s="25"/>
      <c r="K78" t="str">
        <f t="shared" si="2"/>
        <v>Cooling</v>
      </c>
      <c r="L78" t="str">
        <f>IF(IFERROR(FIND("1", VAV_Schedule_5_21[[#This Row],[NOTES]]), FALSE), "P70", "P30")</f>
        <v>P30</v>
      </c>
      <c r="M78" t="s">
        <v>596</v>
      </c>
      <c r="N78">
        <f t="shared" si="3"/>
        <v>15006</v>
      </c>
    </row>
    <row r="79" spans="1:14" x14ac:dyDescent="0.2">
      <c r="A79" s="24">
        <v>78</v>
      </c>
      <c r="B79" s="23" t="s">
        <v>116</v>
      </c>
      <c r="C79" s="23" t="s">
        <v>618</v>
      </c>
      <c r="D79" s="23">
        <f>INDEX($P$10:$Q$14, MATCH(VAV_Schedule_5_21[[#This Row],[MARK]], $P$10:$P$14, 0), 2)</f>
        <v>10</v>
      </c>
      <c r="E79" s="24">
        <v>1.07</v>
      </c>
      <c r="F79" s="24">
        <v>0</v>
      </c>
      <c r="G79" s="28" t="s">
        <v>623</v>
      </c>
      <c r="H79" s="23" t="s">
        <v>624</v>
      </c>
      <c r="I79" s="23">
        <v>4</v>
      </c>
      <c r="J79" s="25" t="s">
        <v>636</v>
      </c>
      <c r="K79" t="str">
        <f t="shared" si="2"/>
        <v>Cooling</v>
      </c>
      <c r="L79" t="str">
        <f>IF(IFERROR(FIND("1", VAV_Schedule_5_21[[#This Row],[NOTES]]), FALSE), "P70", "P30")</f>
        <v>P70</v>
      </c>
      <c r="M79" t="s">
        <v>596</v>
      </c>
      <c r="N79">
        <f>INDEX($P$2:$Q$9, MATCH(_xlfn.CONCAT($K79,$L79,M79), $P$2:$P$9, 0), 2)</f>
        <v>15008</v>
      </c>
    </row>
    <row r="80" spans="1:14" x14ac:dyDescent="0.2">
      <c r="A80" s="24">
        <v>79</v>
      </c>
      <c r="B80" s="23" t="s">
        <v>117</v>
      </c>
      <c r="C80" s="23" t="s">
        <v>632</v>
      </c>
      <c r="D80" s="23">
        <f>INDEX($P$10:$Q$14, MATCH(VAV_Schedule_5_21[[#This Row],[MARK]], $P$10:$P$14, 0), 2)</f>
        <v>6</v>
      </c>
      <c r="E80" s="24">
        <v>315</v>
      </c>
      <c r="F80" s="24">
        <v>0</v>
      </c>
      <c r="G80" s="28" t="s">
        <v>623</v>
      </c>
      <c r="H80" s="23" t="s">
        <v>624</v>
      </c>
      <c r="I80" s="23">
        <v>4</v>
      </c>
      <c r="J80" s="25" t="s">
        <v>637</v>
      </c>
      <c r="K80" t="str">
        <f t="shared" si="2"/>
        <v>Cooling</v>
      </c>
      <c r="L80" t="str">
        <f>IF(IFERROR(FIND("1", VAV_Schedule_5_21[[#This Row],[NOTES]]), FALSE), "P70", "P30")</f>
        <v>P70</v>
      </c>
      <c r="M80" t="s">
        <v>596</v>
      </c>
      <c r="N80">
        <f t="shared" si="3"/>
        <v>15008</v>
      </c>
    </row>
    <row r="81" spans="1:14" x14ac:dyDescent="0.2">
      <c r="A81" s="24">
        <v>80</v>
      </c>
      <c r="B81" s="23" t="s">
        <v>118</v>
      </c>
      <c r="C81" s="23" t="s">
        <v>625</v>
      </c>
      <c r="D81" s="23">
        <f>INDEX($P$10:$Q$14, MATCH(VAV_Schedule_5_21[[#This Row],[MARK]], $P$10:$P$14, 0), 2)</f>
        <v>8</v>
      </c>
      <c r="E81" s="24">
        <v>680</v>
      </c>
      <c r="F81" s="24">
        <v>0</v>
      </c>
      <c r="G81" s="28" t="s">
        <v>638</v>
      </c>
      <c r="H81" s="23" t="s">
        <v>620</v>
      </c>
      <c r="I81" s="23">
        <v>4</v>
      </c>
      <c r="J81" s="25" t="s">
        <v>636</v>
      </c>
      <c r="K81" t="str">
        <f t="shared" si="2"/>
        <v>Heating</v>
      </c>
      <c r="L81" t="str">
        <f>IF(IFERROR(FIND("1", VAV_Schedule_5_21[[#This Row],[NOTES]]), FALSE), "P70", "P30")</f>
        <v>P70</v>
      </c>
      <c r="M81" t="s">
        <v>596</v>
      </c>
      <c r="N81">
        <f t="shared" si="3"/>
        <v>15009</v>
      </c>
    </row>
    <row r="82" spans="1:14" x14ac:dyDescent="0.2">
      <c r="A82" s="24">
        <v>81</v>
      </c>
      <c r="B82" s="23" t="s">
        <v>119</v>
      </c>
      <c r="C82" s="23" t="s">
        <v>632</v>
      </c>
      <c r="D82" s="23">
        <f>INDEX($P$10:$Q$14, MATCH(VAV_Schedule_5_21[[#This Row],[MARK]], $P$10:$P$14, 0), 2)</f>
        <v>6</v>
      </c>
      <c r="E82" s="24">
        <v>180</v>
      </c>
      <c r="F82" s="24">
        <v>0</v>
      </c>
      <c r="G82" s="28" t="s">
        <v>638</v>
      </c>
      <c r="H82" s="23" t="s">
        <v>620</v>
      </c>
      <c r="I82" s="23">
        <v>4</v>
      </c>
      <c r="J82" s="25" t="s">
        <v>637</v>
      </c>
      <c r="K82" t="str">
        <f t="shared" si="2"/>
        <v>Heating</v>
      </c>
      <c r="L82" t="str">
        <f>IF(IFERROR(FIND("1", VAV_Schedule_5_21[[#This Row],[NOTES]]), FALSE), "P70", "P30")</f>
        <v>P70</v>
      </c>
      <c r="M82" t="s">
        <v>596</v>
      </c>
      <c r="N82">
        <f t="shared" si="3"/>
        <v>15009</v>
      </c>
    </row>
    <row r="83" spans="1:14" x14ac:dyDescent="0.2">
      <c r="A83" s="24">
        <v>82</v>
      </c>
      <c r="B83" s="23" t="s">
        <v>120</v>
      </c>
      <c r="C83" s="23" t="s">
        <v>628</v>
      </c>
      <c r="D83" s="23">
        <f>INDEX($P$10:$Q$14, MATCH(VAV_Schedule_5_21[[#This Row],[MARK]], $P$10:$P$14, 0), 2)</f>
        <v>12</v>
      </c>
      <c r="E83" s="24">
        <v>1.1299999999999999</v>
      </c>
      <c r="F83" s="24">
        <v>0</v>
      </c>
      <c r="G83" s="28" t="s">
        <v>623</v>
      </c>
      <c r="H83" s="23" t="s">
        <v>624</v>
      </c>
      <c r="I83" s="23">
        <v>4</v>
      </c>
      <c r="J83" s="25" t="s">
        <v>636</v>
      </c>
      <c r="K83" t="str">
        <f t="shared" si="2"/>
        <v>Cooling</v>
      </c>
      <c r="L83" t="str">
        <f>IF(IFERROR(FIND("1", VAV_Schedule_5_21[[#This Row],[NOTES]]), FALSE), "P70", "P30")</f>
        <v>P70</v>
      </c>
      <c r="M83" t="s">
        <v>596</v>
      </c>
      <c r="N83">
        <f t="shared" si="3"/>
        <v>15008</v>
      </c>
    </row>
    <row r="84" spans="1:14" x14ac:dyDescent="0.2">
      <c r="A84" s="24">
        <v>83</v>
      </c>
      <c r="B84" s="23" t="s">
        <v>121</v>
      </c>
      <c r="C84" s="23" t="s">
        <v>618</v>
      </c>
      <c r="D84" s="23">
        <f>INDEX($P$10:$Q$14, MATCH(VAV_Schedule_5_21[[#This Row],[MARK]], $P$10:$P$14, 0), 2)</f>
        <v>10</v>
      </c>
      <c r="E84" s="24">
        <v>1.1000000000000001</v>
      </c>
      <c r="F84" s="24">
        <v>0</v>
      </c>
      <c r="G84" s="28" t="s">
        <v>633</v>
      </c>
      <c r="H84" s="23" t="s">
        <v>620</v>
      </c>
      <c r="I84" s="23">
        <v>4</v>
      </c>
      <c r="J84" s="25" t="s">
        <v>636</v>
      </c>
      <c r="K84" t="str">
        <f t="shared" si="2"/>
        <v>Heating</v>
      </c>
      <c r="L84" t="str">
        <f>IF(IFERROR(FIND("1", VAV_Schedule_5_21[[#This Row],[NOTES]]), FALSE), "P70", "P30")</f>
        <v>P70</v>
      </c>
      <c r="M84" t="s">
        <v>596</v>
      </c>
      <c r="N84">
        <f t="shared" si="3"/>
        <v>15009</v>
      </c>
    </row>
    <row r="85" spans="1:14" x14ac:dyDescent="0.2">
      <c r="A85" s="24">
        <v>84</v>
      </c>
      <c r="B85" s="23" t="s">
        <v>122</v>
      </c>
      <c r="C85" s="23" t="s">
        <v>632</v>
      </c>
      <c r="D85" s="23">
        <f>INDEX($P$10:$Q$14, MATCH(VAV_Schedule_5_21[[#This Row],[MARK]], $P$10:$P$14, 0), 2)</f>
        <v>6</v>
      </c>
      <c r="E85" s="24">
        <v>180</v>
      </c>
      <c r="F85" s="24">
        <v>0</v>
      </c>
      <c r="G85" s="28" t="s">
        <v>638</v>
      </c>
      <c r="H85" s="23" t="s">
        <v>620</v>
      </c>
      <c r="I85" s="23">
        <v>4</v>
      </c>
      <c r="J85" s="25" t="s">
        <v>636</v>
      </c>
      <c r="K85" t="str">
        <f t="shared" si="2"/>
        <v>Heating</v>
      </c>
      <c r="L85" t="str">
        <f>IF(IFERROR(FIND("1", VAV_Schedule_5_21[[#This Row],[NOTES]]), FALSE), "P70", "P30")</f>
        <v>P70</v>
      </c>
      <c r="M85" t="s">
        <v>596</v>
      </c>
      <c r="N85">
        <f t="shared" si="3"/>
        <v>15009</v>
      </c>
    </row>
    <row r="86" spans="1:14" x14ac:dyDescent="0.2">
      <c r="A86" s="24">
        <v>85</v>
      </c>
      <c r="B86" s="26" t="s">
        <v>639</v>
      </c>
      <c r="C86" s="23" t="s">
        <v>625</v>
      </c>
      <c r="D86" s="23">
        <f>INDEX($P$10:$Q$14, MATCH(VAV_Schedule_5_21[[#This Row],[MARK]], $P$10:$P$14, 0), 2)</f>
        <v>8</v>
      </c>
      <c r="E86" s="24">
        <v>550</v>
      </c>
      <c r="F86" s="24">
        <v>110</v>
      </c>
      <c r="G86" s="28" t="s">
        <v>623</v>
      </c>
      <c r="H86" s="23" t="s">
        <v>624</v>
      </c>
      <c r="I86" s="23">
        <v>4</v>
      </c>
      <c r="J86" s="25"/>
      <c r="K86" t="str">
        <f t="shared" si="2"/>
        <v>Cooling</v>
      </c>
      <c r="L86" t="str">
        <f>IF(IFERROR(FIND("1", VAV_Schedule_5_21[[#This Row],[NOTES]]), FALSE), "P70", "P30")</f>
        <v>P30</v>
      </c>
      <c r="M86" t="s">
        <v>596</v>
      </c>
      <c r="N86">
        <f t="shared" si="3"/>
        <v>15006</v>
      </c>
    </row>
    <row r="87" spans="1:14" x14ac:dyDescent="0.2">
      <c r="A87" s="24">
        <v>86</v>
      </c>
      <c r="B87" s="23" t="s">
        <v>123</v>
      </c>
      <c r="C87" s="23" t="s">
        <v>632</v>
      </c>
      <c r="D87" s="23">
        <f>INDEX($P$10:$Q$14, MATCH(VAV_Schedule_5_21[[#This Row],[MARK]], $P$10:$P$14, 0), 2)</f>
        <v>6</v>
      </c>
      <c r="E87" s="24">
        <v>180</v>
      </c>
      <c r="F87" s="24">
        <v>0</v>
      </c>
      <c r="G87" s="28" t="s">
        <v>630</v>
      </c>
      <c r="H87" s="23" t="s">
        <v>620</v>
      </c>
      <c r="I87" s="23">
        <v>4</v>
      </c>
      <c r="J87" s="25" t="s">
        <v>637</v>
      </c>
      <c r="K87" t="str">
        <f t="shared" si="2"/>
        <v>Heating</v>
      </c>
      <c r="L87" t="str">
        <f>IF(IFERROR(FIND("1", VAV_Schedule_5_21[[#This Row],[NOTES]]), FALSE), "P70", "P30")</f>
        <v>P70</v>
      </c>
      <c r="M87" t="s">
        <v>596</v>
      </c>
      <c r="N87">
        <f t="shared" si="3"/>
        <v>15009</v>
      </c>
    </row>
    <row r="88" spans="1:14" x14ac:dyDescent="0.2">
      <c r="A88" s="24">
        <v>87</v>
      </c>
      <c r="B88" s="23" t="s">
        <v>124</v>
      </c>
      <c r="C88" s="23" t="s">
        <v>632</v>
      </c>
      <c r="D88" s="23">
        <f>INDEX($P$10:$Q$14, MATCH(VAV_Schedule_5_21[[#This Row],[MARK]], $P$10:$P$14, 0), 2)</f>
        <v>6</v>
      </c>
      <c r="E88" s="24">
        <v>280</v>
      </c>
      <c r="F88" s="24">
        <v>0</v>
      </c>
      <c r="G88" s="28" t="s">
        <v>623</v>
      </c>
      <c r="H88" s="23" t="s">
        <v>624</v>
      </c>
      <c r="I88" s="23">
        <v>4</v>
      </c>
      <c r="J88" s="25" t="s">
        <v>637</v>
      </c>
      <c r="K88" t="str">
        <f t="shared" si="2"/>
        <v>Cooling</v>
      </c>
      <c r="L88" t="str">
        <f>IF(IFERROR(FIND("1", VAV_Schedule_5_21[[#This Row],[NOTES]]), FALSE), "P70", "P30")</f>
        <v>P70</v>
      </c>
      <c r="M88" t="s">
        <v>596</v>
      </c>
      <c r="N88">
        <f t="shared" si="3"/>
        <v>15008</v>
      </c>
    </row>
    <row r="89" spans="1:14" x14ac:dyDescent="0.2">
      <c r="A89" s="24">
        <v>88</v>
      </c>
      <c r="B89" s="23" t="s">
        <v>125</v>
      </c>
      <c r="C89" s="23" t="s">
        <v>628</v>
      </c>
      <c r="D89" s="23">
        <f>INDEX($P$10:$Q$14, MATCH(VAV_Schedule_5_21[[#This Row],[MARK]], $P$10:$P$14, 0), 2)</f>
        <v>12</v>
      </c>
      <c r="E89" s="24">
        <v>1.2</v>
      </c>
      <c r="F89" s="24">
        <v>240</v>
      </c>
      <c r="G89" s="28" t="s">
        <v>623</v>
      </c>
      <c r="H89" s="23" t="s">
        <v>624</v>
      </c>
      <c r="I89" s="23">
        <v>4</v>
      </c>
      <c r="J89" s="25"/>
      <c r="K89" t="str">
        <f t="shared" si="2"/>
        <v>Cooling</v>
      </c>
      <c r="L89" t="str">
        <f>IF(IFERROR(FIND("1", VAV_Schedule_5_21[[#This Row],[NOTES]]), FALSE), "P70", "P30")</f>
        <v>P30</v>
      </c>
      <c r="M89" t="s">
        <v>596</v>
      </c>
      <c r="N89">
        <f t="shared" si="3"/>
        <v>15006</v>
      </c>
    </row>
    <row r="90" spans="1:14" x14ac:dyDescent="0.2">
      <c r="A90" s="24">
        <v>89</v>
      </c>
      <c r="B90" s="23" t="s">
        <v>126</v>
      </c>
      <c r="C90" s="23" t="s">
        <v>618</v>
      </c>
      <c r="D90" s="23">
        <f>INDEX($P$10:$Q$14, MATCH(VAV_Schedule_5_21[[#This Row],[MARK]], $P$10:$P$14, 0), 2)</f>
        <v>10</v>
      </c>
      <c r="E90" s="24">
        <v>800</v>
      </c>
      <c r="F90" s="24">
        <v>0</v>
      </c>
      <c r="G90" s="28" t="s">
        <v>638</v>
      </c>
      <c r="H90" s="23" t="s">
        <v>620</v>
      </c>
      <c r="I90" s="23">
        <v>4</v>
      </c>
      <c r="J90" s="25" t="s">
        <v>636</v>
      </c>
      <c r="K90" t="str">
        <f t="shared" si="2"/>
        <v>Heating</v>
      </c>
      <c r="L90" t="str">
        <f>IF(IFERROR(FIND("1", VAV_Schedule_5_21[[#This Row],[NOTES]]), FALSE), "P70", "P30")</f>
        <v>P70</v>
      </c>
      <c r="M90" t="s">
        <v>596</v>
      </c>
      <c r="N90">
        <f t="shared" si="3"/>
        <v>15009</v>
      </c>
    </row>
    <row r="91" spans="1:14" x14ac:dyDescent="0.2">
      <c r="A91" s="24">
        <v>90</v>
      </c>
      <c r="B91" s="23" t="s">
        <v>127</v>
      </c>
      <c r="C91" s="23" t="s">
        <v>618</v>
      </c>
      <c r="D91" s="23">
        <f>INDEX($P$10:$Q$14, MATCH(VAV_Schedule_5_21[[#This Row],[MARK]], $P$10:$P$14, 0), 2)</f>
        <v>10</v>
      </c>
      <c r="E91" s="24">
        <v>1.1000000000000001</v>
      </c>
      <c r="F91" s="24">
        <v>220</v>
      </c>
      <c r="G91" s="28" t="s">
        <v>623</v>
      </c>
      <c r="H91" s="23" t="s">
        <v>624</v>
      </c>
      <c r="I91" s="23">
        <v>4</v>
      </c>
      <c r="J91" s="25"/>
      <c r="K91" t="str">
        <f t="shared" si="2"/>
        <v>Cooling</v>
      </c>
      <c r="L91" t="str">
        <f>IF(IFERROR(FIND("1", VAV_Schedule_5_21[[#This Row],[NOTES]]), FALSE), "P70", "P30")</f>
        <v>P30</v>
      </c>
      <c r="M91" t="s">
        <v>596</v>
      </c>
      <c r="N91">
        <f t="shared" si="3"/>
        <v>15006</v>
      </c>
    </row>
    <row r="92" spans="1:14" x14ac:dyDescent="0.2">
      <c r="A92" s="24">
        <v>91</v>
      </c>
      <c r="B92" s="23" t="s">
        <v>128</v>
      </c>
      <c r="C92" s="23" t="s">
        <v>618</v>
      </c>
      <c r="D92" s="23">
        <f>INDEX($P$10:$Q$14, MATCH(VAV_Schedule_5_21[[#This Row],[MARK]], $P$10:$P$14, 0), 2)</f>
        <v>10</v>
      </c>
      <c r="E92" s="24">
        <v>945</v>
      </c>
      <c r="F92" s="24">
        <v>190</v>
      </c>
      <c r="G92" s="28" t="s">
        <v>623</v>
      </c>
      <c r="H92" s="23" t="s">
        <v>624</v>
      </c>
      <c r="I92" s="23">
        <v>4</v>
      </c>
      <c r="J92" s="25"/>
      <c r="K92" t="str">
        <f t="shared" si="2"/>
        <v>Cooling</v>
      </c>
      <c r="L92" t="str">
        <f>IF(IFERROR(FIND("1", VAV_Schedule_5_21[[#This Row],[NOTES]]), FALSE), "P70", "P30")</f>
        <v>P30</v>
      </c>
      <c r="M92" t="s">
        <v>596</v>
      </c>
      <c r="N92">
        <f t="shared" si="3"/>
        <v>15006</v>
      </c>
    </row>
    <row r="93" spans="1:14" x14ac:dyDescent="0.2">
      <c r="A93" s="24">
        <v>92</v>
      </c>
      <c r="B93" s="23" t="s">
        <v>129</v>
      </c>
      <c r="C93" s="23" t="s">
        <v>628</v>
      </c>
      <c r="D93" s="23">
        <f>INDEX($P$10:$Q$14, MATCH(VAV_Schedule_5_21[[#This Row],[MARK]], $P$10:$P$14, 0), 2)</f>
        <v>12</v>
      </c>
      <c r="E93" s="24">
        <v>1.2</v>
      </c>
      <c r="F93" s="24">
        <v>240</v>
      </c>
      <c r="G93" s="28" t="s">
        <v>634</v>
      </c>
      <c r="H93" s="23" t="s">
        <v>622</v>
      </c>
      <c r="I93" s="23">
        <v>4</v>
      </c>
      <c r="J93" s="25"/>
      <c r="K93" t="str">
        <f t="shared" si="2"/>
        <v>Heating</v>
      </c>
      <c r="L93" t="str">
        <f>IF(IFERROR(FIND("1", VAV_Schedule_5_21[[#This Row],[NOTES]]), FALSE), "P70", "P30")</f>
        <v>P30</v>
      </c>
      <c r="M93" t="s">
        <v>596</v>
      </c>
      <c r="N93">
        <f t="shared" si="3"/>
        <v>15007</v>
      </c>
    </row>
    <row r="94" spans="1:14" x14ac:dyDescent="0.2">
      <c r="A94" s="24">
        <v>93</v>
      </c>
      <c r="B94" s="23" t="s">
        <v>130</v>
      </c>
      <c r="C94" s="23" t="s">
        <v>625</v>
      </c>
      <c r="D94" s="23">
        <f>INDEX($P$10:$Q$14, MATCH(VAV_Schedule_5_21[[#This Row],[MARK]], $P$10:$P$14, 0), 2)</f>
        <v>8</v>
      </c>
      <c r="E94" s="24">
        <v>580</v>
      </c>
      <c r="F94" s="24">
        <v>120</v>
      </c>
      <c r="G94" s="28" t="s">
        <v>633</v>
      </c>
      <c r="H94" s="23" t="s">
        <v>620</v>
      </c>
      <c r="I94" s="23">
        <v>4</v>
      </c>
      <c r="J94" s="25" t="s">
        <v>630</v>
      </c>
      <c r="K94" t="str">
        <f t="shared" si="2"/>
        <v>Heating</v>
      </c>
      <c r="L94" t="str">
        <f>IF(IFERROR(FIND("1", VAV_Schedule_5_21[[#This Row],[NOTES]]), FALSE), "P70", "P30")</f>
        <v>P30</v>
      </c>
      <c r="M94" t="s">
        <v>596</v>
      </c>
      <c r="N94">
        <f t="shared" si="3"/>
        <v>15007</v>
      </c>
    </row>
    <row r="95" spans="1:14" x14ac:dyDescent="0.2">
      <c r="A95" s="24">
        <v>94</v>
      </c>
      <c r="B95" s="23" t="s">
        <v>131</v>
      </c>
      <c r="C95" s="23" t="s">
        <v>625</v>
      </c>
      <c r="D95" s="23">
        <f>INDEX($P$10:$Q$14, MATCH(VAV_Schedule_5_21[[#This Row],[MARK]], $P$10:$P$14, 0), 2)</f>
        <v>8</v>
      </c>
      <c r="E95" s="24">
        <v>540</v>
      </c>
      <c r="F95" s="24">
        <v>110</v>
      </c>
      <c r="G95" s="28" t="s">
        <v>633</v>
      </c>
      <c r="H95" s="23" t="s">
        <v>620</v>
      </c>
      <c r="I95" s="23">
        <v>4</v>
      </c>
      <c r="J95" s="25"/>
      <c r="K95" t="str">
        <f t="shared" si="2"/>
        <v>Heating</v>
      </c>
      <c r="L95" t="str">
        <f>IF(IFERROR(FIND("1", VAV_Schedule_5_21[[#This Row],[NOTES]]), FALSE), "P70", "P30")</f>
        <v>P30</v>
      </c>
      <c r="M95" t="s">
        <v>596</v>
      </c>
      <c r="N95">
        <f t="shared" si="3"/>
        <v>15007</v>
      </c>
    </row>
    <row r="96" spans="1:14" x14ac:dyDescent="0.2">
      <c r="A96" s="24">
        <v>95</v>
      </c>
      <c r="B96" s="23" t="s">
        <v>132</v>
      </c>
      <c r="C96" s="23" t="s">
        <v>625</v>
      </c>
      <c r="D96" s="23">
        <f>INDEX($P$10:$Q$14, MATCH(VAV_Schedule_5_21[[#This Row],[MARK]], $P$10:$P$14, 0), 2)</f>
        <v>8</v>
      </c>
      <c r="E96" s="24">
        <v>500</v>
      </c>
      <c r="F96" s="24">
        <v>100</v>
      </c>
      <c r="G96" s="28" t="s">
        <v>633</v>
      </c>
      <c r="H96" s="23" t="s">
        <v>620</v>
      </c>
      <c r="I96" s="23">
        <v>4</v>
      </c>
      <c r="J96" s="25"/>
      <c r="K96" t="str">
        <f t="shared" si="2"/>
        <v>Heating</v>
      </c>
      <c r="L96" t="str">
        <f>IF(IFERROR(FIND("1", VAV_Schedule_5_21[[#This Row],[NOTES]]), FALSE), "P70", "P30")</f>
        <v>P30</v>
      </c>
      <c r="M96" t="s">
        <v>596</v>
      </c>
      <c r="N96">
        <f t="shared" si="3"/>
        <v>15007</v>
      </c>
    </row>
    <row r="97" spans="1:14" x14ac:dyDescent="0.2">
      <c r="A97" s="24">
        <v>96</v>
      </c>
      <c r="B97" s="23" t="s">
        <v>133</v>
      </c>
      <c r="C97" s="23" t="s">
        <v>625</v>
      </c>
      <c r="D97" s="23">
        <f>INDEX($P$10:$Q$14, MATCH(VAV_Schedule_5_21[[#This Row],[MARK]], $P$10:$P$14, 0), 2)</f>
        <v>8</v>
      </c>
      <c r="E97" s="24">
        <v>550</v>
      </c>
      <c r="F97" s="24">
        <v>110</v>
      </c>
      <c r="G97" s="28" t="s">
        <v>623</v>
      </c>
      <c r="H97" s="23" t="s">
        <v>624</v>
      </c>
      <c r="I97" s="23">
        <v>4</v>
      </c>
      <c r="J97" s="25"/>
      <c r="K97" t="str">
        <f t="shared" si="2"/>
        <v>Cooling</v>
      </c>
      <c r="L97" t="str">
        <f>IF(IFERROR(FIND("1", VAV_Schedule_5_21[[#This Row],[NOTES]]), FALSE), "P70", "P30")</f>
        <v>P30</v>
      </c>
      <c r="M97" t="s">
        <v>596</v>
      </c>
      <c r="N97">
        <f t="shared" si="3"/>
        <v>15006</v>
      </c>
    </row>
    <row r="98" spans="1:14" x14ac:dyDescent="0.2">
      <c r="A98" s="24">
        <v>97</v>
      </c>
      <c r="B98" s="23" t="s">
        <v>134</v>
      </c>
      <c r="C98" s="23" t="s">
        <v>632</v>
      </c>
      <c r="D98" s="23">
        <f>INDEX($P$10:$Q$14, MATCH(VAV_Schedule_5_21[[#This Row],[MARK]], $P$10:$P$14, 0), 2)</f>
        <v>6</v>
      </c>
      <c r="E98" s="24">
        <v>300</v>
      </c>
      <c r="F98" s="24">
        <v>60</v>
      </c>
      <c r="G98" s="28" t="s">
        <v>623</v>
      </c>
      <c r="H98" s="23" t="s">
        <v>624</v>
      </c>
      <c r="I98" s="23">
        <v>4</v>
      </c>
      <c r="J98" s="25"/>
      <c r="K98" t="str">
        <f t="shared" si="2"/>
        <v>Cooling</v>
      </c>
      <c r="L98" t="str">
        <f>IF(IFERROR(FIND("1", VAV_Schedule_5_21[[#This Row],[NOTES]]), FALSE), "P70", "P30")</f>
        <v>P30</v>
      </c>
      <c r="M98" t="s">
        <v>596</v>
      </c>
      <c r="N98">
        <f t="shared" si="3"/>
        <v>15006</v>
      </c>
    </row>
    <row r="99" spans="1:14" x14ac:dyDescent="0.2">
      <c r="A99" s="24">
        <v>98</v>
      </c>
      <c r="B99" s="23" t="s">
        <v>135</v>
      </c>
      <c r="C99" s="23" t="s">
        <v>618</v>
      </c>
      <c r="D99" s="23">
        <f>INDEX($P$10:$Q$14, MATCH(VAV_Schedule_5_21[[#This Row],[MARK]], $P$10:$P$14, 0), 2)</f>
        <v>10</v>
      </c>
      <c r="E99" s="24">
        <v>840</v>
      </c>
      <c r="F99" s="24">
        <v>170</v>
      </c>
      <c r="G99" s="28" t="s">
        <v>623</v>
      </c>
      <c r="H99" s="23" t="s">
        <v>624</v>
      </c>
      <c r="I99" s="23">
        <v>4</v>
      </c>
      <c r="J99" s="25"/>
      <c r="K99" t="str">
        <f t="shared" si="2"/>
        <v>Cooling</v>
      </c>
      <c r="L99" t="str">
        <f>IF(IFERROR(FIND("1", VAV_Schedule_5_21[[#This Row],[NOTES]]), FALSE), "P70", "P30")</f>
        <v>P30</v>
      </c>
      <c r="M99" t="s">
        <v>596</v>
      </c>
      <c r="N99">
        <f t="shared" si="3"/>
        <v>15006</v>
      </c>
    </row>
    <row r="100" spans="1:14" x14ac:dyDescent="0.2">
      <c r="A100" s="24">
        <v>99</v>
      </c>
      <c r="B100" s="23" t="s">
        <v>136</v>
      </c>
      <c r="C100" s="23" t="s">
        <v>625</v>
      </c>
      <c r="D100" s="23">
        <f>INDEX($P$10:$Q$14, MATCH(VAV_Schedule_5_21[[#This Row],[MARK]], $P$10:$P$14, 0), 2)</f>
        <v>8</v>
      </c>
      <c r="E100" s="24">
        <v>420</v>
      </c>
      <c r="F100" s="24">
        <v>85</v>
      </c>
      <c r="G100" s="28" t="s">
        <v>623</v>
      </c>
      <c r="H100" s="23" t="s">
        <v>624</v>
      </c>
      <c r="I100" s="23">
        <v>4</v>
      </c>
      <c r="J100" s="25"/>
      <c r="K100" t="str">
        <f t="shared" si="2"/>
        <v>Cooling</v>
      </c>
      <c r="L100" t="str">
        <f>IF(IFERROR(FIND("1", VAV_Schedule_5_21[[#This Row],[NOTES]]), FALSE), "P70", "P30")</f>
        <v>P30</v>
      </c>
      <c r="M100" t="s">
        <v>596</v>
      </c>
      <c r="N100">
        <f t="shared" si="3"/>
        <v>15006</v>
      </c>
    </row>
    <row r="101" spans="1:14" x14ac:dyDescent="0.2">
      <c r="A101" s="24">
        <v>100</v>
      </c>
      <c r="B101" s="23" t="s">
        <v>137</v>
      </c>
      <c r="C101" s="23" t="s">
        <v>618</v>
      </c>
      <c r="D101" s="23">
        <f>INDEX($P$10:$Q$14, MATCH(VAV_Schedule_5_21[[#This Row],[MARK]], $P$10:$P$14, 0), 2)</f>
        <v>10</v>
      </c>
      <c r="E101" s="24">
        <v>1.05</v>
      </c>
      <c r="F101" s="24">
        <v>210</v>
      </c>
      <c r="G101" s="28" t="s">
        <v>631</v>
      </c>
      <c r="H101" s="23" t="s">
        <v>622</v>
      </c>
      <c r="I101" s="23">
        <v>4</v>
      </c>
      <c r="J101" s="25"/>
      <c r="K101" t="str">
        <f t="shared" si="2"/>
        <v>Heating</v>
      </c>
      <c r="L101" t="str">
        <f>IF(IFERROR(FIND("1", VAV_Schedule_5_21[[#This Row],[NOTES]]), FALSE), "P70", "P30")</f>
        <v>P30</v>
      </c>
      <c r="M101" t="s">
        <v>596</v>
      </c>
      <c r="N101">
        <f t="shared" si="3"/>
        <v>15007</v>
      </c>
    </row>
    <row r="102" spans="1:14" x14ac:dyDescent="0.2">
      <c r="A102" s="24">
        <v>101</v>
      </c>
      <c r="B102" s="23" t="s">
        <v>138</v>
      </c>
      <c r="C102" s="23" t="s">
        <v>632</v>
      </c>
      <c r="D102" s="23">
        <f>INDEX($P$10:$Q$14, MATCH(VAV_Schedule_5_21[[#This Row],[MARK]], $P$10:$P$14, 0), 2)</f>
        <v>6</v>
      </c>
      <c r="E102" s="24">
        <v>360</v>
      </c>
      <c r="F102" s="24">
        <v>75</v>
      </c>
      <c r="G102" s="28" t="s">
        <v>623</v>
      </c>
      <c r="H102" s="23" t="s">
        <v>624</v>
      </c>
      <c r="I102" s="23">
        <v>4</v>
      </c>
      <c r="J102" s="25"/>
      <c r="K102" t="str">
        <f t="shared" si="2"/>
        <v>Cooling</v>
      </c>
      <c r="L102" t="str">
        <f>IF(IFERROR(FIND("1", VAV_Schedule_5_21[[#This Row],[NOTES]]), FALSE), "P70", "P30")</f>
        <v>P30</v>
      </c>
      <c r="M102" t="s">
        <v>596</v>
      </c>
      <c r="N102">
        <f t="shared" si="3"/>
        <v>15006</v>
      </c>
    </row>
    <row r="103" spans="1:14" x14ac:dyDescent="0.2">
      <c r="A103" s="24">
        <v>102</v>
      </c>
      <c r="B103" s="23" t="s">
        <v>139</v>
      </c>
      <c r="C103" s="23" t="s">
        <v>618</v>
      </c>
      <c r="D103" s="23">
        <f>INDEX($P$10:$Q$14, MATCH(VAV_Schedule_5_21[[#This Row],[MARK]], $P$10:$P$14, 0), 2)</f>
        <v>10</v>
      </c>
      <c r="E103" s="24">
        <v>910</v>
      </c>
      <c r="F103" s="24">
        <v>185</v>
      </c>
      <c r="G103" s="28" t="s">
        <v>619</v>
      </c>
      <c r="H103" s="23" t="s">
        <v>620</v>
      </c>
      <c r="I103" s="23">
        <v>4</v>
      </c>
      <c r="J103" s="25"/>
      <c r="K103" t="str">
        <f t="shared" si="2"/>
        <v>Heating</v>
      </c>
      <c r="L103" t="str">
        <f>IF(IFERROR(FIND("1", VAV_Schedule_5_21[[#This Row],[NOTES]]), FALSE), "P70", "P30")</f>
        <v>P30</v>
      </c>
      <c r="M103" t="s">
        <v>596</v>
      </c>
      <c r="N103">
        <f t="shared" si="3"/>
        <v>15007</v>
      </c>
    </row>
    <row r="104" spans="1:14" x14ac:dyDescent="0.2">
      <c r="A104" s="24">
        <v>103</v>
      </c>
      <c r="B104" s="23" t="s">
        <v>140</v>
      </c>
      <c r="C104" s="23" t="s">
        <v>618</v>
      </c>
      <c r="D104" s="23">
        <f>INDEX($P$10:$Q$14, MATCH(VAV_Schedule_5_21[[#This Row],[MARK]], $P$10:$P$14, 0), 2)</f>
        <v>10</v>
      </c>
      <c r="E104" s="24">
        <v>980</v>
      </c>
      <c r="F104" s="24">
        <v>200</v>
      </c>
      <c r="G104" s="28" t="s">
        <v>631</v>
      </c>
      <c r="H104" s="23" t="s">
        <v>622</v>
      </c>
      <c r="I104" s="23">
        <v>4</v>
      </c>
      <c r="J104" s="25"/>
      <c r="K104" t="str">
        <f t="shared" si="2"/>
        <v>Heating</v>
      </c>
      <c r="L104" t="str">
        <f>IF(IFERROR(FIND("1", VAV_Schedule_5_21[[#This Row],[NOTES]]), FALSE), "P70", "P30")</f>
        <v>P30</v>
      </c>
      <c r="M104" t="s">
        <v>596</v>
      </c>
      <c r="N104">
        <f t="shared" si="3"/>
        <v>15007</v>
      </c>
    </row>
    <row r="105" spans="1:14" x14ac:dyDescent="0.2">
      <c r="A105" s="24">
        <v>104</v>
      </c>
      <c r="B105" s="23" t="s">
        <v>141</v>
      </c>
      <c r="C105" s="23" t="s">
        <v>625</v>
      </c>
      <c r="D105" s="23">
        <f>INDEX($P$10:$Q$14, MATCH(VAV_Schedule_5_21[[#This Row],[MARK]], $P$10:$P$14, 0), 2)</f>
        <v>8</v>
      </c>
      <c r="E105" s="24">
        <v>640</v>
      </c>
      <c r="F105" s="24">
        <v>130</v>
      </c>
      <c r="G105" s="28" t="s">
        <v>619</v>
      </c>
      <c r="H105" s="23" t="s">
        <v>620</v>
      </c>
      <c r="I105" s="23">
        <v>4</v>
      </c>
      <c r="J105" s="25" t="s">
        <v>630</v>
      </c>
      <c r="K105" t="str">
        <f t="shared" si="2"/>
        <v>Heating</v>
      </c>
      <c r="L105" t="str">
        <f>IF(IFERROR(FIND("1", VAV_Schedule_5_21[[#This Row],[NOTES]]), FALSE), "P70", "P30")</f>
        <v>P30</v>
      </c>
      <c r="M105" t="s">
        <v>596</v>
      </c>
      <c r="N105">
        <f t="shared" si="3"/>
        <v>15007</v>
      </c>
    </row>
    <row r="106" spans="1:14" x14ac:dyDescent="0.2">
      <c r="A106" s="24">
        <v>105</v>
      </c>
      <c r="B106" s="23" t="s">
        <v>142</v>
      </c>
      <c r="C106" s="23" t="s">
        <v>618</v>
      </c>
      <c r="D106" s="23">
        <f>INDEX($P$10:$Q$14, MATCH(VAV_Schedule_5_21[[#This Row],[MARK]], $P$10:$P$14, 0), 2)</f>
        <v>10</v>
      </c>
      <c r="E106" s="24">
        <v>860</v>
      </c>
      <c r="F106" s="24">
        <v>175</v>
      </c>
      <c r="G106" s="28" t="s">
        <v>619</v>
      </c>
      <c r="H106" s="23" t="s">
        <v>620</v>
      </c>
      <c r="I106" s="23">
        <v>4</v>
      </c>
      <c r="J106" s="25"/>
      <c r="K106" t="str">
        <f t="shared" si="2"/>
        <v>Heating</v>
      </c>
      <c r="L106" t="str">
        <f>IF(IFERROR(FIND("1", VAV_Schedule_5_21[[#This Row],[NOTES]]), FALSE), "P70", "P30")</f>
        <v>P30</v>
      </c>
      <c r="M106" t="s">
        <v>596</v>
      </c>
      <c r="N106">
        <f t="shared" si="3"/>
        <v>15007</v>
      </c>
    </row>
    <row r="107" spans="1:14" x14ac:dyDescent="0.2">
      <c r="A107" s="24">
        <v>106</v>
      </c>
      <c r="B107" s="23" t="s">
        <v>143</v>
      </c>
      <c r="C107" s="23" t="s">
        <v>625</v>
      </c>
      <c r="D107" s="23">
        <f>INDEX($P$10:$Q$14, MATCH(VAV_Schedule_5_21[[#This Row],[MARK]], $P$10:$P$14, 0), 2)</f>
        <v>8</v>
      </c>
      <c r="E107" s="24">
        <v>700</v>
      </c>
      <c r="F107" s="24">
        <v>140</v>
      </c>
      <c r="G107" s="28" t="s">
        <v>619</v>
      </c>
      <c r="H107" s="23" t="s">
        <v>620</v>
      </c>
      <c r="I107" s="23">
        <v>4</v>
      </c>
      <c r="J107" s="25"/>
      <c r="K107" t="str">
        <f t="shared" si="2"/>
        <v>Heating</v>
      </c>
      <c r="L107" t="str">
        <f>IF(IFERROR(FIND("1", VAV_Schedule_5_21[[#This Row],[NOTES]]), FALSE), "P70", "P30")</f>
        <v>P30</v>
      </c>
      <c r="M107" t="s">
        <v>596</v>
      </c>
      <c r="N107">
        <f t="shared" si="3"/>
        <v>15007</v>
      </c>
    </row>
    <row r="108" spans="1:14" x14ac:dyDescent="0.2">
      <c r="A108" s="24">
        <v>107</v>
      </c>
      <c r="B108" s="23" t="s">
        <v>144</v>
      </c>
      <c r="C108" s="23" t="s">
        <v>618</v>
      </c>
      <c r="D108" s="23">
        <f>INDEX($P$10:$Q$14, MATCH(VAV_Schedule_5_21[[#This Row],[MARK]], $P$10:$P$14, 0), 2)</f>
        <v>10</v>
      </c>
      <c r="E108" s="24">
        <v>1.1000000000000001</v>
      </c>
      <c r="F108" s="24">
        <v>220</v>
      </c>
      <c r="G108" s="28" t="s">
        <v>623</v>
      </c>
      <c r="H108" s="23" t="s">
        <v>624</v>
      </c>
      <c r="I108" s="23">
        <v>4</v>
      </c>
      <c r="J108" s="25" t="s">
        <v>630</v>
      </c>
      <c r="K108" t="str">
        <f t="shared" si="2"/>
        <v>Cooling</v>
      </c>
      <c r="L108" t="str">
        <f>IF(IFERROR(FIND("1", VAV_Schedule_5_21[[#This Row],[NOTES]]), FALSE), "P70", "P30")</f>
        <v>P30</v>
      </c>
      <c r="M108" t="s">
        <v>596</v>
      </c>
      <c r="N108">
        <f t="shared" si="3"/>
        <v>15006</v>
      </c>
    </row>
    <row r="109" spans="1:14" x14ac:dyDescent="0.2">
      <c r="A109" s="24">
        <v>108</v>
      </c>
      <c r="B109" s="23" t="s">
        <v>145</v>
      </c>
      <c r="C109" s="23" t="s">
        <v>618</v>
      </c>
      <c r="D109" s="23">
        <f>INDEX($P$10:$Q$14, MATCH(VAV_Schedule_5_21[[#This Row],[MARK]], $P$10:$P$14, 0), 2)</f>
        <v>10</v>
      </c>
      <c r="E109" s="24">
        <v>925</v>
      </c>
      <c r="F109" s="24">
        <v>0</v>
      </c>
      <c r="G109" s="28" t="s">
        <v>623</v>
      </c>
      <c r="H109" s="23" t="s">
        <v>624</v>
      </c>
      <c r="I109" s="23">
        <v>4</v>
      </c>
      <c r="J109" s="25"/>
      <c r="K109" t="str">
        <f t="shared" si="2"/>
        <v>Cooling</v>
      </c>
      <c r="L109" t="str">
        <f>IF(IFERROR(FIND("1", VAV_Schedule_5_21[[#This Row],[NOTES]]), FALSE), "P70", "P30")</f>
        <v>P30</v>
      </c>
      <c r="M109" t="s">
        <v>596</v>
      </c>
      <c r="N109">
        <f t="shared" si="3"/>
        <v>15006</v>
      </c>
    </row>
    <row r="110" spans="1:14" x14ac:dyDescent="0.2">
      <c r="A110" s="24">
        <v>109</v>
      </c>
      <c r="B110" s="23" t="s">
        <v>146</v>
      </c>
      <c r="C110" s="23" t="s">
        <v>628</v>
      </c>
      <c r="D110" s="23">
        <f>INDEX($P$10:$Q$14, MATCH(VAV_Schedule_5_21[[#This Row],[MARK]], $P$10:$P$14, 0), 2)</f>
        <v>12</v>
      </c>
      <c r="E110" s="24">
        <v>1.2150000000000001</v>
      </c>
      <c r="F110" s="24">
        <v>245</v>
      </c>
      <c r="G110" s="28" t="s">
        <v>623</v>
      </c>
      <c r="H110" s="23" t="s">
        <v>624</v>
      </c>
      <c r="I110" s="23">
        <v>4</v>
      </c>
      <c r="J110" s="25"/>
      <c r="K110" t="str">
        <f t="shared" si="2"/>
        <v>Cooling</v>
      </c>
      <c r="L110" t="str">
        <f>IF(IFERROR(FIND("1", VAV_Schedule_5_21[[#This Row],[NOTES]]), FALSE), "P70", "P30")</f>
        <v>P30</v>
      </c>
      <c r="M110" t="s">
        <v>596</v>
      </c>
      <c r="N110">
        <f t="shared" si="3"/>
        <v>15006</v>
      </c>
    </row>
    <row r="111" spans="1:14" x14ac:dyDescent="0.2">
      <c r="A111" s="24">
        <v>110</v>
      </c>
      <c r="B111" s="23" t="s">
        <v>147</v>
      </c>
      <c r="C111" s="23" t="s">
        <v>618</v>
      </c>
      <c r="D111" s="23">
        <f>INDEX($P$10:$Q$14, MATCH(VAV_Schedule_5_21[[#This Row],[MARK]], $P$10:$P$14, 0), 2)</f>
        <v>10</v>
      </c>
      <c r="E111" s="24">
        <v>800</v>
      </c>
      <c r="F111" s="24">
        <v>160</v>
      </c>
      <c r="G111" s="28" t="s">
        <v>621</v>
      </c>
      <c r="H111" s="23" t="s">
        <v>622</v>
      </c>
      <c r="I111" s="23">
        <v>4</v>
      </c>
      <c r="J111" s="25" t="s">
        <v>630</v>
      </c>
      <c r="K111" t="str">
        <f t="shared" si="2"/>
        <v>Heating</v>
      </c>
      <c r="L111" t="str">
        <f>IF(IFERROR(FIND("1", VAV_Schedule_5_21[[#This Row],[NOTES]]), FALSE), "P70", "P30")</f>
        <v>P30</v>
      </c>
      <c r="M111" t="s">
        <v>596</v>
      </c>
      <c r="N111">
        <f t="shared" si="3"/>
        <v>15007</v>
      </c>
    </row>
    <row r="112" spans="1:14" x14ac:dyDescent="0.2">
      <c r="A112" s="24">
        <v>111</v>
      </c>
      <c r="B112" s="23" t="s">
        <v>148</v>
      </c>
      <c r="C112" s="23" t="s">
        <v>618</v>
      </c>
      <c r="D112" s="23">
        <f>INDEX($P$10:$Q$14, MATCH(VAV_Schedule_5_21[[#This Row],[MARK]], $P$10:$P$14, 0), 2)</f>
        <v>10</v>
      </c>
      <c r="E112" s="24">
        <v>1.0349999999999999</v>
      </c>
      <c r="F112" s="24">
        <v>210</v>
      </c>
      <c r="G112" s="28" t="s">
        <v>623</v>
      </c>
      <c r="H112" s="23" t="s">
        <v>624</v>
      </c>
      <c r="I112" s="23">
        <v>4</v>
      </c>
      <c r="J112" s="25"/>
      <c r="K112" t="str">
        <f t="shared" si="2"/>
        <v>Cooling</v>
      </c>
      <c r="L112" t="str">
        <f>IF(IFERROR(FIND("1", VAV_Schedule_5_21[[#This Row],[NOTES]]), FALSE), "P70", "P30")</f>
        <v>P30</v>
      </c>
      <c r="M112" t="s">
        <v>596</v>
      </c>
      <c r="N112">
        <f t="shared" si="3"/>
        <v>15006</v>
      </c>
    </row>
    <row r="113" spans="1:14" x14ac:dyDescent="0.2">
      <c r="A113" s="24">
        <v>112</v>
      </c>
      <c r="B113" s="23" t="s">
        <v>149</v>
      </c>
      <c r="C113" s="23" t="s">
        <v>632</v>
      </c>
      <c r="D113" s="23">
        <f>INDEX($P$10:$Q$14, MATCH(VAV_Schedule_5_21[[#This Row],[MARK]], $P$10:$P$14, 0), 2)</f>
        <v>6</v>
      </c>
      <c r="E113" s="24">
        <v>300</v>
      </c>
      <c r="F113" s="24">
        <v>60</v>
      </c>
      <c r="G113" s="28" t="s">
        <v>623</v>
      </c>
      <c r="H113" s="23" t="s">
        <v>624</v>
      </c>
      <c r="I113" s="23">
        <v>4</v>
      </c>
      <c r="J113" s="25"/>
      <c r="K113" t="str">
        <f t="shared" si="2"/>
        <v>Cooling</v>
      </c>
      <c r="L113" t="str">
        <f>IF(IFERROR(FIND("1", VAV_Schedule_5_21[[#This Row],[NOTES]]), FALSE), "P70", "P30")</f>
        <v>P30</v>
      </c>
      <c r="M113" t="s">
        <v>596</v>
      </c>
      <c r="N113">
        <f t="shared" si="3"/>
        <v>15006</v>
      </c>
    </row>
    <row r="114" spans="1:14" x14ac:dyDescent="0.2">
      <c r="A114" s="24">
        <v>113</v>
      </c>
      <c r="B114" s="23" t="s">
        <v>150</v>
      </c>
      <c r="C114" s="23" t="s">
        <v>628</v>
      </c>
      <c r="D114" s="23">
        <f>INDEX($P$10:$Q$14, MATCH(VAV_Schedule_5_21[[#This Row],[MARK]], $P$10:$P$14, 0), 2)</f>
        <v>12</v>
      </c>
      <c r="E114" s="24">
        <v>1.4</v>
      </c>
      <c r="F114" s="24">
        <v>280</v>
      </c>
      <c r="G114" s="28" t="s">
        <v>621</v>
      </c>
      <c r="H114" s="23" t="s">
        <v>622</v>
      </c>
      <c r="I114" s="23">
        <v>4</v>
      </c>
      <c r="J114" s="25"/>
      <c r="K114" t="str">
        <f t="shared" si="2"/>
        <v>Heating</v>
      </c>
      <c r="L114" t="str">
        <f>IF(IFERROR(FIND("1", VAV_Schedule_5_21[[#This Row],[NOTES]]), FALSE), "P70", "P30")</f>
        <v>P30</v>
      </c>
      <c r="M114" t="s">
        <v>596</v>
      </c>
      <c r="N114">
        <f t="shared" si="3"/>
        <v>15007</v>
      </c>
    </row>
    <row r="115" spans="1:14" x14ac:dyDescent="0.2">
      <c r="A115" s="24">
        <v>114</v>
      </c>
      <c r="B115" s="23" t="s">
        <v>151</v>
      </c>
      <c r="C115" s="23" t="s">
        <v>625</v>
      </c>
      <c r="D115" s="23">
        <f>INDEX($P$10:$Q$14, MATCH(VAV_Schedule_5_21[[#This Row],[MARK]], $P$10:$P$14, 0), 2)</f>
        <v>8</v>
      </c>
      <c r="E115" s="24">
        <v>560</v>
      </c>
      <c r="F115" s="24">
        <v>115</v>
      </c>
      <c r="G115" s="28" t="s">
        <v>623</v>
      </c>
      <c r="H115" s="23" t="s">
        <v>624</v>
      </c>
      <c r="I115" s="23">
        <v>4</v>
      </c>
      <c r="J115" s="25"/>
      <c r="K115" t="str">
        <f t="shared" si="2"/>
        <v>Cooling</v>
      </c>
      <c r="L115" t="str">
        <f>IF(IFERROR(FIND("1", VAV_Schedule_5_21[[#This Row],[NOTES]]), FALSE), "P70", "P30")</f>
        <v>P30</v>
      </c>
      <c r="M115" t="s">
        <v>596</v>
      </c>
      <c r="N115">
        <f t="shared" si="3"/>
        <v>15006</v>
      </c>
    </row>
    <row r="116" spans="1:14" x14ac:dyDescent="0.2">
      <c r="A116" s="24">
        <v>115</v>
      </c>
      <c r="B116" s="23" t="s">
        <v>152</v>
      </c>
      <c r="C116" s="23" t="s">
        <v>628</v>
      </c>
      <c r="D116" s="23">
        <f>INDEX($P$10:$Q$14, MATCH(VAV_Schedule_5_21[[#This Row],[MARK]], $P$10:$P$14, 0), 2)</f>
        <v>12</v>
      </c>
      <c r="E116" s="24">
        <v>1.6</v>
      </c>
      <c r="F116" s="24">
        <v>320</v>
      </c>
      <c r="G116" s="28" t="s">
        <v>623</v>
      </c>
      <c r="H116" s="23" t="s">
        <v>624</v>
      </c>
      <c r="I116" s="23">
        <v>4</v>
      </c>
      <c r="J116" s="25"/>
      <c r="K116" t="str">
        <f t="shared" si="2"/>
        <v>Cooling</v>
      </c>
      <c r="L116" t="str">
        <f>IF(IFERROR(FIND("1", VAV_Schedule_5_21[[#This Row],[NOTES]]), FALSE), "P70", "P30")</f>
        <v>P30</v>
      </c>
      <c r="M116" t="s">
        <v>596</v>
      </c>
      <c r="N116">
        <f t="shared" si="3"/>
        <v>15006</v>
      </c>
    </row>
    <row r="117" spans="1:14" x14ac:dyDescent="0.2">
      <c r="A117" s="24">
        <v>116</v>
      </c>
      <c r="B117" s="23" t="s">
        <v>153</v>
      </c>
      <c r="C117" s="23" t="s">
        <v>618</v>
      </c>
      <c r="D117" s="23">
        <f>INDEX($P$10:$Q$14, MATCH(VAV_Schedule_5_21[[#This Row],[MARK]], $P$10:$P$14, 0), 2)</f>
        <v>10</v>
      </c>
      <c r="E117" s="24">
        <v>800</v>
      </c>
      <c r="F117" s="24">
        <v>160</v>
      </c>
      <c r="G117" s="28" t="s">
        <v>621</v>
      </c>
      <c r="H117" s="23" t="s">
        <v>622</v>
      </c>
      <c r="I117" s="23">
        <v>4</v>
      </c>
      <c r="J117" s="25" t="s">
        <v>630</v>
      </c>
      <c r="K117" t="str">
        <f t="shared" si="2"/>
        <v>Heating</v>
      </c>
      <c r="L117" t="str">
        <f>IF(IFERROR(FIND("1", VAV_Schedule_5_21[[#This Row],[NOTES]]), FALSE), "P70", "P30")</f>
        <v>P30</v>
      </c>
      <c r="M117" t="s">
        <v>596</v>
      </c>
      <c r="N117">
        <f t="shared" si="3"/>
        <v>15007</v>
      </c>
    </row>
    <row r="118" spans="1:14" x14ac:dyDescent="0.2">
      <c r="A118" s="24">
        <v>117</v>
      </c>
      <c r="B118" s="23" t="s">
        <v>154</v>
      </c>
      <c r="C118" s="23" t="s">
        <v>625</v>
      </c>
      <c r="D118" s="23">
        <f>INDEX($P$10:$Q$14, MATCH(VAV_Schedule_5_21[[#This Row],[MARK]], $P$10:$P$14, 0), 2)</f>
        <v>8</v>
      </c>
      <c r="E118" s="24">
        <v>640</v>
      </c>
      <c r="F118" s="24">
        <v>130</v>
      </c>
      <c r="G118" s="28" t="s">
        <v>619</v>
      </c>
      <c r="H118" s="23" t="s">
        <v>620</v>
      </c>
      <c r="I118" s="23">
        <v>4</v>
      </c>
      <c r="J118" s="25"/>
      <c r="K118" t="str">
        <f t="shared" si="2"/>
        <v>Heating</v>
      </c>
      <c r="L118" t="str">
        <f>IF(IFERROR(FIND("1", VAV_Schedule_5_21[[#This Row],[NOTES]]), FALSE), "P70", "P30")</f>
        <v>P30</v>
      </c>
      <c r="M118" t="s">
        <v>596</v>
      </c>
      <c r="N118">
        <f t="shared" si="3"/>
        <v>15007</v>
      </c>
    </row>
    <row r="119" spans="1:14" x14ac:dyDescent="0.2">
      <c r="A119" s="24">
        <v>118</v>
      </c>
      <c r="B119" s="23" t="s">
        <v>155</v>
      </c>
      <c r="C119" s="23" t="s">
        <v>618</v>
      </c>
      <c r="D119" s="23">
        <f>INDEX($P$10:$Q$14, MATCH(VAV_Schedule_5_21[[#This Row],[MARK]], $P$10:$P$14, 0), 2)</f>
        <v>10</v>
      </c>
      <c r="E119" s="24">
        <v>950</v>
      </c>
      <c r="F119" s="24">
        <v>0</v>
      </c>
      <c r="G119" s="28" t="s">
        <v>619</v>
      </c>
      <c r="H119" s="23" t="s">
        <v>620</v>
      </c>
      <c r="I119" s="23">
        <v>4</v>
      </c>
      <c r="J119" s="25" t="s">
        <v>636</v>
      </c>
      <c r="K119" t="str">
        <f t="shared" si="2"/>
        <v>Heating</v>
      </c>
      <c r="L119" t="str">
        <f>IF(IFERROR(FIND("1", VAV_Schedule_5_21[[#This Row],[NOTES]]), FALSE), "P70", "P30")</f>
        <v>P70</v>
      </c>
      <c r="M119" t="s">
        <v>596</v>
      </c>
      <c r="N119">
        <f t="shared" si="3"/>
        <v>15009</v>
      </c>
    </row>
    <row r="120" spans="1:14" x14ac:dyDescent="0.2">
      <c r="A120" s="24">
        <v>119</v>
      </c>
      <c r="B120" s="23" t="s">
        <v>156</v>
      </c>
      <c r="C120" s="23" t="s">
        <v>628</v>
      </c>
      <c r="D120" s="23">
        <f>INDEX($P$10:$Q$14, MATCH(VAV_Schedule_5_21[[#This Row],[MARK]], $P$10:$P$14, 0), 2)</f>
        <v>12</v>
      </c>
      <c r="E120" s="24">
        <v>1.4</v>
      </c>
      <c r="F120" s="24">
        <v>0</v>
      </c>
      <c r="G120" s="28" t="s">
        <v>623</v>
      </c>
      <c r="H120" s="23" t="s">
        <v>624</v>
      </c>
      <c r="I120" s="23">
        <v>4</v>
      </c>
      <c r="J120" s="25" t="s">
        <v>636</v>
      </c>
      <c r="K120" t="str">
        <f t="shared" si="2"/>
        <v>Cooling</v>
      </c>
      <c r="L120" t="str">
        <f>IF(IFERROR(FIND("1", VAV_Schedule_5_21[[#This Row],[NOTES]]), FALSE), "P70", "P30")</f>
        <v>P70</v>
      </c>
      <c r="M120" t="s">
        <v>596</v>
      </c>
      <c r="N120">
        <f t="shared" si="3"/>
        <v>15008</v>
      </c>
    </row>
    <row r="121" spans="1:14" x14ac:dyDescent="0.2">
      <c r="A121" s="24">
        <v>120</v>
      </c>
      <c r="B121" s="23" t="s">
        <v>157</v>
      </c>
      <c r="C121" s="23" t="s">
        <v>618</v>
      </c>
      <c r="D121" s="23">
        <f>INDEX($P$10:$Q$14, MATCH(VAV_Schedule_5_21[[#This Row],[MARK]], $P$10:$P$14, 0), 2)</f>
        <v>10</v>
      </c>
      <c r="E121" s="24">
        <v>900</v>
      </c>
      <c r="F121" s="24">
        <v>0</v>
      </c>
      <c r="G121" s="28" t="s">
        <v>619</v>
      </c>
      <c r="H121" s="23" t="s">
        <v>620</v>
      </c>
      <c r="I121" s="23">
        <v>4</v>
      </c>
      <c r="J121" s="25" t="s">
        <v>636</v>
      </c>
      <c r="K121" t="str">
        <f t="shared" si="2"/>
        <v>Heating</v>
      </c>
      <c r="L121" t="str">
        <f>IF(IFERROR(FIND("1", VAV_Schedule_5_21[[#This Row],[NOTES]]), FALSE), "P70", "P30")</f>
        <v>P70</v>
      </c>
      <c r="M121" t="s">
        <v>596</v>
      </c>
      <c r="N121">
        <f t="shared" si="3"/>
        <v>15009</v>
      </c>
    </row>
    <row r="122" spans="1:14" x14ac:dyDescent="0.2">
      <c r="A122" s="24">
        <v>121</v>
      </c>
      <c r="B122" s="23" t="s">
        <v>158</v>
      </c>
      <c r="C122" s="23" t="s">
        <v>628</v>
      </c>
      <c r="D122" s="23">
        <f>INDEX($P$10:$Q$14, MATCH(VAV_Schedule_5_21[[#This Row],[MARK]], $P$10:$P$14, 0), 2)</f>
        <v>12</v>
      </c>
      <c r="E122" s="24">
        <v>1.2050000000000001</v>
      </c>
      <c r="F122" s="24">
        <v>0</v>
      </c>
      <c r="G122" s="28" t="s">
        <v>623</v>
      </c>
      <c r="H122" s="23" t="s">
        <v>624</v>
      </c>
      <c r="I122" s="23">
        <v>4</v>
      </c>
      <c r="J122" s="25" t="s">
        <v>636</v>
      </c>
      <c r="K122" t="str">
        <f t="shared" si="2"/>
        <v>Cooling</v>
      </c>
      <c r="L122" t="str">
        <f>IF(IFERROR(FIND("1", VAV_Schedule_5_21[[#This Row],[NOTES]]), FALSE), "P70", "P30")</f>
        <v>P70</v>
      </c>
      <c r="M122" t="s">
        <v>596</v>
      </c>
      <c r="N122">
        <f t="shared" si="3"/>
        <v>15008</v>
      </c>
    </row>
    <row r="123" spans="1:14" x14ac:dyDescent="0.2">
      <c r="A123" s="24">
        <v>122</v>
      </c>
      <c r="B123" s="23" t="s">
        <v>159</v>
      </c>
      <c r="C123" s="23" t="s">
        <v>632</v>
      </c>
      <c r="D123" s="23">
        <f>INDEX($P$10:$Q$14, MATCH(VAV_Schedule_5_21[[#This Row],[MARK]], $P$10:$P$14, 0), 2)</f>
        <v>6</v>
      </c>
      <c r="E123" s="24">
        <v>320</v>
      </c>
      <c r="F123" s="24">
        <v>0</v>
      </c>
      <c r="G123" s="28" t="s">
        <v>623</v>
      </c>
      <c r="H123" s="23" t="s">
        <v>624</v>
      </c>
      <c r="I123" s="23">
        <v>4</v>
      </c>
      <c r="J123" s="25" t="s">
        <v>636</v>
      </c>
      <c r="K123" t="str">
        <f t="shared" si="2"/>
        <v>Cooling</v>
      </c>
      <c r="L123" t="str">
        <f>IF(IFERROR(FIND("1", VAV_Schedule_5_21[[#This Row],[NOTES]]), FALSE), "P70", "P30")</f>
        <v>P70</v>
      </c>
      <c r="M123" t="s">
        <v>596</v>
      </c>
      <c r="N123">
        <f t="shared" si="3"/>
        <v>15008</v>
      </c>
    </row>
    <row r="124" spans="1:14" x14ac:dyDescent="0.2">
      <c r="A124" s="24">
        <v>123</v>
      </c>
      <c r="B124" s="23" t="s">
        <v>160</v>
      </c>
      <c r="C124" s="23" t="s">
        <v>625</v>
      </c>
      <c r="D124" s="23">
        <f>INDEX($P$10:$Q$14, MATCH(VAV_Schedule_5_21[[#This Row],[MARK]], $P$10:$P$14, 0), 2)</f>
        <v>8</v>
      </c>
      <c r="E124" s="24">
        <v>600</v>
      </c>
      <c r="F124" s="24">
        <v>0</v>
      </c>
      <c r="G124" s="28" t="s">
        <v>623</v>
      </c>
      <c r="H124" s="23" t="s">
        <v>624</v>
      </c>
      <c r="I124" s="23">
        <v>4</v>
      </c>
      <c r="J124" s="25" t="s">
        <v>636</v>
      </c>
      <c r="K124" t="str">
        <f t="shared" si="2"/>
        <v>Cooling</v>
      </c>
      <c r="L124" t="str">
        <f>IF(IFERROR(FIND("1", VAV_Schedule_5_21[[#This Row],[NOTES]]), FALSE), "P70", "P30")</f>
        <v>P70</v>
      </c>
      <c r="M124" t="s">
        <v>596</v>
      </c>
      <c r="N124">
        <f t="shared" si="3"/>
        <v>15008</v>
      </c>
    </row>
    <row r="125" spans="1:14" x14ac:dyDescent="0.2">
      <c r="A125" s="24">
        <v>124</v>
      </c>
      <c r="B125" s="23" t="s">
        <v>161</v>
      </c>
      <c r="C125" s="23" t="s">
        <v>628</v>
      </c>
      <c r="D125" s="23">
        <f>INDEX($P$10:$Q$14, MATCH(VAV_Schedule_5_21[[#This Row],[MARK]], $P$10:$P$14, 0), 2)</f>
        <v>12</v>
      </c>
      <c r="E125" s="24">
        <v>1.2</v>
      </c>
      <c r="F125" s="24">
        <v>0</v>
      </c>
      <c r="G125" s="28" t="s">
        <v>631</v>
      </c>
      <c r="H125" s="23" t="s">
        <v>622</v>
      </c>
      <c r="I125" s="23">
        <v>4</v>
      </c>
      <c r="J125" s="25" t="s">
        <v>636</v>
      </c>
      <c r="K125" t="str">
        <f t="shared" si="2"/>
        <v>Heating</v>
      </c>
      <c r="L125" t="str">
        <f>IF(IFERROR(FIND("1", VAV_Schedule_5_21[[#This Row],[NOTES]]), FALSE), "P70", "P30")</f>
        <v>P70</v>
      </c>
      <c r="M125" t="s">
        <v>596</v>
      </c>
      <c r="N125">
        <f t="shared" si="3"/>
        <v>15009</v>
      </c>
    </row>
    <row r="126" spans="1:14" x14ac:dyDescent="0.2">
      <c r="A126" s="24">
        <v>125</v>
      </c>
      <c r="B126" s="23" t="s">
        <v>162</v>
      </c>
      <c r="C126" s="23" t="s">
        <v>625</v>
      </c>
      <c r="D126" s="23">
        <f>INDEX($P$10:$Q$14, MATCH(VAV_Schedule_5_21[[#This Row],[MARK]], $P$10:$P$14, 0), 2)</f>
        <v>8</v>
      </c>
      <c r="E126" s="24">
        <v>580</v>
      </c>
      <c r="F126" s="24">
        <v>120</v>
      </c>
      <c r="G126" s="28" t="s">
        <v>623</v>
      </c>
      <c r="H126" s="23" t="s">
        <v>624</v>
      </c>
      <c r="I126" s="23">
        <v>4</v>
      </c>
      <c r="J126" s="25"/>
      <c r="K126" t="str">
        <f t="shared" si="2"/>
        <v>Cooling</v>
      </c>
      <c r="L126" t="str">
        <f>IF(IFERROR(FIND("1", VAV_Schedule_5_21[[#This Row],[NOTES]]), FALSE), "P70", "P30")</f>
        <v>P30</v>
      </c>
      <c r="M126" t="s">
        <v>596</v>
      </c>
      <c r="N126">
        <f t="shared" si="3"/>
        <v>15006</v>
      </c>
    </row>
    <row r="127" spans="1:14" x14ac:dyDescent="0.2">
      <c r="A127" s="24">
        <v>126</v>
      </c>
      <c r="B127" s="23" t="s">
        <v>163</v>
      </c>
      <c r="C127" s="23" t="s">
        <v>628</v>
      </c>
      <c r="D127" s="23">
        <f>INDEX($P$10:$Q$14, MATCH(VAV_Schedule_5_21[[#This Row],[MARK]], $P$10:$P$14, 0), 2)</f>
        <v>12</v>
      </c>
      <c r="E127" s="24">
        <v>1.1599999999999999</v>
      </c>
      <c r="F127" s="24">
        <v>235</v>
      </c>
      <c r="G127" s="28" t="s">
        <v>619</v>
      </c>
      <c r="H127" s="23" t="s">
        <v>620</v>
      </c>
      <c r="I127" s="23">
        <v>4</v>
      </c>
      <c r="J127" s="25"/>
      <c r="K127" t="str">
        <f t="shared" si="2"/>
        <v>Heating</v>
      </c>
      <c r="L127" t="str">
        <f>IF(IFERROR(FIND("1", VAV_Schedule_5_21[[#This Row],[NOTES]]), FALSE), "P70", "P30")</f>
        <v>P30</v>
      </c>
      <c r="M127" t="s">
        <v>596</v>
      </c>
      <c r="N127">
        <f t="shared" si="3"/>
        <v>15007</v>
      </c>
    </row>
    <row r="128" spans="1:14" x14ac:dyDescent="0.2">
      <c r="A128" s="24">
        <v>127</v>
      </c>
      <c r="B128" s="23" t="s">
        <v>164</v>
      </c>
      <c r="C128" s="23" t="s">
        <v>625</v>
      </c>
      <c r="D128" s="23">
        <f>INDEX($P$10:$Q$14, MATCH(VAV_Schedule_5_21[[#This Row],[MARK]], $P$10:$P$14, 0), 2)</f>
        <v>8</v>
      </c>
      <c r="E128" s="24">
        <v>600</v>
      </c>
      <c r="F128" s="24">
        <v>120</v>
      </c>
      <c r="G128" s="28" t="s">
        <v>623</v>
      </c>
      <c r="H128" s="23" t="s">
        <v>624</v>
      </c>
      <c r="I128" s="23">
        <v>4</v>
      </c>
      <c r="J128" s="25"/>
      <c r="K128" t="str">
        <f t="shared" si="2"/>
        <v>Cooling</v>
      </c>
      <c r="L128" t="str">
        <f>IF(IFERROR(FIND("1", VAV_Schedule_5_21[[#This Row],[NOTES]]), FALSE), "P70", "P30")</f>
        <v>P30</v>
      </c>
      <c r="M128" t="s">
        <v>596</v>
      </c>
      <c r="N128">
        <f t="shared" si="3"/>
        <v>15006</v>
      </c>
    </row>
    <row r="129" spans="1:14" x14ac:dyDescent="0.2">
      <c r="A129" s="24">
        <v>128</v>
      </c>
      <c r="B129" s="23" t="s">
        <v>165</v>
      </c>
      <c r="C129" s="23" t="s">
        <v>618</v>
      </c>
      <c r="D129" s="23">
        <f>INDEX($P$10:$Q$14, MATCH(VAV_Schedule_5_21[[#This Row],[MARK]], $P$10:$P$14, 0), 2)</f>
        <v>10</v>
      </c>
      <c r="E129" s="24">
        <v>1.1000000000000001</v>
      </c>
      <c r="F129" s="24">
        <v>220</v>
      </c>
      <c r="G129" s="28" t="s">
        <v>631</v>
      </c>
      <c r="H129" s="23" t="s">
        <v>622</v>
      </c>
      <c r="I129" s="23">
        <v>4</v>
      </c>
      <c r="J129" s="25"/>
      <c r="K129" t="str">
        <f t="shared" si="2"/>
        <v>Heating</v>
      </c>
      <c r="L129" t="str">
        <f>IF(IFERROR(FIND("1", VAV_Schedule_5_21[[#This Row],[NOTES]]), FALSE), "P70", "P30")</f>
        <v>P30</v>
      </c>
      <c r="M129" t="s">
        <v>596</v>
      </c>
      <c r="N129">
        <f t="shared" si="3"/>
        <v>15007</v>
      </c>
    </row>
    <row r="130" spans="1:14" x14ac:dyDescent="0.2">
      <c r="A130" s="24">
        <v>129</v>
      </c>
      <c r="B130" s="23" t="s">
        <v>640</v>
      </c>
      <c r="C130" s="23" t="s">
        <v>632</v>
      </c>
      <c r="D130" s="23">
        <f>INDEX($P$10:$Q$14, MATCH(VAV_Schedule_5_21[[#This Row],[MARK]], $P$10:$P$14, 0), 2)</f>
        <v>6</v>
      </c>
      <c r="E130" s="24">
        <v>315</v>
      </c>
      <c r="F130" s="24">
        <v>0</v>
      </c>
      <c r="G130" s="28" t="s">
        <v>623</v>
      </c>
      <c r="H130" s="23" t="s">
        <v>624</v>
      </c>
      <c r="I130" s="23">
        <v>4</v>
      </c>
      <c r="J130" s="25" t="s">
        <v>637</v>
      </c>
      <c r="K130" t="str">
        <f t="shared" si="2"/>
        <v>Cooling</v>
      </c>
      <c r="L130" t="str">
        <f>IF(IFERROR(FIND("1", VAV_Schedule_5_21[[#This Row],[NOTES]]), FALSE), "P70", "P30")</f>
        <v>P70</v>
      </c>
      <c r="M130" t="s">
        <v>596</v>
      </c>
      <c r="N130">
        <f t="shared" si="3"/>
        <v>15008</v>
      </c>
    </row>
    <row r="131" spans="1:14" x14ac:dyDescent="0.2">
      <c r="A131" s="24">
        <v>130</v>
      </c>
      <c r="B131" s="23" t="s">
        <v>166</v>
      </c>
      <c r="C131" s="23" t="s">
        <v>625</v>
      </c>
      <c r="D131" s="23">
        <f>INDEX($P$10:$Q$14, MATCH(VAV_Schedule_5_21[[#This Row],[MARK]], $P$10:$P$14, 0), 2)</f>
        <v>8</v>
      </c>
      <c r="E131" s="24">
        <v>570</v>
      </c>
      <c r="F131" s="24">
        <v>115</v>
      </c>
      <c r="G131" s="28" t="s">
        <v>633</v>
      </c>
      <c r="H131" s="23" t="s">
        <v>620</v>
      </c>
      <c r="I131" s="23">
        <v>5</v>
      </c>
      <c r="J131" s="25"/>
      <c r="K131" t="str">
        <f t="shared" ref="K131:K194" si="4">IF(G131="-","Cooling","Heating")</f>
        <v>Heating</v>
      </c>
      <c r="L131" t="str">
        <f>IF(IFERROR(FIND("1", VAV_Schedule_5_21[[#This Row],[NOTES]]), FALSE), "P70", "P30")</f>
        <v>P30</v>
      </c>
      <c r="M131" t="s">
        <v>596</v>
      </c>
      <c r="N131">
        <f t="shared" ref="N131:N194" si="5">INDEX($P$2:$Q$9, MATCH(_xlfn.CONCAT($K131,$L131,M131), $P$2:$P$9, 0), 2)</f>
        <v>15007</v>
      </c>
    </row>
    <row r="132" spans="1:14" x14ac:dyDescent="0.2">
      <c r="A132" s="24">
        <v>131</v>
      </c>
      <c r="B132" s="23" t="s">
        <v>167</v>
      </c>
      <c r="C132" s="23" t="s">
        <v>625</v>
      </c>
      <c r="D132" s="23">
        <f>INDEX($P$10:$Q$14, MATCH(VAV_Schedule_5_21[[#This Row],[MARK]], $P$10:$P$14, 0), 2)</f>
        <v>8</v>
      </c>
      <c r="E132" s="24">
        <v>570</v>
      </c>
      <c r="F132" s="24">
        <v>115</v>
      </c>
      <c r="G132" s="28" t="s">
        <v>633</v>
      </c>
      <c r="H132" s="23" t="s">
        <v>620</v>
      </c>
      <c r="I132" s="23">
        <v>5</v>
      </c>
      <c r="J132" s="25"/>
      <c r="K132" t="str">
        <f t="shared" si="4"/>
        <v>Heating</v>
      </c>
      <c r="L132" t="str">
        <f>IF(IFERROR(FIND("1", VAV_Schedule_5_21[[#This Row],[NOTES]]), FALSE), "P70", "P30")</f>
        <v>P30</v>
      </c>
      <c r="M132" t="s">
        <v>596</v>
      </c>
      <c r="N132">
        <f t="shared" si="5"/>
        <v>15007</v>
      </c>
    </row>
    <row r="133" spans="1:14" x14ac:dyDescent="0.2">
      <c r="A133" s="24">
        <v>132</v>
      </c>
      <c r="B133" s="23" t="s">
        <v>168</v>
      </c>
      <c r="C133" s="23" t="s">
        <v>625</v>
      </c>
      <c r="D133" s="23">
        <f>INDEX($P$10:$Q$14, MATCH(VAV_Schedule_5_21[[#This Row],[MARK]], $P$10:$P$14, 0), 2)</f>
        <v>8</v>
      </c>
      <c r="E133" s="24">
        <v>510</v>
      </c>
      <c r="F133" s="24">
        <v>105</v>
      </c>
      <c r="G133" s="28" t="s">
        <v>633</v>
      </c>
      <c r="H133" s="23" t="s">
        <v>620</v>
      </c>
      <c r="I133" s="23">
        <v>5</v>
      </c>
      <c r="J133" s="25"/>
      <c r="K133" t="str">
        <f t="shared" si="4"/>
        <v>Heating</v>
      </c>
      <c r="L133" t="str">
        <f>IF(IFERROR(FIND("1", VAV_Schedule_5_21[[#This Row],[NOTES]]), FALSE), "P70", "P30")</f>
        <v>P30</v>
      </c>
      <c r="M133" t="s">
        <v>596</v>
      </c>
      <c r="N133">
        <f t="shared" si="5"/>
        <v>15007</v>
      </c>
    </row>
    <row r="134" spans="1:14" x14ac:dyDescent="0.2">
      <c r="A134" s="24">
        <v>133</v>
      </c>
      <c r="B134" s="23" t="s">
        <v>169</v>
      </c>
      <c r="C134" s="23" t="s">
        <v>618</v>
      </c>
      <c r="D134" s="23">
        <f>INDEX($P$10:$Q$14, MATCH(VAV_Schedule_5_21[[#This Row],[MARK]], $P$10:$P$14, 0), 2)</f>
        <v>10</v>
      </c>
      <c r="E134" s="24">
        <v>980</v>
      </c>
      <c r="F134" s="24">
        <v>200</v>
      </c>
      <c r="G134" s="28" t="s">
        <v>634</v>
      </c>
      <c r="H134" s="23" t="s">
        <v>622</v>
      </c>
      <c r="I134" s="23">
        <v>5</v>
      </c>
      <c r="J134" s="25" t="s">
        <v>630</v>
      </c>
      <c r="K134" t="str">
        <f t="shared" si="4"/>
        <v>Heating</v>
      </c>
      <c r="L134" t="str">
        <f>IF(IFERROR(FIND("1", VAV_Schedule_5_21[[#This Row],[NOTES]]), FALSE), "P70", "P30")</f>
        <v>P30</v>
      </c>
      <c r="M134" t="s">
        <v>596</v>
      </c>
      <c r="N134">
        <f t="shared" si="5"/>
        <v>15007</v>
      </c>
    </row>
    <row r="135" spans="1:14" x14ac:dyDescent="0.2">
      <c r="A135" s="24">
        <v>134</v>
      </c>
      <c r="B135" s="23" t="s">
        <v>170</v>
      </c>
      <c r="C135" s="23" t="s">
        <v>618</v>
      </c>
      <c r="D135" s="23">
        <f>INDEX($P$10:$Q$14, MATCH(VAV_Schedule_5_21[[#This Row],[MARK]], $P$10:$P$14, 0), 2)</f>
        <v>10</v>
      </c>
      <c r="E135" s="24">
        <v>1100</v>
      </c>
      <c r="F135" s="24">
        <v>220</v>
      </c>
      <c r="G135" s="28" t="s">
        <v>623</v>
      </c>
      <c r="H135" s="23" t="s">
        <v>624</v>
      </c>
      <c r="I135" s="23">
        <v>5</v>
      </c>
      <c r="J135" s="25"/>
      <c r="K135" t="str">
        <f t="shared" si="4"/>
        <v>Cooling</v>
      </c>
      <c r="L135" t="str">
        <f>IF(IFERROR(FIND("1", VAV_Schedule_5_21[[#This Row],[NOTES]]), FALSE), "P70", "P30")</f>
        <v>P30</v>
      </c>
      <c r="M135" t="s">
        <v>596</v>
      </c>
      <c r="N135">
        <f t="shared" si="5"/>
        <v>15006</v>
      </c>
    </row>
    <row r="136" spans="1:14" x14ac:dyDescent="0.2">
      <c r="A136" s="24">
        <v>135</v>
      </c>
      <c r="B136" s="23" t="s">
        <v>171</v>
      </c>
      <c r="C136" s="23" t="s">
        <v>618</v>
      </c>
      <c r="D136" s="23">
        <f>INDEX($P$10:$Q$14, MATCH(VAV_Schedule_5_21[[#This Row],[MARK]], $P$10:$P$14, 0), 2)</f>
        <v>10</v>
      </c>
      <c r="E136" s="24">
        <v>1095</v>
      </c>
      <c r="F136" s="24">
        <v>220</v>
      </c>
      <c r="G136" s="28" t="s">
        <v>623</v>
      </c>
      <c r="H136" s="23" t="s">
        <v>624</v>
      </c>
      <c r="I136" s="23">
        <v>5</v>
      </c>
      <c r="J136" s="25"/>
      <c r="K136" t="str">
        <f t="shared" si="4"/>
        <v>Cooling</v>
      </c>
      <c r="L136" t="str">
        <f>IF(IFERROR(FIND("1", VAV_Schedule_5_21[[#This Row],[NOTES]]), FALSE), "P70", "P30")</f>
        <v>P30</v>
      </c>
      <c r="M136" t="s">
        <v>596</v>
      </c>
      <c r="N136">
        <f t="shared" si="5"/>
        <v>15006</v>
      </c>
    </row>
    <row r="137" spans="1:14" x14ac:dyDescent="0.2">
      <c r="A137" s="24">
        <v>136</v>
      </c>
      <c r="B137" s="23" t="s">
        <v>172</v>
      </c>
      <c r="C137" s="23" t="s">
        <v>618</v>
      </c>
      <c r="D137" s="23">
        <f>INDEX($P$10:$Q$14, MATCH(VAV_Schedule_5_21[[#This Row],[MARK]], $P$10:$P$14, 0), 2)</f>
        <v>10</v>
      </c>
      <c r="E137" s="24">
        <v>810</v>
      </c>
      <c r="F137" s="24">
        <v>165</v>
      </c>
      <c r="G137" s="28" t="s">
        <v>623</v>
      </c>
      <c r="H137" s="23" t="s">
        <v>624</v>
      </c>
      <c r="I137" s="23">
        <v>5</v>
      </c>
      <c r="J137" s="25"/>
      <c r="K137" t="str">
        <f t="shared" si="4"/>
        <v>Cooling</v>
      </c>
      <c r="L137" t="str">
        <f>IF(IFERROR(FIND("1", VAV_Schedule_5_21[[#This Row],[NOTES]]), FALSE), "P70", "P30")</f>
        <v>P30</v>
      </c>
      <c r="M137" t="s">
        <v>596</v>
      </c>
      <c r="N137">
        <f t="shared" si="5"/>
        <v>15006</v>
      </c>
    </row>
    <row r="138" spans="1:14" x14ac:dyDescent="0.2">
      <c r="A138" s="24">
        <v>137</v>
      </c>
      <c r="B138" s="26" t="s">
        <v>641</v>
      </c>
      <c r="C138" s="23" t="s">
        <v>625</v>
      </c>
      <c r="D138" s="23">
        <f>INDEX($P$10:$Q$14, MATCH(VAV_Schedule_5_21[[#This Row],[MARK]], $P$10:$P$14, 0), 2)</f>
        <v>8</v>
      </c>
      <c r="E138" s="24">
        <v>550</v>
      </c>
      <c r="F138" s="24">
        <v>110</v>
      </c>
      <c r="G138" s="28" t="s">
        <v>623</v>
      </c>
      <c r="H138" s="23" t="s">
        <v>624</v>
      </c>
      <c r="I138" s="23">
        <v>5</v>
      </c>
      <c r="J138" s="25"/>
      <c r="K138" t="str">
        <f t="shared" si="4"/>
        <v>Cooling</v>
      </c>
      <c r="L138" t="str">
        <f>IF(IFERROR(FIND("1", VAV_Schedule_5_21[[#This Row],[NOTES]]), FALSE), "P70", "P30")</f>
        <v>P30</v>
      </c>
      <c r="M138" t="s">
        <v>596</v>
      </c>
      <c r="N138">
        <f t="shared" si="5"/>
        <v>15006</v>
      </c>
    </row>
    <row r="139" spans="1:14" x14ac:dyDescent="0.2">
      <c r="A139" s="24">
        <v>138</v>
      </c>
      <c r="B139" s="23" t="s">
        <v>173</v>
      </c>
      <c r="C139" s="23" t="s">
        <v>618</v>
      </c>
      <c r="D139" s="23">
        <f>INDEX($P$10:$Q$14, MATCH(VAV_Schedule_5_21[[#This Row],[MARK]], $P$10:$P$14, 0), 2)</f>
        <v>10</v>
      </c>
      <c r="E139" s="24">
        <v>750</v>
      </c>
      <c r="F139" s="24">
        <v>150</v>
      </c>
      <c r="G139" s="28" t="s">
        <v>623</v>
      </c>
      <c r="H139" s="23" t="s">
        <v>624</v>
      </c>
      <c r="I139" s="23">
        <v>5</v>
      </c>
      <c r="J139" s="25"/>
      <c r="K139" t="str">
        <f t="shared" si="4"/>
        <v>Cooling</v>
      </c>
      <c r="L139" t="str">
        <f>IF(IFERROR(FIND("1", VAV_Schedule_5_21[[#This Row],[NOTES]]), FALSE), "P70", "P30")</f>
        <v>P30</v>
      </c>
      <c r="M139" t="s">
        <v>596</v>
      </c>
      <c r="N139">
        <f t="shared" si="5"/>
        <v>15006</v>
      </c>
    </row>
    <row r="140" spans="1:14" x14ac:dyDescent="0.2">
      <c r="A140" s="24">
        <v>139</v>
      </c>
      <c r="B140" s="23" t="s">
        <v>174</v>
      </c>
      <c r="C140" s="23" t="s">
        <v>618</v>
      </c>
      <c r="D140" s="23">
        <f>INDEX($P$10:$Q$14, MATCH(VAV_Schedule_5_21[[#This Row],[MARK]], $P$10:$P$14, 0), 2)</f>
        <v>10</v>
      </c>
      <c r="E140" s="24">
        <v>750</v>
      </c>
      <c r="F140" s="24">
        <v>150</v>
      </c>
      <c r="G140" s="28" t="s">
        <v>623</v>
      </c>
      <c r="H140" s="23" t="s">
        <v>624</v>
      </c>
      <c r="I140" s="23">
        <v>5</v>
      </c>
      <c r="J140" s="25"/>
      <c r="K140" t="str">
        <f t="shared" si="4"/>
        <v>Cooling</v>
      </c>
      <c r="L140" t="str">
        <f>IF(IFERROR(FIND("1", VAV_Schedule_5_21[[#This Row],[NOTES]]), FALSE), "P70", "P30")</f>
        <v>P30</v>
      </c>
      <c r="M140" t="s">
        <v>596</v>
      </c>
      <c r="N140">
        <f t="shared" si="5"/>
        <v>15006</v>
      </c>
    </row>
    <row r="141" spans="1:14" x14ac:dyDescent="0.2">
      <c r="A141" s="24">
        <v>140</v>
      </c>
      <c r="B141" s="23" t="s">
        <v>175</v>
      </c>
      <c r="C141" s="23" t="s">
        <v>618</v>
      </c>
      <c r="D141" s="23">
        <f>INDEX($P$10:$Q$14, MATCH(VAV_Schedule_5_21[[#This Row],[MARK]], $P$10:$P$14, 0), 2)</f>
        <v>10</v>
      </c>
      <c r="E141" s="24">
        <v>750</v>
      </c>
      <c r="F141" s="24">
        <v>150</v>
      </c>
      <c r="G141" s="28" t="s">
        <v>623</v>
      </c>
      <c r="H141" s="23" t="s">
        <v>624</v>
      </c>
      <c r="I141" s="23">
        <v>5</v>
      </c>
      <c r="J141" s="25"/>
      <c r="K141" t="str">
        <f t="shared" si="4"/>
        <v>Cooling</v>
      </c>
      <c r="L141" t="str">
        <f>IF(IFERROR(FIND("1", VAV_Schedule_5_21[[#This Row],[NOTES]]), FALSE), "P70", "P30")</f>
        <v>P30</v>
      </c>
      <c r="M141" t="s">
        <v>596</v>
      </c>
      <c r="N141">
        <f t="shared" si="5"/>
        <v>15006</v>
      </c>
    </row>
    <row r="142" spans="1:14" x14ac:dyDescent="0.2">
      <c r="A142" s="24">
        <v>141</v>
      </c>
      <c r="B142" s="23" t="s">
        <v>176</v>
      </c>
      <c r="C142" s="23" t="s">
        <v>628</v>
      </c>
      <c r="D142" s="23">
        <f>INDEX($P$10:$Q$14, MATCH(VAV_Schedule_5_21[[#This Row],[MARK]], $P$10:$P$14, 0), 2)</f>
        <v>12</v>
      </c>
      <c r="E142" s="24">
        <v>1200</v>
      </c>
      <c r="F142" s="24">
        <v>240</v>
      </c>
      <c r="G142" s="28" t="s">
        <v>634</v>
      </c>
      <c r="H142" s="23" t="s">
        <v>622</v>
      </c>
      <c r="I142" s="23">
        <v>5</v>
      </c>
      <c r="J142" s="25" t="s">
        <v>630</v>
      </c>
      <c r="K142" t="str">
        <f t="shared" si="4"/>
        <v>Heating</v>
      </c>
      <c r="L142" t="str">
        <f>IF(IFERROR(FIND("1", VAV_Schedule_5_21[[#This Row],[NOTES]]), FALSE), "P70", "P30")</f>
        <v>P30</v>
      </c>
      <c r="M142" t="s">
        <v>596</v>
      </c>
      <c r="N142">
        <f t="shared" si="5"/>
        <v>15007</v>
      </c>
    </row>
    <row r="143" spans="1:14" x14ac:dyDescent="0.2">
      <c r="A143" s="24">
        <v>142</v>
      </c>
      <c r="B143" s="23" t="s">
        <v>177</v>
      </c>
      <c r="C143" s="23" t="s">
        <v>625</v>
      </c>
      <c r="D143" s="23">
        <f>INDEX($P$10:$Q$14, MATCH(VAV_Schedule_5_21[[#This Row],[MARK]], $P$10:$P$14, 0), 2)</f>
        <v>8</v>
      </c>
      <c r="E143" s="24">
        <v>570</v>
      </c>
      <c r="F143" s="24">
        <v>115</v>
      </c>
      <c r="G143" s="28" t="s">
        <v>633</v>
      </c>
      <c r="H143" s="23" t="s">
        <v>620</v>
      </c>
      <c r="I143" s="23">
        <v>5</v>
      </c>
      <c r="J143" s="25"/>
      <c r="K143" t="str">
        <f t="shared" si="4"/>
        <v>Heating</v>
      </c>
      <c r="L143" t="str">
        <f>IF(IFERROR(FIND("1", VAV_Schedule_5_21[[#This Row],[NOTES]]), FALSE), "P70", "P30")</f>
        <v>P30</v>
      </c>
      <c r="M143" t="s">
        <v>596</v>
      </c>
      <c r="N143">
        <f t="shared" si="5"/>
        <v>15007</v>
      </c>
    </row>
    <row r="144" spans="1:14" x14ac:dyDescent="0.2">
      <c r="A144" s="24">
        <v>143</v>
      </c>
      <c r="B144" s="23" t="s">
        <v>178</v>
      </c>
      <c r="C144" s="23" t="s">
        <v>625</v>
      </c>
      <c r="D144" s="23">
        <f>INDEX($P$10:$Q$14, MATCH(VAV_Schedule_5_21[[#This Row],[MARK]], $P$10:$P$14, 0), 2)</f>
        <v>8</v>
      </c>
      <c r="E144" s="24">
        <v>525</v>
      </c>
      <c r="F144" s="24">
        <v>105</v>
      </c>
      <c r="G144" s="28" t="s">
        <v>633</v>
      </c>
      <c r="H144" s="23" t="s">
        <v>620</v>
      </c>
      <c r="I144" s="23">
        <v>5</v>
      </c>
      <c r="J144" s="25"/>
      <c r="K144" t="str">
        <f t="shared" si="4"/>
        <v>Heating</v>
      </c>
      <c r="L144" t="str">
        <f>IF(IFERROR(FIND("1", VAV_Schedule_5_21[[#This Row],[NOTES]]), FALSE), "P70", "P30")</f>
        <v>P30</v>
      </c>
      <c r="M144" t="s">
        <v>596</v>
      </c>
      <c r="N144">
        <f t="shared" si="5"/>
        <v>15007</v>
      </c>
    </row>
    <row r="145" spans="1:14" x14ac:dyDescent="0.2">
      <c r="A145" s="24">
        <v>144</v>
      </c>
      <c r="B145" s="23" t="s">
        <v>179</v>
      </c>
      <c r="C145" s="23" t="s">
        <v>625</v>
      </c>
      <c r="D145" s="23">
        <f>INDEX($P$10:$Q$14, MATCH(VAV_Schedule_5_21[[#This Row],[MARK]], $P$10:$P$14, 0), 2)</f>
        <v>8</v>
      </c>
      <c r="E145" s="24">
        <v>490</v>
      </c>
      <c r="F145" s="24">
        <v>100</v>
      </c>
      <c r="G145" s="28" t="s">
        <v>633</v>
      </c>
      <c r="H145" s="23" t="s">
        <v>620</v>
      </c>
      <c r="I145" s="23">
        <v>5</v>
      </c>
      <c r="J145" s="25"/>
      <c r="K145" t="str">
        <f t="shared" si="4"/>
        <v>Heating</v>
      </c>
      <c r="L145" t="str">
        <f>IF(IFERROR(FIND("1", VAV_Schedule_5_21[[#This Row],[NOTES]]), FALSE), "P70", "P30")</f>
        <v>P30</v>
      </c>
      <c r="M145" t="s">
        <v>596</v>
      </c>
      <c r="N145">
        <f t="shared" si="5"/>
        <v>15007</v>
      </c>
    </row>
    <row r="146" spans="1:14" x14ac:dyDescent="0.2">
      <c r="A146" s="24">
        <v>145</v>
      </c>
      <c r="B146" s="26" t="s">
        <v>642</v>
      </c>
      <c r="C146" s="23" t="s">
        <v>618</v>
      </c>
      <c r="D146" s="23">
        <f>INDEX($P$10:$Q$14, MATCH(VAV_Schedule_5_21[[#This Row],[MARK]], $P$10:$P$14, 0), 2)</f>
        <v>10</v>
      </c>
      <c r="E146" s="24">
        <v>800</v>
      </c>
      <c r="F146" s="24">
        <v>160</v>
      </c>
      <c r="G146" s="28" t="s">
        <v>623</v>
      </c>
      <c r="H146" s="23" t="s">
        <v>624</v>
      </c>
      <c r="I146" s="23">
        <v>5</v>
      </c>
      <c r="J146" s="25"/>
      <c r="K146" t="str">
        <f t="shared" si="4"/>
        <v>Cooling</v>
      </c>
      <c r="L146" t="str">
        <f>IF(IFERROR(FIND("1", VAV_Schedule_5_21[[#This Row],[NOTES]]), FALSE), "P70", "P30")</f>
        <v>P30</v>
      </c>
      <c r="M146" t="s">
        <v>596</v>
      </c>
      <c r="N146">
        <f t="shared" si="5"/>
        <v>15006</v>
      </c>
    </row>
    <row r="147" spans="1:14" x14ac:dyDescent="0.2">
      <c r="A147" s="24">
        <v>146</v>
      </c>
      <c r="B147" s="23" t="s">
        <v>180</v>
      </c>
      <c r="C147" s="23" t="s">
        <v>618</v>
      </c>
      <c r="D147" s="23">
        <f>INDEX($P$10:$Q$14, MATCH(VAV_Schedule_5_21[[#This Row],[MARK]], $P$10:$P$14, 0), 2)</f>
        <v>10</v>
      </c>
      <c r="E147" s="24">
        <v>1050</v>
      </c>
      <c r="F147" s="24">
        <v>210</v>
      </c>
      <c r="G147" s="28" t="s">
        <v>631</v>
      </c>
      <c r="H147" s="23" t="s">
        <v>622</v>
      </c>
      <c r="I147" s="23">
        <v>5</v>
      </c>
      <c r="J147" s="25"/>
      <c r="K147" t="str">
        <f t="shared" si="4"/>
        <v>Heating</v>
      </c>
      <c r="L147" t="str">
        <f>IF(IFERROR(FIND("1", VAV_Schedule_5_21[[#This Row],[NOTES]]), FALSE), "P70", "P30")</f>
        <v>P30</v>
      </c>
      <c r="M147" t="s">
        <v>596</v>
      </c>
      <c r="N147">
        <f t="shared" si="5"/>
        <v>15007</v>
      </c>
    </row>
    <row r="148" spans="1:14" x14ac:dyDescent="0.2">
      <c r="A148" s="24">
        <v>147</v>
      </c>
      <c r="B148" s="26" t="s">
        <v>643</v>
      </c>
      <c r="C148" s="23" t="s">
        <v>618</v>
      </c>
      <c r="D148" s="23">
        <f>INDEX($P$10:$Q$14, MATCH(VAV_Schedule_5_21[[#This Row],[MARK]], $P$10:$P$14, 0), 2)</f>
        <v>10</v>
      </c>
      <c r="E148" s="24">
        <v>800</v>
      </c>
      <c r="F148" s="24">
        <v>160</v>
      </c>
      <c r="G148" s="28" t="s">
        <v>623</v>
      </c>
      <c r="H148" s="23" t="s">
        <v>624</v>
      </c>
      <c r="I148" s="23">
        <v>5</v>
      </c>
      <c r="J148" s="25"/>
      <c r="K148" t="str">
        <f t="shared" si="4"/>
        <v>Cooling</v>
      </c>
      <c r="L148" t="str">
        <f>IF(IFERROR(FIND("1", VAV_Schedule_5_21[[#This Row],[NOTES]]), FALSE), "P70", "P30")</f>
        <v>P30</v>
      </c>
      <c r="M148" t="s">
        <v>596</v>
      </c>
      <c r="N148">
        <f t="shared" si="5"/>
        <v>15006</v>
      </c>
    </row>
    <row r="149" spans="1:14" x14ac:dyDescent="0.2">
      <c r="A149" s="24">
        <v>148</v>
      </c>
      <c r="B149" s="23" t="s">
        <v>181</v>
      </c>
      <c r="C149" s="23" t="s">
        <v>618</v>
      </c>
      <c r="D149" s="23">
        <f>INDEX($P$10:$Q$14, MATCH(VAV_Schedule_5_21[[#This Row],[MARK]], $P$10:$P$14, 0), 2)</f>
        <v>10</v>
      </c>
      <c r="E149" s="24">
        <v>840</v>
      </c>
      <c r="F149" s="24">
        <v>170</v>
      </c>
      <c r="G149" s="28" t="s">
        <v>619</v>
      </c>
      <c r="H149" s="23" t="s">
        <v>620</v>
      </c>
      <c r="I149" s="23">
        <v>5</v>
      </c>
      <c r="J149" s="25"/>
      <c r="K149" t="str">
        <f t="shared" si="4"/>
        <v>Heating</v>
      </c>
      <c r="L149" t="str">
        <f>IF(IFERROR(FIND("1", VAV_Schedule_5_21[[#This Row],[NOTES]]), FALSE), "P70", "P30")</f>
        <v>P30</v>
      </c>
      <c r="M149" t="s">
        <v>596</v>
      </c>
      <c r="N149">
        <f t="shared" si="5"/>
        <v>15007</v>
      </c>
    </row>
    <row r="150" spans="1:14" x14ac:dyDescent="0.2">
      <c r="A150" s="24">
        <v>149</v>
      </c>
      <c r="B150" s="23" t="s">
        <v>182</v>
      </c>
      <c r="C150" s="23" t="s">
        <v>618</v>
      </c>
      <c r="D150" s="23">
        <f>INDEX($P$10:$Q$14, MATCH(VAV_Schedule_5_21[[#This Row],[MARK]], $P$10:$P$14, 0), 2)</f>
        <v>10</v>
      </c>
      <c r="E150" s="24">
        <v>1050</v>
      </c>
      <c r="F150" s="24">
        <v>210</v>
      </c>
      <c r="G150" s="28" t="s">
        <v>631</v>
      </c>
      <c r="H150" s="23" t="s">
        <v>622</v>
      </c>
      <c r="I150" s="23">
        <v>5</v>
      </c>
      <c r="J150" s="25"/>
      <c r="K150" t="str">
        <f t="shared" si="4"/>
        <v>Heating</v>
      </c>
      <c r="L150" t="str">
        <f>IF(IFERROR(FIND("1", VAV_Schedule_5_21[[#This Row],[NOTES]]), FALSE), "P70", "P30")</f>
        <v>P30</v>
      </c>
      <c r="M150" t="s">
        <v>596</v>
      </c>
      <c r="N150">
        <f t="shared" si="5"/>
        <v>15007</v>
      </c>
    </row>
    <row r="151" spans="1:14" x14ac:dyDescent="0.2">
      <c r="A151" s="24">
        <v>150</v>
      </c>
      <c r="B151" s="23" t="s">
        <v>183</v>
      </c>
      <c r="C151" s="23" t="s">
        <v>625</v>
      </c>
      <c r="D151" s="23">
        <f>INDEX($P$10:$Q$14, MATCH(VAV_Schedule_5_21[[#This Row],[MARK]], $P$10:$P$14, 0), 2)</f>
        <v>8</v>
      </c>
      <c r="E151" s="24">
        <v>640</v>
      </c>
      <c r="F151" s="24">
        <v>130</v>
      </c>
      <c r="G151" s="28" t="s">
        <v>619</v>
      </c>
      <c r="H151" s="23" t="s">
        <v>620</v>
      </c>
      <c r="I151" s="23">
        <v>5</v>
      </c>
      <c r="J151" s="25"/>
      <c r="K151" t="str">
        <f t="shared" si="4"/>
        <v>Heating</v>
      </c>
      <c r="L151" t="str">
        <f>IF(IFERROR(FIND("1", VAV_Schedule_5_21[[#This Row],[NOTES]]), FALSE), "P70", "P30")</f>
        <v>P30</v>
      </c>
      <c r="M151" t="s">
        <v>596</v>
      </c>
      <c r="N151">
        <f t="shared" si="5"/>
        <v>15007</v>
      </c>
    </row>
    <row r="152" spans="1:14" x14ac:dyDescent="0.2">
      <c r="A152" s="24">
        <v>151</v>
      </c>
      <c r="B152" s="23" t="s">
        <v>184</v>
      </c>
      <c r="C152" s="23" t="s">
        <v>618</v>
      </c>
      <c r="D152" s="23">
        <f>INDEX($P$10:$Q$14, MATCH(VAV_Schedule_5_21[[#This Row],[MARK]], $P$10:$P$14, 0), 2)</f>
        <v>10</v>
      </c>
      <c r="E152" s="24">
        <v>850</v>
      </c>
      <c r="F152" s="24">
        <v>170</v>
      </c>
      <c r="G152" s="28" t="s">
        <v>619</v>
      </c>
      <c r="H152" s="23" t="s">
        <v>620</v>
      </c>
      <c r="I152" s="23">
        <v>5</v>
      </c>
      <c r="J152" s="25"/>
      <c r="K152" t="str">
        <f t="shared" si="4"/>
        <v>Heating</v>
      </c>
      <c r="L152" t="str">
        <f>IF(IFERROR(FIND("1", VAV_Schedule_5_21[[#This Row],[NOTES]]), FALSE), "P70", "P30")</f>
        <v>P30</v>
      </c>
      <c r="M152" t="s">
        <v>596</v>
      </c>
      <c r="N152">
        <f t="shared" si="5"/>
        <v>15007</v>
      </c>
    </row>
    <row r="153" spans="1:14" x14ac:dyDescent="0.2">
      <c r="A153" s="24">
        <v>152</v>
      </c>
      <c r="B153" s="23" t="s">
        <v>185</v>
      </c>
      <c r="C153" s="23" t="s">
        <v>625</v>
      </c>
      <c r="D153" s="23">
        <f>INDEX($P$10:$Q$14, MATCH(VAV_Schedule_5_21[[#This Row],[MARK]], $P$10:$P$14, 0), 2)</f>
        <v>8</v>
      </c>
      <c r="E153" s="24">
        <v>690</v>
      </c>
      <c r="F153" s="24">
        <v>140</v>
      </c>
      <c r="G153" s="28" t="s">
        <v>619</v>
      </c>
      <c r="H153" s="23" t="s">
        <v>620</v>
      </c>
      <c r="I153" s="23">
        <v>5</v>
      </c>
      <c r="J153" s="25"/>
      <c r="K153" t="str">
        <f t="shared" si="4"/>
        <v>Heating</v>
      </c>
      <c r="L153" t="str">
        <f>IF(IFERROR(FIND("1", VAV_Schedule_5_21[[#This Row],[NOTES]]), FALSE), "P70", "P30")</f>
        <v>P30</v>
      </c>
      <c r="M153" t="s">
        <v>596</v>
      </c>
      <c r="N153">
        <f t="shared" si="5"/>
        <v>15007</v>
      </c>
    </row>
    <row r="154" spans="1:14" x14ac:dyDescent="0.2">
      <c r="A154" s="24">
        <v>153</v>
      </c>
      <c r="B154" s="26" t="s">
        <v>644</v>
      </c>
      <c r="C154" s="23" t="s">
        <v>625</v>
      </c>
      <c r="D154" s="23">
        <f>INDEX($P$10:$Q$14, MATCH(VAV_Schedule_5_21[[#This Row],[MARK]], $P$10:$P$14, 0), 2)</f>
        <v>8</v>
      </c>
      <c r="E154" s="24">
        <v>600</v>
      </c>
      <c r="F154" s="24">
        <v>120</v>
      </c>
      <c r="G154" s="28" t="s">
        <v>623</v>
      </c>
      <c r="H154" s="23" t="s">
        <v>624</v>
      </c>
      <c r="I154" s="23">
        <v>5</v>
      </c>
      <c r="J154" s="25"/>
      <c r="K154" t="str">
        <f t="shared" si="4"/>
        <v>Cooling</v>
      </c>
      <c r="L154" t="str">
        <f>IF(IFERROR(FIND("1", VAV_Schedule_5_21[[#This Row],[NOTES]]), FALSE), "P70", "P30")</f>
        <v>P30</v>
      </c>
      <c r="M154" t="s">
        <v>596</v>
      </c>
      <c r="N154">
        <f t="shared" si="5"/>
        <v>15006</v>
      </c>
    </row>
    <row r="155" spans="1:14" x14ac:dyDescent="0.2">
      <c r="A155" s="24">
        <v>154</v>
      </c>
      <c r="B155" s="23" t="s">
        <v>186</v>
      </c>
      <c r="C155" s="23" t="s">
        <v>628</v>
      </c>
      <c r="D155" s="23">
        <f>INDEX($P$10:$Q$14, MATCH(VAV_Schedule_5_21[[#This Row],[MARK]], $P$10:$P$14, 0), 2)</f>
        <v>12</v>
      </c>
      <c r="E155" s="24">
        <v>1200</v>
      </c>
      <c r="F155" s="24">
        <v>240</v>
      </c>
      <c r="G155" s="28" t="s">
        <v>623</v>
      </c>
      <c r="H155" s="23" t="s">
        <v>624</v>
      </c>
      <c r="I155" s="23">
        <v>5</v>
      </c>
      <c r="J155" s="25" t="s">
        <v>630</v>
      </c>
      <c r="K155" t="str">
        <f t="shared" si="4"/>
        <v>Cooling</v>
      </c>
      <c r="L155" t="str">
        <f>IF(IFERROR(FIND("1", VAV_Schedule_5_21[[#This Row],[NOTES]]), FALSE), "P70", "P30")</f>
        <v>P30</v>
      </c>
      <c r="M155" t="s">
        <v>596</v>
      </c>
      <c r="N155">
        <f t="shared" si="5"/>
        <v>15006</v>
      </c>
    </row>
    <row r="156" spans="1:14" x14ac:dyDescent="0.2">
      <c r="A156" s="24">
        <v>155</v>
      </c>
      <c r="B156" s="23" t="s">
        <v>187</v>
      </c>
      <c r="C156" s="23" t="s">
        <v>618</v>
      </c>
      <c r="D156" s="23">
        <f>INDEX($P$10:$Q$14, MATCH(VAV_Schedule_5_21[[#This Row],[MARK]], $P$10:$P$14, 0), 2)</f>
        <v>10</v>
      </c>
      <c r="E156" s="24">
        <v>925</v>
      </c>
      <c r="F156" s="24">
        <v>0</v>
      </c>
      <c r="G156" s="28" t="s">
        <v>623</v>
      </c>
      <c r="H156" s="23" t="s">
        <v>624</v>
      </c>
      <c r="I156" s="23">
        <v>5</v>
      </c>
      <c r="J156" s="25" t="s">
        <v>630</v>
      </c>
      <c r="K156" t="str">
        <f t="shared" si="4"/>
        <v>Cooling</v>
      </c>
      <c r="L156" t="str">
        <f>IF(IFERROR(FIND("1", VAV_Schedule_5_21[[#This Row],[NOTES]]), FALSE), "P70", "P30")</f>
        <v>P30</v>
      </c>
      <c r="M156" t="s">
        <v>596</v>
      </c>
      <c r="N156">
        <f t="shared" si="5"/>
        <v>15006</v>
      </c>
    </row>
    <row r="157" spans="1:14" x14ac:dyDescent="0.2">
      <c r="A157" s="24">
        <v>156</v>
      </c>
      <c r="B157" s="23" t="s">
        <v>188</v>
      </c>
      <c r="C157" s="23" t="s">
        <v>628</v>
      </c>
      <c r="D157" s="23">
        <f>INDEX($P$10:$Q$14, MATCH(VAV_Schedule_5_21[[#This Row],[MARK]], $P$10:$P$14, 0), 2)</f>
        <v>12</v>
      </c>
      <c r="E157" s="24">
        <v>1350</v>
      </c>
      <c r="F157" s="24">
        <v>270</v>
      </c>
      <c r="G157" s="28" t="s">
        <v>623</v>
      </c>
      <c r="H157" s="23" t="s">
        <v>624</v>
      </c>
      <c r="I157" s="23">
        <v>5</v>
      </c>
      <c r="J157" s="25"/>
      <c r="K157" t="str">
        <f t="shared" si="4"/>
        <v>Cooling</v>
      </c>
      <c r="L157" t="str">
        <f>IF(IFERROR(FIND("1", VAV_Schedule_5_21[[#This Row],[NOTES]]), FALSE), "P70", "P30")</f>
        <v>P30</v>
      </c>
      <c r="M157" t="s">
        <v>596</v>
      </c>
      <c r="N157">
        <f t="shared" si="5"/>
        <v>15006</v>
      </c>
    </row>
    <row r="158" spans="1:14" x14ac:dyDescent="0.2">
      <c r="A158" s="24">
        <v>157</v>
      </c>
      <c r="B158" s="23" t="s">
        <v>189</v>
      </c>
      <c r="C158" s="23" t="s">
        <v>618</v>
      </c>
      <c r="D158" s="23">
        <f>INDEX($P$10:$Q$14, MATCH(VAV_Schedule_5_21[[#This Row],[MARK]], $P$10:$P$14, 0), 2)</f>
        <v>10</v>
      </c>
      <c r="E158" s="24">
        <v>800</v>
      </c>
      <c r="F158" s="24">
        <v>160</v>
      </c>
      <c r="G158" s="28" t="s">
        <v>621</v>
      </c>
      <c r="H158" s="23" t="s">
        <v>622</v>
      </c>
      <c r="I158" s="23">
        <v>5</v>
      </c>
      <c r="J158" s="25"/>
      <c r="K158" t="str">
        <f t="shared" si="4"/>
        <v>Heating</v>
      </c>
      <c r="L158" t="str">
        <f>IF(IFERROR(FIND("1", VAV_Schedule_5_21[[#This Row],[NOTES]]), FALSE), "P70", "P30")</f>
        <v>P30</v>
      </c>
      <c r="M158" t="s">
        <v>596</v>
      </c>
      <c r="N158">
        <f t="shared" si="5"/>
        <v>15007</v>
      </c>
    </row>
    <row r="159" spans="1:14" x14ac:dyDescent="0.2">
      <c r="A159" s="24">
        <v>158</v>
      </c>
      <c r="B159" s="23" t="s">
        <v>190</v>
      </c>
      <c r="C159" s="23" t="s">
        <v>632</v>
      </c>
      <c r="D159" s="23">
        <f>INDEX($P$10:$Q$14, MATCH(VAV_Schedule_5_21[[#This Row],[MARK]], $P$10:$P$14, 0), 2)</f>
        <v>6</v>
      </c>
      <c r="E159" s="24">
        <v>350</v>
      </c>
      <c r="F159" s="24">
        <v>70</v>
      </c>
      <c r="G159" s="28" t="s">
        <v>630</v>
      </c>
      <c r="H159" s="23" t="s">
        <v>620</v>
      </c>
      <c r="I159" s="23">
        <v>5</v>
      </c>
      <c r="J159" s="25" t="s">
        <v>630</v>
      </c>
      <c r="K159" t="str">
        <f t="shared" si="4"/>
        <v>Heating</v>
      </c>
      <c r="L159" t="str">
        <f>IF(IFERROR(FIND("1", VAV_Schedule_5_21[[#This Row],[NOTES]]), FALSE), "P70", "P30")</f>
        <v>P30</v>
      </c>
      <c r="M159" t="s">
        <v>596</v>
      </c>
      <c r="N159">
        <f t="shared" si="5"/>
        <v>15007</v>
      </c>
    </row>
    <row r="160" spans="1:14" x14ac:dyDescent="0.2">
      <c r="A160" s="24">
        <v>159</v>
      </c>
      <c r="B160" s="23" t="s">
        <v>191</v>
      </c>
      <c r="C160" s="23" t="s">
        <v>625</v>
      </c>
      <c r="D160" s="23">
        <f>INDEX($P$10:$Q$14, MATCH(VAV_Schedule_5_21[[#This Row],[MARK]], $P$10:$P$14, 0), 2)</f>
        <v>8</v>
      </c>
      <c r="E160" s="24">
        <v>480</v>
      </c>
      <c r="F160" s="24">
        <v>100</v>
      </c>
      <c r="G160" s="28" t="s">
        <v>630</v>
      </c>
      <c r="H160" s="23" t="s">
        <v>620</v>
      </c>
      <c r="I160" s="23">
        <v>5</v>
      </c>
      <c r="J160" s="25" t="s">
        <v>630</v>
      </c>
      <c r="K160" t="str">
        <f t="shared" si="4"/>
        <v>Heating</v>
      </c>
      <c r="L160" t="str">
        <f>IF(IFERROR(FIND("1", VAV_Schedule_5_21[[#This Row],[NOTES]]), FALSE), "P70", "P30")</f>
        <v>P30</v>
      </c>
      <c r="M160" t="s">
        <v>596</v>
      </c>
      <c r="N160">
        <f t="shared" si="5"/>
        <v>15007</v>
      </c>
    </row>
    <row r="161" spans="1:14" x14ac:dyDescent="0.2">
      <c r="A161" s="24">
        <v>160</v>
      </c>
      <c r="B161" s="23" t="s">
        <v>192</v>
      </c>
      <c r="C161" s="23" t="s">
        <v>628</v>
      </c>
      <c r="D161" s="23">
        <f>INDEX($P$10:$Q$14, MATCH(VAV_Schedule_5_21[[#This Row],[MARK]], $P$10:$P$14, 0), 2)</f>
        <v>12</v>
      </c>
      <c r="E161" s="24">
        <v>1400</v>
      </c>
      <c r="F161" s="24">
        <v>280</v>
      </c>
      <c r="G161" s="28" t="s">
        <v>621</v>
      </c>
      <c r="H161" s="23" t="s">
        <v>622</v>
      </c>
      <c r="I161" s="23">
        <v>5</v>
      </c>
      <c r="J161" s="25"/>
      <c r="K161" t="str">
        <f t="shared" si="4"/>
        <v>Heating</v>
      </c>
      <c r="L161" t="str">
        <f>IF(IFERROR(FIND("1", VAV_Schedule_5_21[[#This Row],[NOTES]]), FALSE), "P70", "P30")</f>
        <v>P30</v>
      </c>
      <c r="M161" t="s">
        <v>596</v>
      </c>
      <c r="N161">
        <f t="shared" si="5"/>
        <v>15007</v>
      </c>
    </row>
    <row r="162" spans="1:14" x14ac:dyDescent="0.2">
      <c r="A162" s="24">
        <v>161</v>
      </c>
      <c r="B162" s="23" t="s">
        <v>193</v>
      </c>
      <c r="C162" s="23" t="s">
        <v>625</v>
      </c>
      <c r="D162" s="23">
        <f>INDEX($P$10:$Q$14, MATCH(VAV_Schedule_5_21[[#This Row],[MARK]], $P$10:$P$14, 0), 2)</f>
        <v>8</v>
      </c>
      <c r="E162" s="24">
        <v>560</v>
      </c>
      <c r="F162" s="24">
        <v>115</v>
      </c>
      <c r="G162" s="28" t="s">
        <v>623</v>
      </c>
      <c r="H162" s="23" t="s">
        <v>624</v>
      </c>
      <c r="I162" s="23">
        <v>5</v>
      </c>
      <c r="J162" s="25"/>
      <c r="K162" t="str">
        <f t="shared" si="4"/>
        <v>Cooling</v>
      </c>
      <c r="L162" t="str">
        <f>IF(IFERROR(FIND("1", VAV_Schedule_5_21[[#This Row],[NOTES]]), FALSE), "P70", "P30")</f>
        <v>P30</v>
      </c>
      <c r="M162" t="s">
        <v>596</v>
      </c>
      <c r="N162">
        <f t="shared" si="5"/>
        <v>15006</v>
      </c>
    </row>
    <row r="163" spans="1:14" x14ac:dyDescent="0.2">
      <c r="A163" s="24">
        <v>162</v>
      </c>
      <c r="B163" s="23" t="s">
        <v>194</v>
      </c>
      <c r="C163" s="23" t="s">
        <v>618</v>
      </c>
      <c r="D163" s="23">
        <f>INDEX($P$10:$Q$14, MATCH(VAV_Schedule_5_21[[#This Row],[MARK]], $P$10:$P$14, 0), 2)</f>
        <v>10</v>
      </c>
      <c r="E163" s="24">
        <v>850</v>
      </c>
      <c r="F163" s="24">
        <v>170</v>
      </c>
      <c r="G163" s="28" t="s">
        <v>623</v>
      </c>
      <c r="H163" s="23" t="s">
        <v>624</v>
      </c>
      <c r="I163" s="23">
        <v>5</v>
      </c>
      <c r="J163" s="25"/>
      <c r="K163" t="str">
        <f t="shared" si="4"/>
        <v>Cooling</v>
      </c>
      <c r="L163" t="str">
        <f>IF(IFERROR(FIND("1", VAV_Schedule_5_21[[#This Row],[NOTES]]), FALSE), "P70", "P30")</f>
        <v>P30</v>
      </c>
      <c r="M163" t="s">
        <v>596</v>
      </c>
      <c r="N163">
        <f t="shared" si="5"/>
        <v>15006</v>
      </c>
    </row>
    <row r="164" spans="1:14" x14ac:dyDescent="0.2">
      <c r="A164" s="24">
        <v>163</v>
      </c>
      <c r="B164" s="23" t="s">
        <v>195</v>
      </c>
      <c r="C164" s="23" t="s">
        <v>628</v>
      </c>
      <c r="D164" s="23">
        <f>INDEX($P$10:$Q$14, MATCH(VAV_Schedule_5_21[[#This Row],[MARK]], $P$10:$P$14, 0), 2)</f>
        <v>12</v>
      </c>
      <c r="E164" s="24">
        <v>1580</v>
      </c>
      <c r="F164" s="24">
        <v>320</v>
      </c>
      <c r="G164" s="28" t="s">
        <v>623</v>
      </c>
      <c r="H164" s="23" t="s">
        <v>624</v>
      </c>
      <c r="I164" s="23">
        <v>5</v>
      </c>
      <c r="J164" s="25"/>
      <c r="K164" t="str">
        <f t="shared" si="4"/>
        <v>Cooling</v>
      </c>
      <c r="L164" t="str">
        <f>IF(IFERROR(FIND("1", VAV_Schedule_5_21[[#This Row],[NOTES]]), FALSE), "P70", "P30")</f>
        <v>P30</v>
      </c>
      <c r="M164" t="s">
        <v>596</v>
      </c>
      <c r="N164">
        <f t="shared" si="5"/>
        <v>15006</v>
      </c>
    </row>
    <row r="165" spans="1:14" x14ac:dyDescent="0.2">
      <c r="A165" s="24">
        <v>164</v>
      </c>
      <c r="B165" s="23" t="s">
        <v>196</v>
      </c>
      <c r="C165" s="23" t="s">
        <v>618</v>
      </c>
      <c r="D165" s="23">
        <f>INDEX($P$10:$Q$14, MATCH(VAV_Schedule_5_21[[#This Row],[MARK]], $P$10:$P$14, 0), 2)</f>
        <v>10</v>
      </c>
      <c r="E165" s="24">
        <v>800</v>
      </c>
      <c r="F165" s="24">
        <v>160</v>
      </c>
      <c r="G165" s="28" t="s">
        <v>621</v>
      </c>
      <c r="H165" s="23" t="s">
        <v>622</v>
      </c>
      <c r="I165" s="23">
        <v>5</v>
      </c>
      <c r="J165" s="25"/>
      <c r="K165" t="str">
        <f t="shared" si="4"/>
        <v>Heating</v>
      </c>
      <c r="L165" t="str">
        <f>IF(IFERROR(FIND("1", VAV_Schedule_5_21[[#This Row],[NOTES]]), FALSE), "P70", "P30")</f>
        <v>P30</v>
      </c>
      <c r="M165" t="s">
        <v>596</v>
      </c>
      <c r="N165">
        <f t="shared" si="5"/>
        <v>15007</v>
      </c>
    </row>
    <row r="166" spans="1:14" x14ac:dyDescent="0.2">
      <c r="A166" s="24">
        <v>165</v>
      </c>
      <c r="B166" s="23" t="s">
        <v>197</v>
      </c>
      <c r="C166" s="23" t="s">
        <v>625</v>
      </c>
      <c r="D166" s="23">
        <f>INDEX($P$10:$Q$14, MATCH(VAV_Schedule_5_21[[#This Row],[MARK]], $P$10:$P$14, 0), 2)</f>
        <v>8</v>
      </c>
      <c r="E166" s="24">
        <v>640</v>
      </c>
      <c r="F166" s="24">
        <v>130</v>
      </c>
      <c r="G166" s="28" t="s">
        <v>619</v>
      </c>
      <c r="H166" s="23" t="s">
        <v>620</v>
      </c>
      <c r="I166" s="23">
        <v>5</v>
      </c>
      <c r="J166" s="25"/>
      <c r="K166" t="str">
        <f t="shared" si="4"/>
        <v>Heating</v>
      </c>
      <c r="L166" t="str">
        <f>IF(IFERROR(FIND("1", VAV_Schedule_5_21[[#This Row],[NOTES]]), FALSE), "P70", "P30")</f>
        <v>P30</v>
      </c>
      <c r="M166" t="s">
        <v>596</v>
      </c>
      <c r="N166">
        <f t="shared" si="5"/>
        <v>15007</v>
      </c>
    </row>
    <row r="167" spans="1:14" x14ac:dyDescent="0.2">
      <c r="A167" s="24">
        <v>166</v>
      </c>
      <c r="B167" s="23" t="s">
        <v>198</v>
      </c>
      <c r="C167" s="23" t="s">
        <v>618</v>
      </c>
      <c r="D167" s="23">
        <f>INDEX($P$10:$Q$14, MATCH(VAV_Schedule_5_21[[#This Row],[MARK]], $P$10:$P$14, 0), 2)</f>
        <v>10</v>
      </c>
      <c r="E167" s="24">
        <v>925</v>
      </c>
      <c r="F167" s="24">
        <v>185</v>
      </c>
      <c r="G167" s="28" t="s">
        <v>619</v>
      </c>
      <c r="H167" s="23" t="s">
        <v>620</v>
      </c>
      <c r="I167" s="23">
        <v>5</v>
      </c>
      <c r="J167" s="25"/>
      <c r="K167" t="str">
        <f t="shared" si="4"/>
        <v>Heating</v>
      </c>
      <c r="L167" t="str">
        <f>IF(IFERROR(FIND("1", VAV_Schedule_5_21[[#This Row],[NOTES]]), FALSE), "P70", "P30")</f>
        <v>P30</v>
      </c>
      <c r="M167" t="s">
        <v>596</v>
      </c>
      <c r="N167">
        <f t="shared" si="5"/>
        <v>15007</v>
      </c>
    </row>
    <row r="168" spans="1:14" x14ac:dyDescent="0.2">
      <c r="A168" s="24">
        <v>167</v>
      </c>
      <c r="B168" s="23" t="s">
        <v>199</v>
      </c>
      <c r="C168" s="23" t="s">
        <v>625</v>
      </c>
      <c r="D168" s="23">
        <f>INDEX($P$10:$Q$14, MATCH(VAV_Schedule_5_21[[#This Row],[MARK]], $P$10:$P$14, 0), 2)</f>
        <v>8</v>
      </c>
      <c r="E168" s="24">
        <v>705</v>
      </c>
      <c r="F168" s="24">
        <v>145</v>
      </c>
      <c r="G168" s="28" t="s">
        <v>619</v>
      </c>
      <c r="H168" s="23" t="s">
        <v>620</v>
      </c>
      <c r="I168" s="23">
        <v>5</v>
      </c>
      <c r="J168" s="25"/>
      <c r="K168" t="str">
        <f t="shared" si="4"/>
        <v>Heating</v>
      </c>
      <c r="L168" t="str">
        <f>IF(IFERROR(FIND("1", VAV_Schedule_5_21[[#This Row],[NOTES]]), FALSE), "P70", "P30")</f>
        <v>P30</v>
      </c>
      <c r="M168" t="s">
        <v>596</v>
      </c>
      <c r="N168">
        <f t="shared" si="5"/>
        <v>15007</v>
      </c>
    </row>
    <row r="169" spans="1:14" x14ac:dyDescent="0.2">
      <c r="A169" s="24">
        <v>168</v>
      </c>
      <c r="B169" s="23" t="s">
        <v>200</v>
      </c>
      <c r="C169" s="23" t="s">
        <v>628</v>
      </c>
      <c r="D169" s="23">
        <f>INDEX($P$10:$Q$14, MATCH(VAV_Schedule_5_21[[#This Row],[MARK]], $P$10:$P$14, 0), 2)</f>
        <v>12</v>
      </c>
      <c r="E169" s="24">
        <v>1170</v>
      </c>
      <c r="F169" s="24">
        <v>235</v>
      </c>
      <c r="G169" s="28" t="s">
        <v>623</v>
      </c>
      <c r="H169" s="23" t="s">
        <v>624</v>
      </c>
      <c r="I169" s="23">
        <v>5</v>
      </c>
      <c r="J169" s="25"/>
      <c r="K169" t="str">
        <f t="shared" si="4"/>
        <v>Cooling</v>
      </c>
      <c r="L169" t="str">
        <f>IF(IFERROR(FIND("1", VAV_Schedule_5_21[[#This Row],[NOTES]]), FALSE), "P70", "P30")</f>
        <v>P30</v>
      </c>
      <c r="M169" t="s">
        <v>596</v>
      </c>
      <c r="N169">
        <f t="shared" si="5"/>
        <v>15006</v>
      </c>
    </row>
    <row r="170" spans="1:14" x14ac:dyDescent="0.2">
      <c r="A170" s="24">
        <v>169</v>
      </c>
      <c r="B170" s="23" t="s">
        <v>201</v>
      </c>
      <c r="C170" s="23" t="s">
        <v>628</v>
      </c>
      <c r="D170" s="23">
        <f>INDEX($P$10:$Q$14, MATCH(VAV_Schedule_5_21[[#This Row],[MARK]], $P$10:$P$14, 0), 2)</f>
        <v>12</v>
      </c>
      <c r="E170" s="24">
        <v>1200</v>
      </c>
      <c r="F170" s="24">
        <v>240</v>
      </c>
      <c r="G170" s="28" t="s">
        <v>631</v>
      </c>
      <c r="H170" s="23" t="s">
        <v>622</v>
      </c>
      <c r="I170" s="23">
        <v>5</v>
      </c>
      <c r="J170" s="25"/>
      <c r="K170" t="str">
        <f t="shared" si="4"/>
        <v>Heating</v>
      </c>
      <c r="L170" t="str">
        <f>IF(IFERROR(FIND("1", VAV_Schedule_5_21[[#This Row],[NOTES]]), FALSE), "P70", "P30")</f>
        <v>P30</v>
      </c>
      <c r="M170" t="s">
        <v>596</v>
      </c>
      <c r="N170">
        <f t="shared" si="5"/>
        <v>15007</v>
      </c>
    </row>
    <row r="171" spans="1:14" x14ac:dyDescent="0.2">
      <c r="A171" s="24">
        <v>170</v>
      </c>
      <c r="B171" s="23" t="s">
        <v>202</v>
      </c>
      <c r="C171" s="23" t="s">
        <v>628</v>
      </c>
      <c r="D171" s="23">
        <f>INDEX($P$10:$Q$14, MATCH(VAV_Schedule_5_21[[#This Row],[MARK]], $P$10:$P$14, 0), 2)</f>
        <v>12</v>
      </c>
      <c r="E171" s="24">
        <v>1160</v>
      </c>
      <c r="F171" s="24">
        <v>235</v>
      </c>
      <c r="G171" s="28" t="s">
        <v>619</v>
      </c>
      <c r="H171" s="23" t="s">
        <v>620</v>
      </c>
      <c r="I171" s="23">
        <v>5</v>
      </c>
      <c r="J171" s="25"/>
      <c r="K171" t="str">
        <f t="shared" si="4"/>
        <v>Heating</v>
      </c>
      <c r="L171" t="str">
        <f>IF(IFERROR(FIND("1", VAV_Schedule_5_21[[#This Row],[NOTES]]), FALSE), "P70", "P30")</f>
        <v>P30</v>
      </c>
      <c r="M171" t="s">
        <v>596</v>
      </c>
      <c r="N171">
        <f t="shared" si="5"/>
        <v>15007</v>
      </c>
    </row>
    <row r="172" spans="1:14" x14ac:dyDescent="0.2">
      <c r="A172" s="24">
        <v>171</v>
      </c>
      <c r="B172" s="23" t="s">
        <v>203</v>
      </c>
      <c r="C172" s="23" t="s">
        <v>628</v>
      </c>
      <c r="D172" s="23">
        <f>INDEX($P$10:$Q$14, MATCH(VAV_Schedule_5_21[[#This Row],[MARK]], $P$10:$P$14, 0), 2)</f>
        <v>12</v>
      </c>
      <c r="E172" s="24">
        <v>1200</v>
      </c>
      <c r="F172" s="24">
        <v>240</v>
      </c>
      <c r="G172" s="28" t="s">
        <v>631</v>
      </c>
      <c r="H172" s="23" t="s">
        <v>622</v>
      </c>
      <c r="I172" s="23">
        <v>5</v>
      </c>
      <c r="J172" s="25"/>
      <c r="K172" t="str">
        <f t="shared" si="4"/>
        <v>Heating</v>
      </c>
      <c r="L172" t="str">
        <f>IF(IFERROR(FIND("1", VAV_Schedule_5_21[[#This Row],[NOTES]]), FALSE), "P70", "P30")</f>
        <v>P30</v>
      </c>
      <c r="M172" t="s">
        <v>596</v>
      </c>
      <c r="N172">
        <f t="shared" si="5"/>
        <v>15007</v>
      </c>
    </row>
    <row r="173" spans="1:14" x14ac:dyDescent="0.2">
      <c r="A173" s="24">
        <v>172</v>
      </c>
      <c r="B173" s="23" t="s">
        <v>292</v>
      </c>
      <c r="C173" s="23" t="s">
        <v>625</v>
      </c>
      <c r="D173" s="23">
        <f>INDEX($P$10:$Q$14, MATCH(VAV_Schedule_5_21[[#This Row],[MARK]], $P$10:$P$14, 0), 2)</f>
        <v>8</v>
      </c>
      <c r="E173" s="24">
        <v>640</v>
      </c>
      <c r="F173" s="24">
        <v>130</v>
      </c>
      <c r="G173" s="28" t="s">
        <v>619</v>
      </c>
      <c r="H173" s="23" t="s">
        <v>620</v>
      </c>
      <c r="I173" s="23">
        <v>6</v>
      </c>
      <c r="J173" s="25"/>
      <c r="K173" t="str">
        <f t="shared" si="4"/>
        <v>Heating</v>
      </c>
      <c r="L173" t="str">
        <f>IF(IFERROR(FIND("1", VAV_Schedule_5_21[[#This Row],[NOTES]]), FALSE), "P70", "P30")</f>
        <v>P30</v>
      </c>
      <c r="M173" t="s">
        <v>597</v>
      </c>
      <c r="N173">
        <f t="shared" si="5"/>
        <v>15011</v>
      </c>
    </row>
    <row r="174" spans="1:14" x14ac:dyDescent="0.2">
      <c r="A174" s="24">
        <v>173</v>
      </c>
      <c r="B174" s="23" t="s">
        <v>293</v>
      </c>
      <c r="C174" s="23" t="s">
        <v>625</v>
      </c>
      <c r="D174" s="23">
        <f>INDEX($P$10:$Q$14, MATCH(VAV_Schedule_5_21[[#This Row],[MARK]], $P$10:$P$14, 0), 2)</f>
        <v>8</v>
      </c>
      <c r="E174" s="24">
        <v>680</v>
      </c>
      <c r="F174" s="24">
        <v>140</v>
      </c>
      <c r="G174" s="28" t="s">
        <v>619</v>
      </c>
      <c r="H174" s="23" t="s">
        <v>620</v>
      </c>
      <c r="I174" s="23">
        <v>6</v>
      </c>
      <c r="J174" s="25"/>
      <c r="K174" t="str">
        <f t="shared" si="4"/>
        <v>Heating</v>
      </c>
      <c r="L174" t="str">
        <f>IF(IFERROR(FIND("1", VAV_Schedule_5_21[[#This Row],[NOTES]]), FALSE), "P70", "P30")</f>
        <v>P30</v>
      </c>
      <c r="M174" t="s">
        <v>597</v>
      </c>
      <c r="N174">
        <f t="shared" si="5"/>
        <v>15011</v>
      </c>
    </row>
    <row r="175" spans="1:14" x14ac:dyDescent="0.2">
      <c r="A175" s="24">
        <v>174</v>
      </c>
      <c r="B175" s="23" t="s">
        <v>294</v>
      </c>
      <c r="C175" s="23" t="s">
        <v>625</v>
      </c>
      <c r="D175" s="23">
        <f>INDEX($P$10:$Q$14, MATCH(VAV_Schedule_5_21[[#This Row],[MARK]], $P$10:$P$14, 0), 2)</f>
        <v>8</v>
      </c>
      <c r="E175" s="24">
        <v>600</v>
      </c>
      <c r="F175" s="24">
        <v>120</v>
      </c>
      <c r="G175" s="28" t="s">
        <v>619</v>
      </c>
      <c r="H175" s="23" t="s">
        <v>620</v>
      </c>
      <c r="I175" s="23">
        <v>6</v>
      </c>
      <c r="J175" s="25"/>
      <c r="K175" t="str">
        <f t="shared" si="4"/>
        <v>Heating</v>
      </c>
      <c r="L175" t="str">
        <f>IF(IFERROR(FIND("1", VAV_Schedule_5_21[[#This Row],[NOTES]]), FALSE), "P70", "P30")</f>
        <v>P30</v>
      </c>
      <c r="M175" t="s">
        <v>597</v>
      </c>
      <c r="N175">
        <f t="shared" si="5"/>
        <v>15011</v>
      </c>
    </row>
    <row r="176" spans="1:14" x14ac:dyDescent="0.2">
      <c r="A176" s="24">
        <v>175</v>
      </c>
      <c r="B176" s="23" t="s">
        <v>295</v>
      </c>
      <c r="C176" s="23" t="s">
        <v>618</v>
      </c>
      <c r="D176" s="23">
        <f>INDEX($P$10:$Q$14, MATCH(VAV_Schedule_5_21[[#This Row],[MARK]], $P$10:$P$14, 0), 2)</f>
        <v>10</v>
      </c>
      <c r="E176" s="24">
        <v>840</v>
      </c>
      <c r="F176" s="24">
        <v>170</v>
      </c>
      <c r="G176" s="28" t="s">
        <v>619</v>
      </c>
      <c r="H176" s="23" t="s">
        <v>620</v>
      </c>
      <c r="I176" s="23">
        <v>6</v>
      </c>
      <c r="J176" s="25"/>
      <c r="K176" t="str">
        <f t="shared" si="4"/>
        <v>Heating</v>
      </c>
      <c r="L176" t="str">
        <f>IF(IFERROR(FIND("1", VAV_Schedule_5_21[[#This Row],[NOTES]]), FALSE), "P70", "P30")</f>
        <v>P30</v>
      </c>
      <c r="M176" t="s">
        <v>597</v>
      </c>
      <c r="N176">
        <f t="shared" si="5"/>
        <v>15011</v>
      </c>
    </row>
    <row r="177" spans="1:14" x14ac:dyDescent="0.2">
      <c r="A177" s="24">
        <v>176</v>
      </c>
      <c r="B177" s="23" t="s">
        <v>296</v>
      </c>
      <c r="C177" s="23" t="s">
        <v>628</v>
      </c>
      <c r="D177" s="23">
        <f>INDEX($P$10:$Q$14, MATCH(VAV_Schedule_5_21[[#This Row],[MARK]], $P$10:$P$14, 0), 2)</f>
        <v>12</v>
      </c>
      <c r="E177" s="24">
        <v>1200</v>
      </c>
      <c r="F177" s="24">
        <v>240</v>
      </c>
      <c r="G177" s="28" t="s">
        <v>623</v>
      </c>
      <c r="H177" s="23" t="s">
        <v>624</v>
      </c>
      <c r="I177" s="23">
        <v>6</v>
      </c>
      <c r="J177" s="25"/>
      <c r="K177" t="str">
        <f t="shared" si="4"/>
        <v>Cooling</v>
      </c>
      <c r="L177" t="str">
        <f>IF(IFERROR(FIND("1", VAV_Schedule_5_21[[#This Row],[NOTES]]), FALSE), "P70", "P30")</f>
        <v>P30</v>
      </c>
      <c r="M177" t="s">
        <v>597</v>
      </c>
      <c r="N177">
        <f t="shared" si="5"/>
        <v>15010</v>
      </c>
    </row>
    <row r="178" spans="1:14" x14ac:dyDescent="0.2">
      <c r="A178" s="24">
        <v>177</v>
      </c>
      <c r="B178" s="23" t="s">
        <v>297</v>
      </c>
      <c r="C178" s="23" t="s">
        <v>618</v>
      </c>
      <c r="D178" s="23">
        <f>INDEX($P$10:$Q$14, MATCH(VAV_Schedule_5_21[[#This Row],[MARK]], $P$10:$P$14, 0), 2)</f>
        <v>10</v>
      </c>
      <c r="E178" s="24">
        <v>975</v>
      </c>
      <c r="F178" s="24">
        <v>195</v>
      </c>
      <c r="G178" s="28" t="s">
        <v>623</v>
      </c>
      <c r="H178" s="23" t="s">
        <v>624</v>
      </c>
      <c r="I178" s="23">
        <v>6</v>
      </c>
      <c r="J178" s="25"/>
      <c r="K178" t="str">
        <f t="shared" si="4"/>
        <v>Cooling</v>
      </c>
      <c r="L178" t="str">
        <f>IF(IFERROR(FIND("1", VAV_Schedule_5_21[[#This Row],[NOTES]]), FALSE), "P70", "P30")</f>
        <v>P30</v>
      </c>
      <c r="M178" t="s">
        <v>597</v>
      </c>
      <c r="N178">
        <f t="shared" si="5"/>
        <v>15010</v>
      </c>
    </row>
    <row r="179" spans="1:14" x14ac:dyDescent="0.2">
      <c r="A179" s="24">
        <v>178</v>
      </c>
      <c r="B179" s="23" t="s">
        <v>298</v>
      </c>
      <c r="C179" s="23" t="s">
        <v>618</v>
      </c>
      <c r="D179" s="23">
        <f>INDEX($P$10:$Q$14, MATCH(VAV_Schedule_5_21[[#This Row],[MARK]], $P$10:$P$14, 0), 2)</f>
        <v>10</v>
      </c>
      <c r="E179" s="24">
        <v>760</v>
      </c>
      <c r="F179" s="24">
        <v>155</v>
      </c>
      <c r="G179" s="28" t="s">
        <v>623</v>
      </c>
      <c r="H179" s="23" t="s">
        <v>624</v>
      </c>
      <c r="I179" s="23">
        <v>6</v>
      </c>
      <c r="J179" s="25"/>
      <c r="K179" t="str">
        <f t="shared" si="4"/>
        <v>Cooling</v>
      </c>
      <c r="L179" t="str">
        <f>IF(IFERROR(FIND("1", VAV_Schedule_5_21[[#This Row],[NOTES]]), FALSE), "P70", "P30")</f>
        <v>P30</v>
      </c>
      <c r="M179" t="s">
        <v>597</v>
      </c>
      <c r="N179">
        <f t="shared" si="5"/>
        <v>15010</v>
      </c>
    </row>
    <row r="180" spans="1:14" x14ac:dyDescent="0.2">
      <c r="A180" s="24">
        <v>179</v>
      </c>
      <c r="B180" s="23" t="s">
        <v>299</v>
      </c>
      <c r="C180" s="23" t="s">
        <v>628</v>
      </c>
      <c r="D180" s="23">
        <f>INDEX($P$10:$Q$14, MATCH(VAV_Schedule_5_21[[#This Row],[MARK]], $P$10:$P$14, 0), 2)</f>
        <v>12</v>
      </c>
      <c r="E180" s="24">
        <v>1260</v>
      </c>
      <c r="F180" s="24">
        <v>255</v>
      </c>
      <c r="G180" s="28" t="s">
        <v>623</v>
      </c>
      <c r="H180" s="23" t="s">
        <v>624</v>
      </c>
      <c r="I180" s="23">
        <v>6</v>
      </c>
      <c r="J180" s="25"/>
      <c r="K180" t="str">
        <f t="shared" si="4"/>
        <v>Cooling</v>
      </c>
      <c r="L180" t="str">
        <f>IF(IFERROR(FIND("1", VAV_Schedule_5_21[[#This Row],[NOTES]]), FALSE), "P70", "P30")</f>
        <v>P30</v>
      </c>
      <c r="M180" t="s">
        <v>597</v>
      </c>
      <c r="N180">
        <f t="shared" si="5"/>
        <v>15010</v>
      </c>
    </row>
    <row r="181" spans="1:14" x14ac:dyDescent="0.2">
      <c r="A181" s="24">
        <v>180</v>
      </c>
      <c r="B181" s="26" t="s">
        <v>645</v>
      </c>
      <c r="C181" s="23" t="s">
        <v>625</v>
      </c>
      <c r="D181" s="23">
        <f>INDEX($P$10:$Q$14, MATCH(VAV_Schedule_5_21[[#This Row],[MARK]], $P$10:$P$14, 0), 2)</f>
        <v>8</v>
      </c>
      <c r="E181" s="24">
        <v>550</v>
      </c>
      <c r="F181" s="24">
        <v>110</v>
      </c>
      <c r="G181" s="28" t="s">
        <v>623</v>
      </c>
      <c r="H181" s="23" t="s">
        <v>624</v>
      </c>
      <c r="I181" s="23">
        <v>6</v>
      </c>
      <c r="J181" s="25"/>
      <c r="K181" t="str">
        <f t="shared" si="4"/>
        <v>Cooling</v>
      </c>
      <c r="L181" t="str">
        <f>IF(IFERROR(FIND("1", VAV_Schedule_5_21[[#This Row],[NOTES]]), FALSE), "P70", "P30")</f>
        <v>P30</v>
      </c>
      <c r="M181" t="s">
        <v>597</v>
      </c>
      <c r="N181">
        <f t="shared" si="5"/>
        <v>15010</v>
      </c>
    </row>
    <row r="182" spans="1:14" x14ac:dyDescent="0.2">
      <c r="A182" s="24">
        <v>181</v>
      </c>
      <c r="B182" s="23" t="s">
        <v>300</v>
      </c>
      <c r="C182" s="23" t="s">
        <v>628</v>
      </c>
      <c r="D182" s="23">
        <f>INDEX($P$10:$Q$14, MATCH(VAV_Schedule_5_21[[#This Row],[MARK]], $P$10:$P$14, 0), 2)</f>
        <v>12</v>
      </c>
      <c r="E182" s="24">
        <v>1310</v>
      </c>
      <c r="F182" s="24">
        <v>265</v>
      </c>
      <c r="G182" s="28" t="s">
        <v>623</v>
      </c>
      <c r="H182" s="23" t="s">
        <v>624</v>
      </c>
      <c r="I182" s="23">
        <v>6</v>
      </c>
      <c r="J182" s="25"/>
      <c r="K182" t="str">
        <f t="shared" si="4"/>
        <v>Cooling</v>
      </c>
      <c r="L182" t="str">
        <f>IF(IFERROR(FIND("1", VAV_Schedule_5_21[[#This Row],[NOTES]]), FALSE), "P70", "P30")</f>
        <v>P30</v>
      </c>
      <c r="M182" t="s">
        <v>597</v>
      </c>
      <c r="N182">
        <f t="shared" si="5"/>
        <v>15010</v>
      </c>
    </row>
    <row r="183" spans="1:14" x14ac:dyDescent="0.2">
      <c r="A183" s="24">
        <v>182</v>
      </c>
      <c r="B183" s="23" t="s">
        <v>301</v>
      </c>
      <c r="C183" s="23" t="s">
        <v>628</v>
      </c>
      <c r="D183" s="23">
        <f>INDEX($P$10:$Q$14, MATCH(VAV_Schedule_5_21[[#This Row],[MARK]], $P$10:$P$14, 0), 2)</f>
        <v>12</v>
      </c>
      <c r="E183" s="24">
        <v>1385</v>
      </c>
      <c r="F183" s="24">
        <v>280</v>
      </c>
      <c r="G183" s="28" t="s">
        <v>623</v>
      </c>
      <c r="H183" s="23" t="s">
        <v>624</v>
      </c>
      <c r="I183" s="23">
        <v>6</v>
      </c>
      <c r="J183" s="25"/>
      <c r="K183" t="str">
        <f t="shared" si="4"/>
        <v>Cooling</v>
      </c>
      <c r="L183" t="str">
        <f>IF(IFERROR(FIND("1", VAV_Schedule_5_21[[#This Row],[NOTES]]), FALSE), "P70", "P30")</f>
        <v>P30</v>
      </c>
      <c r="M183" t="s">
        <v>597</v>
      </c>
      <c r="N183">
        <f t="shared" si="5"/>
        <v>15010</v>
      </c>
    </row>
    <row r="184" spans="1:14" x14ac:dyDescent="0.2">
      <c r="A184" s="24">
        <v>183</v>
      </c>
      <c r="B184" s="23" t="s">
        <v>302</v>
      </c>
      <c r="C184" s="23" t="s">
        <v>618</v>
      </c>
      <c r="D184" s="23">
        <f>INDEX($P$10:$Q$14, MATCH(VAV_Schedule_5_21[[#This Row],[MARK]], $P$10:$P$14, 0), 2)</f>
        <v>10</v>
      </c>
      <c r="E184" s="24">
        <v>1005</v>
      </c>
      <c r="F184" s="24">
        <v>205</v>
      </c>
      <c r="G184" s="28" t="s">
        <v>623</v>
      </c>
      <c r="H184" s="23" t="s">
        <v>624</v>
      </c>
      <c r="I184" s="23">
        <v>6</v>
      </c>
      <c r="J184" s="25"/>
      <c r="K184" t="str">
        <f t="shared" si="4"/>
        <v>Cooling</v>
      </c>
      <c r="L184" t="str">
        <f>IF(IFERROR(FIND("1", VAV_Schedule_5_21[[#This Row],[NOTES]]), FALSE), "P70", "P30")</f>
        <v>P30</v>
      </c>
      <c r="M184" t="s">
        <v>597</v>
      </c>
      <c r="N184">
        <f t="shared" si="5"/>
        <v>15010</v>
      </c>
    </row>
    <row r="185" spans="1:14" x14ac:dyDescent="0.2">
      <c r="A185" s="24">
        <v>184</v>
      </c>
      <c r="B185" s="23" t="s">
        <v>303</v>
      </c>
      <c r="C185" s="23" t="s">
        <v>618</v>
      </c>
      <c r="D185" s="23">
        <f>INDEX($P$10:$Q$14, MATCH(VAV_Schedule_5_21[[#This Row],[MARK]], $P$10:$P$14, 0), 2)</f>
        <v>10</v>
      </c>
      <c r="E185" s="24">
        <v>840</v>
      </c>
      <c r="F185" s="24">
        <v>170</v>
      </c>
      <c r="G185" s="28" t="s">
        <v>619</v>
      </c>
      <c r="H185" s="23" t="s">
        <v>620</v>
      </c>
      <c r="I185" s="23">
        <v>6</v>
      </c>
      <c r="J185" s="25"/>
      <c r="K185" t="str">
        <f t="shared" si="4"/>
        <v>Heating</v>
      </c>
      <c r="L185" t="str">
        <f>IF(IFERROR(FIND("1", VAV_Schedule_5_21[[#This Row],[NOTES]]), FALSE), "P70", "P30")</f>
        <v>P30</v>
      </c>
      <c r="M185" t="s">
        <v>597</v>
      </c>
      <c r="N185">
        <f t="shared" si="5"/>
        <v>15011</v>
      </c>
    </row>
    <row r="186" spans="1:14" x14ac:dyDescent="0.2">
      <c r="A186" s="24">
        <v>185</v>
      </c>
      <c r="B186" s="23" t="s">
        <v>304</v>
      </c>
      <c r="C186" s="23" t="s">
        <v>625</v>
      </c>
      <c r="D186" s="23">
        <f>INDEX($P$10:$Q$14, MATCH(VAV_Schedule_5_21[[#This Row],[MARK]], $P$10:$P$14, 0), 2)</f>
        <v>8</v>
      </c>
      <c r="E186" s="24">
        <v>640</v>
      </c>
      <c r="F186" s="24">
        <v>130</v>
      </c>
      <c r="G186" s="28" t="s">
        <v>619</v>
      </c>
      <c r="H186" s="23" t="s">
        <v>620</v>
      </c>
      <c r="I186" s="23">
        <v>6</v>
      </c>
      <c r="J186" s="25"/>
      <c r="K186" t="str">
        <f t="shared" si="4"/>
        <v>Heating</v>
      </c>
      <c r="L186" t="str">
        <f>IF(IFERROR(FIND("1", VAV_Schedule_5_21[[#This Row],[NOTES]]), FALSE), "P70", "P30")</f>
        <v>P30</v>
      </c>
      <c r="M186" t="s">
        <v>597</v>
      </c>
      <c r="N186">
        <f t="shared" si="5"/>
        <v>15011</v>
      </c>
    </row>
    <row r="187" spans="1:14" x14ac:dyDescent="0.2">
      <c r="A187" s="24">
        <v>186</v>
      </c>
      <c r="B187" s="23" t="s">
        <v>305</v>
      </c>
      <c r="C187" s="23" t="s">
        <v>625</v>
      </c>
      <c r="D187" s="23">
        <f>INDEX($P$10:$Q$14, MATCH(VAV_Schedule_5_21[[#This Row],[MARK]], $P$10:$P$14, 0), 2)</f>
        <v>8</v>
      </c>
      <c r="E187" s="24">
        <v>685</v>
      </c>
      <c r="F187" s="24">
        <v>140</v>
      </c>
      <c r="G187" s="28" t="s">
        <v>619</v>
      </c>
      <c r="H187" s="23" t="s">
        <v>620</v>
      </c>
      <c r="I187" s="23">
        <v>6</v>
      </c>
      <c r="J187" s="25"/>
      <c r="K187" t="str">
        <f t="shared" si="4"/>
        <v>Heating</v>
      </c>
      <c r="L187" t="str">
        <f>IF(IFERROR(FIND("1", VAV_Schedule_5_21[[#This Row],[NOTES]]), FALSE), "P70", "P30")</f>
        <v>P30</v>
      </c>
      <c r="M187" t="s">
        <v>597</v>
      </c>
      <c r="N187">
        <f t="shared" si="5"/>
        <v>15011</v>
      </c>
    </row>
    <row r="188" spans="1:14" x14ac:dyDescent="0.2">
      <c r="A188" s="24">
        <v>187</v>
      </c>
      <c r="B188" s="23" t="s">
        <v>306</v>
      </c>
      <c r="C188" s="23" t="s">
        <v>625</v>
      </c>
      <c r="D188" s="23">
        <f>INDEX($P$10:$Q$14, MATCH(VAV_Schedule_5_21[[#This Row],[MARK]], $P$10:$P$14, 0), 2)</f>
        <v>8</v>
      </c>
      <c r="E188" s="24">
        <v>600</v>
      </c>
      <c r="F188" s="24">
        <v>120</v>
      </c>
      <c r="G188" s="28" t="s">
        <v>619</v>
      </c>
      <c r="H188" s="23" t="s">
        <v>620</v>
      </c>
      <c r="I188" s="23">
        <v>6</v>
      </c>
      <c r="J188" s="25"/>
      <c r="K188" t="str">
        <f t="shared" si="4"/>
        <v>Heating</v>
      </c>
      <c r="L188" t="str">
        <f>IF(IFERROR(FIND("1", VAV_Schedule_5_21[[#This Row],[NOTES]]), FALSE), "P70", "P30")</f>
        <v>P30</v>
      </c>
      <c r="M188" t="s">
        <v>597</v>
      </c>
      <c r="N188">
        <f t="shared" si="5"/>
        <v>15011</v>
      </c>
    </row>
    <row r="189" spans="1:14" x14ac:dyDescent="0.2">
      <c r="A189" s="24">
        <v>188</v>
      </c>
      <c r="B189" s="23" t="s">
        <v>307</v>
      </c>
      <c r="C189" s="23" t="s">
        <v>632</v>
      </c>
      <c r="D189" s="23">
        <f>INDEX($P$10:$Q$14, MATCH(VAV_Schedule_5_21[[#This Row],[MARK]], $P$10:$P$14, 0), 2)</f>
        <v>6</v>
      </c>
      <c r="E189" s="24">
        <v>200</v>
      </c>
      <c r="F189" s="24">
        <v>40</v>
      </c>
      <c r="G189" s="28" t="s">
        <v>623</v>
      </c>
      <c r="H189" s="23" t="s">
        <v>624</v>
      </c>
      <c r="I189" s="23">
        <v>6</v>
      </c>
      <c r="J189" s="25"/>
      <c r="K189" t="str">
        <f t="shared" si="4"/>
        <v>Cooling</v>
      </c>
      <c r="L189" t="str">
        <f>IF(IFERROR(FIND("1", VAV_Schedule_5_21[[#This Row],[NOTES]]), FALSE), "P70", "P30")</f>
        <v>P30</v>
      </c>
      <c r="M189" t="s">
        <v>597</v>
      </c>
      <c r="N189">
        <f t="shared" si="5"/>
        <v>15010</v>
      </c>
    </row>
    <row r="190" spans="1:14" x14ac:dyDescent="0.2">
      <c r="A190" s="24">
        <v>189</v>
      </c>
      <c r="B190" s="23" t="s">
        <v>308</v>
      </c>
      <c r="C190" s="23" t="s">
        <v>625</v>
      </c>
      <c r="D190" s="23">
        <f>INDEX($P$10:$Q$14, MATCH(VAV_Schedule_5_21[[#This Row],[MARK]], $P$10:$P$14, 0), 2)</f>
        <v>8</v>
      </c>
      <c r="E190" s="24">
        <v>700</v>
      </c>
      <c r="F190" s="24">
        <v>140</v>
      </c>
      <c r="G190" s="28" t="s">
        <v>623</v>
      </c>
      <c r="H190" s="23" t="s">
        <v>624</v>
      </c>
      <c r="I190" s="23">
        <v>6</v>
      </c>
      <c r="J190" s="25"/>
      <c r="K190" t="str">
        <f t="shared" si="4"/>
        <v>Cooling</v>
      </c>
      <c r="L190" t="str">
        <f>IF(IFERROR(FIND("1", VAV_Schedule_5_21[[#This Row],[NOTES]]), FALSE), "P70", "P30")</f>
        <v>P30</v>
      </c>
      <c r="M190" t="s">
        <v>597</v>
      </c>
      <c r="N190">
        <f t="shared" si="5"/>
        <v>15010</v>
      </c>
    </row>
    <row r="191" spans="1:14" x14ac:dyDescent="0.2">
      <c r="A191" s="24">
        <v>190</v>
      </c>
      <c r="B191" s="23" t="s">
        <v>309</v>
      </c>
      <c r="C191" s="23" t="s">
        <v>618</v>
      </c>
      <c r="D191" s="23">
        <f>INDEX($P$10:$Q$14, MATCH(VAV_Schedule_5_21[[#This Row],[MARK]], $P$10:$P$14, 0), 2)</f>
        <v>10</v>
      </c>
      <c r="E191" s="24">
        <v>1085</v>
      </c>
      <c r="F191" s="24">
        <v>220</v>
      </c>
      <c r="G191" s="28" t="s">
        <v>631</v>
      </c>
      <c r="H191" s="23" t="s">
        <v>622</v>
      </c>
      <c r="I191" s="23">
        <v>6</v>
      </c>
      <c r="J191" s="25"/>
      <c r="K191" t="str">
        <f t="shared" si="4"/>
        <v>Heating</v>
      </c>
      <c r="L191" t="str">
        <f>IF(IFERROR(FIND("1", VAV_Schedule_5_21[[#This Row],[NOTES]]), FALSE), "P70", "P30")</f>
        <v>P30</v>
      </c>
      <c r="M191" t="s">
        <v>597</v>
      </c>
      <c r="N191">
        <f t="shared" si="5"/>
        <v>15011</v>
      </c>
    </row>
    <row r="192" spans="1:14" x14ac:dyDescent="0.2">
      <c r="A192" s="24">
        <v>191</v>
      </c>
      <c r="B192" s="23" t="s">
        <v>310</v>
      </c>
      <c r="C192" s="23" t="s">
        <v>618</v>
      </c>
      <c r="D192" s="23">
        <f>INDEX($P$10:$Q$14, MATCH(VAV_Schedule_5_21[[#This Row],[MARK]], $P$10:$P$14, 0), 2)</f>
        <v>10</v>
      </c>
      <c r="E192" s="24">
        <v>840</v>
      </c>
      <c r="F192" s="24">
        <v>170</v>
      </c>
      <c r="G192" s="28" t="s">
        <v>619</v>
      </c>
      <c r="H192" s="23" t="s">
        <v>620</v>
      </c>
      <c r="I192" s="23">
        <v>6</v>
      </c>
      <c r="J192" s="25"/>
      <c r="K192" t="str">
        <f t="shared" si="4"/>
        <v>Heating</v>
      </c>
      <c r="L192" t="str">
        <f>IF(IFERROR(FIND("1", VAV_Schedule_5_21[[#This Row],[NOTES]]), FALSE), "P70", "P30")</f>
        <v>P30</v>
      </c>
      <c r="M192" t="s">
        <v>597</v>
      </c>
      <c r="N192">
        <f t="shared" si="5"/>
        <v>15011</v>
      </c>
    </row>
    <row r="193" spans="1:14" x14ac:dyDescent="0.2">
      <c r="A193" s="24">
        <v>192</v>
      </c>
      <c r="B193" s="23" t="s">
        <v>311</v>
      </c>
      <c r="C193" s="23" t="s">
        <v>632</v>
      </c>
      <c r="D193" s="23">
        <f>INDEX($P$10:$Q$14, MATCH(VAV_Schedule_5_21[[#This Row],[MARK]], $P$10:$P$14, 0), 2)</f>
        <v>6</v>
      </c>
      <c r="E193" s="24">
        <v>350</v>
      </c>
      <c r="F193" s="24">
        <v>70</v>
      </c>
      <c r="G193" s="28" t="s">
        <v>623</v>
      </c>
      <c r="H193" s="23" t="s">
        <v>624</v>
      </c>
      <c r="I193" s="23">
        <v>6</v>
      </c>
      <c r="J193" s="25"/>
      <c r="K193" t="str">
        <f t="shared" si="4"/>
        <v>Cooling</v>
      </c>
      <c r="L193" t="str">
        <f>IF(IFERROR(FIND("1", VAV_Schedule_5_21[[#This Row],[NOTES]]), FALSE), "P70", "P30")</f>
        <v>P30</v>
      </c>
      <c r="M193" t="s">
        <v>597</v>
      </c>
      <c r="N193">
        <f t="shared" si="5"/>
        <v>15010</v>
      </c>
    </row>
    <row r="194" spans="1:14" x14ac:dyDescent="0.2">
      <c r="A194" s="24">
        <v>193</v>
      </c>
      <c r="B194" s="23" t="s">
        <v>312</v>
      </c>
      <c r="C194" s="23" t="s">
        <v>632</v>
      </c>
      <c r="D194" s="23">
        <f>INDEX($P$10:$Q$14, MATCH(VAV_Schedule_5_21[[#This Row],[MARK]], $P$10:$P$14, 0), 2)</f>
        <v>6</v>
      </c>
      <c r="E194" s="24">
        <v>200</v>
      </c>
      <c r="F194" s="24">
        <v>40</v>
      </c>
      <c r="G194" s="28" t="s">
        <v>623</v>
      </c>
      <c r="H194" s="23" t="s">
        <v>624</v>
      </c>
      <c r="I194" s="23">
        <v>6</v>
      </c>
      <c r="J194" s="25"/>
      <c r="K194" t="str">
        <f t="shared" si="4"/>
        <v>Cooling</v>
      </c>
      <c r="L194" t="str">
        <f>IF(IFERROR(FIND("1", VAV_Schedule_5_21[[#This Row],[NOTES]]), FALSE), "P70", "P30")</f>
        <v>P30</v>
      </c>
      <c r="M194" t="s">
        <v>597</v>
      </c>
      <c r="N194">
        <f t="shared" si="5"/>
        <v>15010</v>
      </c>
    </row>
    <row r="195" spans="1:14" x14ac:dyDescent="0.2">
      <c r="A195" s="24">
        <v>194</v>
      </c>
      <c r="B195" s="23" t="s">
        <v>313</v>
      </c>
      <c r="C195" s="23" t="s">
        <v>618</v>
      </c>
      <c r="D195" s="23">
        <f>INDEX($P$10:$Q$14, MATCH(VAV_Schedule_5_21[[#This Row],[MARK]], $P$10:$P$14, 0), 2)</f>
        <v>10</v>
      </c>
      <c r="E195" s="24">
        <v>1050</v>
      </c>
      <c r="F195" s="24">
        <v>210</v>
      </c>
      <c r="G195" s="28" t="s">
        <v>631</v>
      </c>
      <c r="H195" s="23" t="s">
        <v>622</v>
      </c>
      <c r="I195" s="23">
        <v>6</v>
      </c>
      <c r="J195" s="25"/>
      <c r="K195" t="str">
        <f t="shared" ref="K195:K258" si="6">IF(G195="-","Cooling","Heating")</f>
        <v>Heating</v>
      </c>
      <c r="L195" t="str">
        <f>IF(IFERROR(FIND("1", VAV_Schedule_5_21[[#This Row],[NOTES]]), FALSE), "P70", "P30")</f>
        <v>P30</v>
      </c>
      <c r="M195" t="s">
        <v>597</v>
      </c>
      <c r="N195">
        <f t="shared" ref="N195:N258" si="7">INDEX($P$2:$Q$9, MATCH(_xlfn.CONCAT($K195,$L195,M195), $P$2:$P$9, 0), 2)</f>
        <v>15011</v>
      </c>
    </row>
    <row r="196" spans="1:14" x14ac:dyDescent="0.2">
      <c r="A196" s="24">
        <v>195</v>
      </c>
      <c r="B196" s="23" t="s">
        <v>314</v>
      </c>
      <c r="C196" s="23" t="s">
        <v>625</v>
      </c>
      <c r="D196" s="23">
        <f>INDEX($P$10:$Q$14, MATCH(VAV_Schedule_5_21[[#This Row],[MARK]], $P$10:$P$14, 0), 2)</f>
        <v>8</v>
      </c>
      <c r="E196" s="24">
        <v>640</v>
      </c>
      <c r="F196" s="24">
        <v>130</v>
      </c>
      <c r="G196" s="28" t="s">
        <v>619</v>
      </c>
      <c r="H196" s="23" t="s">
        <v>620</v>
      </c>
      <c r="I196" s="23">
        <v>6</v>
      </c>
      <c r="J196" s="25"/>
      <c r="K196" t="str">
        <f t="shared" si="6"/>
        <v>Heating</v>
      </c>
      <c r="L196" t="str">
        <f>IF(IFERROR(FIND("1", VAV_Schedule_5_21[[#This Row],[NOTES]]), FALSE), "P70", "P30")</f>
        <v>P30</v>
      </c>
      <c r="M196" t="s">
        <v>597</v>
      </c>
      <c r="N196">
        <f t="shared" si="7"/>
        <v>15011</v>
      </c>
    </row>
    <row r="197" spans="1:14" x14ac:dyDescent="0.2">
      <c r="A197" s="24">
        <v>196</v>
      </c>
      <c r="B197" s="23" t="s">
        <v>315</v>
      </c>
      <c r="C197" s="23" t="s">
        <v>618</v>
      </c>
      <c r="D197" s="23">
        <f>INDEX($P$10:$Q$14, MATCH(VAV_Schedule_5_21[[#This Row],[MARK]], $P$10:$P$14, 0), 2)</f>
        <v>10</v>
      </c>
      <c r="E197" s="24">
        <v>860</v>
      </c>
      <c r="F197" s="24">
        <v>175</v>
      </c>
      <c r="G197" s="28" t="s">
        <v>619</v>
      </c>
      <c r="H197" s="23" t="s">
        <v>620</v>
      </c>
      <c r="I197" s="23">
        <v>6</v>
      </c>
      <c r="J197" s="25"/>
      <c r="K197" t="str">
        <f t="shared" si="6"/>
        <v>Heating</v>
      </c>
      <c r="L197" t="str">
        <f>IF(IFERROR(FIND("1", VAV_Schedule_5_21[[#This Row],[NOTES]]), FALSE), "P70", "P30")</f>
        <v>P30</v>
      </c>
      <c r="M197" t="s">
        <v>597</v>
      </c>
      <c r="N197">
        <f t="shared" si="7"/>
        <v>15011</v>
      </c>
    </row>
    <row r="198" spans="1:14" x14ac:dyDescent="0.2">
      <c r="A198" s="24">
        <v>197</v>
      </c>
      <c r="B198" s="23" t="s">
        <v>316</v>
      </c>
      <c r="C198" s="23" t="s">
        <v>625</v>
      </c>
      <c r="D198" s="23">
        <f>INDEX($P$10:$Q$14, MATCH(VAV_Schedule_5_21[[#This Row],[MARK]], $P$10:$P$14, 0), 2)</f>
        <v>8</v>
      </c>
      <c r="E198" s="24">
        <v>690</v>
      </c>
      <c r="F198" s="24">
        <v>140</v>
      </c>
      <c r="G198" s="28" t="s">
        <v>619</v>
      </c>
      <c r="H198" s="23" t="s">
        <v>620</v>
      </c>
      <c r="I198" s="23">
        <v>6</v>
      </c>
      <c r="J198" s="25"/>
      <c r="K198" t="str">
        <f t="shared" si="6"/>
        <v>Heating</v>
      </c>
      <c r="L198" t="str">
        <f>IF(IFERROR(FIND("1", VAV_Schedule_5_21[[#This Row],[NOTES]]), FALSE), "P70", "P30")</f>
        <v>P30</v>
      </c>
      <c r="M198" t="s">
        <v>597</v>
      </c>
      <c r="N198">
        <f t="shared" si="7"/>
        <v>15011</v>
      </c>
    </row>
    <row r="199" spans="1:14" x14ac:dyDescent="0.2">
      <c r="A199" s="24">
        <v>198</v>
      </c>
      <c r="B199" s="23" t="s">
        <v>317</v>
      </c>
      <c r="C199" s="23" t="s">
        <v>628</v>
      </c>
      <c r="D199" s="23">
        <f>INDEX($P$10:$Q$14, MATCH(VAV_Schedule_5_21[[#This Row],[MARK]], $P$10:$P$14, 0), 2)</f>
        <v>12</v>
      </c>
      <c r="E199" s="24">
        <v>1310</v>
      </c>
      <c r="F199" s="24">
        <v>265</v>
      </c>
      <c r="G199" s="28" t="s">
        <v>623</v>
      </c>
      <c r="H199" s="23" t="s">
        <v>624</v>
      </c>
      <c r="I199" s="23">
        <v>6</v>
      </c>
      <c r="J199" s="25"/>
      <c r="K199" t="str">
        <f t="shared" si="6"/>
        <v>Cooling</v>
      </c>
      <c r="L199" t="str">
        <f>IF(IFERROR(FIND("1", VAV_Schedule_5_21[[#This Row],[NOTES]]), FALSE), "P70", "P30")</f>
        <v>P30</v>
      </c>
      <c r="M199" t="s">
        <v>597</v>
      </c>
      <c r="N199">
        <f t="shared" si="7"/>
        <v>15010</v>
      </c>
    </row>
    <row r="200" spans="1:14" x14ac:dyDescent="0.2">
      <c r="A200" s="24">
        <v>199</v>
      </c>
      <c r="B200" s="23" t="s">
        <v>318</v>
      </c>
      <c r="C200" s="23" t="s">
        <v>618</v>
      </c>
      <c r="D200" s="23">
        <f>INDEX($P$10:$Q$14, MATCH(VAV_Schedule_5_21[[#This Row],[MARK]], $P$10:$P$14, 0), 2)</f>
        <v>10</v>
      </c>
      <c r="E200" s="24">
        <v>925</v>
      </c>
      <c r="F200" s="24">
        <v>0</v>
      </c>
      <c r="G200" s="28" t="s">
        <v>623</v>
      </c>
      <c r="H200" s="23" t="s">
        <v>624</v>
      </c>
      <c r="I200" s="23">
        <v>6</v>
      </c>
      <c r="J200" s="25"/>
      <c r="K200" t="str">
        <f t="shared" si="6"/>
        <v>Cooling</v>
      </c>
      <c r="L200" t="str">
        <f>IF(IFERROR(FIND("1", VAV_Schedule_5_21[[#This Row],[NOTES]]), FALSE), "P70", "P30")</f>
        <v>P30</v>
      </c>
      <c r="M200" t="s">
        <v>597</v>
      </c>
      <c r="N200">
        <f t="shared" si="7"/>
        <v>15010</v>
      </c>
    </row>
    <row r="201" spans="1:14" x14ac:dyDescent="0.2">
      <c r="A201" s="24">
        <v>200</v>
      </c>
      <c r="B201" s="23" t="s">
        <v>319</v>
      </c>
      <c r="C201" s="23" t="s">
        <v>628</v>
      </c>
      <c r="D201" s="23">
        <f>INDEX($P$10:$Q$14, MATCH(VAV_Schedule_5_21[[#This Row],[MARK]], $P$10:$P$14, 0), 2)</f>
        <v>12</v>
      </c>
      <c r="E201" s="24">
        <v>1510</v>
      </c>
      <c r="F201" s="24">
        <v>305</v>
      </c>
      <c r="G201" s="28" t="s">
        <v>623</v>
      </c>
      <c r="H201" s="23" t="s">
        <v>624</v>
      </c>
      <c r="I201" s="23">
        <v>6</v>
      </c>
      <c r="J201" s="25"/>
      <c r="K201" t="str">
        <f t="shared" si="6"/>
        <v>Cooling</v>
      </c>
      <c r="L201" t="str">
        <f>IF(IFERROR(FIND("1", VAV_Schedule_5_21[[#This Row],[NOTES]]), FALSE), "P70", "P30")</f>
        <v>P30</v>
      </c>
      <c r="M201" t="s">
        <v>597</v>
      </c>
      <c r="N201">
        <f t="shared" si="7"/>
        <v>15010</v>
      </c>
    </row>
    <row r="202" spans="1:14" x14ac:dyDescent="0.2">
      <c r="A202" s="24">
        <v>201</v>
      </c>
      <c r="B202" s="23" t="s">
        <v>320</v>
      </c>
      <c r="C202" s="23" t="s">
        <v>618</v>
      </c>
      <c r="D202" s="23">
        <f>INDEX($P$10:$Q$14, MATCH(VAV_Schedule_5_21[[#This Row],[MARK]], $P$10:$P$14, 0), 2)</f>
        <v>10</v>
      </c>
      <c r="E202" s="24">
        <v>800</v>
      </c>
      <c r="F202" s="24">
        <v>160</v>
      </c>
      <c r="G202" s="28" t="s">
        <v>621</v>
      </c>
      <c r="H202" s="23" t="s">
        <v>622</v>
      </c>
      <c r="I202" s="23">
        <v>6</v>
      </c>
      <c r="J202" s="25"/>
      <c r="K202" t="str">
        <f t="shared" si="6"/>
        <v>Heating</v>
      </c>
      <c r="L202" t="str">
        <f>IF(IFERROR(FIND("1", VAV_Schedule_5_21[[#This Row],[NOTES]]), FALSE), "P70", "P30")</f>
        <v>P30</v>
      </c>
      <c r="M202" t="s">
        <v>597</v>
      </c>
      <c r="N202">
        <f t="shared" si="7"/>
        <v>15011</v>
      </c>
    </row>
    <row r="203" spans="1:14" x14ac:dyDescent="0.2">
      <c r="A203" s="24">
        <v>202</v>
      </c>
      <c r="B203" s="23" t="s">
        <v>321</v>
      </c>
      <c r="C203" s="23" t="s">
        <v>628</v>
      </c>
      <c r="D203" s="23">
        <f>INDEX($P$10:$Q$14, MATCH(VAV_Schedule_5_21[[#This Row],[MARK]], $P$10:$P$14, 0), 2)</f>
        <v>12</v>
      </c>
      <c r="E203" s="24">
        <v>1400</v>
      </c>
      <c r="F203" s="24">
        <v>280</v>
      </c>
      <c r="G203" s="28" t="s">
        <v>621</v>
      </c>
      <c r="H203" s="23" t="s">
        <v>622</v>
      </c>
      <c r="I203" s="23">
        <v>6</v>
      </c>
      <c r="J203" s="25"/>
      <c r="K203" t="str">
        <f t="shared" si="6"/>
        <v>Heating</v>
      </c>
      <c r="L203" t="str">
        <f>IF(IFERROR(FIND("1", VAV_Schedule_5_21[[#This Row],[NOTES]]), FALSE), "P70", "P30")</f>
        <v>P30</v>
      </c>
      <c r="M203" t="s">
        <v>597</v>
      </c>
      <c r="N203">
        <f t="shared" si="7"/>
        <v>15011</v>
      </c>
    </row>
    <row r="204" spans="1:14" x14ac:dyDescent="0.2">
      <c r="A204" s="24">
        <v>203</v>
      </c>
      <c r="B204" s="23" t="s">
        <v>322</v>
      </c>
      <c r="C204" s="23" t="s">
        <v>625</v>
      </c>
      <c r="D204" s="23">
        <f>INDEX($P$10:$Q$14, MATCH(VAV_Schedule_5_21[[#This Row],[MARK]], $P$10:$P$14, 0), 2)</f>
        <v>8</v>
      </c>
      <c r="E204" s="24">
        <v>560</v>
      </c>
      <c r="F204" s="24">
        <v>115</v>
      </c>
      <c r="G204" s="28" t="s">
        <v>623</v>
      </c>
      <c r="H204" s="23" t="s">
        <v>624</v>
      </c>
      <c r="I204" s="23">
        <v>6</v>
      </c>
      <c r="J204" s="25" t="s">
        <v>630</v>
      </c>
      <c r="K204" t="str">
        <f t="shared" si="6"/>
        <v>Cooling</v>
      </c>
      <c r="L204" t="str">
        <f>IF(IFERROR(FIND("1", VAV_Schedule_5_21[[#This Row],[NOTES]]), FALSE), "P70", "P30")</f>
        <v>P30</v>
      </c>
      <c r="M204" t="s">
        <v>597</v>
      </c>
      <c r="N204">
        <f t="shared" si="7"/>
        <v>15010</v>
      </c>
    </row>
    <row r="205" spans="1:14" x14ac:dyDescent="0.2">
      <c r="A205" s="24">
        <v>204</v>
      </c>
      <c r="B205" s="23" t="s">
        <v>323</v>
      </c>
      <c r="C205" s="23" t="s">
        <v>618</v>
      </c>
      <c r="D205" s="23">
        <f>INDEX($P$10:$Q$14, MATCH(VAV_Schedule_5_21[[#This Row],[MARK]], $P$10:$P$14, 0), 2)</f>
        <v>10</v>
      </c>
      <c r="E205" s="24">
        <v>1030</v>
      </c>
      <c r="F205" s="24">
        <v>210</v>
      </c>
      <c r="G205" s="28" t="s">
        <v>623</v>
      </c>
      <c r="H205" s="23" t="s">
        <v>624</v>
      </c>
      <c r="I205" s="23">
        <v>6</v>
      </c>
      <c r="J205" s="25" t="s">
        <v>630</v>
      </c>
      <c r="K205" t="str">
        <f t="shared" si="6"/>
        <v>Cooling</v>
      </c>
      <c r="L205" t="str">
        <f>IF(IFERROR(FIND("1", VAV_Schedule_5_21[[#This Row],[NOTES]]), FALSE), "P70", "P30")</f>
        <v>P30</v>
      </c>
      <c r="M205" t="s">
        <v>597</v>
      </c>
      <c r="N205">
        <f t="shared" si="7"/>
        <v>15010</v>
      </c>
    </row>
    <row r="206" spans="1:14" x14ac:dyDescent="0.2">
      <c r="A206" s="24">
        <v>205</v>
      </c>
      <c r="B206" s="23" t="s">
        <v>324</v>
      </c>
      <c r="C206" s="23" t="s">
        <v>618</v>
      </c>
      <c r="D206" s="23">
        <f>INDEX($P$10:$Q$14, MATCH(VAV_Schedule_5_21[[#This Row],[MARK]], $P$10:$P$14, 0), 2)</f>
        <v>10</v>
      </c>
      <c r="E206" s="24">
        <v>800</v>
      </c>
      <c r="F206" s="24">
        <v>160</v>
      </c>
      <c r="G206" s="28" t="s">
        <v>621</v>
      </c>
      <c r="H206" s="23" t="s">
        <v>622</v>
      </c>
      <c r="I206" s="23">
        <v>6</v>
      </c>
      <c r="J206" s="25"/>
      <c r="K206" t="str">
        <f t="shared" si="6"/>
        <v>Heating</v>
      </c>
      <c r="L206" t="str">
        <f>IF(IFERROR(FIND("1", VAV_Schedule_5_21[[#This Row],[NOTES]]), FALSE), "P70", "P30")</f>
        <v>P30</v>
      </c>
      <c r="M206" t="s">
        <v>597</v>
      </c>
      <c r="N206">
        <f t="shared" si="7"/>
        <v>15011</v>
      </c>
    </row>
    <row r="207" spans="1:14" x14ac:dyDescent="0.2">
      <c r="A207" s="24">
        <v>206</v>
      </c>
      <c r="B207" s="23" t="s">
        <v>325</v>
      </c>
      <c r="C207" s="23" t="s">
        <v>625</v>
      </c>
      <c r="D207" s="23">
        <f>INDEX($P$10:$Q$14, MATCH(VAV_Schedule_5_21[[#This Row],[MARK]], $P$10:$P$14, 0), 2)</f>
        <v>8</v>
      </c>
      <c r="E207" s="24">
        <v>640</v>
      </c>
      <c r="F207" s="24">
        <v>130</v>
      </c>
      <c r="G207" s="28" t="s">
        <v>619</v>
      </c>
      <c r="H207" s="23" t="s">
        <v>620</v>
      </c>
      <c r="I207" s="23">
        <v>6</v>
      </c>
      <c r="J207" s="25"/>
      <c r="K207" t="str">
        <f t="shared" si="6"/>
        <v>Heating</v>
      </c>
      <c r="L207" t="str">
        <f>IF(IFERROR(FIND("1", VAV_Schedule_5_21[[#This Row],[NOTES]]), FALSE), "P70", "P30")</f>
        <v>P30</v>
      </c>
      <c r="M207" t="s">
        <v>597</v>
      </c>
      <c r="N207">
        <f t="shared" si="7"/>
        <v>15011</v>
      </c>
    </row>
    <row r="208" spans="1:14" x14ac:dyDescent="0.2">
      <c r="A208" s="24">
        <v>207</v>
      </c>
      <c r="B208" s="23" t="s">
        <v>326</v>
      </c>
      <c r="C208" s="23" t="s">
        <v>618</v>
      </c>
      <c r="D208" s="23">
        <f>INDEX($P$10:$Q$14, MATCH(VAV_Schedule_5_21[[#This Row],[MARK]], $P$10:$P$14, 0), 2)</f>
        <v>10</v>
      </c>
      <c r="E208" s="24">
        <v>860</v>
      </c>
      <c r="F208" s="24">
        <v>175</v>
      </c>
      <c r="G208" s="28" t="s">
        <v>619</v>
      </c>
      <c r="H208" s="23" t="s">
        <v>620</v>
      </c>
      <c r="I208" s="23">
        <v>6</v>
      </c>
      <c r="J208" s="25"/>
      <c r="K208" t="str">
        <f t="shared" si="6"/>
        <v>Heating</v>
      </c>
      <c r="L208" t="str">
        <f>IF(IFERROR(FIND("1", VAV_Schedule_5_21[[#This Row],[NOTES]]), FALSE), "P70", "P30")</f>
        <v>P30</v>
      </c>
      <c r="M208" t="s">
        <v>597</v>
      </c>
      <c r="N208">
        <f t="shared" si="7"/>
        <v>15011</v>
      </c>
    </row>
    <row r="209" spans="1:14" x14ac:dyDescent="0.2">
      <c r="A209" s="24">
        <v>208</v>
      </c>
      <c r="B209" s="23" t="s">
        <v>327</v>
      </c>
      <c r="C209" s="23" t="s">
        <v>625</v>
      </c>
      <c r="D209" s="23">
        <f>INDEX($P$10:$Q$14, MATCH(VAV_Schedule_5_21[[#This Row],[MARK]], $P$10:$P$14, 0), 2)</f>
        <v>8</v>
      </c>
      <c r="E209" s="24">
        <v>700</v>
      </c>
      <c r="F209" s="24">
        <v>140</v>
      </c>
      <c r="G209" s="28" t="s">
        <v>619</v>
      </c>
      <c r="H209" s="23" t="s">
        <v>620</v>
      </c>
      <c r="I209" s="23">
        <v>6</v>
      </c>
      <c r="J209" s="25"/>
      <c r="K209" t="str">
        <f t="shared" si="6"/>
        <v>Heating</v>
      </c>
      <c r="L209" t="str">
        <f>IF(IFERROR(FIND("1", VAV_Schedule_5_21[[#This Row],[NOTES]]), FALSE), "P70", "P30")</f>
        <v>P30</v>
      </c>
      <c r="M209" t="s">
        <v>597</v>
      </c>
      <c r="N209">
        <f t="shared" si="7"/>
        <v>15011</v>
      </c>
    </row>
    <row r="210" spans="1:14" x14ac:dyDescent="0.2">
      <c r="A210" s="24">
        <v>209</v>
      </c>
      <c r="B210" s="23" t="s">
        <v>328</v>
      </c>
      <c r="C210" s="23" t="s">
        <v>628</v>
      </c>
      <c r="D210" s="23">
        <f>INDEX($P$10:$Q$14, MATCH(VAV_Schedule_5_21[[#This Row],[MARK]], $P$10:$P$14, 0), 2)</f>
        <v>12</v>
      </c>
      <c r="E210" s="24">
        <v>1140</v>
      </c>
      <c r="F210" s="24">
        <v>230</v>
      </c>
      <c r="G210" s="28" t="s">
        <v>623</v>
      </c>
      <c r="H210" s="23" t="s">
        <v>624</v>
      </c>
      <c r="I210" s="23">
        <v>6</v>
      </c>
      <c r="J210" s="25" t="s">
        <v>630</v>
      </c>
      <c r="K210" t="str">
        <f t="shared" si="6"/>
        <v>Cooling</v>
      </c>
      <c r="L210" t="str">
        <f>IF(IFERROR(FIND("1", VAV_Schedule_5_21[[#This Row],[NOTES]]), FALSE), "P70", "P30")</f>
        <v>P30</v>
      </c>
      <c r="M210" t="s">
        <v>597</v>
      </c>
      <c r="N210">
        <f t="shared" si="7"/>
        <v>15010</v>
      </c>
    </row>
    <row r="211" spans="1:14" x14ac:dyDescent="0.2">
      <c r="A211" s="24">
        <v>210</v>
      </c>
      <c r="B211" s="23" t="s">
        <v>329</v>
      </c>
      <c r="C211" s="23" t="s">
        <v>618</v>
      </c>
      <c r="D211" s="23">
        <f>INDEX($P$10:$Q$14, MATCH(VAV_Schedule_5_21[[#This Row],[MARK]], $P$10:$P$14, 0), 2)</f>
        <v>10</v>
      </c>
      <c r="E211" s="24">
        <v>1040</v>
      </c>
      <c r="F211" s="24">
        <v>210</v>
      </c>
      <c r="G211" s="28" t="s">
        <v>623</v>
      </c>
      <c r="H211" s="23" t="s">
        <v>624</v>
      </c>
      <c r="I211" s="23">
        <v>6</v>
      </c>
      <c r="J211" s="25"/>
      <c r="K211" t="str">
        <f t="shared" si="6"/>
        <v>Cooling</v>
      </c>
      <c r="L211" t="str">
        <f>IF(IFERROR(FIND("1", VAV_Schedule_5_21[[#This Row],[NOTES]]), FALSE), "P70", "P30")</f>
        <v>P30</v>
      </c>
      <c r="M211" t="s">
        <v>597</v>
      </c>
      <c r="N211">
        <f t="shared" si="7"/>
        <v>15010</v>
      </c>
    </row>
    <row r="212" spans="1:14" x14ac:dyDescent="0.2">
      <c r="A212" s="24">
        <v>211</v>
      </c>
      <c r="B212" s="23" t="s">
        <v>330</v>
      </c>
      <c r="C212" s="23" t="s">
        <v>632</v>
      </c>
      <c r="D212" s="23">
        <f>INDEX($P$10:$Q$14, MATCH(VAV_Schedule_5_21[[#This Row],[MARK]], $P$10:$P$14, 0), 2)</f>
        <v>6</v>
      </c>
      <c r="E212" s="24">
        <v>185</v>
      </c>
      <c r="F212" s="24">
        <v>40</v>
      </c>
      <c r="G212" s="28" t="s">
        <v>623</v>
      </c>
      <c r="H212" s="23" t="s">
        <v>624</v>
      </c>
      <c r="I212" s="23">
        <v>6</v>
      </c>
      <c r="J212" s="25"/>
      <c r="K212" t="str">
        <f t="shared" si="6"/>
        <v>Cooling</v>
      </c>
      <c r="L212" t="str">
        <f>IF(IFERROR(FIND("1", VAV_Schedule_5_21[[#This Row],[NOTES]]), FALSE), "P70", "P30")</f>
        <v>P30</v>
      </c>
      <c r="M212" t="s">
        <v>597</v>
      </c>
      <c r="N212">
        <f t="shared" si="7"/>
        <v>15010</v>
      </c>
    </row>
    <row r="213" spans="1:14" x14ac:dyDescent="0.2">
      <c r="A213" s="24">
        <v>212</v>
      </c>
      <c r="B213" s="23" t="s">
        <v>331</v>
      </c>
      <c r="C213" s="23" t="s">
        <v>628</v>
      </c>
      <c r="D213" s="23">
        <f>INDEX($P$10:$Q$14, MATCH(VAV_Schedule_5_21[[#This Row],[MARK]], $P$10:$P$14, 0), 2)</f>
        <v>12</v>
      </c>
      <c r="E213" s="24">
        <v>1220</v>
      </c>
      <c r="F213" s="24">
        <v>245</v>
      </c>
      <c r="G213" s="28" t="s">
        <v>631</v>
      </c>
      <c r="H213" s="23" t="s">
        <v>622</v>
      </c>
      <c r="I213" s="23">
        <v>6</v>
      </c>
      <c r="J213" s="25"/>
      <c r="K213" t="str">
        <f t="shared" si="6"/>
        <v>Heating</v>
      </c>
      <c r="L213" t="str">
        <f>IF(IFERROR(FIND("1", VAV_Schedule_5_21[[#This Row],[NOTES]]), FALSE), "P70", "P30")</f>
        <v>P30</v>
      </c>
      <c r="M213" t="s">
        <v>597</v>
      </c>
      <c r="N213">
        <f t="shared" si="7"/>
        <v>15011</v>
      </c>
    </row>
    <row r="214" spans="1:14" x14ac:dyDescent="0.2">
      <c r="A214" s="24">
        <v>213</v>
      </c>
      <c r="B214" s="23" t="s">
        <v>332</v>
      </c>
      <c r="C214" s="23" t="s">
        <v>618</v>
      </c>
      <c r="D214" s="23">
        <f>INDEX($P$10:$Q$14, MATCH(VAV_Schedule_5_21[[#This Row],[MARK]], $P$10:$P$14, 0), 2)</f>
        <v>10</v>
      </c>
      <c r="E214" s="24">
        <v>960</v>
      </c>
      <c r="F214" s="24">
        <v>195</v>
      </c>
      <c r="G214" s="28" t="s">
        <v>619</v>
      </c>
      <c r="H214" s="23" t="s">
        <v>620</v>
      </c>
      <c r="I214" s="23">
        <v>6</v>
      </c>
      <c r="J214" s="25"/>
      <c r="K214" t="str">
        <f t="shared" si="6"/>
        <v>Heating</v>
      </c>
      <c r="L214" t="str">
        <f>IF(IFERROR(FIND("1", VAV_Schedule_5_21[[#This Row],[NOTES]]), FALSE), "P70", "P30")</f>
        <v>P30</v>
      </c>
      <c r="M214" t="s">
        <v>597</v>
      </c>
      <c r="N214">
        <f t="shared" si="7"/>
        <v>15011</v>
      </c>
    </row>
    <row r="215" spans="1:14" x14ac:dyDescent="0.2">
      <c r="A215" s="24">
        <v>214</v>
      </c>
      <c r="B215" s="23" t="s">
        <v>333</v>
      </c>
      <c r="C215" s="23" t="s">
        <v>628</v>
      </c>
      <c r="D215" s="23">
        <f>INDEX($P$10:$Q$14, MATCH(VAV_Schedule_5_21[[#This Row],[MARK]], $P$10:$P$14, 0), 2)</f>
        <v>12</v>
      </c>
      <c r="E215" s="24">
        <v>1220</v>
      </c>
      <c r="F215" s="24">
        <v>245</v>
      </c>
      <c r="G215" s="28" t="s">
        <v>631</v>
      </c>
      <c r="H215" s="23" t="s">
        <v>622</v>
      </c>
      <c r="I215" s="23">
        <v>6</v>
      </c>
      <c r="J215" s="25" t="s">
        <v>630</v>
      </c>
      <c r="K215" t="str">
        <f t="shared" si="6"/>
        <v>Heating</v>
      </c>
      <c r="L215" t="str">
        <f>IF(IFERROR(FIND("1", VAV_Schedule_5_21[[#This Row],[NOTES]]), FALSE), "P70", "P30")</f>
        <v>P30</v>
      </c>
      <c r="M215" t="s">
        <v>597</v>
      </c>
      <c r="N215">
        <f t="shared" si="7"/>
        <v>15011</v>
      </c>
    </row>
    <row r="216" spans="1:14" x14ac:dyDescent="0.2">
      <c r="A216" s="24">
        <v>215</v>
      </c>
      <c r="B216" s="23" t="s">
        <v>334</v>
      </c>
      <c r="C216" s="23" t="s">
        <v>632</v>
      </c>
      <c r="D216" s="23">
        <f>INDEX($P$10:$Q$14, MATCH(VAV_Schedule_5_21[[#This Row],[MARK]], $P$10:$P$14, 0), 2)</f>
        <v>6</v>
      </c>
      <c r="E216" s="24">
        <v>200</v>
      </c>
      <c r="F216" s="24">
        <v>40</v>
      </c>
      <c r="G216" s="28" t="s">
        <v>623</v>
      </c>
      <c r="H216" s="23" t="s">
        <v>624</v>
      </c>
      <c r="I216" s="23">
        <v>6</v>
      </c>
      <c r="J216" s="25"/>
      <c r="K216" t="str">
        <f t="shared" si="6"/>
        <v>Cooling</v>
      </c>
      <c r="L216" t="str">
        <f>IF(IFERROR(FIND("1", VAV_Schedule_5_21[[#This Row],[NOTES]]), FALSE), "P70", "P30")</f>
        <v>P30</v>
      </c>
      <c r="M216" t="s">
        <v>597</v>
      </c>
      <c r="N216">
        <f t="shared" si="7"/>
        <v>15010</v>
      </c>
    </row>
    <row r="217" spans="1:14" x14ac:dyDescent="0.2">
      <c r="A217" s="24">
        <v>216</v>
      </c>
      <c r="B217" s="23" t="s">
        <v>335</v>
      </c>
      <c r="C217" s="23" t="s">
        <v>625</v>
      </c>
      <c r="D217" s="23">
        <f>INDEX($P$10:$Q$14, MATCH(VAV_Schedule_5_21[[#This Row],[MARK]], $P$10:$P$14, 0), 2)</f>
        <v>8</v>
      </c>
      <c r="E217" s="24">
        <v>640</v>
      </c>
      <c r="F217" s="24">
        <v>130</v>
      </c>
      <c r="G217" s="28" t="s">
        <v>619</v>
      </c>
      <c r="H217" s="23" t="s">
        <v>620</v>
      </c>
      <c r="I217" s="23">
        <v>7</v>
      </c>
      <c r="J217" s="25"/>
      <c r="K217" t="str">
        <f t="shared" si="6"/>
        <v>Heating</v>
      </c>
      <c r="L217" t="str">
        <f>IF(IFERROR(FIND("1", VAV_Schedule_5_21[[#This Row],[NOTES]]), FALSE), "P70", "P30")</f>
        <v>P30</v>
      </c>
      <c r="M217" t="s">
        <v>597</v>
      </c>
      <c r="N217">
        <f t="shared" si="7"/>
        <v>15011</v>
      </c>
    </row>
    <row r="218" spans="1:14" x14ac:dyDescent="0.2">
      <c r="A218" s="24">
        <v>217</v>
      </c>
      <c r="B218" s="23" t="s">
        <v>336</v>
      </c>
      <c r="C218" s="23" t="s">
        <v>625</v>
      </c>
      <c r="D218" s="23">
        <f>INDEX($P$10:$Q$14, MATCH(VAV_Schedule_5_21[[#This Row],[MARK]], $P$10:$P$14, 0), 2)</f>
        <v>8</v>
      </c>
      <c r="E218" s="24">
        <v>680</v>
      </c>
      <c r="F218" s="24">
        <v>140</v>
      </c>
      <c r="G218" s="28" t="s">
        <v>619</v>
      </c>
      <c r="H218" s="23" t="s">
        <v>620</v>
      </c>
      <c r="I218" s="23">
        <v>7</v>
      </c>
      <c r="J218" s="25"/>
      <c r="K218" t="str">
        <f t="shared" si="6"/>
        <v>Heating</v>
      </c>
      <c r="L218" t="str">
        <f>IF(IFERROR(FIND("1", VAV_Schedule_5_21[[#This Row],[NOTES]]), FALSE), "P70", "P30")</f>
        <v>P30</v>
      </c>
      <c r="M218" t="s">
        <v>597</v>
      </c>
      <c r="N218">
        <f t="shared" si="7"/>
        <v>15011</v>
      </c>
    </row>
    <row r="219" spans="1:14" x14ac:dyDescent="0.2">
      <c r="A219" s="24">
        <v>218</v>
      </c>
      <c r="B219" s="23" t="s">
        <v>337</v>
      </c>
      <c r="C219" s="23" t="s">
        <v>625</v>
      </c>
      <c r="D219" s="23">
        <f>INDEX($P$10:$Q$14, MATCH(VAV_Schedule_5_21[[#This Row],[MARK]], $P$10:$P$14, 0), 2)</f>
        <v>8</v>
      </c>
      <c r="E219" s="24">
        <v>600</v>
      </c>
      <c r="F219" s="24">
        <v>120</v>
      </c>
      <c r="G219" s="28" t="s">
        <v>619</v>
      </c>
      <c r="H219" s="23" t="s">
        <v>620</v>
      </c>
      <c r="I219" s="23">
        <v>7</v>
      </c>
      <c r="J219" s="25"/>
      <c r="K219" t="str">
        <f t="shared" si="6"/>
        <v>Heating</v>
      </c>
      <c r="L219" t="str">
        <f>IF(IFERROR(FIND("1", VAV_Schedule_5_21[[#This Row],[NOTES]]), FALSE), "P70", "P30")</f>
        <v>P30</v>
      </c>
      <c r="M219" t="s">
        <v>597</v>
      </c>
      <c r="N219">
        <f t="shared" si="7"/>
        <v>15011</v>
      </c>
    </row>
    <row r="220" spans="1:14" x14ac:dyDescent="0.2">
      <c r="A220" s="24">
        <v>219</v>
      </c>
      <c r="B220" s="23" t="s">
        <v>338</v>
      </c>
      <c r="C220" s="23" t="s">
        <v>618</v>
      </c>
      <c r="D220" s="23">
        <f>INDEX($P$10:$Q$14, MATCH(VAV_Schedule_5_21[[#This Row],[MARK]], $P$10:$P$14, 0), 2)</f>
        <v>10</v>
      </c>
      <c r="E220" s="24">
        <v>840</v>
      </c>
      <c r="F220" s="24">
        <v>170</v>
      </c>
      <c r="G220" s="28" t="s">
        <v>619</v>
      </c>
      <c r="H220" s="23" t="s">
        <v>620</v>
      </c>
      <c r="I220" s="23">
        <v>7</v>
      </c>
      <c r="J220" s="25"/>
      <c r="K220" t="str">
        <f t="shared" si="6"/>
        <v>Heating</v>
      </c>
      <c r="L220" t="str">
        <f>IF(IFERROR(FIND("1", VAV_Schedule_5_21[[#This Row],[NOTES]]), FALSE), "P70", "P30")</f>
        <v>P30</v>
      </c>
      <c r="M220" t="s">
        <v>597</v>
      </c>
      <c r="N220">
        <f t="shared" si="7"/>
        <v>15011</v>
      </c>
    </row>
    <row r="221" spans="1:14" x14ac:dyDescent="0.2">
      <c r="A221" s="24">
        <v>220</v>
      </c>
      <c r="B221" s="23" t="s">
        <v>339</v>
      </c>
      <c r="C221" s="23" t="s">
        <v>628</v>
      </c>
      <c r="D221" s="23">
        <f>INDEX($P$10:$Q$14, MATCH(VAV_Schedule_5_21[[#This Row],[MARK]], $P$10:$P$14, 0), 2)</f>
        <v>12</v>
      </c>
      <c r="E221" s="24">
        <v>1200</v>
      </c>
      <c r="F221" s="24">
        <v>240</v>
      </c>
      <c r="G221" s="28" t="s">
        <v>623</v>
      </c>
      <c r="H221" s="23" t="s">
        <v>624</v>
      </c>
      <c r="I221" s="23">
        <v>7</v>
      </c>
      <c r="J221" s="25"/>
      <c r="K221" t="str">
        <f t="shared" si="6"/>
        <v>Cooling</v>
      </c>
      <c r="L221" t="str">
        <f>IF(IFERROR(FIND("1", VAV_Schedule_5_21[[#This Row],[NOTES]]), FALSE), "P70", "P30")</f>
        <v>P30</v>
      </c>
      <c r="M221" t="s">
        <v>597</v>
      </c>
      <c r="N221">
        <f t="shared" si="7"/>
        <v>15010</v>
      </c>
    </row>
    <row r="222" spans="1:14" x14ac:dyDescent="0.2">
      <c r="A222" s="24">
        <v>221</v>
      </c>
      <c r="B222" s="23" t="s">
        <v>340</v>
      </c>
      <c r="C222" s="23" t="s">
        <v>618</v>
      </c>
      <c r="D222" s="23">
        <f>INDEX($P$10:$Q$14, MATCH(VAV_Schedule_5_21[[#This Row],[MARK]], $P$10:$P$14, 0), 2)</f>
        <v>10</v>
      </c>
      <c r="E222" s="24">
        <v>975</v>
      </c>
      <c r="F222" s="24">
        <v>195</v>
      </c>
      <c r="G222" s="28" t="s">
        <v>623</v>
      </c>
      <c r="H222" s="23" t="s">
        <v>624</v>
      </c>
      <c r="I222" s="23">
        <v>7</v>
      </c>
      <c r="J222" s="25"/>
      <c r="K222" t="str">
        <f t="shared" si="6"/>
        <v>Cooling</v>
      </c>
      <c r="L222" t="str">
        <f>IF(IFERROR(FIND("1", VAV_Schedule_5_21[[#This Row],[NOTES]]), FALSE), "P70", "P30")</f>
        <v>P30</v>
      </c>
      <c r="M222" t="s">
        <v>597</v>
      </c>
      <c r="N222">
        <f t="shared" si="7"/>
        <v>15010</v>
      </c>
    </row>
    <row r="223" spans="1:14" x14ac:dyDescent="0.2">
      <c r="A223" s="24">
        <v>222</v>
      </c>
      <c r="B223" s="23" t="s">
        <v>341</v>
      </c>
      <c r="C223" s="23" t="s">
        <v>625</v>
      </c>
      <c r="D223" s="23">
        <f>INDEX($P$10:$Q$14, MATCH(VAV_Schedule_5_21[[#This Row],[MARK]], $P$10:$P$14, 0), 2)</f>
        <v>8</v>
      </c>
      <c r="E223" s="24">
        <v>550</v>
      </c>
      <c r="F223" s="24">
        <v>110</v>
      </c>
      <c r="G223" s="28" t="s">
        <v>623</v>
      </c>
      <c r="H223" s="23" t="s">
        <v>624</v>
      </c>
      <c r="I223" s="23">
        <v>7</v>
      </c>
      <c r="J223" s="25"/>
      <c r="K223" t="str">
        <f t="shared" si="6"/>
        <v>Cooling</v>
      </c>
      <c r="L223" t="str">
        <f>IF(IFERROR(FIND("1", VAV_Schedule_5_21[[#This Row],[NOTES]]), FALSE), "P70", "P30")</f>
        <v>P30</v>
      </c>
      <c r="M223" t="s">
        <v>597</v>
      </c>
      <c r="N223">
        <f t="shared" si="7"/>
        <v>15010</v>
      </c>
    </row>
    <row r="224" spans="1:14" x14ac:dyDescent="0.2">
      <c r="A224" s="24">
        <v>223</v>
      </c>
      <c r="B224" s="23" t="s">
        <v>342</v>
      </c>
      <c r="C224" s="23" t="s">
        <v>618</v>
      </c>
      <c r="D224" s="23">
        <f>INDEX($P$10:$Q$14, MATCH(VAV_Schedule_5_21[[#This Row],[MARK]], $P$10:$P$14, 0), 2)</f>
        <v>10</v>
      </c>
      <c r="E224" s="24">
        <v>760</v>
      </c>
      <c r="F224" s="24">
        <v>155</v>
      </c>
      <c r="G224" s="28" t="s">
        <v>623</v>
      </c>
      <c r="H224" s="23" t="s">
        <v>624</v>
      </c>
      <c r="I224" s="23">
        <v>7</v>
      </c>
      <c r="J224" s="25"/>
      <c r="K224" t="str">
        <f t="shared" si="6"/>
        <v>Cooling</v>
      </c>
      <c r="L224" t="str">
        <f>IF(IFERROR(FIND("1", VAV_Schedule_5_21[[#This Row],[NOTES]]), FALSE), "P70", "P30")</f>
        <v>P30</v>
      </c>
      <c r="M224" t="s">
        <v>597</v>
      </c>
      <c r="N224">
        <f t="shared" si="7"/>
        <v>15010</v>
      </c>
    </row>
    <row r="225" spans="1:14" x14ac:dyDescent="0.2">
      <c r="A225" s="24">
        <v>224</v>
      </c>
      <c r="B225" s="23" t="s">
        <v>343</v>
      </c>
      <c r="C225" s="23" t="s">
        <v>628</v>
      </c>
      <c r="D225" s="23">
        <f>INDEX($P$10:$Q$14, MATCH(VAV_Schedule_5_21[[#This Row],[MARK]], $P$10:$P$14, 0), 2)</f>
        <v>12</v>
      </c>
      <c r="E225" s="24">
        <v>1270</v>
      </c>
      <c r="F225" s="24">
        <v>255</v>
      </c>
      <c r="G225" s="28" t="s">
        <v>623</v>
      </c>
      <c r="H225" s="23" t="s">
        <v>624</v>
      </c>
      <c r="I225" s="23">
        <v>7</v>
      </c>
      <c r="J225" s="25"/>
      <c r="K225" t="str">
        <f t="shared" si="6"/>
        <v>Cooling</v>
      </c>
      <c r="L225" t="str">
        <f>IF(IFERROR(FIND("1", VAV_Schedule_5_21[[#This Row],[NOTES]]), FALSE), "P70", "P30")</f>
        <v>P30</v>
      </c>
      <c r="M225" t="s">
        <v>597</v>
      </c>
      <c r="N225">
        <f t="shared" si="7"/>
        <v>15010</v>
      </c>
    </row>
    <row r="226" spans="1:14" x14ac:dyDescent="0.2">
      <c r="A226" s="24">
        <v>225</v>
      </c>
      <c r="B226" s="26" t="s">
        <v>646</v>
      </c>
      <c r="C226" s="23" t="s">
        <v>625</v>
      </c>
      <c r="D226" s="23">
        <f>INDEX($P$10:$Q$14, MATCH(VAV_Schedule_5_21[[#This Row],[MARK]], $P$10:$P$14, 0), 2)</f>
        <v>8</v>
      </c>
      <c r="E226" s="24">
        <v>550</v>
      </c>
      <c r="F226" s="24">
        <v>110</v>
      </c>
      <c r="G226" s="28" t="s">
        <v>623</v>
      </c>
      <c r="H226" s="23" t="s">
        <v>624</v>
      </c>
      <c r="I226" s="23">
        <v>7</v>
      </c>
      <c r="J226" s="25"/>
      <c r="K226" t="str">
        <f t="shared" si="6"/>
        <v>Cooling</v>
      </c>
      <c r="L226" t="str">
        <f>IF(IFERROR(FIND("1", VAV_Schedule_5_21[[#This Row],[NOTES]]), FALSE), "P70", "P30")</f>
        <v>P30</v>
      </c>
      <c r="M226" t="s">
        <v>597</v>
      </c>
      <c r="N226">
        <f t="shared" si="7"/>
        <v>15010</v>
      </c>
    </row>
    <row r="227" spans="1:14" x14ac:dyDescent="0.2">
      <c r="A227" s="24">
        <v>226</v>
      </c>
      <c r="B227" s="23" t="s">
        <v>344</v>
      </c>
      <c r="C227" s="23" t="s">
        <v>628</v>
      </c>
      <c r="D227" s="23">
        <f>INDEX($P$10:$Q$14, MATCH(VAV_Schedule_5_21[[#This Row],[MARK]], $P$10:$P$14, 0), 2)</f>
        <v>12</v>
      </c>
      <c r="E227" s="24">
        <v>1310</v>
      </c>
      <c r="F227" s="24">
        <v>265</v>
      </c>
      <c r="G227" s="28" t="s">
        <v>623</v>
      </c>
      <c r="H227" s="23" t="s">
        <v>624</v>
      </c>
      <c r="I227" s="23">
        <v>7</v>
      </c>
      <c r="J227" s="25"/>
      <c r="K227" t="str">
        <f t="shared" si="6"/>
        <v>Cooling</v>
      </c>
      <c r="L227" t="str">
        <f>IF(IFERROR(FIND("1", VAV_Schedule_5_21[[#This Row],[NOTES]]), FALSE), "P70", "P30")</f>
        <v>P30</v>
      </c>
      <c r="M227" t="s">
        <v>597</v>
      </c>
      <c r="N227">
        <f t="shared" si="7"/>
        <v>15010</v>
      </c>
    </row>
    <row r="228" spans="1:14" x14ac:dyDescent="0.2">
      <c r="A228" s="24">
        <v>227</v>
      </c>
      <c r="B228" s="23" t="s">
        <v>345</v>
      </c>
      <c r="C228" s="23" t="s">
        <v>628</v>
      </c>
      <c r="D228" s="23">
        <f>INDEX($P$10:$Q$14, MATCH(VAV_Schedule_5_21[[#This Row],[MARK]], $P$10:$P$14, 0), 2)</f>
        <v>12</v>
      </c>
      <c r="E228" s="24">
        <v>1385</v>
      </c>
      <c r="F228" s="24">
        <v>280</v>
      </c>
      <c r="G228" s="28" t="s">
        <v>623</v>
      </c>
      <c r="H228" s="23" t="s">
        <v>624</v>
      </c>
      <c r="I228" s="23">
        <v>7</v>
      </c>
      <c r="J228" s="25"/>
      <c r="K228" t="str">
        <f t="shared" si="6"/>
        <v>Cooling</v>
      </c>
      <c r="L228" t="str">
        <f>IF(IFERROR(FIND("1", VAV_Schedule_5_21[[#This Row],[NOTES]]), FALSE), "P70", "P30")</f>
        <v>P30</v>
      </c>
      <c r="M228" t="s">
        <v>597</v>
      </c>
      <c r="N228">
        <f t="shared" si="7"/>
        <v>15010</v>
      </c>
    </row>
    <row r="229" spans="1:14" x14ac:dyDescent="0.2">
      <c r="A229" s="24">
        <v>228</v>
      </c>
      <c r="B229" s="23" t="s">
        <v>346</v>
      </c>
      <c r="C229" s="23" t="s">
        <v>618</v>
      </c>
      <c r="D229" s="23">
        <f>INDEX($P$10:$Q$14, MATCH(VAV_Schedule_5_21[[#This Row],[MARK]], $P$10:$P$14, 0), 2)</f>
        <v>10</v>
      </c>
      <c r="E229" s="24">
        <v>1035</v>
      </c>
      <c r="F229" s="24">
        <v>210</v>
      </c>
      <c r="G229" s="28" t="s">
        <v>623</v>
      </c>
      <c r="H229" s="23" t="s">
        <v>624</v>
      </c>
      <c r="I229" s="23">
        <v>7</v>
      </c>
      <c r="J229" s="25"/>
      <c r="K229" t="str">
        <f t="shared" si="6"/>
        <v>Cooling</v>
      </c>
      <c r="L229" t="str">
        <f>IF(IFERROR(FIND("1", VAV_Schedule_5_21[[#This Row],[NOTES]]), FALSE), "P70", "P30")</f>
        <v>P30</v>
      </c>
      <c r="M229" t="s">
        <v>597</v>
      </c>
      <c r="N229">
        <f t="shared" si="7"/>
        <v>15010</v>
      </c>
    </row>
    <row r="230" spans="1:14" x14ac:dyDescent="0.2">
      <c r="A230" s="24">
        <v>229</v>
      </c>
      <c r="B230" s="23" t="s">
        <v>347</v>
      </c>
      <c r="C230" s="23" t="s">
        <v>618</v>
      </c>
      <c r="D230" s="23">
        <f>INDEX($P$10:$Q$14, MATCH(VAV_Schedule_5_21[[#This Row],[MARK]], $P$10:$P$14, 0), 2)</f>
        <v>10</v>
      </c>
      <c r="E230" s="24">
        <v>840</v>
      </c>
      <c r="F230" s="24">
        <v>170</v>
      </c>
      <c r="G230" s="28" t="s">
        <v>619</v>
      </c>
      <c r="H230" s="23" t="s">
        <v>620</v>
      </c>
      <c r="I230" s="23">
        <v>7</v>
      </c>
      <c r="J230" s="25" t="s">
        <v>630</v>
      </c>
      <c r="K230" t="str">
        <f t="shared" si="6"/>
        <v>Heating</v>
      </c>
      <c r="L230" t="str">
        <f>IF(IFERROR(FIND("1", VAV_Schedule_5_21[[#This Row],[NOTES]]), FALSE), "P70", "P30")</f>
        <v>P30</v>
      </c>
      <c r="M230" t="s">
        <v>597</v>
      </c>
      <c r="N230">
        <f t="shared" si="7"/>
        <v>15011</v>
      </c>
    </row>
    <row r="231" spans="1:14" x14ac:dyDescent="0.2">
      <c r="A231" s="24">
        <v>230</v>
      </c>
      <c r="B231" s="23" t="s">
        <v>348</v>
      </c>
      <c r="C231" s="23" t="s">
        <v>625</v>
      </c>
      <c r="D231" s="23">
        <f>INDEX($P$10:$Q$14, MATCH(VAV_Schedule_5_21[[#This Row],[MARK]], $P$10:$P$14, 0), 2)</f>
        <v>8</v>
      </c>
      <c r="E231" s="24">
        <v>640</v>
      </c>
      <c r="F231" s="24">
        <v>130</v>
      </c>
      <c r="G231" s="28" t="s">
        <v>619</v>
      </c>
      <c r="H231" s="23" t="s">
        <v>620</v>
      </c>
      <c r="I231" s="23">
        <v>7</v>
      </c>
      <c r="J231" s="25" t="s">
        <v>630</v>
      </c>
      <c r="K231" t="str">
        <f t="shared" si="6"/>
        <v>Heating</v>
      </c>
      <c r="L231" t="str">
        <f>IF(IFERROR(FIND("1", VAV_Schedule_5_21[[#This Row],[NOTES]]), FALSE), "P70", "P30")</f>
        <v>P30</v>
      </c>
      <c r="M231" t="s">
        <v>597</v>
      </c>
      <c r="N231">
        <f t="shared" si="7"/>
        <v>15011</v>
      </c>
    </row>
    <row r="232" spans="1:14" x14ac:dyDescent="0.2">
      <c r="A232" s="24">
        <v>231</v>
      </c>
      <c r="B232" s="23" t="s">
        <v>349</v>
      </c>
      <c r="C232" s="23" t="s">
        <v>625</v>
      </c>
      <c r="D232" s="23">
        <f>INDEX($P$10:$Q$14, MATCH(VAV_Schedule_5_21[[#This Row],[MARK]], $P$10:$P$14, 0), 2)</f>
        <v>8</v>
      </c>
      <c r="E232" s="24">
        <v>680</v>
      </c>
      <c r="F232" s="24">
        <v>140</v>
      </c>
      <c r="G232" s="28" t="s">
        <v>619</v>
      </c>
      <c r="H232" s="23" t="s">
        <v>620</v>
      </c>
      <c r="I232" s="23">
        <v>7</v>
      </c>
      <c r="J232" s="25"/>
      <c r="K232" t="str">
        <f t="shared" si="6"/>
        <v>Heating</v>
      </c>
      <c r="L232" t="str">
        <f>IF(IFERROR(FIND("1", VAV_Schedule_5_21[[#This Row],[NOTES]]), FALSE), "P70", "P30")</f>
        <v>P30</v>
      </c>
      <c r="M232" t="s">
        <v>597</v>
      </c>
      <c r="N232">
        <f t="shared" si="7"/>
        <v>15011</v>
      </c>
    </row>
    <row r="233" spans="1:14" x14ac:dyDescent="0.2">
      <c r="A233" s="24">
        <v>232</v>
      </c>
      <c r="B233" s="23" t="s">
        <v>350</v>
      </c>
      <c r="C233" s="23" t="s">
        <v>625</v>
      </c>
      <c r="D233" s="23">
        <f>INDEX($P$10:$Q$14, MATCH(VAV_Schedule_5_21[[#This Row],[MARK]], $P$10:$P$14, 0), 2)</f>
        <v>8</v>
      </c>
      <c r="E233" s="24">
        <v>600</v>
      </c>
      <c r="F233" s="24">
        <v>120</v>
      </c>
      <c r="G233" s="28" t="s">
        <v>619</v>
      </c>
      <c r="H233" s="23" t="s">
        <v>620</v>
      </c>
      <c r="I233" s="23">
        <v>7</v>
      </c>
      <c r="J233" s="25"/>
      <c r="K233" t="str">
        <f t="shared" si="6"/>
        <v>Heating</v>
      </c>
      <c r="L233" t="str">
        <f>IF(IFERROR(FIND("1", VAV_Schedule_5_21[[#This Row],[NOTES]]), FALSE), "P70", "P30")</f>
        <v>P30</v>
      </c>
      <c r="M233" t="s">
        <v>597</v>
      </c>
      <c r="N233">
        <f t="shared" si="7"/>
        <v>15011</v>
      </c>
    </row>
    <row r="234" spans="1:14" x14ac:dyDescent="0.2">
      <c r="A234" s="24">
        <v>233</v>
      </c>
      <c r="B234" s="23" t="s">
        <v>351</v>
      </c>
      <c r="C234" s="23" t="s">
        <v>632</v>
      </c>
      <c r="D234" s="23">
        <f>INDEX($P$10:$Q$14, MATCH(VAV_Schedule_5_21[[#This Row],[MARK]], $P$10:$P$14, 0), 2)</f>
        <v>6</v>
      </c>
      <c r="E234" s="24">
        <v>200</v>
      </c>
      <c r="F234" s="24">
        <v>40</v>
      </c>
      <c r="G234" s="28" t="s">
        <v>623</v>
      </c>
      <c r="H234" s="23" t="s">
        <v>624</v>
      </c>
      <c r="I234" s="23">
        <v>7</v>
      </c>
      <c r="J234" s="25"/>
      <c r="K234" t="str">
        <f t="shared" si="6"/>
        <v>Cooling</v>
      </c>
      <c r="L234" t="str">
        <f>IF(IFERROR(FIND("1", VAV_Schedule_5_21[[#This Row],[NOTES]]), FALSE), "P70", "P30")</f>
        <v>P30</v>
      </c>
      <c r="M234" t="s">
        <v>597</v>
      </c>
      <c r="N234">
        <f t="shared" si="7"/>
        <v>15010</v>
      </c>
    </row>
    <row r="235" spans="1:14" x14ac:dyDescent="0.2">
      <c r="A235" s="24">
        <v>234</v>
      </c>
      <c r="B235" s="23" t="s">
        <v>352</v>
      </c>
      <c r="C235" s="23" t="s">
        <v>618</v>
      </c>
      <c r="D235" s="23">
        <f>INDEX($P$10:$Q$14, MATCH(VAV_Schedule_5_21[[#This Row],[MARK]], $P$10:$P$14, 0), 2)</f>
        <v>10</v>
      </c>
      <c r="E235" s="24">
        <v>1085</v>
      </c>
      <c r="F235" s="24">
        <v>220</v>
      </c>
      <c r="G235" s="28" t="s">
        <v>631</v>
      </c>
      <c r="H235" s="23" t="s">
        <v>622</v>
      </c>
      <c r="I235" s="23">
        <v>7</v>
      </c>
      <c r="J235" s="25"/>
      <c r="K235" t="str">
        <f t="shared" si="6"/>
        <v>Heating</v>
      </c>
      <c r="L235" t="str">
        <f>IF(IFERROR(FIND("1", VAV_Schedule_5_21[[#This Row],[NOTES]]), FALSE), "P70", "P30")</f>
        <v>P30</v>
      </c>
      <c r="M235" t="s">
        <v>597</v>
      </c>
      <c r="N235">
        <f t="shared" si="7"/>
        <v>15011</v>
      </c>
    </row>
    <row r="236" spans="1:14" x14ac:dyDescent="0.2">
      <c r="A236" s="24">
        <v>235</v>
      </c>
      <c r="B236" s="23" t="s">
        <v>353</v>
      </c>
      <c r="C236" s="23" t="s">
        <v>625</v>
      </c>
      <c r="D236" s="23">
        <f>INDEX($P$10:$Q$14, MATCH(VAV_Schedule_5_21[[#This Row],[MARK]], $P$10:$P$14, 0), 2)</f>
        <v>8</v>
      </c>
      <c r="E236" s="24">
        <v>680</v>
      </c>
      <c r="F236" s="24">
        <v>140</v>
      </c>
      <c r="G236" s="28" t="s">
        <v>623</v>
      </c>
      <c r="H236" s="23" t="s">
        <v>624</v>
      </c>
      <c r="I236" s="23">
        <v>7</v>
      </c>
      <c r="J236" s="25"/>
      <c r="K236" t="str">
        <f t="shared" si="6"/>
        <v>Cooling</v>
      </c>
      <c r="L236" t="str">
        <f>IF(IFERROR(FIND("1", VAV_Schedule_5_21[[#This Row],[NOTES]]), FALSE), "P70", "P30")</f>
        <v>P30</v>
      </c>
      <c r="M236" t="s">
        <v>597</v>
      </c>
      <c r="N236">
        <f t="shared" si="7"/>
        <v>15010</v>
      </c>
    </row>
    <row r="237" spans="1:14" x14ac:dyDescent="0.2">
      <c r="A237" s="24">
        <v>236</v>
      </c>
      <c r="B237" s="23" t="s">
        <v>354</v>
      </c>
      <c r="C237" s="23" t="s">
        <v>632</v>
      </c>
      <c r="D237" s="23">
        <f>INDEX($P$10:$Q$14, MATCH(VAV_Schedule_5_21[[#This Row],[MARK]], $P$10:$P$14, 0), 2)</f>
        <v>6</v>
      </c>
      <c r="E237" s="24">
        <v>350</v>
      </c>
      <c r="F237" s="24">
        <v>70</v>
      </c>
      <c r="G237" s="28" t="s">
        <v>623</v>
      </c>
      <c r="H237" s="23" t="s">
        <v>624</v>
      </c>
      <c r="I237" s="23">
        <v>7</v>
      </c>
      <c r="J237" s="25"/>
      <c r="K237" t="str">
        <f t="shared" si="6"/>
        <v>Cooling</v>
      </c>
      <c r="L237" t="str">
        <f>IF(IFERROR(FIND("1", VAV_Schedule_5_21[[#This Row],[NOTES]]), FALSE), "P70", "P30")</f>
        <v>P30</v>
      </c>
      <c r="M237" t="s">
        <v>597</v>
      </c>
      <c r="N237">
        <f t="shared" si="7"/>
        <v>15010</v>
      </c>
    </row>
    <row r="238" spans="1:14" x14ac:dyDescent="0.2">
      <c r="A238" s="24">
        <v>237</v>
      </c>
      <c r="B238" s="23" t="s">
        <v>355</v>
      </c>
      <c r="C238" s="23" t="s">
        <v>618</v>
      </c>
      <c r="D238" s="23">
        <f>INDEX($P$10:$Q$14, MATCH(VAV_Schedule_5_21[[#This Row],[MARK]], $P$10:$P$14, 0), 2)</f>
        <v>10</v>
      </c>
      <c r="E238" s="24">
        <v>805</v>
      </c>
      <c r="F238" s="24">
        <v>165</v>
      </c>
      <c r="G238" s="28" t="s">
        <v>619</v>
      </c>
      <c r="H238" s="23" t="s">
        <v>620</v>
      </c>
      <c r="I238" s="23">
        <v>7</v>
      </c>
      <c r="J238" s="25" t="s">
        <v>630</v>
      </c>
      <c r="K238" t="str">
        <f t="shared" si="6"/>
        <v>Heating</v>
      </c>
      <c r="L238" t="str">
        <f>IF(IFERROR(FIND("1", VAV_Schedule_5_21[[#This Row],[NOTES]]), FALSE), "P70", "P30")</f>
        <v>P30</v>
      </c>
      <c r="M238" t="s">
        <v>597</v>
      </c>
      <c r="N238">
        <f t="shared" si="7"/>
        <v>15011</v>
      </c>
    </row>
    <row r="239" spans="1:14" x14ac:dyDescent="0.2">
      <c r="A239" s="24">
        <v>238</v>
      </c>
      <c r="B239" s="23" t="s">
        <v>356</v>
      </c>
      <c r="C239" s="23" t="s">
        <v>618</v>
      </c>
      <c r="D239" s="23">
        <f>INDEX($P$10:$Q$14, MATCH(VAV_Schedule_5_21[[#This Row],[MARK]], $P$10:$P$14, 0), 2)</f>
        <v>10</v>
      </c>
      <c r="E239" s="24">
        <v>1050</v>
      </c>
      <c r="F239" s="24">
        <v>210</v>
      </c>
      <c r="G239" s="28" t="s">
        <v>631</v>
      </c>
      <c r="H239" s="23" t="s">
        <v>622</v>
      </c>
      <c r="I239" s="23">
        <v>7</v>
      </c>
      <c r="J239" s="25" t="s">
        <v>630</v>
      </c>
      <c r="K239" t="str">
        <f t="shared" si="6"/>
        <v>Heating</v>
      </c>
      <c r="L239" t="str">
        <f>IF(IFERROR(FIND("1", VAV_Schedule_5_21[[#This Row],[NOTES]]), FALSE), "P70", "P30")</f>
        <v>P30</v>
      </c>
      <c r="M239" t="s">
        <v>597</v>
      </c>
      <c r="N239">
        <f t="shared" si="7"/>
        <v>15011</v>
      </c>
    </row>
    <row r="240" spans="1:14" x14ac:dyDescent="0.2">
      <c r="A240" s="24">
        <v>239</v>
      </c>
      <c r="B240" s="23" t="s">
        <v>357</v>
      </c>
      <c r="C240" s="23" t="s">
        <v>632</v>
      </c>
      <c r="D240" s="23">
        <f>INDEX($P$10:$Q$14, MATCH(VAV_Schedule_5_21[[#This Row],[MARK]], $P$10:$P$14, 0), 2)</f>
        <v>6</v>
      </c>
      <c r="E240" s="24">
        <v>200</v>
      </c>
      <c r="F240" s="24">
        <v>40</v>
      </c>
      <c r="G240" s="28" t="s">
        <v>623</v>
      </c>
      <c r="H240" s="23" t="s">
        <v>624</v>
      </c>
      <c r="I240" s="23">
        <v>7</v>
      </c>
      <c r="J240" s="25"/>
      <c r="K240" t="str">
        <f t="shared" si="6"/>
        <v>Cooling</v>
      </c>
      <c r="L240" t="str">
        <f>IF(IFERROR(FIND("1", VAV_Schedule_5_21[[#This Row],[NOTES]]), FALSE), "P70", "P30")</f>
        <v>P30</v>
      </c>
      <c r="M240" t="s">
        <v>597</v>
      </c>
      <c r="N240">
        <f t="shared" si="7"/>
        <v>15010</v>
      </c>
    </row>
    <row r="241" spans="1:14" x14ac:dyDescent="0.2">
      <c r="A241" s="24">
        <v>240</v>
      </c>
      <c r="B241" s="23" t="s">
        <v>358</v>
      </c>
      <c r="C241" s="23" t="s">
        <v>625</v>
      </c>
      <c r="D241" s="23">
        <f>INDEX($P$10:$Q$14, MATCH(VAV_Schedule_5_21[[#This Row],[MARK]], $P$10:$P$14, 0), 2)</f>
        <v>8</v>
      </c>
      <c r="E241" s="24">
        <v>640</v>
      </c>
      <c r="F241" s="24">
        <v>130</v>
      </c>
      <c r="G241" s="28" t="s">
        <v>619</v>
      </c>
      <c r="H241" s="23" t="s">
        <v>620</v>
      </c>
      <c r="I241" s="23">
        <v>7</v>
      </c>
      <c r="J241" s="25"/>
      <c r="K241" t="str">
        <f t="shared" si="6"/>
        <v>Heating</v>
      </c>
      <c r="L241" t="str">
        <f>IF(IFERROR(FIND("1", VAV_Schedule_5_21[[#This Row],[NOTES]]), FALSE), "P70", "P30")</f>
        <v>P30</v>
      </c>
      <c r="M241" t="s">
        <v>597</v>
      </c>
      <c r="N241">
        <f t="shared" si="7"/>
        <v>15011</v>
      </c>
    </row>
    <row r="242" spans="1:14" x14ac:dyDescent="0.2">
      <c r="A242" s="24">
        <v>241</v>
      </c>
      <c r="B242" s="23" t="s">
        <v>359</v>
      </c>
      <c r="C242" s="23" t="s">
        <v>618</v>
      </c>
      <c r="D242" s="23">
        <f>INDEX($P$10:$Q$14, MATCH(VAV_Schedule_5_21[[#This Row],[MARK]], $P$10:$P$14, 0), 2)</f>
        <v>10</v>
      </c>
      <c r="E242" s="24">
        <v>860</v>
      </c>
      <c r="F242" s="24">
        <v>175</v>
      </c>
      <c r="G242" s="28" t="s">
        <v>619</v>
      </c>
      <c r="H242" s="23" t="s">
        <v>620</v>
      </c>
      <c r="I242" s="23">
        <v>7</v>
      </c>
      <c r="J242" s="25"/>
      <c r="K242" t="str">
        <f t="shared" si="6"/>
        <v>Heating</v>
      </c>
      <c r="L242" t="str">
        <f>IF(IFERROR(FIND("1", VAV_Schedule_5_21[[#This Row],[NOTES]]), FALSE), "P70", "P30")</f>
        <v>P30</v>
      </c>
      <c r="M242" t="s">
        <v>597</v>
      </c>
      <c r="N242">
        <f t="shared" si="7"/>
        <v>15011</v>
      </c>
    </row>
    <row r="243" spans="1:14" x14ac:dyDescent="0.2">
      <c r="A243" s="24">
        <v>242</v>
      </c>
      <c r="B243" s="23" t="s">
        <v>360</v>
      </c>
      <c r="C243" s="23" t="s">
        <v>625</v>
      </c>
      <c r="D243" s="23">
        <f>INDEX($P$10:$Q$14, MATCH(VAV_Schedule_5_21[[#This Row],[MARK]], $P$10:$P$14, 0), 2)</f>
        <v>8</v>
      </c>
      <c r="E243" s="24">
        <v>640</v>
      </c>
      <c r="F243" s="24">
        <v>130</v>
      </c>
      <c r="G243" s="28" t="s">
        <v>619</v>
      </c>
      <c r="H243" s="23" t="s">
        <v>620</v>
      </c>
      <c r="I243" s="23">
        <v>7</v>
      </c>
      <c r="J243" s="25"/>
      <c r="K243" t="str">
        <f t="shared" si="6"/>
        <v>Heating</v>
      </c>
      <c r="L243" t="str">
        <f>IF(IFERROR(FIND("1", VAV_Schedule_5_21[[#This Row],[NOTES]]), FALSE), "P70", "P30")</f>
        <v>P30</v>
      </c>
      <c r="M243" t="s">
        <v>597</v>
      </c>
      <c r="N243">
        <f t="shared" si="7"/>
        <v>15011</v>
      </c>
    </row>
    <row r="244" spans="1:14" x14ac:dyDescent="0.2">
      <c r="A244" s="24">
        <v>243</v>
      </c>
      <c r="B244" s="23" t="s">
        <v>361</v>
      </c>
      <c r="C244" s="23" t="s">
        <v>628</v>
      </c>
      <c r="D244" s="23">
        <f>INDEX($P$10:$Q$14, MATCH(VAV_Schedule_5_21[[#This Row],[MARK]], $P$10:$P$14, 0), 2)</f>
        <v>12</v>
      </c>
      <c r="E244" s="24">
        <v>1310</v>
      </c>
      <c r="F244" s="24">
        <v>265</v>
      </c>
      <c r="G244" s="28" t="s">
        <v>623</v>
      </c>
      <c r="H244" s="23" t="s">
        <v>624</v>
      </c>
      <c r="I244" s="23">
        <v>7</v>
      </c>
      <c r="J244" s="25" t="s">
        <v>630</v>
      </c>
      <c r="K244" t="str">
        <f t="shared" si="6"/>
        <v>Cooling</v>
      </c>
      <c r="L244" t="str">
        <f>IF(IFERROR(FIND("1", VAV_Schedule_5_21[[#This Row],[NOTES]]), FALSE), "P70", "P30")</f>
        <v>P30</v>
      </c>
      <c r="M244" t="s">
        <v>597</v>
      </c>
      <c r="N244">
        <f t="shared" si="7"/>
        <v>15010</v>
      </c>
    </row>
    <row r="245" spans="1:14" x14ac:dyDescent="0.2">
      <c r="A245" s="24">
        <v>244</v>
      </c>
      <c r="B245" s="23" t="s">
        <v>362</v>
      </c>
      <c r="C245" s="23" t="s">
        <v>628</v>
      </c>
      <c r="D245" s="23">
        <f>INDEX($P$10:$Q$14, MATCH(VAV_Schedule_5_21[[#This Row],[MARK]], $P$10:$P$14, 0), 2)</f>
        <v>12</v>
      </c>
      <c r="E245" s="24">
        <v>1510</v>
      </c>
      <c r="F245" s="24">
        <v>305</v>
      </c>
      <c r="G245" s="28" t="s">
        <v>623</v>
      </c>
      <c r="H245" s="23" t="s">
        <v>624</v>
      </c>
      <c r="I245" s="23">
        <v>7</v>
      </c>
      <c r="J245" s="25"/>
      <c r="K245" t="str">
        <f t="shared" si="6"/>
        <v>Cooling</v>
      </c>
      <c r="L245" t="str">
        <f>IF(IFERROR(FIND("1", VAV_Schedule_5_21[[#This Row],[NOTES]]), FALSE), "P70", "P30")</f>
        <v>P30</v>
      </c>
      <c r="M245" t="s">
        <v>597</v>
      </c>
      <c r="N245">
        <f t="shared" si="7"/>
        <v>15010</v>
      </c>
    </row>
    <row r="246" spans="1:14" x14ac:dyDescent="0.2">
      <c r="A246" s="24">
        <v>245</v>
      </c>
      <c r="B246" s="23" t="s">
        <v>363</v>
      </c>
      <c r="C246" s="23" t="s">
        <v>618</v>
      </c>
      <c r="D246" s="23">
        <f>INDEX($P$10:$Q$14, MATCH(VAV_Schedule_5_21[[#This Row],[MARK]], $P$10:$P$14, 0), 2)</f>
        <v>10</v>
      </c>
      <c r="E246" s="24">
        <v>925</v>
      </c>
      <c r="F246" s="24">
        <v>0</v>
      </c>
      <c r="G246" s="28" t="s">
        <v>623</v>
      </c>
      <c r="H246" s="23" t="s">
        <v>624</v>
      </c>
      <c r="I246" s="23">
        <v>7</v>
      </c>
      <c r="J246" s="25"/>
      <c r="K246" t="str">
        <f t="shared" si="6"/>
        <v>Cooling</v>
      </c>
      <c r="L246" t="str">
        <f>IF(IFERROR(FIND("1", VAV_Schedule_5_21[[#This Row],[NOTES]]), FALSE), "P70", "P30")</f>
        <v>P30</v>
      </c>
      <c r="M246" t="s">
        <v>597</v>
      </c>
      <c r="N246">
        <f t="shared" si="7"/>
        <v>15010</v>
      </c>
    </row>
    <row r="247" spans="1:14" x14ac:dyDescent="0.2">
      <c r="A247" s="24">
        <v>246</v>
      </c>
      <c r="B247" s="23" t="s">
        <v>364</v>
      </c>
      <c r="C247" s="23" t="s">
        <v>618</v>
      </c>
      <c r="D247" s="23">
        <f>INDEX($P$10:$Q$14, MATCH(VAV_Schedule_5_21[[#This Row],[MARK]], $P$10:$P$14, 0), 2)</f>
        <v>10</v>
      </c>
      <c r="E247" s="24">
        <v>800</v>
      </c>
      <c r="F247" s="24">
        <v>160</v>
      </c>
      <c r="G247" s="28" t="s">
        <v>621</v>
      </c>
      <c r="H247" s="23" t="s">
        <v>622</v>
      </c>
      <c r="I247" s="23">
        <v>7</v>
      </c>
      <c r="J247" s="25"/>
      <c r="K247" t="str">
        <f t="shared" si="6"/>
        <v>Heating</v>
      </c>
      <c r="L247" t="str">
        <f>IF(IFERROR(FIND("1", VAV_Schedule_5_21[[#This Row],[NOTES]]), FALSE), "P70", "P30")</f>
        <v>P30</v>
      </c>
      <c r="M247" t="s">
        <v>597</v>
      </c>
      <c r="N247">
        <f t="shared" si="7"/>
        <v>15011</v>
      </c>
    </row>
    <row r="248" spans="1:14" x14ac:dyDescent="0.2">
      <c r="A248" s="24">
        <v>247</v>
      </c>
      <c r="B248" s="23" t="s">
        <v>365</v>
      </c>
      <c r="C248" s="23" t="s">
        <v>628</v>
      </c>
      <c r="D248" s="23">
        <f>INDEX($P$10:$Q$14, MATCH(VAV_Schedule_5_21[[#This Row],[MARK]], $P$10:$P$14, 0), 2)</f>
        <v>12</v>
      </c>
      <c r="E248" s="24">
        <v>1400</v>
      </c>
      <c r="F248" s="24">
        <v>280</v>
      </c>
      <c r="G248" s="28" t="s">
        <v>621</v>
      </c>
      <c r="H248" s="23" t="s">
        <v>622</v>
      </c>
      <c r="I248" s="23">
        <v>7</v>
      </c>
      <c r="J248" s="25"/>
      <c r="K248" t="str">
        <f t="shared" si="6"/>
        <v>Heating</v>
      </c>
      <c r="L248" t="str">
        <f>IF(IFERROR(FIND("1", VAV_Schedule_5_21[[#This Row],[NOTES]]), FALSE), "P70", "P30")</f>
        <v>P30</v>
      </c>
      <c r="M248" t="s">
        <v>597</v>
      </c>
      <c r="N248">
        <f t="shared" si="7"/>
        <v>15011</v>
      </c>
    </row>
    <row r="249" spans="1:14" x14ac:dyDescent="0.2">
      <c r="A249" s="24">
        <v>248</v>
      </c>
      <c r="B249" s="23" t="s">
        <v>366</v>
      </c>
      <c r="C249" s="23" t="s">
        <v>625</v>
      </c>
      <c r="D249" s="23">
        <f>INDEX($P$10:$Q$14, MATCH(VAV_Schedule_5_21[[#This Row],[MARK]], $P$10:$P$14, 0), 2)</f>
        <v>8</v>
      </c>
      <c r="E249" s="24">
        <v>560</v>
      </c>
      <c r="F249" s="24">
        <v>115</v>
      </c>
      <c r="G249" s="28" t="s">
        <v>623</v>
      </c>
      <c r="H249" s="23" t="s">
        <v>624</v>
      </c>
      <c r="I249" s="23">
        <v>7</v>
      </c>
      <c r="J249" s="25"/>
      <c r="K249" t="str">
        <f t="shared" si="6"/>
        <v>Cooling</v>
      </c>
      <c r="L249" t="str">
        <f>IF(IFERROR(FIND("1", VAV_Schedule_5_21[[#This Row],[NOTES]]), FALSE), "P70", "P30")</f>
        <v>P30</v>
      </c>
      <c r="M249" t="s">
        <v>597</v>
      </c>
      <c r="N249">
        <f t="shared" si="7"/>
        <v>15010</v>
      </c>
    </row>
    <row r="250" spans="1:14" x14ac:dyDescent="0.2">
      <c r="A250" s="24">
        <v>249</v>
      </c>
      <c r="B250" s="23" t="s">
        <v>367</v>
      </c>
      <c r="C250" s="23" t="s">
        <v>628</v>
      </c>
      <c r="D250" s="23">
        <f>INDEX($P$10:$Q$14, MATCH(VAV_Schedule_5_21[[#This Row],[MARK]], $P$10:$P$14, 0), 2)</f>
        <v>12</v>
      </c>
      <c r="E250" s="24">
        <v>1350</v>
      </c>
      <c r="F250" s="24">
        <v>270</v>
      </c>
      <c r="G250" s="28" t="s">
        <v>623</v>
      </c>
      <c r="H250" s="23" t="s">
        <v>624</v>
      </c>
      <c r="I250" s="23">
        <v>7</v>
      </c>
      <c r="J250" s="25"/>
      <c r="K250" t="str">
        <f t="shared" si="6"/>
        <v>Cooling</v>
      </c>
      <c r="L250" t="str">
        <f>IF(IFERROR(FIND("1", VAV_Schedule_5_21[[#This Row],[NOTES]]), FALSE), "P70", "P30")</f>
        <v>P30</v>
      </c>
      <c r="M250" t="s">
        <v>597</v>
      </c>
      <c r="N250">
        <f t="shared" si="7"/>
        <v>15010</v>
      </c>
    </row>
    <row r="251" spans="1:14" x14ac:dyDescent="0.2">
      <c r="A251" s="24">
        <v>250</v>
      </c>
      <c r="B251" s="23" t="s">
        <v>368</v>
      </c>
      <c r="C251" s="23" t="s">
        <v>618</v>
      </c>
      <c r="D251" s="23">
        <f>INDEX($P$10:$Q$14, MATCH(VAV_Schedule_5_21[[#This Row],[MARK]], $P$10:$P$14, 0), 2)</f>
        <v>10</v>
      </c>
      <c r="E251" s="24">
        <v>800</v>
      </c>
      <c r="F251" s="24">
        <v>160</v>
      </c>
      <c r="G251" s="28" t="s">
        <v>621</v>
      </c>
      <c r="H251" s="23" t="s">
        <v>622</v>
      </c>
      <c r="I251" s="23">
        <v>7</v>
      </c>
      <c r="J251" s="25"/>
      <c r="K251" t="str">
        <f t="shared" si="6"/>
        <v>Heating</v>
      </c>
      <c r="L251" t="str">
        <f>IF(IFERROR(FIND("1", VAV_Schedule_5_21[[#This Row],[NOTES]]), FALSE), "P70", "P30")</f>
        <v>P30</v>
      </c>
      <c r="M251" t="s">
        <v>597</v>
      </c>
      <c r="N251">
        <f t="shared" si="7"/>
        <v>15011</v>
      </c>
    </row>
    <row r="252" spans="1:14" x14ac:dyDescent="0.2">
      <c r="A252" s="24">
        <v>251</v>
      </c>
      <c r="B252" s="23" t="s">
        <v>369</v>
      </c>
      <c r="C252" s="23" t="s">
        <v>625</v>
      </c>
      <c r="D252" s="23">
        <f>INDEX($P$10:$Q$14, MATCH(VAV_Schedule_5_21[[#This Row],[MARK]], $P$10:$P$14, 0), 2)</f>
        <v>8</v>
      </c>
      <c r="E252" s="24">
        <v>640</v>
      </c>
      <c r="F252" s="24">
        <v>130</v>
      </c>
      <c r="G252" s="28" t="s">
        <v>619</v>
      </c>
      <c r="H252" s="23" t="s">
        <v>620</v>
      </c>
      <c r="I252" s="23">
        <v>7</v>
      </c>
      <c r="J252" s="25"/>
      <c r="K252" t="str">
        <f t="shared" si="6"/>
        <v>Heating</v>
      </c>
      <c r="L252" t="str">
        <f>IF(IFERROR(FIND("1", VAV_Schedule_5_21[[#This Row],[NOTES]]), FALSE), "P70", "P30")</f>
        <v>P30</v>
      </c>
      <c r="M252" t="s">
        <v>597</v>
      </c>
      <c r="N252">
        <f t="shared" si="7"/>
        <v>15011</v>
      </c>
    </row>
    <row r="253" spans="1:14" x14ac:dyDescent="0.2">
      <c r="A253" s="24">
        <v>252</v>
      </c>
      <c r="B253" s="23" t="s">
        <v>370</v>
      </c>
      <c r="C253" s="23" t="s">
        <v>618</v>
      </c>
      <c r="D253" s="23">
        <f>INDEX($P$10:$Q$14, MATCH(VAV_Schedule_5_21[[#This Row],[MARK]], $P$10:$P$14, 0), 2)</f>
        <v>10</v>
      </c>
      <c r="E253" s="24">
        <v>860</v>
      </c>
      <c r="F253" s="24">
        <v>175</v>
      </c>
      <c r="G253" s="28" t="s">
        <v>619</v>
      </c>
      <c r="H253" s="23" t="s">
        <v>620</v>
      </c>
      <c r="I253" s="23">
        <v>7</v>
      </c>
      <c r="J253" s="25"/>
      <c r="K253" t="str">
        <f t="shared" si="6"/>
        <v>Heating</v>
      </c>
      <c r="L253" t="str">
        <f>IF(IFERROR(FIND("1", VAV_Schedule_5_21[[#This Row],[NOTES]]), FALSE), "P70", "P30")</f>
        <v>P30</v>
      </c>
      <c r="M253" t="s">
        <v>597</v>
      </c>
      <c r="N253">
        <f t="shared" si="7"/>
        <v>15011</v>
      </c>
    </row>
    <row r="254" spans="1:14" x14ac:dyDescent="0.2">
      <c r="A254" s="24">
        <v>253</v>
      </c>
      <c r="B254" s="23" t="s">
        <v>371</v>
      </c>
      <c r="C254" s="23" t="s">
        <v>625</v>
      </c>
      <c r="D254" s="23">
        <f>INDEX($P$10:$Q$14, MATCH(VAV_Schedule_5_21[[#This Row],[MARK]], $P$10:$P$14, 0), 2)</f>
        <v>8</v>
      </c>
      <c r="E254" s="24">
        <v>700</v>
      </c>
      <c r="F254" s="24">
        <v>140</v>
      </c>
      <c r="G254" s="28" t="s">
        <v>619</v>
      </c>
      <c r="H254" s="23" t="s">
        <v>620</v>
      </c>
      <c r="I254" s="23">
        <v>7</v>
      </c>
      <c r="J254" s="25"/>
      <c r="K254" t="str">
        <f t="shared" si="6"/>
        <v>Heating</v>
      </c>
      <c r="L254" t="str">
        <f>IF(IFERROR(FIND("1", VAV_Schedule_5_21[[#This Row],[NOTES]]), FALSE), "P70", "P30")</f>
        <v>P30</v>
      </c>
      <c r="M254" t="s">
        <v>597</v>
      </c>
      <c r="N254">
        <f t="shared" si="7"/>
        <v>15011</v>
      </c>
    </row>
    <row r="255" spans="1:14" x14ac:dyDescent="0.2">
      <c r="A255" s="24">
        <v>254</v>
      </c>
      <c r="B255" s="23" t="s">
        <v>372</v>
      </c>
      <c r="C255" s="23" t="s">
        <v>628</v>
      </c>
      <c r="D255" s="23">
        <f>INDEX($P$10:$Q$14, MATCH(VAV_Schedule_5_21[[#This Row],[MARK]], $P$10:$P$14, 0), 2)</f>
        <v>12</v>
      </c>
      <c r="E255" s="24">
        <v>1200</v>
      </c>
      <c r="F255" s="24">
        <v>240</v>
      </c>
      <c r="G255" s="28" t="s">
        <v>623</v>
      </c>
      <c r="H255" s="23" t="s">
        <v>624</v>
      </c>
      <c r="I255" s="23">
        <v>7</v>
      </c>
      <c r="J255" s="25"/>
      <c r="K255" t="str">
        <f t="shared" si="6"/>
        <v>Cooling</v>
      </c>
      <c r="L255" t="str">
        <f>IF(IFERROR(FIND("1", VAV_Schedule_5_21[[#This Row],[NOTES]]), FALSE), "P70", "P30")</f>
        <v>P30</v>
      </c>
      <c r="M255" t="s">
        <v>597</v>
      </c>
      <c r="N255">
        <f t="shared" si="7"/>
        <v>15010</v>
      </c>
    </row>
    <row r="256" spans="1:14" x14ac:dyDescent="0.2">
      <c r="A256" s="24">
        <v>255</v>
      </c>
      <c r="B256" s="23" t="s">
        <v>373</v>
      </c>
      <c r="C256" s="23" t="s">
        <v>618</v>
      </c>
      <c r="D256" s="23">
        <f>INDEX($P$10:$Q$14, MATCH(VAV_Schedule_5_21[[#This Row],[MARK]], $P$10:$P$14, 0), 2)</f>
        <v>10</v>
      </c>
      <c r="E256" s="24">
        <v>1040</v>
      </c>
      <c r="F256" s="24">
        <v>210</v>
      </c>
      <c r="G256" s="28" t="s">
        <v>623</v>
      </c>
      <c r="H256" s="23" t="s">
        <v>624</v>
      </c>
      <c r="I256" s="23">
        <v>7</v>
      </c>
      <c r="J256" s="25"/>
      <c r="K256" t="str">
        <f t="shared" si="6"/>
        <v>Cooling</v>
      </c>
      <c r="L256" t="str">
        <f>IF(IFERROR(FIND("1", VAV_Schedule_5_21[[#This Row],[NOTES]]), FALSE), "P70", "P30")</f>
        <v>P30</v>
      </c>
      <c r="M256" t="s">
        <v>597</v>
      </c>
      <c r="N256">
        <f t="shared" si="7"/>
        <v>15010</v>
      </c>
    </row>
    <row r="257" spans="1:14" x14ac:dyDescent="0.2">
      <c r="A257" s="24">
        <v>256</v>
      </c>
      <c r="B257" s="23" t="s">
        <v>374</v>
      </c>
      <c r="C257" s="23" t="s">
        <v>632</v>
      </c>
      <c r="D257" s="23">
        <f>INDEX($P$10:$Q$14, MATCH(VAV_Schedule_5_21[[#This Row],[MARK]], $P$10:$P$14, 0), 2)</f>
        <v>6</v>
      </c>
      <c r="E257" s="24">
        <v>200</v>
      </c>
      <c r="F257" s="24">
        <v>40</v>
      </c>
      <c r="G257" s="28" t="s">
        <v>623</v>
      </c>
      <c r="H257" s="23" t="s">
        <v>624</v>
      </c>
      <c r="I257" s="23">
        <v>7</v>
      </c>
      <c r="J257" s="25"/>
      <c r="K257" t="str">
        <f t="shared" si="6"/>
        <v>Cooling</v>
      </c>
      <c r="L257" t="str">
        <f>IF(IFERROR(FIND("1", VAV_Schedule_5_21[[#This Row],[NOTES]]), FALSE), "P70", "P30")</f>
        <v>P30</v>
      </c>
      <c r="M257" t="s">
        <v>597</v>
      </c>
      <c r="N257">
        <f t="shared" si="7"/>
        <v>15010</v>
      </c>
    </row>
    <row r="258" spans="1:14" x14ac:dyDescent="0.2">
      <c r="A258" s="24">
        <v>257</v>
      </c>
      <c r="B258" s="23" t="s">
        <v>375</v>
      </c>
      <c r="C258" s="23" t="s">
        <v>628</v>
      </c>
      <c r="D258" s="23">
        <f>INDEX($P$10:$Q$14, MATCH(VAV_Schedule_5_21[[#This Row],[MARK]], $P$10:$P$14, 0), 2)</f>
        <v>12</v>
      </c>
      <c r="E258" s="24">
        <v>1220</v>
      </c>
      <c r="F258" s="24">
        <v>245</v>
      </c>
      <c r="G258" s="28" t="s">
        <v>631</v>
      </c>
      <c r="H258" s="23" t="s">
        <v>622</v>
      </c>
      <c r="I258" s="23">
        <v>7</v>
      </c>
      <c r="J258" s="25"/>
      <c r="K258" t="str">
        <f t="shared" si="6"/>
        <v>Heating</v>
      </c>
      <c r="L258" t="str">
        <f>IF(IFERROR(FIND("1", VAV_Schedule_5_21[[#This Row],[NOTES]]), FALSE), "P70", "P30")</f>
        <v>P30</v>
      </c>
      <c r="M258" t="s">
        <v>597</v>
      </c>
      <c r="N258">
        <f t="shared" si="7"/>
        <v>15011</v>
      </c>
    </row>
    <row r="259" spans="1:14" x14ac:dyDescent="0.2">
      <c r="A259" s="24">
        <v>258</v>
      </c>
      <c r="B259" s="23" t="s">
        <v>376</v>
      </c>
      <c r="C259" s="23" t="s">
        <v>618</v>
      </c>
      <c r="D259" s="23">
        <f>INDEX($P$10:$Q$14, MATCH(VAV_Schedule_5_21[[#This Row],[MARK]], $P$10:$P$14, 0), 2)</f>
        <v>10</v>
      </c>
      <c r="E259" s="24">
        <v>940</v>
      </c>
      <c r="F259" s="24">
        <v>190</v>
      </c>
      <c r="G259" s="28" t="s">
        <v>619</v>
      </c>
      <c r="H259" s="23" t="s">
        <v>620</v>
      </c>
      <c r="I259" s="23">
        <v>7</v>
      </c>
      <c r="J259" s="25"/>
      <c r="K259" t="str">
        <f t="shared" ref="K259:K322" si="8">IF(G259="-","Cooling","Heating")</f>
        <v>Heating</v>
      </c>
      <c r="L259" t="str">
        <f>IF(IFERROR(FIND("1", VAV_Schedule_5_21[[#This Row],[NOTES]]), FALSE), "P70", "P30")</f>
        <v>P30</v>
      </c>
      <c r="M259" t="s">
        <v>597</v>
      </c>
      <c r="N259">
        <f t="shared" ref="N259:N322" si="9">INDEX($P$2:$Q$9, MATCH(_xlfn.CONCAT($K259,$L259,M259), $P$2:$P$9, 0), 2)</f>
        <v>15011</v>
      </c>
    </row>
    <row r="260" spans="1:14" x14ac:dyDescent="0.2">
      <c r="A260" s="24">
        <v>259</v>
      </c>
      <c r="B260" s="23" t="s">
        <v>377</v>
      </c>
      <c r="C260" s="23" t="s">
        <v>628</v>
      </c>
      <c r="D260" s="23">
        <f>INDEX($P$10:$Q$14, MATCH(VAV_Schedule_5_21[[#This Row],[MARK]], $P$10:$P$14, 0), 2)</f>
        <v>12</v>
      </c>
      <c r="E260" s="24">
        <v>1220</v>
      </c>
      <c r="F260" s="24">
        <v>245</v>
      </c>
      <c r="G260" s="28" t="s">
        <v>631</v>
      </c>
      <c r="H260" s="23" t="s">
        <v>622</v>
      </c>
      <c r="I260" s="23">
        <v>7</v>
      </c>
      <c r="J260" s="25"/>
      <c r="K260" t="str">
        <f t="shared" si="8"/>
        <v>Heating</v>
      </c>
      <c r="L260" t="str">
        <f>IF(IFERROR(FIND("1", VAV_Schedule_5_21[[#This Row],[NOTES]]), FALSE), "P70", "P30")</f>
        <v>P30</v>
      </c>
      <c r="M260" t="s">
        <v>597</v>
      </c>
      <c r="N260">
        <f t="shared" si="9"/>
        <v>15011</v>
      </c>
    </row>
    <row r="261" spans="1:14" x14ac:dyDescent="0.2">
      <c r="A261" s="24">
        <v>260</v>
      </c>
      <c r="B261" s="23" t="s">
        <v>378</v>
      </c>
      <c r="C261" s="23" t="s">
        <v>632</v>
      </c>
      <c r="D261" s="23">
        <f>INDEX($P$10:$Q$14, MATCH(VAV_Schedule_5_21[[#This Row],[MARK]], $P$10:$P$14, 0), 2)</f>
        <v>6</v>
      </c>
      <c r="E261" s="24">
        <v>200</v>
      </c>
      <c r="F261" s="24">
        <v>40</v>
      </c>
      <c r="G261" s="28" t="s">
        <v>623</v>
      </c>
      <c r="H261" s="23" t="s">
        <v>624</v>
      </c>
      <c r="I261" s="23">
        <v>7</v>
      </c>
      <c r="J261" s="25"/>
      <c r="K261" t="str">
        <f t="shared" si="8"/>
        <v>Cooling</v>
      </c>
      <c r="L261" t="str">
        <f>IF(IFERROR(FIND("1", VAV_Schedule_5_21[[#This Row],[NOTES]]), FALSE), "P70", "P30")</f>
        <v>P30</v>
      </c>
      <c r="M261" t="s">
        <v>597</v>
      </c>
      <c r="N261">
        <f t="shared" si="9"/>
        <v>15010</v>
      </c>
    </row>
    <row r="262" spans="1:14" x14ac:dyDescent="0.2">
      <c r="A262" s="24">
        <v>261</v>
      </c>
      <c r="B262" s="23" t="s">
        <v>379</v>
      </c>
      <c r="C262" s="23" t="s">
        <v>625</v>
      </c>
      <c r="D262" s="23">
        <f>INDEX($P$10:$Q$14, MATCH(VAV_Schedule_5_21[[#This Row],[MARK]], $P$10:$P$14, 0), 2)</f>
        <v>8</v>
      </c>
      <c r="E262" s="24">
        <v>640</v>
      </c>
      <c r="F262" s="24">
        <v>130</v>
      </c>
      <c r="G262" s="28" t="s">
        <v>619</v>
      </c>
      <c r="H262" s="23" t="s">
        <v>620</v>
      </c>
      <c r="I262" s="23">
        <v>8</v>
      </c>
      <c r="J262" s="25"/>
      <c r="K262" t="str">
        <f t="shared" si="8"/>
        <v>Heating</v>
      </c>
      <c r="L262" t="str">
        <f>IF(IFERROR(FIND("1", VAV_Schedule_5_21[[#This Row],[NOTES]]), FALSE), "P70", "P30")</f>
        <v>P30</v>
      </c>
      <c r="M262" t="s">
        <v>597</v>
      </c>
      <c r="N262">
        <f t="shared" si="9"/>
        <v>15011</v>
      </c>
    </row>
    <row r="263" spans="1:14" x14ac:dyDescent="0.2">
      <c r="A263" s="24">
        <v>262</v>
      </c>
      <c r="B263" s="23" t="s">
        <v>380</v>
      </c>
      <c r="C263" s="23" t="s">
        <v>625</v>
      </c>
      <c r="D263" s="23">
        <f>INDEX($P$10:$Q$14, MATCH(VAV_Schedule_5_21[[#This Row],[MARK]], $P$10:$P$14, 0), 2)</f>
        <v>8</v>
      </c>
      <c r="E263" s="24">
        <v>680</v>
      </c>
      <c r="F263" s="24">
        <v>140</v>
      </c>
      <c r="G263" s="28" t="s">
        <v>619</v>
      </c>
      <c r="H263" s="23" t="s">
        <v>620</v>
      </c>
      <c r="I263" s="23">
        <v>8</v>
      </c>
      <c r="J263" s="25"/>
      <c r="K263" t="str">
        <f t="shared" si="8"/>
        <v>Heating</v>
      </c>
      <c r="L263" t="str">
        <f>IF(IFERROR(FIND("1", VAV_Schedule_5_21[[#This Row],[NOTES]]), FALSE), "P70", "P30")</f>
        <v>P30</v>
      </c>
      <c r="M263" t="s">
        <v>597</v>
      </c>
      <c r="N263">
        <f t="shared" si="9"/>
        <v>15011</v>
      </c>
    </row>
    <row r="264" spans="1:14" x14ac:dyDescent="0.2">
      <c r="A264" s="24">
        <v>263</v>
      </c>
      <c r="B264" s="23" t="s">
        <v>381</v>
      </c>
      <c r="C264" s="23" t="s">
        <v>625</v>
      </c>
      <c r="D264" s="23">
        <f>INDEX($P$10:$Q$14, MATCH(VAV_Schedule_5_21[[#This Row],[MARK]], $P$10:$P$14, 0), 2)</f>
        <v>8</v>
      </c>
      <c r="E264" s="24">
        <v>600</v>
      </c>
      <c r="F264" s="24">
        <v>120</v>
      </c>
      <c r="G264" s="28" t="s">
        <v>619</v>
      </c>
      <c r="H264" s="23" t="s">
        <v>620</v>
      </c>
      <c r="I264" s="23">
        <v>8</v>
      </c>
      <c r="J264" s="25"/>
      <c r="K264" t="str">
        <f t="shared" si="8"/>
        <v>Heating</v>
      </c>
      <c r="L264" t="str">
        <f>IF(IFERROR(FIND("1", VAV_Schedule_5_21[[#This Row],[NOTES]]), FALSE), "P70", "P30")</f>
        <v>P30</v>
      </c>
      <c r="M264" t="s">
        <v>597</v>
      </c>
      <c r="N264">
        <f t="shared" si="9"/>
        <v>15011</v>
      </c>
    </row>
    <row r="265" spans="1:14" x14ac:dyDescent="0.2">
      <c r="A265" s="24">
        <v>264</v>
      </c>
      <c r="B265" s="23" t="s">
        <v>382</v>
      </c>
      <c r="C265" s="23" t="s">
        <v>618</v>
      </c>
      <c r="D265" s="23">
        <f>INDEX($P$10:$Q$14, MATCH(VAV_Schedule_5_21[[#This Row],[MARK]], $P$10:$P$14, 0), 2)</f>
        <v>10</v>
      </c>
      <c r="E265" s="24">
        <v>840</v>
      </c>
      <c r="F265" s="24">
        <v>170</v>
      </c>
      <c r="G265" s="28" t="s">
        <v>619</v>
      </c>
      <c r="H265" s="23" t="s">
        <v>620</v>
      </c>
      <c r="I265" s="23">
        <v>8</v>
      </c>
      <c r="J265" s="25"/>
      <c r="K265" t="str">
        <f t="shared" si="8"/>
        <v>Heating</v>
      </c>
      <c r="L265" t="str">
        <f>IF(IFERROR(FIND("1", VAV_Schedule_5_21[[#This Row],[NOTES]]), FALSE), "P70", "P30")</f>
        <v>P30</v>
      </c>
      <c r="M265" t="s">
        <v>597</v>
      </c>
      <c r="N265">
        <f t="shared" si="9"/>
        <v>15011</v>
      </c>
    </row>
    <row r="266" spans="1:14" x14ac:dyDescent="0.2">
      <c r="A266" s="24">
        <v>265</v>
      </c>
      <c r="B266" s="23" t="s">
        <v>383</v>
      </c>
      <c r="C266" s="23" t="s">
        <v>628</v>
      </c>
      <c r="D266" s="23">
        <f>INDEX($P$10:$Q$14, MATCH(VAV_Schedule_5_21[[#This Row],[MARK]], $P$10:$P$14, 0), 2)</f>
        <v>12</v>
      </c>
      <c r="E266" s="24">
        <v>1330</v>
      </c>
      <c r="F266" s="24">
        <v>270</v>
      </c>
      <c r="G266" s="28" t="s">
        <v>623</v>
      </c>
      <c r="H266" s="23" t="s">
        <v>624</v>
      </c>
      <c r="I266" s="23">
        <v>8</v>
      </c>
      <c r="J266" s="25"/>
      <c r="K266" t="str">
        <f t="shared" si="8"/>
        <v>Cooling</v>
      </c>
      <c r="L266" t="str">
        <f>IF(IFERROR(FIND("1", VAV_Schedule_5_21[[#This Row],[NOTES]]), FALSE), "P70", "P30")</f>
        <v>P30</v>
      </c>
      <c r="M266" t="s">
        <v>597</v>
      </c>
      <c r="N266">
        <f t="shared" si="9"/>
        <v>15010</v>
      </c>
    </row>
    <row r="267" spans="1:14" x14ac:dyDescent="0.2">
      <c r="A267" s="24">
        <v>266</v>
      </c>
      <c r="B267" s="23" t="s">
        <v>384</v>
      </c>
      <c r="C267" s="23" t="s">
        <v>618</v>
      </c>
      <c r="D267" s="23">
        <f>INDEX($P$10:$Q$14, MATCH(VAV_Schedule_5_21[[#This Row],[MARK]], $P$10:$P$14, 0), 2)</f>
        <v>10</v>
      </c>
      <c r="E267" s="24">
        <v>975</v>
      </c>
      <c r="F267" s="24">
        <v>195</v>
      </c>
      <c r="G267" s="28" t="s">
        <v>623</v>
      </c>
      <c r="H267" s="23" t="s">
        <v>624</v>
      </c>
      <c r="I267" s="23">
        <v>8</v>
      </c>
      <c r="J267" s="25"/>
      <c r="K267" t="str">
        <f t="shared" si="8"/>
        <v>Cooling</v>
      </c>
      <c r="L267" t="str">
        <f>IF(IFERROR(FIND("1", VAV_Schedule_5_21[[#This Row],[NOTES]]), FALSE), "P70", "P30")</f>
        <v>P30</v>
      </c>
      <c r="M267" t="s">
        <v>597</v>
      </c>
      <c r="N267">
        <f t="shared" si="9"/>
        <v>15010</v>
      </c>
    </row>
    <row r="268" spans="1:14" x14ac:dyDescent="0.2">
      <c r="A268" s="24">
        <v>267</v>
      </c>
      <c r="B268" s="23" t="s">
        <v>385</v>
      </c>
      <c r="C268" s="23" t="s">
        <v>618</v>
      </c>
      <c r="D268" s="23">
        <f>INDEX($P$10:$Q$14, MATCH(VAV_Schedule_5_21[[#This Row],[MARK]], $P$10:$P$14, 0), 2)</f>
        <v>10</v>
      </c>
      <c r="E268" s="24">
        <v>760</v>
      </c>
      <c r="F268" s="24">
        <v>155</v>
      </c>
      <c r="G268" s="28" t="s">
        <v>623</v>
      </c>
      <c r="H268" s="23" t="s">
        <v>624</v>
      </c>
      <c r="I268" s="23">
        <v>8</v>
      </c>
      <c r="J268" s="25"/>
      <c r="K268" t="str">
        <f t="shared" si="8"/>
        <v>Cooling</v>
      </c>
      <c r="L268" t="str">
        <f>IF(IFERROR(FIND("1", VAV_Schedule_5_21[[#This Row],[NOTES]]), FALSE), "P70", "P30")</f>
        <v>P30</v>
      </c>
      <c r="M268" t="s">
        <v>597</v>
      </c>
      <c r="N268">
        <f t="shared" si="9"/>
        <v>15010</v>
      </c>
    </row>
    <row r="269" spans="1:14" x14ac:dyDescent="0.2">
      <c r="A269" s="24">
        <v>268</v>
      </c>
      <c r="B269" s="23" t="s">
        <v>386</v>
      </c>
      <c r="C269" s="23" t="s">
        <v>625</v>
      </c>
      <c r="D269" s="23">
        <f>INDEX($P$10:$Q$14, MATCH(VAV_Schedule_5_21[[#This Row],[MARK]], $P$10:$P$14, 0), 2)</f>
        <v>8</v>
      </c>
      <c r="E269" s="24">
        <v>600</v>
      </c>
      <c r="F269" s="24">
        <v>120</v>
      </c>
      <c r="G269" s="28" t="s">
        <v>623</v>
      </c>
      <c r="H269" s="23" t="s">
        <v>624</v>
      </c>
      <c r="I269" s="23">
        <v>8</v>
      </c>
      <c r="J269" s="25"/>
      <c r="K269" t="str">
        <f t="shared" si="8"/>
        <v>Cooling</v>
      </c>
      <c r="L269" t="str">
        <f>IF(IFERROR(FIND("1", VAV_Schedule_5_21[[#This Row],[NOTES]]), FALSE), "P70", "P30")</f>
        <v>P30</v>
      </c>
      <c r="M269" t="s">
        <v>597</v>
      </c>
      <c r="N269">
        <f t="shared" si="9"/>
        <v>15010</v>
      </c>
    </row>
    <row r="270" spans="1:14" x14ac:dyDescent="0.2">
      <c r="A270" s="24">
        <v>269</v>
      </c>
      <c r="B270" s="23" t="s">
        <v>387</v>
      </c>
      <c r="C270" s="23" t="s">
        <v>628</v>
      </c>
      <c r="D270" s="23">
        <f>INDEX($P$10:$Q$14, MATCH(VAV_Schedule_5_21[[#This Row],[MARK]], $P$10:$P$14, 0), 2)</f>
        <v>12</v>
      </c>
      <c r="E270" s="24">
        <v>1200</v>
      </c>
      <c r="F270" s="24">
        <v>240</v>
      </c>
      <c r="G270" s="28" t="s">
        <v>623</v>
      </c>
      <c r="H270" s="23" t="s">
        <v>624</v>
      </c>
      <c r="I270" s="23">
        <v>8</v>
      </c>
      <c r="J270" s="25"/>
      <c r="K270" t="str">
        <f t="shared" si="8"/>
        <v>Cooling</v>
      </c>
      <c r="L270" t="str">
        <f>IF(IFERROR(FIND("1", VAV_Schedule_5_21[[#This Row],[NOTES]]), FALSE), "P70", "P30")</f>
        <v>P30</v>
      </c>
      <c r="M270" t="s">
        <v>597</v>
      </c>
      <c r="N270">
        <f t="shared" si="9"/>
        <v>15010</v>
      </c>
    </row>
    <row r="271" spans="1:14" x14ac:dyDescent="0.2">
      <c r="A271" s="24">
        <v>270</v>
      </c>
      <c r="B271" s="26" t="s">
        <v>647</v>
      </c>
      <c r="C271" s="23" t="s">
        <v>625</v>
      </c>
      <c r="D271" s="23">
        <f>INDEX($P$10:$Q$14, MATCH(VAV_Schedule_5_21[[#This Row],[MARK]], $P$10:$P$14, 0), 2)</f>
        <v>8</v>
      </c>
      <c r="E271" s="24">
        <v>550</v>
      </c>
      <c r="F271" s="24">
        <v>110</v>
      </c>
      <c r="G271" s="28" t="s">
        <v>623</v>
      </c>
      <c r="H271" s="23" t="s">
        <v>624</v>
      </c>
      <c r="I271" s="23">
        <v>8</v>
      </c>
      <c r="J271" s="25"/>
      <c r="K271" t="str">
        <f t="shared" si="8"/>
        <v>Cooling</v>
      </c>
      <c r="L271" t="str">
        <f>IF(IFERROR(FIND("1", VAV_Schedule_5_21[[#This Row],[NOTES]]), FALSE), "P70", "P30")</f>
        <v>P30</v>
      </c>
      <c r="M271" t="s">
        <v>597</v>
      </c>
      <c r="N271">
        <f t="shared" si="9"/>
        <v>15010</v>
      </c>
    </row>
    <row r="272" spans="1:14" x14ac:dyDescent="0.2">
      <c r="A272" s="24">
        <v>271</v>
      </c>
      <c r="B272" s="23" t="s">
        <v>388</v>
      </c>
      <c r="C272" s="23" t="s">
        <v>628</v>
      </c>
      <c r="D272" s="23">
        <f>INDEX($P$10:$Q$14, MATCH(VAV_Schedule_5_21[[#This Row],[MARK]], $P$10:$P$14, 0), 2)</f>
        <v>12</v>
      </c>
      <c r="E272" s="24">
        <v>1280</v>
      </c>
      <c r="F272" s="24">
        <v>260</v>
      </c>
      <c r="G272" s="28" t="s">
        <v>623</v>
      </c>
      <c r="H272" s="23" t="s">
        <v>624</v>
      </c>
      <c r="I272" s="23">
        <v>8</v>
      </c>
      <c r="J272" s="25"/>
      <c r="K272" t="str">
        <f t="shared" si="8"/>
        <v>Cooling</v>
      </c>
      <c r="L272" t="str">
        <f>IF(IFERROR(FIND("1", VAV_Schedule_5_21[[#This Row],[NOTES]]), FALSE), "P70", "P30")</f>
        <v>P30</v>
      </c>
      <c r="M272" t="s">
        <v>597</v>
      </c>
      <c r="N272">
        <f t="shared" si="9"/>
        <v>15010</v>
      </c>
    </row>
    <row r="273" spans="1:14" x14ac:dyDescent="0.2">
      <c r="A273" s="24">
        <v>272</v>
      </c>
      <c r="B273" s="23" t="s">
        <v>389</v>
      </c>
      <c r="C273" s="23" t="s">
        <v>625</v>
      </c>
      <c r="D273" s="23">
        <f>INDEX($P$10:$Q$14, MATCH(VAV_Schedule_5_21[[#This Row],[MARK]], $P$10:$P$14, 0), 2)</f>
        <v>8</v>
      </c>
      <c r="E273" s="24">
        <v>445</v>
      </c>
      <c r="F273" s="24">
        <v>90</v>
      </c>
      <c r="G273" s="28" t="s">
        <v>623</v>
      </c>
      <c r="H273" s="23" t="s">
        <v>624</v>
      </c>
      <c r="I273" s="23">
        <v>8</v>
      </c>
      <c r="J273" s="25"/>
      <c r="K273" t="str">
        <f t="shared" si="8"/>
        <v>Cooling</v>
      </c>
      <c r="L273" t="str">
        <f>IF(IFERROR(FIND("1", VAV_Schedule_5_21[[#This Row],[NOTES]]), FALSE), "P70", "P30")</f>
        <v>P30</v>
      </c>
      <c r="M273" t="s">
        <v>597</v>
      </c>
      <c r="N273">
        <f t="shared" si="9"/>
        <v>15010</v>
      </c>
    </row>
    <row r="274" spans="1:14" x14ac:dyDescent="0.2">
      <c r="A274" s="24">
        <v>273</v>
      </c>
      <c r="B274" s="23" t="s">
        <v>390</v>
      </c>
      <c r="C274" s="23" t="s">
        <v>628</v>
      </c>
      <c r="D274" s="23">
        <f>INDEX($P$10:$Q$14, MATCH(VAV_Schedule_5_21[[#This Row],[MARK]], $P$10:$P$14, 0), 2)</f>
        <v>12</v>
      </c>
      <c r="E274" s="24">
        <v>1385</v>
      </c>
      <c r="F274" s="24">
        <v>280</v>
      </c>
      <c r="G274" s="28" t="s">
        <v>623</v>
      </c>
      <c r="H274" s="23" t="s">
        <v>624</v>
      </c>
      <c r="I274" s="23">
        <v>8</v>
      </c>
      <c r="J274" s="25"/>
      <c r="K274" t="str">
        <f t="shared" si="8"/>
        <v>Cooling</v>
      </c>
      <c r="L274" t="str">
        <f>IF(IFERROR(FIND("1", VAV_Schedule_5_21[[#This Row],[NOTES]]), FALSE), "P70", "P30")</f>
        <v>P30</v>
      </c>
      <c r="M274" t="s">
        <v>597</v>
      </c>
      <c r="N274">
        <f t="shared" si="9"/>
        <v>15010</v>
      </c>
    </row>
    <row r="275" spans="1:14" x14ac:dyDescent="0.2">
      <c r="A275" s="24">
        <v>274</v>
      </c>
      <c r="B275" s="23" t="s">
        <v>391</v>
      </c>
      <c r="C275" s="23" t="s">
        <v>618</v>
      </c>
      <c r="D275" s="23">
        <f>INDEX($P$10:$Q$14, MATCH(VAV_Schedule_5_21[[#This Row],[MARK]], $P$10:$P$14, 0), 2)</f>
        <v>10</v>
      </c>
      <c r="E275" s="24">
        <v>1025</v>
      </c>
      <c r="F275" s="24">
        <v>205</v>
      </c>
      <c r="G275" s="28" t="s">
        <v>623</v>
      </c>
      <c r="H275" s="23" t="s">
        <v>624</v>
      </c>
      <c r="I275" s="23">
        <v>8</v>
      </c>
      <c r="J275" s="25"/>
      <c r="K275" t="str">
        <f t="shared" si="8"/>
        <v>Cooling</v>
      </c>
      <c r="L275" t="str">
        <f>IF(IFERROR(FIND("1", VAV_Schedule_5_21[[#This Row],[NOTES]]), FALSE), "P70", "P30")</f>
        <v>P30</v>
      </c>
      <c r="M275" t="s">
        <v>597</v>
      </c>
      <c r="N275">
        <f t="shared" si="9"/>
        <v>15010</v>
      </c>
    </row>
    <row r="276" spans="1:14" x14ac:dyDescent="0.2">
      <c r="A276" s="24">
        <v>275</v>
      </c>
      <c r="B276" s="23" t="s">
        <v>392</v>
      </c>
      <c r="C276" s="23" t="s">
        <v>618</v>
      </c>
      <c r="D276" s="23">
        <f>INDEX($P$10:$Q$14, MATCH(VAV_Schedule_5_21[[#This Row],[MARK]], $P$10:$P$14, 0), 2)</f>
        <v>10</v>
      </c>
      <c r="E276" s="24">
        <v>840</v>
      </c>
      <c r="F276" s="24">
        <v>170</v>
      </c>
      <c r="G276" s="28" t="s">
        <v>619</v>
      </c>
      <c r="H276" s="23" t="s">
        <v>620</v>
      </c>
      <c r="I276" s="23">
        <v>8</v>
      </c>
      <c r="J276" s="25"/>
      <c r="K276" t="str">
        <f t="shared" si="8"/>
        <v>Heating</v>
      </c>
      <c r="L276" t="str">
        <f>IF(IFERROR(FIND("1", VAV_Schedule_5_21[[#This Row],[NOTES]]), FALSE), "P70", "P30")</f>
        <v>P30</v>
      </c>
      <c r="M276" t="s">
        <v>597</v>
      </c>
      <c r="N276">
        <f t="shared" si="9"/>
        <v>15011</v>
      </c>
    </row>
    <row r="277" spans="1:14" x14ac:dyDescent="0.2">
      <c r="A277" s="24">
        <v>276</v>
      </c>
      <c r="B277" s="23" t="s">
        <v>393</v>
      </c>
      <c r="C277" s="23" t="s">
        <v>625</v>
      </c>
      <c r="D277" s="23">
        <f>INDEX($P$10:$Q$14, MATCH(VAV_Schedule_5_21[[#This Row],[MARK]], $P$10:$P$14, 0), 2)</f>
        <v>8</v>
      </c>
      <c r="E277" s="24">
        <v>640</v>
      </c>
      <c r="F277" s="24">
        <v>130</v>
      </c>
      <c r="G277" s="28" t="s">
        <v>619</v>
      </c>
      <c r="H277" s="23" t="s">
        <v>620</v>
      </c>
      <c r="I277" s="23">
        <v>8</v>
      </c>
      <c r="J277" s="25"/>
      <c r="K277" t="str">
        <f t="shared" si="8"/>
        <v>Heating</v>
      </c>
      <c r="L277" t="str">
        <f>IF(IFERROR(FIND("1", VAV_Schedule_5_21[[#This Row],[NOTES]]), FALSE), "P70", "P30")</f>
        <v>P30</v>
      </c>
      <c r="M277" t="s">
        <v>597</v>
      </c>
      <c r="N277">
        <f t="shared" si="9"/>
        <v>15011</v>
      </c>
    </row>
    <row r="278" spans="1:14" x14ac:dyDescent="0.2">
      <c r="A278" s="24">
        <v>277</v>
      </c>
      <c r="B278" s="23" t="s">
        <v>394</v>
      </c>
      <c r="C278" s="23" t="s">
        <v>625</v>
      </c>
      <c r="D278" s="23">
        <f>INDEX($P$10:$Q$14, MATCH(VAV_Schedule_5_21[[#This Row],[MARK]], $P$10:$P$14, 0), 2)</f>
        <v>8</v>
      </c>
      <c r="E278" s="24">
        <v>680</v>
      </c>
      <c r="F278" s="24">
        <v>140</v>
      </c>
      <c r="G278" s="28" t="s">
        <v>619</v>
      </c>
      <c r="H278" s="23" t="s">
        <v>620</v>
      </c>
      <c r="I278" s="23">
        <v>8</v>
      </c>
      <c r="J278" s="25"/>
      <c r="K278" t="str">
        <f t="shared" si="8"/>
        <v>Heating</v>
      </c>
      <c r="L278" t="str">
        <f>IF(IFERROR(FIND("1", VAV_Schedule_5_21[[#This Row],[NOTES]]), FALSE), "P70", "P30")</f>
        <v>P30</v>
      </c>
      <c r="M278" t="s">
        <v>597</v>
      </c>
      <c r="N278">
        <f t="shared" si="9"/>
        <v>15011</v>
      </c>
    </row>
    <row r="279" spans="1:14" x14ac:dyDescent="0.2">
      <c r="A279" s="24">
        <v>278</v>
      </c>
      <c r="B279" s="23" t="s">
        <v>395</v>
      </c>
      <c r="C279" s="23" t="s">
        <v>625</v>
      </c>
      <c r="D279" s="23">
        <f>INDEX($P$10:$Q$14, MATCH(VAV_Schedule_5_21[[#This Row],[MARK]], $P$10:$P$14, 0), 2)</f>
        <v>8</v>
      </c>
      <c r="E279" s="24">
        <v>600</v>
      </c>
      <c r="F279" s="24">
        <v>120</v>
      </c>
      <c r="G279" s="28" t="s">
        <v>619</v>
      </c>
      <c r="H279" s="23" t="s">
        <v>620</v>
      </c>
      <c r="I279" s="23">
        <v>8</v>
      </c>
      <c r="J279" s="25"/>
      <c r="K279" t="str">
        <f t="shared" si="8"/>
        <v>Heating</v>
      </c>
      <c r="L279" t="str">
        <f>IF(IFERROR(FIND("1", VAV_Schedule_5_21[[#This Row],[NOTES]]), FALSE), "P70", "P30")</f>
        <v>P30</v>
      </c>
      <c r="M279" t="s">
        <v>597</v>
      </c>
      <c r="N279">
        <f t="shared" si="9"/>
        <v>15011</v>
      </c>
    </row>
    <row r="280" spans="1:14" x14ac:dyDescent="0.2">
      <c r="A280" s="24">
        <v>279</v>
      </c>
      <c r="B280" s="23" t="s">
        <v>396</v>
      </c>
      <c r="C280" s="23" t="s">
        <v>632</v>
      </c>
      <c r="D280" s="23">
        <f>INDEX($P$10:$Q$14, MATCH(VAV_Schedule_5_21[[#This Row],[MARK]], $P$10:$P$14, 0), 2)</f>
        <v>6</v>
      </c>
      <c r="E280" s="24">
        <v>200</v>
      </c>
      <c r="F280" s="24">
        <v>40</v>
      </c>
      <c r="G280" s="28" t="s">
        <v>623</v>
      </c>
      <c r="H280" s="23" t="s">
        <v>624</v>
      </c>
      <c r="I280" s="23">
        <v>8</v>
      </c>
      <c r="J280" s="25"/>
      <c r="K280" t="str">
        <f t="shared" si="8"/>
        <v>Cooling</v>
      </c>
      <c r="L280" t="str">
        <f>IF(IFERROR(FIND("1", VAV_Schedule_5_21[[#This Row],[NOTES]]), FALSE), "P70", "P30")</f>
        <v>P30</v>
      </c>
      <c r="M280" t="s">
        <v>597</v>
      </c>
      <c r="N280">
        <f t="shared" si="9"/>
        <v>15010</v>
      </c>
    </row>
    <row r="281" spans="1:14" x14ac:dyDescent="0.2">
      <c r="A281" s="24">
        <v>280</v>
      </c>
      <c r="B281" s="23" t="s">
        <v>397</v>
      </c>
      <c r="C281" s="23" t="s">
        <v>625</v>
      </c>
      <c r="D281" s="23">
        <f>INDEX($P$10:$Q$14, MATCH(VAV_Schedule_5_21[[#This Row],[MARK]], $P$10:$P$14, 0), 2)</f>
        <v>8</v>
      </c>
      <c r="E281" s="24">
        <v>700</v>
      </c>
      <c r="F281" s="24">
        <v>140</v>
      </c>
      <c r="G281" s="28" t="s">
        <v>623</v>
      </c>
      <c r="H281" s="23" t="s">
        <v>624</v>
      </c>
      <c r="I281" s="23">
        <v>8</v>
      </c>
      <c r="J281" s="25"/>
      <c r="K281" t="str">
        <f t="shared" si="8"/>
        <v>Cooling</v>
      </c>
      <c r="L281" t="str">
        <f>IF(IFERROR(FIND("1", VAV_Schedule_5_21[[#This Row],[NOTES]]), FALSE), "P70", "P30")</f>
        <v>P30</v>
      </c>
      <c r="M281" t="s">
        <v>597</v>
      </c>
      <c r="N281">
        <f t="shared" si="9"/>
        <v>15010</v>
      </c>
    </row>
    <row r="282" spans="1:14" x14ac:dyDescent="0.2">
      <c r="A282" s="24">
        <v>281</v>
      </c>
      <c r="B282" s="23" t="s">
        <v>398</v>
      </c>
      <c r="C282" s="23" t="s">
        <v>618</v>
      </c>
      <c r="D282" s="23">
        <f>INDEX($P$10:$Q$14, MATCH(VAV_Schedule_5_21[[#This Row],[MARK]], $P$10:$P$14, 0), 2)</f>
        <v>10</v>
      </c>
      <c r="E282" s="24">
        <v>1085</v>
      </c>
      <c r="F282" s="24">
        <v>220</v>
      </c>
      <c r="G282" s="28" t="s">
        <v>631</v>
      </c>
      <c r="H282" s="23" t="s">
        <v>622</v>
      </c>
      <c r="I282" s="23">
        <v>8</v>
      </c>
      <c r="J282" s="25" t="s">
        <v>630</v>
      </c>
      <c r="K282" t="str">
        <f t="shared" si="8"/>
        <v>Heating</v>
      </c>
      <c r="L282" t="str">
        <f>IF(IFERROR(FIND("1", VAV_Schedule_5_21[[#This Row],[NOTES]]), FALSE), "P70", "P30")</f>
        <v>P30</v>
      </c>
      <c r="M282" t="s">
        <v>597</v>
      </c>
      <c r="N282">
        <f t="shared" si="9"/>
        <v>15011</v>
      </c>
    </row>
    <row r="283" spans="1:14" x14ac:dyDescent="0.2">
      <c r="A283" s="24">
        <v>282</v>
      </c>
      <c r="B283" s="23" t="s">
        <v>399</v>
      </c>
      <c r="C283" s="23" t="s">
        <v>618</v>
      </c>
      <c r="D283" s="23">
        <f>INDEX($P$10:$Q$14, MATCH(VAV_Schedule_5_21[[#This Row],[MARK]], $P$10:$P$14, 0), 2)</f>
        <v>10</v>
      </c>
      <c r="E283" s="24">
        <v>840</v>
      </c>
      <c r="F283" s="24">
        <v>170</v>
      </c>
      <c r="G283" s="28" t="s">
        <v>619</v>
      </c>
      <c r="H283" s="23" t="s">
        <v>620</v>
      </c>
      <c r="I283" s="23">
        <v>8</v>
      </c>
      <c r="J283" s="25"/>
      <c r="K283" t="str">
        <f t="shared" si="8"/>
        <v>Heating</v>
      </c>
      <c r="L283" t="str">
        <f>IF(IFERROR(FIND("1", VAV_Schedule_5_21[[#This Row],[NOTES]]), FALSE), "P70", "P30")</f>
        <v>P30</v>
      </c>
      <c r="M283" t="s">
        <v>597</v>
      </c>
      <c r="N283">
        <f t="shared" si="9"/>
        <v>15011</v>
      </c>
    </row>
    <row r="284" spans="1:14" x14ac:dyDescent="0.2">
      <c r="A284" s="24">
        <v>283</v>
      </c>
      <c r="B284" s="23" t="s">
        <v>400</v>
      </c>
      <c r="C284" s="23" t="s">
        <v>632</v>
      </c>
      <c r="D284" s="23">
        <f>INDEX($P$10:$Q$14, MATCH(VAV_Schedule_5_21[[#This Row],[MARK]], $P$10:$P$14, 0), 2)</f>
        <v>6</v>
      </c>
      <c r="E284" s="24">
        <v>350</v>
      </c>
      <c r="F284" s="24">
        <v>70</v>
      </c>
      <c r="G284" s="28" t="s">
        <v>623</v>
      </c>
      <c r="H284" s="23" t="s">
        <v>624</v>
      </c>
      <c r="I284" s="23">
        <v>8</v>
      </c>
      <c r="J284" s="25"/>
      <c r="K284" t="str">
        <f t="shared" si="8"/>
        <v>Cooling</v>
      </c>
      <c r="L284" t="str">
        <f>IF(IFERROR(FIND("1", VAV_Schedule_5_21[[#This Row],[NOTES]]), FALSE), "P70", "P30")</f>
        <v>P30</v>
      </c>
      <c r="M284" t="s">
        <v>597</v>
      </c>
      <c r="N284">
        <f t="shared" si="9"/>
        <v>15010</v>
      </c>
    </row>
    <row r="285" spans="1:14" x14ac:dyDescent="0.2">
      <c r="A285" s="24">
        <v>284</v>
      </c>
      <c r="B285" s="23" t="s">
        <v>401</v>
      </c>
      <c r="C285" s="23" t="s">
        <v>618</v>
      </c>
      <c r="D285" s="23">
        <f>INDEX($P$10:$Q$14, MATCH(VAV_Schedule_5_21[[#This Row],[MARK]], $P$10:$P$14, 0), 2)</f>
        <v>10</v>
      </c>
      <c r="E285" s="24">
        <v>1050</v>
      </c>
      <c r="F285" s="24">
        <v>210</v>
      </c>
      <c r="G285" s="28" t="s">
        <v>631</v>
      </c>
      <c r="H285" s="23" t="s">
        <v>622</v>
      </c>
      <c r="I285" s="23">
        <v>8</v>
      </c>
      <c r="J285" s="25" t="s">
        <v>630</v>
      </c>
      <c r="K285" t="str">
        <f t="shared" si="8"/>
        <v>Heating</v>
      </c>
      <c r="L285" t="str">
        <f>IF(IFERROR(FIND("1", VAV_Schedule_5_21[[#This Row],[NOTES]]), FALSE), "P70", "P30")</f>
        <v>P30</v>
      </c>
      <c r="M285" t="s">
        <v>597</v>
      </c>
      <c r="N285">
        <f t="shared" si="9"/>
        <v>15011</v>
      </c>
    </row>
    <row r="286" spans="1:14" x14ac:dyDescent="0.2">
      <c r="A286" s="24">
        <v>285</v>
      </c>
      <c r="B286" s="23" t="s">
        <v>402</v>
      </c>
      <c r="C286" s="23" t="s">
        <v>632</v>
      </c>
      <c r="D286" s="23">
        <f>INDEX($P$10:$Q$14, MATCH(VAV_Schedule_5_21[[#This Row],[MARK]], $P$10:$P$14, 0), 2)</f>
        <v>6</v>
      </c>
      <c r="E286" s="24">
        <v>200</v>
      </c>
      <c r="F286" s="24">
        <v>40</v>
      </c>
      <c r="G286" s="28" t="s">
        <v>623</v>
      </c>
      <c r="H286" s="23" t="s">
        <v>624</v>
      </c>
      <c r="I286" s="23">
        <v>8</v>
      </c>
      <c r="J286" s="25"/>
      <c r="K286" t="str">
        <f t="shared" si="8"/>
        <v>Cooling</v>
      </c>
      <c r="L286" t="str">
        <f>IF(IFERROR(FIND("1", VAV_Schedule_5_21[[#This Row],[NOTES]]), FALSE), "P70", "P30")</f>
        <v>P30</v>
      </c>
      <c r="M286" t="s">
        <v>597</v>
      </c>
      <c r="N286">
        <f t="shared" si="9"/>
        <v>15010</v>
      </c>
    </row>
    <row r="287" spans="1:14" x14ac:dyDescent="0.2">
      <c r="A287" s="24">
        <v>286</v>
      </c>
      <c r="B287" s="23" t="s">
        <v>403</v>
      </c>
      <c r="C287" s="23" t="s">
        <v>625</v>
      </c>
      <c r="D287" s="23">
        <f>INDEX($P$10:$Q$14, MATCH(VAV_Schedule_5_21[[#This Row],[MARK]], $P$10:$P$14, 0), 2)</f>
        <v>8</v>
      </c>
      <c r="E287" s="24">
        <v>640</v>
      </c>
      <c r="F287" s="24">
        <v>130</v>
      </c>
      <c r="G287" s="28" t="s">
        <v>619</v>
      </c>
      <c r="H287" s="23" t="s">
        <v>620</v>
      </c>
      <c r="I287" s="23">
        <v>8</v>
      </c>
      <c r="J287" s="25"/>
      <c r="K287" t="str">
        <f t="shared" si="8"/>
        <v>Heating</v>
      </c>
      <c r="L287" t="str">
        <f>IF(IFERROR(FIND("1", VAV_Schedule_5_21[[#This Row],[NOTES]]), FALSE), "P70", "P30")</f>
        <v>P30</v>
      </c>
      <c r="M287" t="s">
        <v>597</v>
      </c>
      <c r="N287">
        <f t="shared" si="9"/>
        <v>15011</v>
      </c>
    </row>
    <row r="288" spans="1:14" x14ac:dyDescent="0.2">
      <c r="A288" s="24">
        <v>287</v>
      </c>
      <c r="B288" s="23" t="s">
        <v>404</v>
      </c>
      <c r="C288" s="23" t="s">
        <v>618</v>
      </c>
      <c r="D288" s="23">
        <f>INDEX($P$10:$Q$14, MATCH(VAV_Schedule_5_21[[#This Row],[MARK]], $P$10:$P$14, 0), 2)</f>
        <v>10</v>
      </c>
      <c r="E288" s="24">
        <v>860</v>
      </c>
      <c r="F288" s="24">
        <v>175</v>
      </c>
      <c r="G288" s="28" t="s">
        <v>619</v>
      </c>
      <c r="H288" s="23" t="s">
        <v>620</v>
      </c>
      <c r="I288" s="23">
        <v>8</v>
      </c>
      <c r="J288" s="25"/>
      <c r="K288" t="str">
        <f t="shared" si="8"/>
        <v>Heating</v>
      </c>
      <c r="L288" t="str">
        <f>IF(IFERROR(FIND("1", VAV_Schedule_5_21[[#This Row],[NOTES]]), FALSE), "P70", "P30")</f>
        <v>P30</v>
      </c>
      <c r="M288" t="s">
        <v>597</v>
      </c>
      <c r="N288">
        <f t="shared" si="9"/>
        <v>15011</v>
      </c>
    </row>
    <row r="289" spans="1:14" x14ac:dyDescent="0.2">
      <c r="A289" s="24">
        <v>288</v>
      </c>
      <c r="B289" s="23" t="s">
        <v>405</v>
      </c>
      <c r="C289" s="23" t="s">
        <v>625</v>
      </c>
      <c r="D289" s="23">
        <f>INDEX($P$10:$Q$14, MATCH(VAV_Schedule_5_21[[#This Row],[MARK]], $P$10:$P$14, 0), 2)</f>
        <v>8</v>
      </c>
      <c r="E289" s="24">
        <v>690</v>
      </c>
      <c r="F289" s="24">
        <v>140</v>
      </c>
      <c r="G289" s="28" t="s">
        <v>619</v>
      </c>
      <c r="H289" s="23" t="s">
        <v>620</v>
      </c>
      <c r="I289" s="23">
        <v>8</v>
      </c>
      <c r="J289" s="25"/>
      <c r="K289" t="str">
        <f t="shared" si="8"/>
        <v>Heating</v>
      </c>
      <c r="L289" t="str">
        <f>IF(IFERROR(FIND("1", VAV_Schedule_5_21[[#This Row],[NOTES]]), FALSE), "P70", "P30")</f>
        <v>P30</v>
      </c>
      <c r="M289" t="s">
        <v>597</v>
      </c>
      <c r="N289">
        <f t="shared" si="9"/>
        <v>15011</v>
      </c>
    </row>
    <row r="290" spans="1:14" x14ac:dyDescent="0.2">
      <c r="A290" s="24">
        <v>289</v>
      </c>
      <c r="B290" s="23" t="s">
        <v>406</v>
      </c>
      <c r="C290" s="23" t="s">
        <v>628</v>
      </c>
      <c r="D290" s="23">
        <f>INDEX($P$10:$Q$14, MATCH(VAV_Schedule_5_21[[#This Row],[MARK]], $P$10:$P$14, 0), 2)</f>
        <v>12</v>
      </c>
      <c r="E290" s="24">
        <v>1310</v>
      </c>
      <c r="F290" s="24">
        <v>265</v>
      </c>
      <c r="G290" s="28" t="s">
        <v>623</v>
      </c>
      <c r="H290" s="23" t="s">
        <v>624</v>
      </c>
      <c r="I290" s="23">
        <v>8</v>
      </c>
      <c r="J290" s="25"/>
      <c r="K290" t="str">
        <f t="shared" si="8"/>
        <v>Cooling</v>
      </c>
      <c r="L290" t="str">
        <f>IF(IFERROR(FIND("1", VAV_Schedule_5_21[[#This Row],[NOTES]]), FALSE), "P70", "P30")</f>
        <v>P30</v>
      </c>
      <c r="M290" t="s">
        <v>597</v>
      </c>
      <c r="N290">
        <f t="shared" si="9"/>
        <v>15010</v>
      </c>
    </row>
    <row r="291" spans="1:14" x14ac:dyDescent="0.2">
      <c r="A291" s="24">
        <v>290</v>
      </c>
      <c r="B291" s="23" t="s">
        <v>407</v>
      </c>
      <c r="C291" s="23" t="s">
        <v>618</v>
      </c>
      <c r="D291" s="23">
        <f>INDEX($P$10:$Q$14, MATCH(VAV_Schedule_5_21[[#This Row],[MARK]], $P$10:$P$14, 0), 2)</f>
        <v>10</v>
      </c>
      <c r="E291" s="24">
        <v>925</v>
      </c>
      <c r="F291" s="24">
        <v>0</v>
      </c>
      <c r="G291" s="28" t="s">
        <v>623</v>
      </c>
      <c r="H291" s="23" t="s">
        <v>624</v>
      </c>
      <c r="I291" s="23">
        <v>8</v>
      </c>
      <c r="J291" s="25"/>
      <c r="K291" t="str">
        <f t="shared" si="8"/>
        <v>Cooling</v>
      </c>
      <c r="L291" t="str">
        <f>IF(IFERROR(FIND("1", VAV_Schedule_5_21[[#This Row],[NOTES]]), FALSE), "P70", "P30")</f>
        <v>P30</v>
      </c>
      <c r="M291" t="s">
        <v>597</v>
      </c>
      <c r="N291">
        <f t="shared" si="9"/>
        <v>15010</v>
      </c>
    </row>
    <row r="292" spans="1:14" x14ac:dyDescent="0.2">
      <c r="A292" s="24">
        <v>291</v>
      </c>
      <c r="B292" s="23" t="s">
        <v>408</v>
      </c>
      <c r="C292" s="23" t="s">
        <v>628</v>
      </c>
      <c r="D292" s="23">
        <f>INDEX($P$10:$Q$14, MATCH(VAV_Schedule_5_21[[#This Row],[MARK]], $P$10:$P$14, 0), 2)</f>
        <v>12</v>
      </c>
      <c r="E292" s="24">
        <v>1510</v>
      </c>
      <c r="F292" s="24">
        <v>305</v>
      </c>
      <c r="G292" s="28" t="s">
        <v>623</v>
      </c>
      <c r="H292" s="23" t="s">
        <v>624</v>
      </c>
      <c r="I292" s="23">
        <v>8</v>
      </c>
      <c r="J292" s="25"/>
      <c r="K292" t="str">
        <f t="shared" si="8"/>
        <v>Cooling</v>
      </c>
      <c r="L292" t="str">
        <f>IF(IFERROR(FIND("1", VAV_Schedule_5_21[[#This Row],[NOTES]]), FALSE), "P70", "P30")</f>
        <v>P30</v>
      </c>
      <c r="M292" t="s">
        <v>597</v>
      </c>
      <c r="N292">
        <f t="shared" si="9"/>
        <v>15010</v>
      </c>
    </row>
    <row r="293" spans="1:14" x14ac:dyDescent="0.2">
      <c r="A293" s="24">
        <v>292</v>
      </c>
      <c r="B293" s="23" t="s">
        <v>409</v>
      </c>
      <c r="C293" s="23" t="s">
        <v>618</v>
      </c>
      <c r="D293" s="23">
        <f>INDEX($P$10:$Q$14, MATCH(VAV_Schedule_5_21[[#This Row],[MARK]], $P$10:$P$14, 0), 2)</f>
        <v>10</v>
      </c>
      <c r="E293" s="24">
        <v>800</v>
      </c>
      <c r="F293" s="24">
        <v>160</v>
      </c>
      <c r="G293" s="28" t="s">
        <v>621</v>
      </c>
      <c r="H293" s="23" t="s">
        <v>622</v>
      </c>
      <c r="I293" s="23">
        <v>8</v>
      </c>
      <c r="J293" s="25"/>
      <c r="K293" t="str">
        <f t="shared" si="8"/>
        <v>Heating</v>
      </c>
      <c r="L293" t="str">
        <f>IF(IFERROR(FIND("1", VAV_Schedule_5_21[[#This Row],[NOTES]]), FALSE), "P70", "P30")</f>
        <v>P30</v>
      </c>
      <c r="M293" t="s">
        <v>597</v>
      </c>
      <c r="N293">
        <f t="shared" si="9"/>
        <v>15011</v>
      </c>
    </row>
    <row r="294" spans="1:14" x14ac:dyDescent="0.2">
      <c r="A294" s="24">
        <v>293</v>
      </c>
      <c r="B294" s="23" t="s">
        <v>410</v>
      </c>
      <c r="C294" s="23" t="s">
        <v>628</v>
      </c>
      <c r="D294" s="23">
        <f>INDEX($P$10:$Q$14, MATCH(VAV_Schedule_5_21[[#This Row],[MARK]], $P$10:$P$14, 0), 2)</f>
        <v>12</v>
      </c>
      <c r="E294" s="24">
        <v>1400</v>
      </c>
      <c r="F294" s="24">
        <v>280</v>
      </c>
      <c r="G294" s="28" t="s">
        <v>621</v>
      </c>
      <c r="H294" s="23" t="s">
        <v>622</v>
      </c>
      <c r="I294" s="23">
        <v>8</v>
      </c>
      <c r="J294" s="25"/>
      <c r="K294" t="str">
        <f t="shared" si="8"/>
        <v>Heating</v>
      </c>
      <c r="L294" t="str">
        <f>IF(IFERROR(FIND("1", VAV_Schedule_5_21[[#This Row],[NOTES]]), FALSE), "P70", "P30")</f>
        <v>P30</v>
      </c>
      <c r="M294" t="s">
        <v>597</v>
      </c>
      <c r="N294">
        <f t="shared" si="9"/>
        <v>15011</v>
      </c>
    </row>
    <row r="295" spans="1:14" x14ac:dyDescent="0.2">
      <c r="A295" s="24">
        <v>294</v>
      </c>
      <c r="B295" s="23" t="s">
        <v>411</v>
      </c>
      <c r="C295" s="23" t="s">
        <v>625</v>
      </c>
      <c r="D295" s="23">
        <f>INDEX($P$10:$Q$14, MATCH(VAV_Schedule_5_21[[#This Row],[MARK]], $P$10:$P$14, 0), 2)</f>
        <v>8</v>
      </c>
      <c r="E295" s="24">
        <v>560</v>
      </c>
      <c r="F295" s="24">
        <v>115</v>
      </c>
      <c r="G295" s="28" t="s">
        <v>623</v>
      </c>
      <c r="H295" s="23" t="s">
        <v>624</v>
      </c>
      <c r="I295" s="23">
        <v>8</v>
      </c>
      <c r="J295" s="25"/>
      <c r="K295" t="str">
        <f t="shared" si="8"/>
        <v>Cooling</v>
      </c>
      <c r="L295" t="str">
        <f>IF(IFERROR(FIND("1", VAV_Schedule_5_21[[#This Row],[NOTES]]), FALSE), "P70", "P30")</f>
        <v>P30</v>
      </c>
      <c r="M295" t="s">
        <v>597</v>
      </c>
      <c r="N295">
        <f t="shared" si="9"/>
        <v>15010</v>
      </c>
    </row>
    <row r="296" spans="1:14" x14ac:dyDescent="0.2">
      <c r="A296" s="24">
        <v>295</v>
      </c>
      <c r="B296" s="23" t="s">
        <v>412</v>
      </c>
      <c r="C296" s="23" t="s">
        <v>618</v>
      </c>
      <c r="D296" s="23">
        <f>INDEX($P$10:$Q$14, MATCH(VAV_Schedule_5_21[[#This Row],[MARK]], $P$10:$P$14, 0), 2)</f>
        <v>10</v>
      </c>
      <c r="E296" s="24">
        <v>1030</v>
      </c>
      <c r="F296" s="24">
        <v>210</v>
      </c>
      <c r="G296" s="28" t="s">
        <v>623</v>
      </c>
      <c r="H296" s="23" t="s">
        <v>624</v>
      </c>
      <c r="I296" s="23">
        <v>8</v>
      </c>
      <c r="J296" s="25"/>
      <c r="K296" t="str">
        <f t="shared" si="8"/>
        <v>Cooling</v>
      </c>
      <c r="L296" t="str">
        <f>IF(IFERROR(FIND("1", VAV_Schedule_5_21[[#This Row],[NOTES]]), FALSE), "P70", "P30")</f>
        <v>P30</v>
      </c>
      <c r="M296" t="s">
        <v>597</v>
      </c>
      <c r="N296">
        <f t="shared" si="9"/>
        <v>15010</v>
      </c>
    </row>
    <row r="297" spans="1:14" x14ac:dyDescent="0.2">
      <c r="A297" s="24">
        <v>296</v>
      </c>
      <c r="B297" s="23" t="s">
        <v>413</v>
      </c>
      <c r="C297" s="23" t="s">
        <v>618</v>
      </c>
      <c r="D297" s="23">
        <f>INDEX($P$10:$Q$14, MATCH(VAV_Schedule_5_21[[#This Row],[MARK]], $P$10:$P$14, 0), 2)</f>
        <v>10</v>
      </c>
      <c r="E297" s="24">
        <v>800</v>
      </c>
      <c r="F297" s="24">
        <v>160</v>
      </c>
      <c r="G297" s="28" t="s">
        <v>621</v>
      </c>
      <c r="H297" s="23" t="s">
        <v>622</v>
      </c>
      <c r="I297" s="23">
        <v>8</v>
      </c>
      <c r="J297" s="25"/>
      <c r="K297" t="str">
        <f t="shared" si="8"/>
        <v>Heating</v>
      </c>
      <c r="L297" t="str">
        <f>IF(IFERROR(FIND("1", VAV_Schedule_5_21[[#This Row],[NOTES]]), FALSE), "P70", "P30")</f>
        <v>P30</v>
      </c>
      <c r="M297" t="s">
        <v>597</v>
      </c>
      <c r="N297">
        <f t="shared" si="9"/>
        <v>15011</v>
      </c>
    </row>
    <row r="298" spans="1:14" x14ac:dyDescent="0.2">
      <c r="A298" s="24">
        <v>297</v>
      </c>
      <c r="B298" s="23" t="s">
        <v>414</v>
      </c>
      <c r="C298" s="23" t="s">
        <v>625</v>
      </c>
      <c r="D298" s="23">
        <f>INDEX($P$10:$Q$14, MATCH(VAV_Schedule_5_21[[#This Row],[MARK]], $P$10:$P$14, 0), 2)</f>
        <v>8</v>
      </c>
      <c r="E298" s="24">
        <v>640</v>
      </c>
      <c r="F298" s="24">
        <v>130</v>
      </c>
      <c r="G298" s="28" t="s">
        <v>619</v>
      </c>
      <c r="H298" s="23" t="s">
        <v>620</v>
      </c>
      <c r="I298" s="23">
        <v>8</v>
      </c>
      <c r="J298" s="25"/>
      <c r="K298" t="str">
        <f t="shared" si="8"/>
        <v>Heating</v>
      </c>
      <c r="L298" t="str">
        <f>IF(IFERROR(FIND("1", VAV_Schedule_5_21[[#This Row],[NOTES]]), FALSE), "P70", "P30")</f>
        <v>P30</v>
      </c>
      <c r="M298" t="s">
        <v>597</v>
      </c>
      <c r="N298">
        <f t="shared" si="9"/>
        <v>15011</v>
      </c>
    </row>
    <row r="299" spans="1:14" x14ac:dyDescent="0.2">
      <c r="A299" s="24">
        <v>298</v>
      </c>
      <c r="B299" s="23" t="s">
        <v>415</v>
      </c>
      <c r="C299" s="23" t="s">
        <v>618</v>
      </c>
      <c r="D299" s="23">
        <f>INDEX($P$10:$Q$14, MATCH(VAV_Schedule_5_21[[#This Row],[MARK]], $P$10:$P$14, 0), 2)</f>
        <v>10</v>
      </c>
      <c r="E299" s="24">
        <v>860</v>
      </c>
      <c r="F299" s="24">
        <v>175</v>
      </c>
      <c r="G299" s="28" t="s">
        <v>619</v>
      </c>
      <c r="H299" s="23" t="s">
        <v>620</v>
      </c>
      <c r="I299" s="23">
        <v>8</v>
      </c>
      <c r="J299" s="25"/>
      <c r="K299" t="str">
        <f t="shared" si="8"/>
        <v>Heating</v>
      </c>
      <c r="L299" t="str">
        <f>IF(IFERROR(FIND("1", VAV_Schedule_5_21[[#This Row],[NOTES]]), FALSE), "P70", "P30")</f>
        <v>P30</v>
      </c>
      <c r="M299" t="s">
        <v>597</v>
      </c>
      <c r="N299">
        <f t="shared" si="9"/>
        <v>15011</v>
      </c>
    </row>
    <row r="300" spans="1:14" x14ac:dyDescent="0.2">
      <c r="A300" s="24">
        <v>299</v>
      </c>
      <c r="B300" s="23" t="s">
        <v>416</v>
      </c>
      <c r="C300" s="23" t="s">
        <v>625</v>
      </c>
      <c r="D300" s="23">
        <f>INDEX($P$10:$Q$14, MATCH(VAV_Schedule_5_21[[#This Row],[MARK]], $P$10:$P$14, 0), 2)</f>
        <v>8</v>
      </c>
      <c r="E300" s="24">
        <v>700</v>
      </c>
      <c r="F300" s="24">
        <v>140</v>
      </c>
      <c r="G300" s="28" t="s">
        <v>619</v>
      </c>
      <c r="H300" s="23" t="s">
        <v>620</v>
      </c>
      <c r="I300" s="23">
        <v>8</v>
      </c>
      <c r="J300" s="25"/>
      <c r="K300" t="str">
        <f t="shared" si="8"/>
        <v>Heating</v>
      </c>
      <c r="L300" t="str">
        <f>IF(IFERROR(FIND("1", VAV_Schedule_5_21[[#This Row],[NOTES]]), FALSE), "P70", "P30")</f>
        <v>P30</v>
      </c>
      <c r="M300" t="s">
        <v>597</v>
      </c>
      <c r="N300">
        <f t="shared" si="9"/>
        <v>15011</v>
      </c>
    </row>
    <row r="301" spans="1:14" x14ac:dyDescent="0.2">
      <c r="A301" s="24">
        <v>300</v>
      </c>
      <c r="B301" s="23" t="s">
        <v>417</v>
      </c>
      <c r="C301" s="23" t="s">
        <v>628</v>
      </c>
      <c r="D301" s="23">
        <f>INDEX($P$10:$Q$14, MATCH(VAV_Schedule_5_21[[#This Row],[MARK]], $P$10:$P$14, 0), 2)</f>
        <v>12</v>
      </c>
      <c r="E301" s="24">
        <v>1140</v>
      </c>
      <c r="F301" s="24">
        <v>230</v>
      </c>
      <c r="G301" s="28" t="s">
        <v>623</v>
      </c>
      <c r="H301" s="23" t="s">
        <v>624</v>
      </c>
      <c r="I301" s="23">
        <v>8</v>
      </c>
      <c r="J301" s="25"/>
      <c r="K301" t="str">
        <f t="shared" si="8"/>
        <v>Cooling</v>
      </c>
      <c r="L301" t="str">
        <f>IF(IFERROR(FIND("1", VAV_Schedule_5_21[[#This Row],[NOTES]]), FALSE), "P70", "P30")</f>
        <v>P30</v>
      </c>
      <c r="M301" t="s">
        <v>597</v>
      </c>
      <c r="N301">
        <f t="shared" si="9"/>
        <v>15010</v>
      </c>
    </row>
    <row r="302" spans="1:14" x14ac:dyDescent="0.2">
      <c r="A302" s="24">
        <v>301</v>
      </c>
      <c r="B302" s="23" t="s">
        <v>418</v>
      </c>
      <c r="C302" s="23" t="s">
        <v>618</v>
      </c>
      <c r="D302" s="23">
        <f>INDEX($P$10:$Q$14, MATCH(VAV_Schedule_5_21[[#This Row],[MARK]], $P$10:$P$14, 0), 2)</f>
        <v>10</v>
      </c>
      <c r="E302" s="24">
        <v>1040</v>
      </c>
      <c r="F302" s="24">
        <v>210</v>
      </c>
      <c r="G302" s="28" t="s">
        <v>623</v>
      </c>
      <c r="H302" s="23" t="s">
        <v>624</v>
      </c>
      <c r="I302" s="23">
        <v>8</v>
      </c>
      <c r="J302" s="25"/>
      <c r="K302" t="str">
        <f t="shared" si="8"/>
        <v>Cooling</v>
      </c>
      <c r="L302" t="str">
        <f>IF(IFERROR(FIND("1", VAV_Schedule_5_21[[#This Row],[NOTES]]), FALSE), "P70", "P30")</f>
        <v>P30</v>
      </c>
      <c r="M302" t="s">
        <v>597</v>
      </c>
      <c r="N302">
        <f t="shared" si="9"/>
        <v>15010</v>
      </c>
    </row>
    <row r="303" spans="1:14" x14ac:dyDescent="0.2">
      <c r="A303" s="24">
        <v>302</v>
      </c>
      <c r="B303" s="23" t="s">
        <v>419</v>
      </c>
      <c r="C303" s="23" t="s">
        <v>632</v>
      </c>
      <c r="D303" s="23">
        <f>INDEX($P$10:$Q$14, MATCH(VAV_Schedule_5_21[[#This Row],[MARK]], $P$10:$P$14, 0), 2)</f>
        <v>6</v>
      </c>
      <c r="E303" s="24">
        <v>200</v>
      </c>
      <c r="F303" s="24">
        <v>40</v>
      </c>
      <c r="G303" s="28" t="s">
        <v>623</v>
      </c>
      <c r="H303" s="23" t="s">
        <v>624</v>
      </c>
      <c r="I303" s="23">
        <v>8</v>
      </c>
      <c r="J303" s="25"/>
      <c r="K303" t="str">
        <f t="shared" si="8"/>
        <v>Cooling</v>
      </c>
      <c r="L303" t="str">
        <f>IF(IFERROR(FIND("1", VAV_Schedule_5_21[[#This Row],[NOTES]]), FALSE), "P70", "P30")</f>
        <v>P30</v>
      </c>
      <c r="M303" t="s">
        <v>597</v>
      </c>
      <c r="N303">
        <f t="shared" si="9"/>
        <v>15010</v>
      </c>
    </row>
    <row r="304" spans="1:14" x14ac:dyDescent="0.2">
      <c r="A304" s="24">
        <v>303</v>
      </c>
      <c r="B304" s="23" t="s">
        <v>420</v>
      </c>
      <c r="C304" s="23" t="s">
        <v>628</v>
      </c>
      <c r="D304" s="23">
        <f>INDEX($P$10:$Q$14, MATCH(VAV_Schedule_5_21[[#This Row],[MARK]], $P$10:$P$14, 0), 2)</f>
        <v>12</v>
      </c>
      <c r="E304" s="24">
        <v>1220</v>
      </c>
      <c r="F304" s="24">
        <v>245</v>
      </c>
      <c r="G304" s="28" t="s">
        <v>631</v>
      </c>
      <c r="H304" s="23" t="s">
        <v>622</v>
      </c>
      <c r="I304" s="23">
        <v>8</v>
      </c>
      <c r="J304" s="25"/>
      <c r="K304" t="str">
        <f t="shared" si="8"/>
        <v>Heating</v>
      </c>
      <c r="L304" t="str">
        <f>IF(IFERROR(FIND("1", VAV_Schedule_5_21[[#This Row],[NOTES]]), FALSE), "P70", "P30")</f>
        <v>P30</v>
      </c>
      <c r="M304" t="s">
        <v>597</v>
      </c>
      <c r="N304">
        <f t="shared" si="9"/>
        <v>15011</v>
      </c>
    </row>
    <row r="305" spans="1:14" x14ac:dyDescent="0.2">
      <c r="A305" s="24">
        <v>304</v>
      </c>
      <c r="B305" s="23" t="s">
        <v>421</v>
      </c>
      <c r="C305" s="23" t="s">
        <v>618</v>
      </c>
      <c r="D305" s="23">
        <f>INDEX($P$10:$Q$14, MATCH(VAV_Schedule_5_21[[#This Row],[MARK]], $P$10:$P$14, 0), 2)</f>
        <v>10</v>
      </c>
      <c r="E305" s="24">
        <v>960</v>
      </c>
      <c r="F305" s="24">
        <v>195</v>
      </c>
      <c r="G305" s="28" t="s">
        <v>619</v>
      </c>
      <c r="H305" s="23" t="s">
        <v>620</v>
      </c>
      <c r="I305" s="23">
        <v>8</v>
      </c>
      <c r="J305" s="25"/>
      <c r="K305" t="str">
        <f t="shared" si="8"/>
        <v>Heating</v>
      </c>
      <c r="L305" t="str">
        <f>IF(IFERROR(FIND("1", VAV_Schedule_5_21[[#This Row],[NOTES]]), FALSE), "P70", "P30")</f>
        <v>P30</v>
      </c>
      <c r="M305" t="s">
        <v>597</v>
      </c>
      <c r="N305">
        <f t="shared" si="9"/>
        <v>15011</v>
      </c>
    </row>
    <row r="306" spans="1:14" x14ac:dyDescent="0.2">
      <c r="A306" s="24">
        <v>305</v>
      </c>
      <c r="B306" s="23" t="s">
        <v>422</v>
      </c>
      <c r="C306" s="23" t="s">
        <v>628</v>
      </c>
      <c r="D306" s="23">
        <f>INDEX($P$10:$Q$14, MATCH(VAV_Schedule_5_21[[#This Row],[MARK]], $P$10:$P$14, 0), 2)</f>
        <v>12</v>
      </c>
      <c r="E306" s="24">
        <v>1220</v>
      </c>
      <c r="F306" s="24">
        <v>245</v>
      </c>
      <c r="G306" s="28" t="s">
        <v>631</v>
      </c>
      <c r="H306" s="23" t="s">
        <v>622</v>
      </c>
      <c r="I306" s="23">
        <v>8</v>
      </c>
      <c r="J306" s="25"/>
      <c r="K306" t="str">
        <f t="shared" si="8"/>
        <v>Heating</v>
      </c>
      <c r="L306" t="str">
        <f>IF(IFERROR(FIND("1", VAV_Schedule_5_21[[#This Row],[NOTES]]), FALSE), "P70", "P30")</f>
        <v>P30</v>
      </c>
      <c r="M306" t="s">
        <v>597</v>
      </c>
      <c r="N306">
        <f t="shared" si="9"/>
        <v>15011</v>
      </c>
    </row>
    <row r="307" spans="1:14" x14ac:dyDescent="0.2">
      <c r="A307" s="24">
        <v>306</v>
      </c>
      <c r="B307" s="23" t="s">
        <v>423</v>
      </c>
      <c r="C307" s="23" t="s">
        <v>632</v>
      </c>
      <c r="D307" s="23">
        <f>INDEX($P$10:$Q$14, MATCH(VAV_Schedule_5_21[[#This Row],[MARK]], $P$10:$P$14, 0), 2)</f>
        <v>6</v>
      </c>
      <c r="E307" s="24">
        <v>200</v>
      </c>
      <c r="F307" s="24">
        <v>40</v>
      </c>
      <c r="G307" s="28" t="s">
        <v>623</v>
      </c>
      <c r="H307" s="23" t="s">
        <v>624</v>
      </c>
      <c r="I307" s="23">
        <v>8</v>
      </c>
      <c r="J307" s="25"/>
      <c r="K307" t="str">
        <f t="shared" si="8"/>
        <v>Cooling</v>
      </c>
      <c r="L307" t="str">
        <f>IF(IFERROR(FIND("1", VAV_Schedule_5_21[[#This Row],[NOTES]]), FALSE), "P70", "P30")</f>
        <v>P30</v>
      </c>
      <c r="M307" t="s">
        <v>597</v>
      </c>
      <c r="N307">
        <f t="shared" si="9"/>
        <v>15010</v>
      </c>
    </row>
    <row r="308" spans="1:14" x14ac:dyDescent="0.2">
      <c r="A308" s="24">
        <v>307</v>
      </c>
      <c r="B308" s="23" t="s">
        <v>648</v>
      </c>
      <c r="C308" s="23" t="s">
        <v>649</v>
      </c>
      <c r="D308" s="23">
        <f>INDEX($P$10:$Q$14, MATCH(VAV_Schedule_5_21[[#This Row],[MARK]], $P$10:$P$14, 0), 2)</f>
        <v>10</v>
      </c>
      <c r="E308" s="23">
        <v>840</v>
      </c>
      <c r="F308" s="23">
        <v>170</v>
      </c>
      <c r="G308" s="28">
        <v>6</v>
      </c>
      <c r="H308" s="23" t="s">
        <v>620</v>
      </c>
      <c r="I308" s="23">
        <v>15</v>
      </c>
      <c r="J308" s="23">
        <v>3</v>
      </c>
      <c r="K308" t="str">
        <f t="shared" si="8"/>
        <v>Heating</v>
      </c>
      <c r="L308" t="str">
        <f>IF(IFERROR(FIND("1", VAV_Schedule_5_21[[#This Row],[NOTES]]), FALSE), "P70", "P30")</f>
        <v>P30</v>
      </c>
      <c r="M308" t="s">
        <v>597</v>
      </c>
      <c r="N308">
        <f t="shared" si="9"/>
        <v>15011</v>
      </c>
    </row>
    <row r="309" spans="1:14" x14ac:dyDescent="0.2">
      <c r="A309" s="24">
        <v>308</v>
      </c>
      <c r="B309" s="23" t="s">
        <v>650</v>
      </c>
      <c r="C309" s="23" t="s">
        <v>651</v>
      </c>
      <c r="D309" s="23">
        <f>INDEX($P$10:$Q$14, MATCH(VAV_Schedule_5_21[[#This Row],[MARK]], $P$10:$P$14, 0), 2)</f>
        <v>8</v>
      </c>
      <c r="E309" s="23">
        <v>640</v>
      </c>
      <c r="F309" s="23">
        <v>130</v>
      </c>
      <c r="G309" s="28">
        <v>6</v>
      </c>
      <c r="H309" s="23" t="s">
        <v>620</v>
      </c>
      <c r="I309" s="23">
        <v>15</v>
      </c>
      <c r="J309" s="23">
        <v>3</v>
      </c>
      <c r="K309" t="str">
        <f t="shared" si="8"/>
        <v>Heating</v>
      </c>
      <c r="L309" t="str">
        <f>IF(IFERROR(FIND("1", VAV_Schedule_5_21[[#This Row],[NOTES]]), FALSE), "P70", "P30")</f>
        <v>P30</v>
      </c>
      <c r="M309" t="s">
        <v>597</v>
      </c>
      <c r="N309">
        <f t="shared" si="9"/>
        <v>15011</v>
      </c>
    </row>
    <row r="310" spans="1:14" x14ac:dyDescent="0.2">
      <c r="A310" s="24">
        <v>309</v>
      </c>
      <c r="B310" s="23" t="s">
        <v>652</v>
      </c>
      <c r="C310" s="23" t="s">
        <v>651</v>
      </c>
      <c r="D310" s="23">
        <f>INDEX($P$10:$Q$14, MATCH(VAV_Schedule_5_21[[#This Row],[MARK]], $P$10:$P$14, 0), 2)</f>
        <v>8</v>
      </c>
      <c r="E310" s="23">
        <v>600</v>
      </c>
      <c r="F310" s="23">
        <v>120</v>
      </c>
      <c r="G310" s="28">
        <v>5</v>
      </c>
      <c r="H310" s="23" t="s">
        <v>620</v>
      </c>
      <c r="I310" s="23">
        <v>15</v>
      </c>
      <c r="J310" s="23">
        <v>3</v>
      </c>
      <c r="K310" t="str">
        <f t="shared" si="8"/>
        <v>Heating</v>
      </c>
      <c r="L310" t="str">
        <f>IF(IFERROR(FIND("1", VAV_Schedule_5_21[[#This Row],[NOTES]]), FALSE), "P70", "P30")</f>
        <v>P30</v>
      </c>
      <c r="M310" t="s">
        <v>597</v>
      </c>
      <c r="N310">
        <f t="shared" si="9"/>
        <v>15011</v>
      </c>
    </row>
    <row r="311" spans="1:14" x14ac:dyDescent="0.2">
      <c r="A311" s="24">
        <v>310</v>
      </c>
      <c r="B311" s="23" t="s">
        <v>653</v>
      </c>
      <c r="C311" s="23" t="s">
        <v>649</v>
      </c>
      <c r="D311" s="23">
        <f>INDEX($P$10:$Q$14, MATCH(VAV_Schedule_5_21[[#This Row],[MARK]], $P$10:$P$14, 0), 2)</f>
        <v>10</v>
      </c>
      <c r="E311" s="23">
        <v>680</v>
      </c>
      <c r="F311" s="23">
        <v>195</v>
      </c>
      <c r="G311" s="28">
        <v>9</v>
      </c>
      <c r="H311" s="23" t="s">
        <v>622</v>
      </c>
      <c r="I311" s="23">
        <v>15</v>
      </c>
      <c r="J311" s="23">
        <v>3</v>
      </c>
      <c r="K311" t="str">
        <f t="shared" si="8"/>
        <v>Heating</v>
      </c>
      <c r="L311" t="str">
        <f>IF(IFERROR(FIND("1", VAV_Schedule_5_21[[#This Row],[NOTES]]), FALSE), "P70", "P30")</f>
        <v>P30</v>
      </c>
      <c r="M311" t="s">
        <v>597</v>
      </c>
      <c r="N311">
        <f t="shared" si="9"/>
        <v>15011</v>
      </c>
    </row>
    <row r="312" spans="1:14" x14ac:dyDescent="0.2">
      <c r="A312" s="24">
        <v>311</v>
      </c>
      <c r="B312" s="23" t="s">
        <v>654</v>
      </c>
      <c r="C312" s="23" t="s">
        <v>655</v>
      </c>
      <c r="D312" s="23">
        <f>INDEX($P$10:$Q$14, MATCH(VAV_Schedule_5_21[[#This Row],[MARK]], $P$10:$P$14, 0), 2)</f>
        <v>6</v>
      </c>
      <c r="E312" s="23">
        <v>100</v>
      </c>
      <c r="F312" s="23">
        <v>20</v>
      </c>
      <c r="G312" s="28" t="s">
        <v>623</v>
      </c>
      <c r="H312" s="23" t="s">
        <v>624</v>
      </c>
      <c r="I312" s="23">
        <v>15</v>
      </c>
      <c r="J312" s="23">
        <v>3</v>
      </c>
      <c r="K312" t="str">
        <f t="shared" si="8"/>
        <v>Cooling</v>
      </c>
      <c r="L312" t="str">
        <f>IF(IFERROR(FIND("1", VAV_Schedule_5_21[[#This Row],[NOTES]]), FALSE), "P70", "P30")</f>
        <v>P30</v>
      </c>
      <c r="M312" t="s">
        <v>597</v>
      </c>
      <c r="N312">
        <f t="shared" si="9"/>
        <v>15010</v>
      </c>
    </row>
    <row r="313" spans="1:14" x14ac:dyDescent="0.2">
      <c r="A313" s="24">
        <v>312</v>
      </c>
      <c r="B313" s="23" t="s">
        <v>656</v>
      </c>
      <c r="C313" s="23" t="s">
        <v>651</v>
      </c>
      <c r="D313" s="23">
        <f>INDEX($P$10:$Q$14, MATCH(VAV_Schedule_5_21[[#This Row],[MARK]], $P$10:$P$14, 0), 2)</f>
        <v>8</v>
      </c>
      <c r="E313" s="23">
        <v>690</v>
      </c>
      <c r="F313" s="23">
        <v>140</v>
      </c>
      <c r="G313" s="28">
        <v>5</v>
      </c>
      <c r="H313" s="23" t="s">
        <v>620</v>
      </c>
      <c r="I313" s="23">
        <v>15</v>
      </c>
      <c r="J313" s="23">
        <v>3</v>
      </c>
      <c r="K313" t="str">
        <f t="shared" si="8"/>
        <v>Heating</v>
      </c>
      <c r="L313" t="str">
        <f>IF(IFERROR(FIND("1", VAV_Schedule_5_21[[#This Row],[NOTES]]), FALSE), "P70", "P30")</f>
        <v>P30</v>
      </c>
      <c r="M313" t="s">
        <v>597</v>
      </c>
      <c r="N313">
        <f t="shared" si="9"/>
        <v>15011</v>
      </c>
    </row>
    <row r="314" spans="1:14" x14ac:dyDescent="0.2">
      <c r="A314" s="24">
        <v>313</v>
      </c>
      <c r="B314" s="23" t="s">
        <v>657</v>
      </c>
      <c r="C314" s="23" t="s">
        <v>649</v>
      </c>
      <c r="D314" s="23">
        <f>INDEX($P$10:$Q$14, MATCH(VAV_Schedule_5_21[[#This Row],[MARK]], $P$10:$P$14, 0), 2)</f>
        <v>10</v>
      </c>
      <c r="E314" s="23">
        <v>850</v>
      </c>
      <c r="F314" s="23">
        <v>180</v>
      </c>
      <c r="G314" s="28">
        <v>6</v>
      </c>
      <c r="H314" s="23" t="s">
        <v>620</v>
      </c>
      <c r="I314" s="23">
        <v>15</v>
      </c>
      <c r="J314" s="23">
        <v>3</v>
      </c>
      <c r="K314" t="str">
        <f t="shared" si="8"/>
        <v>Heating</v>
      </c>
      <c r="L314" t="str">
        <f>IF(IFERROR(FIND("1", VAV_Schedule_5_21[[#This Row],[NOTES]]), FALSE), "P70", "P30")</f>
        <v>P30</v>
      </c>
      <c r="M314" t="s">
        <v>597</v>
      </c>
      <c r="N314">
        <f t="shared" si="9"/>
        <v>15011</v>
      </c>
    </row>
    <row r="315" spans="1:14" x14ac:dyDescent="0.2">
      <c r="A315" s="24">
        <v>314</v>
      </c>
      <c r="B315" s="23" t="s">
        <v>658</v>
      </c>
      <c r="C315" s="23" t="s">
        <v>651</v>
      </c>
      <c r="D315" s="23">
        <f>INDEX($P$10:$Q$14, MATCH(VAV_Schedule_5_21[[#This Row],[MARK]], $P$10:$P$14, 0), 2)</f>
        <v>8</v>
      </c>
      <c r="E315" s="23">
        <v>660</v>
      </c>
      <c r="F315" s="23">
        <v>135</v>
      </c>
      <c r="G315" s="28">
        <v>5</v>
      </c>
      <c r="H315" s="23" t="s">
        <v>620</v>
      </c>
      <c r="I315" s="23">
        <v>15</v>
      </c>
      <c r="J315" s="23">
        <v>3</v>
      </c>
      <c r="K315" t="str">
        <f t="shared" si="8"/>
        <v>Heating</v>
      </c>
      <c r="L315" t="str">
        <f>IF(IFERROR(FIND("1", VAV_Schedule_5_21[[#This Row],[NOTES]]), FALSE), "P70", "P30")</f>
        <v>P30</v>
      </c>
      <c r="M315" t="s">
        <v>597</v>
      </c>
      <c r="N315">
        <f t="shared" si="9"/>
        <v>15011</v>
      </c>
    </row>
    <row r="316" spans="1:14" x14ac:dyDescent="0.2">
      <c r="A316" s="24">
        <v>315</v>
      </c>
      <c r="B316" s="23" t="s">
        <v>659</v>
      </c>
      <c r="C316" s="23" t="s">
        <v>655</v>
      </c>
      <c r="D316" s="23">
        <f>INDEX($P$10:$Q$14, MATCH(VAV_Schedule_5_21[[#This Row],[MARK]], $P$10:$P$14, 0), 2)</f>
        <v>6</v>
      </c>
      <c r="E316" s="23">
        <v>185</v>
      </c>
      <c r="F316" s="23">
        <v>40</v>
      </c>
      <c r="G316" s="28" t="s">
        <v>623</v>
      </c>
      <c r="H316" s="23" t="s">
        <v>624</v>
      </c>
      <c r="I316" s="23">
        <v>15</v>
      </c>
      <c r="J316" s="23">
        <v>3</v>
      </c>
      <c r="K316" t="str">
        <f t="shared" si="8"/>
        <v>Cooling</v>
      </c>
      <c r="L316" t="str">
        <f>IF(IFERROR(FIND("1", VAV_Schedule_5_21[[#This Row],[NOTES]]), FALSE), "P70", "P30")</f>
        <v>P30</v>
      </c>
      <c r="M316" t="s">
        <v>597</v>
      </c>
      <c r="N316">
        <f t="shared" si="9"/>
        <v>15010</v>
      </c>
    </row>
    <row r="317" spans="1:14" x14ac:dyDescent="0.2">
      <c r="A317" s="24">
        <v>316</v>
      </c>
      <c r="B317" s="23" t="s">
        <v>660</v>
      </c>
      <c r="C317" s="23" t="s">
        <v>661</v>
      </c>
      <c r="D317" s="23">
        <f>INDEX($P$10:$Q$14, MATCH(VAV_Schedule_5_21[[#This Row],[MARK]], $P$10:$P$14, 0), 2)</f>
        <v>12</v>
      </c>
      <c r="E317" s="23">
        <v>840</v>
      </c>
      <c r="F317" s="23">
        <v>230</v>
      </c>
      <c r="G317" s="28">
        <v>8</v>
      </c>
      <c r="H317" s="23" t="s">
        <v>622</v>
      </c>
      <c r="I317" s="23">
        <v>15</v>
      </c>
      <c r="J317" s="23">
        <v>3</v>
      </c>
      <c r="K317" t="str">
        <f t="shared" si="8"/>
        <v>Heating</v>
      </c>
      <c r="L317" t="str">
        <f>IF(IFERROR(FIND("1", VAV_Schedule_5_21[[#This Row],[NOTES]]), FALSE), "P70", "P30")</f>
        <v>P30</v>
      </c>
      <c r="M317" t="s">
        <v>597</v>
      </c>
      <c r="N317">
        <f t="shared" si="9"/>
        <v>15011</v>
      </c>
    </row>
    <row r="318" spans="1:14" x14ac:dyDescent="0.2">
      <c r="A318" s="24">
        <v>317</v>
      </c>
      <c r="B318" s="23" t="s">
        <v>662</v>
      </c>
      <c r="C318" s="23" t="s">
        <v>661</v>
      </c>
      <c r="D318" s="23">
        <f>INDEX($P$10:$Q$14, MATCH(VAV_Schedule_5_21[[#This Row],[MARK]], $P$10:$P$14, 0), 2)</f>
        <v>12</v>
      </c>
      <c r="E318" s="23">
        <v>720</v>
      </c>
      <c r="F318" s="23">
        <v>230</v>
      </c>
      <c r="G318" s="28">
        <v>9</v>
      </c>
      <c r="H318" s="23" t="s">
        <v>622</v>
      </c>
      <c r="I318" s="23">
        <v>15</v>
      </c>
      <c r="J318" s="23">
        <v>3</v>
      </c>
      <c r="K318" t="str">
        <f t="shared" si="8"/>
        <v>Heating</v>
      </c>
      <c r="L318" t="str">
        <f>IF(IFERROR(FIND("1", VAV_Schedule_5_21[[#This Row],[NOTES]]), FALSE), "P70", "P30")</f>
        <v>P30</v>
      </c>
      <c r="M318" t="s">
        <v>597</v>
      </c>
      <c r="N318">
        <f t="shared" si="9"/>
        <v>15011</v>
      </c>
    </row>
    <row r="319" spans="1:14" x14ac:dyDescent="0.2">
      <c r="A319" s="24">
        <v>318</v>
      </c>
      <c r="B319" s="23" t="s">
        <v>663</v>
      </c>
      <c r="C319" s="23" t="s">
        <v>651</v>
      </c>
      <c r="D319" s="23">
        <f>INDEX($P$10:$Q$14, MATCH(VAV_Schedule_5_21[[#This Row],[MARK]], $P$10:$P$14, 0), 2)</f>
        <v>8</v>
      </c>
      <c r="E319" s="23">
        <v>640</v>
      </c>
      <c r="F319" s="23">
        <v>130</v>
      </c>
      <c r="G319" s="28">
        <v>6</v>
      </c>
      <c r="H319" s="23" t="s">
        <v>620</v>
      </c>
      <c r="I319" s="23">
        <v>15</v>
      </c>
      <c r="J319" s="23">
        <v>3</v>
      </c>
      <c r="K319" t="str">
        <f t="shared" si="8"/>
        <v>Heating</v>
      </c>
      <c r="L319" t="str">
        <f>IF(IFERROR(FIND("1", VAV_Schedule_5_21[[#This Row],[NOTES]]), FALSE), "P70", "P30")</f>
        <v>P30</v>
      </c>
      <c r="M319" t="s">
        <v>597</v>
      </c>
      <c r="N319">
        <f t="shared" si="9"/>
        <v>15011</v>
      </c>
    </row>
    <row r="320" spans="1:14" x14ac:dyDescent="0.2">
      <c r="A320" s="24">
        <v>319</v>
      </c>
      <c r="B320" s="23" t="s">
        <v>664</v>
      </c>
      <c r="C320" s="23" t="s">
        <v>651</v>
      </c>
      <c r="D320" s="23">
        <f>INDEX($P$10:$Q$14, MATCH(VAV_Schedule_5_21[[#This Row],[MARK]], $P$10:$P$14, 0), 2)</f>
        <v>8</v>
      </c>
      <c r="E320" s="23">
        <v>700</v>
      </c>
      <c r="F320" s="23">
        <v>140</v>
      </c>
      <c r="G320" s="28">
        <v>6</v>
      </c>
      <c r="H320" s="23" t="s">
        <v>620</v>
      </c>
      <c r="I320" s="23">
        <v>15</v>
      </c>
      <c r="J320" s="23">
        <v>3</v>
      </c>
      <c r="K320" t="str">
        <f t="shared" si="8"/>
        <v>Heating</v>
      </c>
      <c r="L320" t="str">
        <f>IF(IFERROR(FIND("1", VAV_Schedule_5_21[[#This Row],[NOTES]]), FALSE), "P70", "P30")</f>
        <v>P30</v>
      </c>
      <c r="M320" t="s">
        <v>597</v>
      </c>
      <c r="N320">
        <f t="shared" si="9"/>
        <v>15011</v>
      </c>
    </row>
    <row r="321" spans="1:14" x14ac:dyDescent="0.2">
      <c r="A321" s="24">
        <v>320</v>
      </c>
      <c r="B321" s="23" t="s">
        <v>665</v>
      </c>
      <c r="C321" s="23" t="s">
        <v>649</v>
      </c>
      <c r="D321" s="23">
        <f>INDEX($P$10:$Q$14, MATCH(VAV_Schedule_5_21[[#This Row],[MARK]], $P$10:$P$14, 0), 2)</f>
        <v>10</v>
      </c>
      <c r="E321" s="23">
        <v>770</v>
      </c>
      <c r="F321" s="23">
        <v>0</v>
      </c>
      <c r="G321" s="28">
        <v>6</v>
      </c>
      <c r="H321" s="23" t="s">
        <v>620</v>
      </c>
      <c r="I321" s="23">
        <v>15</v>
      </c>
      <c r="J321" s="23">
        <v>3</v>
      </c>
      <c r="K321" t="str">
        <f t="shared" si="8"/>
        <v>Heating</v>
      </c>
      <c r="L321" t="str">
        <f>IF(IFERROR(FIND("1", VAV_Schedule_5_21[[#This Row],[NOTES]]), FALSE), "P70", "P30")</f>
        <v>P30</v>
      </c>
      <c r="M321" t="s">
        <v>597</v>
      </c>
      <c r="N321">
        <f t="shared" si="9"/>
        <v>15011</v>
      </c>
    </row>
    <row r="322" spans="1:14" x14ac:dyDescent="0.2">
      <c r="A322" s="24">
        <v>321</v>
      </c>
      <c r="B322" s="23" t="s">
        <v>666</v>
      </c>
      <c r="C322" s="23" t="s">
        <v>661</v>
      </c>
      <c r="D322" s="23">
        <f>INDEX($P$10:$Q$14, MATCH(VAV_Schedule_5_21[[#This Row],[MARK]], $P$10:$P$14, 0), 2)</f>
        <v>12</v>
      </c>
      <c r="E322" s="23">
        <v>1200</v>
      </c>
      <c r="F322" s="23">
        <v>240</v>
      </c>
      <c r="G322" s="28">
        <v>8</v>
      </c>
      <c r="H322" s="23" t="s">
        <v>622</v>
      </c>
      <c r="I322" s="23">
        <v>15</v>
      </c>
      <c r="J322" s="23">
        <v>3</v>
      </c>
      <c r="K322" t="str">
        <f t="shared" si="8"/>
        <v>Heating</v>
      </c>
      <c r="L322" t="str">
        <f>IF(IFERROR(FIND("1", VAV_Schedule_5_21[[#This Row],[NOTES]]), FALSE), "P70", "P30")</f>
        <v>P30</v>
      </c>
      <c r="M322" t="s">
        <v>597</v>
      </c>
      <c r="N322">
        <f t="shared" si="9"/>
        <v>15011</v>
      </c>
    </row>
    <row r="323" spans="1:14" x14ac:dyDescent="0.2">
      <c r="A323" s="24">
        <v>322</v>
      </c>
      <c r="B323" s="23" t="s">
        <v>667</v>
      </c>
      <c r="C323" s="23" t="s">
        <v>649</v>
      </c>
      <c r="D323" s="23">
        <f>INDEX($P$10:$Q$14, MATCH(VAV_Schedule_5_21[[#This Row],[MARK]], $P$10:$P$14, 0), 2)</f>
        <v>10</v>
      </c>
      <c r="E323" s="23">
        <v>100</v>
      </c>
      <c r="F323" s="23">
        <v>200</v>
      </c>
      <c r="G323" s="28">
        <v>8</v>
      </c>
      <c r="H323" s="23" t="s">
        <v>622</v>
      </c>
      <c r="I323" s="23">
        <v>15</v>
      </c>
      <c r="J323" s="23">
        <v>3</v>
      </c>
      <c r="K323" t="str">
        <f t="shared" ref="K323:K337" si="10">IF(G323="-","Cooling","Heating")</f>
        <v>Heating</v>
      </c>
      <c r="L323" t="str">
        <f>IF(IFERROR(FIND("1", VAV_Schedule_5_21[[#This Row],[NOTES]]), FALSE), "P70", "P30")</f>
        <v>P30</v>
      </c>
      <c r="M323" t="s">
        <v>597</v>
      </c>
      <c r="N323">
        <f t="shared" ref="N323:N348" si="11">INDEX($P$2:$Q$9, MATCH(_xlfn.CONCAT($K323,$L323,M323), $P$2:$P$9, 0), 2)</f>
        <v>15011</v>
      </c>
    </row>
    <row r="324" spans="1:14" x14ac:dyDescent="0.2">
      <c r="A324" s="24">
        <v>323</v>
      </c>
      <c r="B324" s="23" t="s">
        <v>668</v>
      </c>
      <c r="C324" s="23" t="s">
        <v>661</v>
      </c>
      <c r="D324" s="23">
        <f>INDEX($P$10:$Q$14, MATCH(VAV_Schedule_5_21[[#This Row],[MARK]], $P$10:$P$14, 0), 2)</f>
        <v>12</v>
      </c>
      <c r="E324" s="23">
        <v>1300</v>
      </c>
      <c r="F324" s="23">
        <v>260</v>
      </c>
      <c r="G324" s="28">
        <v>8</v>
      </c>
      <c r="H324" s="23" t="s">
        <v>622</v>
      </c>
      <c r="I324" s="23">
        <v>15</v>
      </c>
      <c r="J324" s="23">
        <v>3</v>
      </c>
      <c r="K324" t="str">
        <f t="shared" si="10"/>
        <v>Heating</v>
      </c>
      <c r="L324" t="str">
        <f>IF(IFERROR(FIND("1", VAV_Schedule_5_21[[#This Row],[NOTES]]), FALSE), "P70", "P30")</f>
        <v>P30</v>
      </c>
      <c r="M324" t="s">
        <v>597</v>
      </c>
      <c r="N324">
        <f t="shared" si="11"/>
        <v>15011</v>
      </c>
    </row>
    <row r="325" spans="1:14" x14ac:dyDescent="0.2">
      <c r="A325" s="24">
        <v>324</v>
      </c>
      <c r="B325" s="23" t="s">
        <v>669</v>
      </c>
      <c r="C325" s="23" t="s">
        <v>651</v>
      </c>
      <c r="D325" s="23">
        <f>INDEX($P$10:$Q$14, MATCH(VAV_Schedule_5_21[[#This Row],[MARK]], $P$10:$P$14, 0), 2)</f>
        <v>8</v>
      </c>
      <c r="E325" s="23">
        <v>410</v>
      </c>
      <c r="F325" s="23">
        <v>85</v>
      </c>
      <c r="G325" s="28" t="s">
        <v>623</v>
      </c>
      <c r="H325" s="23" t="s">
        <v>624</v>
      </c>
      <c r="I325" s="23">
        <v>15</v>
      </c>
      <c r="J325" s="23">
        <v>3</v>
      </c>
      <c r="K325" t="str">
        <f t="shared" si="10"/>
        <v>Cooling</v>
      </c>
      <c r="L325" t="str">
        <f>IF(IFERROR(FIND("1", VAV_Schedule_5_21[[#This Row],[NOTES]]), FALSE), "P70", "P30")</f>
        <v>P30</v>
      </c>
      <c r="M325" t="s">
        <v>597</v>
      </c>
      <c r="N325">
        <f t="shared" si="11"/>
        <v>15010</v>
      </c>
    </row>
    <row r="326" spans="1:14" x14ac:dyDescent="0.2">
      <c r="A326" s="24">
        <v>325</v>
      </c>
      <c r="B326" s="23" t="s">
        <v>670</v>
      </c>
      <c r="C326" s="23" t="s">
        <v>661</v>
      </c>
      <c r="D326" s="23">
        <f>INDEX($P$10:$Q$14, MATCH(VAV_Schedule_5_21[[#This Row],[MARK]], $P$10:$P$14, 0), 2)</f>
        <v>12</v>
      </c>
      <c r="E326" s="23">
        <v>1300</v>
      </c>
      <c r="F326" s="23">
        <v>260</v>
      </c>
      <c r="G326" s="28">
        <v>8</v>
      </c>
      <c r="H326" s="23" t="s">
        <v>622</v>
      </c>
      <c r="I326" s="23">
        <v>15</v>
      </c>
      <c r="J326" s="23">
        <v>3</v>
      </c>
      <c r="K326" t="str">
        <f t="shared" si="10"/>
        <v>Heating</v>
      </c>
      <c r="L326" t="str">
        <f>IF(IFERROR(FIND("1", VAV_Schedule_5_21[[#This Row],[NOTES]]), FALSE), "P70", "P30")</f>
        <v>P30</v>
      </c>
      <c r="M326" t="s">
        <v>597</v>
      </c>
      <c r="N326">
        <f t="shared" si="11"/>
        <v>15011</v>
      </c>
    </row>
    <row r="327" spans="1:14" x14ac:dyDescent="0.2">
      <c r="A327" s="24">
        <v>326</v>
      </c>
      <c r="B327" s="23" t="s">
        <v>671</v>
      </c>
      <c r="C327" s="23" t="s">
        <v>661</v>
      </c>
      <c r="D327" s="23">
        <f>INDEX($P$10:$Q$14, MATCH(VAV_Schedule_5_21[[#This Row],[MARK]], $P$10:$P$14, 0), 2)</f>
        <v>12</v>
      </c>
      <c r="E327" s="23">
        <v>1360</v>
      </c>
      <c r="F327" s="23">
        <v>275</v>
      </c>
      <c r="G327" s="28">
        <v>6</v>
      </c>
      <c r="H327" s="23" t="s">
        <v>620</v>
      </c>
      <c r="I327" s="23">
        <v>15</v>
      </c>
      <c r="J327" s="23">
        <v>3</v>
      </c>
      <c r="K327" t="str">
        <f t="shared" si="10"/>
        <v>Heating</v>
      </c>
      <c r="L327" t="str">
        <f>IF(IFERROR(FIND("1", VAV_Schedule_5_21[[#This Row],[NOTES]]), FALSE), "P70", "P30")</f>
        <v>P30</v>
      </c>
      <c r="M327" t="s">
        <v>597</v>
      </c>
      <c r="N327">
        <f t="shared" si="11"/>
        <v>15011</v>
      </c>
    </row>
    <row r="328" spans="1:14" x14ac:dyDescent="0.2">
      <c r="A328" s="24">
        <v>327</v>
      </c>
      <c r="B328" s="23" t="s">
        <v>672</v>
      </c>
      <c r="C328" s="23" t="s">
        <v>661</v>
      </c>
      <c r="D328" s="23">
        <f>INDEX($P$10:$Q$14, MATCH(VAV_Schedule_5_21[[#This Row],[MARK]], $P$10:$P$14, 0), 2)</f>
        <v>12</v>
      </c>
      <c r="E328" s="23">
        <v>1060</v>
      </c>
      <c r="F328" s="23">
        <v>260</v>
      </c>
      <c r="G328" s="28">
        <v>8</v>
      </c>
      <c r="H328" s="23" t="s">
        <v>622</v>
      </c>
      <c r="I328" s="23">
        <v>15</v>
      </c>
      <c r="J328" s="23">
        <v>3</v>
      </c>
      <c r="K328" t="str">
        <f t="shared" si="10"/>
        <v>Heating</v>
      </c>
      <c r="L328" t="str">
        <f>IF(IFERROR(FIND("1", VAV_Schedule_5_21[[#This Row],[NOTES]]), FALSE), "P70", "P30")</f>
        <v>P30</v>
      </c>
      <c r="M328" t="s">
        <v>597</v>
      </c>
      <c r="N328">
        <f t="shared" si="11"/>
        <v>15011</v>
      </c>
    </row>
    <row r="329" spans="1:14" x14ac:dyDescent="0.2">
      <c r="A329" s="24">
        <v>328</v>
      </c>
      <c r="B329" s="23" t="s">
        <v>673</v>
      </c>
      <c r="C329" s="23" t="s">
        <v>661</v>
      </c>
      <c r="D329" s="23">
        <f>INDEX($P$10:$Q$14, MATCH(VAV_Schedule_5_21[[#This Row],[MARK]], $P$10:$P$14, 0), 2)</f>
        <v>12</v>
      </c>
      <c r="E329" s="23">
        <v>1065</v>
      </c>
      <c r="F329" s="23">
        <v>260</v>
      </c>
      <c r="G329" s="28">
        <v>8</v>
      </c>
      <c r="H329" s="23" t="s">
        <v>622</v>
      </c>
      <c r="I329" s="23">
        <v>15</v>
      </c>
      <c r="J329" s="23">
        <v>3</v>
      </c>
      <c r="K329" t="str">
        <f t="shared" si="10"/>
        <v>Heating</v>
      </c>
      <c r="L329" t="str">
        <f>IF(IFERROR(FIND("1", VAV_Schedule_5_21[[#This Row],[NOTES]]), FALSE), "P70", "P30")</f>
        <v>P30</v>
      </c>
      <c r="M329" t="s">
        <v>597</v>
      </c>
      <c r="N329">
        <f t="shared" si="11"/>
        <v>15011</v>
      </c>
    </row>
    <row r="330" spans="1:14" x14ac:dyDescent="0.2">
      <c r="A330" s="24">
        <v>329</v>
      </c>
      <c r="B330" s="23" t="s">
        <v>674</v>
      </c>
      <c r="C330" s="23" t="s">
        <v>649</v>
      </c>
      <c r="D330" s="23">
        <f>INDEX($P$10:$Q$14, MATCH(VAV_Schedule_5_21[[#This Row],[MARK]], $P$10:$P$14, 0), 2)</f>
        <v>10</v>
      </c>
      <c r="E330" s="23">
        <v>1080</v>
      </c>
      <c r="F330" s="23">
        <v>220</v>
      </c>
      <c r="G330" s="28">
        <v>6</v>
      </c>
      <c r="H330" s="23" t="s">
        <v>620</v>
      </c>
      <c r="I330" s="23">
        <v>15</v>
      </c>
      <c r="J330" s="23">
        <v>3</v>
      </c>
      <c r="K330" t="str">
        <f t="shared" si="10"/>
        <v>Heating</v>
      </c>
      <c r="L330" t="str">
        <f>IF(IFERROR(FIND("1", VAV_Schedule_5_21[[#This Row],[NOTES]]), FALSE), "P70", "P30")</f>
        <v>P30</v>
      </c>
      <c r="M330" t="s">
        <v>597</v>
      </c>
      <c r="N330">
        <f t="shared" si="11"/>
        <v>15011</v>
      </c>
    </row>
    <row r="331" spans="1:14" x14ac:dyDescent="0.2">
      <c r="A331" s="24">
        <v>330</v>
      </c>
      <c r="B331" s="23" t="s">
        <v>675</v>
      </c>
      <c r="C331" s="23" t="s">
        <v>651</v>
      </c>
      <c r="D331" s="23">
        <f>INDEX($P$10:$Q$14, MATCH(VAV_Schedule_5_21[[#This Row],[MARK]], $P$10:$P$14, 0), 2)</f>
        <v>8</v>
      </c>
      <c r="E331" s="23">
        <v>500</v>
      </c>
      <c r="F331" s="23">
        <v>100</v>
      </c>
      <c r="G331" s="28" t="s">
        <v>623</v>
      </c>
      <c r="H331" s="23" t="s">
        <v>624</v>
      </c>
      <c r="I331" s="23">
        <v>15</v>
      </c>
      <c r="J331" s="23">
        <v>3</v>
      </c>
      <c r="K331" t="str">
        <f t="shared" si="10"/>
        <v>Cooling</v>
      </c>
      <c r="L331" t="str">
        <f>IF(IFERROR(FIND("1", VAV_Schedule_5_21[[#This Row],[NOTES]]), FALSE), "P70", "P30")</f>
        <v>P30</v>
      </c>
      <c r="M331" t="s">
        <v>597</v>
      </c>
      <c r="N331">
        <f t="shared" si="11"/>
        <v>15010</v>
      </c>
    </row>
    <row r="332" spans="1:14" x14ac:dyDescent="0.2">
      <c r="A332" s="24">
        <v>331</v>
      </c>
      <c r="B332" s="23" t="s">
        <v>676</v>
      </c>
      <c r="C332" s="23" t="s">
        <v>651</v>
      </c>
      <c r="D332" s="23">
        <f>INDEX($P$10:$Q$14, MATCH(VAV_Schedule_5_21[[#This Row],[MARK]], $P$10:$P$14, 0), 2)</f>
        <v>8</v>
      </c>
      <c r="E332" s="23">
        <v>600</v>
      </c>
      <c r="F332" s="23">
        <v>120</v>
      </c>
      <c r="G332" s="28" t="s">
        <v>623</v>
      </c>
      <c r="H332" s="23" t="s">
        <v>624</v>
      </c>
      <c r="I332" s="23">
        <v>15</v>
      </c>
      <c r="J332" s="23">
        <v>3</v>
      </c>
      <c r="K332" t="str">
        <f t="shared" si="10"/>
        <v>Cooling</v>
      </c>
      <c r="L332" t="str">
        <f>IF(IFERROR(FIND("1", VAV_Schedule_5_21[[#This Row],[NOTES]]), FALSE), "P70", "P30")</f>
        <v>P30</v>
      </c>
      <c r="M332" t="s">
        <v>597</v>
      </c>
      <c r="N332">
        <f t="shared" si="11"/>
        <v>15010</v>
      </c>
    </row>
    <row r="333" spans="1:14" x14ac:dyDescent="0.2">
      <c r="A333" s="24">
        <v>332</v>
      </c>
      <c r="B333" s="23" t="s">
        <v>677</v>
      </c>
      <c r="C333" s="23" t="s">
        <v>661</v>
      </c>
      <c r="D333" s="23">
        <f>INDEX($P$10:$Q$14, MATCH(VAV_Schedule_5_21[[#This Row],[MARK]], $P$10:$P$14, 0), 2)</f>
        <v>12</v>
      </c>
      <c r="E333" s="23">
        <v>1190</v>
      </c>
      <c r="F333" s="23">
        <v>260</v>
      </c>
      <c r="G333" s="28">
        <v>8</v>
      </c>
      <c r="H333" s="23" t="s">
        <v>622</v>
      </c>
      <c r="I333" s="23">
        <v>15</v>
      </c>
      <c r="J333" s="23">
        <v>3</v>
      </c>
      <c r="K333" t="str">
        <f t="shared" si="10"/>
        <v>Heating</v>
      </c>
      <c r="L333" t="str">
        <f>IF(IFERROR(FIND("1", VAV_Schedule_5_21[[#This Row],[NOTES]]), FALSE), "P70", "P30")</f>
        <v>P30</v>
      </c>
      <c r="M333" t="s">
        <v>597</v>
      </c>
      <c r="N333">
        <f t="shared" si="11"/>
        <v>15011</v>
      </c>
    </row>
    <row r="334" spans="1:14" x14ac:dyDescent="0.2">
      <c r="A334" s="24">
        <v>333</v>
      </c>
      <c r="B334" s="23" t="s">
        <v>678</v>
      </c>
      <c r="C334" s="23" t="s">
        <v>649</v>
      </c>
      <c r="D334" s="23">
        <f>INDEX($P$10:$Q$14, MATCH(VAV_Schedule_5_21[[#This Row],[MARK]], $P$10:$P$14, 0), 2)</f>
        <v>10</v>
      </c>
      <c r="E334" s="23">
        <v>1050</v>
      </c>
      <c r="F334" s="23">
        <v>210</v>
      </c>
      <c r="G334" s="28">
        <v>9</v>
      </c>
      <c r="H334" s="23" t="s">
        <v>622</v>
      </c>
      <c r="I334" s="23">
        <v>15</v>
      </c>
      <c r="J334" s="23">
        <v>3</v>
      </c>
      <c r="K334" t="str">
        <f t="shared" si="10"/>
        <v>Heating</v>
      </c>
      <c r="L334" t="str">
        <f>IF(IFERROR(FIND("1", VAV_Schedule_5_21[[#This Row],[NOTES]]), FALSE), "P70", "P30")</f>
        <v>P30</v>
      </c>
      <c r="M334" t="s">
        <v>597</v>
      </c>
      <c r="N334">
        <f t="shared" si="11"/>
        <v>15011</v>
      </c>
    </row>
    <row r="335" spans="1:14" x14ac:dyDescent="0.2">
      <c r="A335" s="24">
        <v>334</v>
      </c>
      <c r="B335" s="23" t="s">
        <v>679</v>
      </c>
      <c r="C335" s="23" t="s">
        <v>651</v>
      </c>
      <c r="D335" s="23">
        <f>INDEX($P$10:$Q$14, MATCH(VAV_Schedule_5_21[[#This Row],[MARK]], $P$10:$P$14, 0), 2)</f>
        <v>8</v>
      </c>
      <c r="E335" s="23">
        <v>640</v>
      </c>
      <c r="F335" s="23">
        <v>130</v>
      </c>
      <c r="G335" s="28">
        <v>6</v>
      </c>
      <c r="H335" s="23" t="s">
        <v>620</v>
      </c>
      <c r="I335" s="23">
        <v>15</v>
      </c>
      <c r="J335" s="23">
        <v>3</v>
      </c>
      <c r="K335" t="str">
        <f t="shared" si="10"/>
        <v>Heating</v>
      </c>
      <c r="L335" t="str">
        <f>IF(IFERROR(FIND("1", VAV_Schedule_5_21[[#This Row],[NOTES]]), FALSE), "P70", "P30")</f>
        <v>P30</v>
      </c>
      <c r="M335" t="s">
        <v>597</v>
      </c>
      <c r="N335">
        <f t="shared" si="11"/>
        <v>15011</v>
      </c>
    </row>
    <row r="336" spans="1:14" x14ac:dyDescent="0.2">
      <c r="A336" s="24">
        <v>335</v>
      </c>
      <c r="B336" s="23" t="s">
        <v>680</v>
      </c>
      <c r="C336" s="23" t="s">
        <v>651</v>
      </c>
      <c r="D336" s="23">
        <f>INDEX($P$10:$Q$14, MATCH(VAV_Schedule_5_21[[#This Row],[MARK]], $P$10:$P$14, 0), 2)</f>
        <v>8</v>
      </c>
      <c r="E336" s="23">
        <v>640</v>
      </c>
      <c r="F336" s="23">
        <v>130</v>
      </c>
      <c r="G336" s="28">
        <v>6</v>
      </c>
      <c r="H336" s="23" t="s">
        <v>620</v>
      </c>
      <c r="I336" s="23">
        <v>15</v>
      </c>
      <c r="J336" s="23">
        <v>3</v>
      </c>
      <c r="K336" t="str">
        <f t="shared" si="10"/>
        <v>Heating</v>
      </c>
      <c r="L336" t="str">
        <f>IF(IFERROR(FIND("1", VAV_Schedule_5_21[[#This Row],[NOTES]]), FALSE), "P70", "P30")</f>
        <v>P30</v>
      </c>
      <c r="M336" t="s">
        <v>597</v>
      </c>
      <c r="N336">
        <f t="shared" si="11"/>
        <v>15011</v>
      </c>
    </row>
    <row r="337" spans="1:14" x14ac:dyDescent="0.2">
      <c r="A337" s="24">
        <v>336</v>
      </c>
      <c r="B337" s="23" t="s">
        <v>681</v>
      </c>
      <c r="C337" s="23" t="s">
        <v>651</v>
      </c>
      <c r="D337" s="23">
        <f>INDEX($P$10:$Q$14, MATCH(VAV_Schedule_5_21[[#This Row],[MARK]], $P$10:$P$14, 0), 2)</f>
        <v>8</v>
      </c>
      <c r="E337" s="23">
        <v>645</v>
      </c>
      <c r="F337" s="23">
        <v>130</v>
      </c>
      <c r="G337" s="28">
        <v>4</v>
      </c>
      <c r="H337" s="23" t="s">
        <v>620</v>
      </c>
      <c r="I337" s="23">
        <v>15</v>
      </c>
      <c r="J337" s="23">
        <v>3</v>
      </c>
      <c r="K337" t="str">
        <f t="shared" si="10"/>
        <v>Heating</v>
      </c>
      <c r="L337" t="str">
        <f>IF(IFERROR(FIND("1", VAV_Schedule_5_21[[#This Row],[NOTES]]), FALSE), "P70", "P30")</f>
        <v>P30</v>
      </c>
      <c r="M337" t="s">
        <v>597</v>
      </c>
      <c r="N337">
        <f t="shared" si="11"/>
        <v>15011</v>
      </c>
    </row>
    <row r="338" spans="1:14" x14ac:dyDescent="0.2">
      <c r="A338" s="24">
        <v>337</v>
      </c>
      <c r="B338" s="23" t="s">
        <v>682</v>
      </c>
      <c r="C338" s="23" t="s">
        <v>661</v>
      </c>
      <c r="D338" s="23">
        <f>INDEX($P$10:$Q$14, MATCH(VAV_Schedule_5_21[[#This Row],[MARK]], $P$10:$P$14, 0), 2)</f>
        <v>12</v>
      </c>
      <c r="E338" s="23">
        <v>1080</v>
      </c>
      <c r="F338" s="23">
        <v>240</v>
      </c>
      <c r="G338" s="28">
        <v>8</v>
      </c>
      <c r="H338" s="23" t="s">
        <v>622</v>
      </c>
      <c r="I338" s="23">
        <v>15</v>
      </c>
      <c r="J338" s="23">
        <v>3</v>
      </c>
      <c r="K338" t="str">
        <f t="shared" ref="K338:K348" si="12">IF(G338="-","Cooling","Heating")</f>
        <v>Heating</v>
      </c>
      <c r="L338" t="str">
        <f>IF(IFERROR(FIND("1", VAV_Schedule_5_21[[#This Row],[NOTES]]), FALSE), "P70", "P30")</f>
        <v>P30</v>
      </c>
      <c r="M338" t="s">
        <v>597</v>
      </c>
      <c r="N338">
        <f t="shared" si="11"/>
        <v>15011</v>
      </c>
    </row>
    <row r="339" spans="1:14" x14ac:dyDescent="0.2">
      <c r="A339" s="24">
        <v>338</v>
      </c>
      <c r="B339" s="23" t="s">
        <v>683</v>
      </c>
      <c r="C339" s="23" t="s">
        <v>651</v>
      </c>
      <c r="D339" s="23">
        <f>INDEX($P$10:$Q$14, MATCH(VAV_Schedule_5_21[[#This Row],[MARK]], $P$10:$P$14, 0), 2)</f>
        <v>8</v>
      </c>
      <c r="E339" s="23">
        <v>640</v>
      </c>
      <c r="F339" s="23">
        <v>130</v>
      </c>
      <c r="G339" s="28">
        <v>6</v>
      </c>
      <c r="H339" s="23" t="s">
        <v>620</v>
      </c>
      <c r="I339" s="23">
        <v>15</v>
      </c>
      <c r="J339" s="23">
        <v>3</v>
      </c>
      <c r="K339" t="str">
        <f t="shared" si="12"/>
        <v>Heating</v>
      </c>
      <c r="L339" t="str">
        <f>IF(IFERROR(FIND("1", VAV_Schedule_5_21[[#This Row],[NOTES]]), FALSE), "P70", "P30")</f>
        <v>P30</v>
      </c>
      <c r="M339" t="s">
        <v>597</v>
      </c>
      <c r="N339">
        <f t="shared" si="11"/>
        <v>15011</v>
      </c>
    </row>
    <row r="340" spans="1:14" x14ac:dyDescent="0.2">
      <c r="A340" s="24">
        <v>339</v>
      </c>
      <c r="B340" s="23" t="s">
        <v>684</v>
      </c>
      <c r="C340" s="23" t="s">
        <v>651</v>
      </c>
      <c r="D340" s="23">
        <f>INDEX($P$10:$Q$14, MATCH(VAV_Schedule_5_21[[#This Row],[MARK]], $P$10:$P$14, 0), 2)</f>
        <v>8</v>
      </c>
      <c r="E340" s="23">
        <v>700</v>
      </c>
      <c r="F340" s="23">
        <v>140</v>
      </c>
      <c r="G340" s="28">
        <v>6</v>
      </c>
      <c r="H340" s="23" t="s">
        <v>620</v>
      </c>
      <c r="I340" s="23">
        <v>15</v>
      </c>
      <c r="J340" s="23">
        <v>3</v>
      </c>
      <c r="K340" t="str">
        <f t="shared" si="12"/>
        <v>Heating</v>
      </c>
      <c r="L340" t="str">
        <f>IF(IFERROR(FIND("1", VAV_Schedule_5_21[[#This Row],[NOTES]]), FALSE), "P70", "P30")</f>
        <v>P30</v>
      </c>
      <c r="M340" t="s">
        <v>597</v>
      </c>
      <c r="N340">
        <f t="shared" si="11"/>
        <v>15011</v>
      </c>
    </row>
    <row r="341" spans="1:14" x14ac:dyDescent="0.2">
      <c r="A341" s="24">
        <v>340</v>
      </c>
      <c r="B341" s="23" t="s">
        <v>685</v>
      </c>
      <c r="C341" s="23" t="s">
        <v>661</v>
      </c>
      <c r="D341" s="23">
        <f>INDEX($P$10:$Q$14, MATCH(VAV_Schedule_5_21[[#This Row],[MARK]], $P$10:$P$14, 0), 2)</f>
        <v>12</v>
      </c>
      <c r="E341" s="23">
        <v>1200</v>
      </c>
      <c r="F341" s="23">
        <v>240</v>
      </c>
      <c r="G341" s="28">
        <v>9</v>
      </c>
      <c r="H341" s="23" t="s">
        <v>622</v>
      </c>
      <c r="I341" s="23">
        <v>15</v>
      </c>
      <c r="J341" s="23">
        <v>3</v>
      </c>
      <c r="K341" t="str">
        <f t="shared" si="12"/>
        <v>Heating</v>
      </c>
      <c r="L341" t="str">
        <f>IF(IFERROR(FIND("1", VAV_Schedule_5_21[[#This Row],[NOTES]]), FALSE), "P70", "P30")</f>
        <v>P30</v>
      </c>
      <c r="M341" t="s">
        <v>597</v>
      </c>
      <c r="N341">
        <f t="shared" si="11"/>
        <v>15011</v>
      </c>
    </row>
    <row r="342" spans="1:14" x14ac:dyDescent="0.2">
      <c r="A342" s="24">
        <v>341</v>
      </c>
      <c r="B342" s="23" t="s">
        <v>686</v>
      </c>
      <c r="C342" s="23" t="s">
        <v>661</v>
      </c>
      <c r="D342" s="23">
        <f>INDEX($P$10:$Q$14, MATCH(VAV_Schedule_5_21[[#This Row],[MARK]], $P$10:$P$14, 0), 2)</f>
        <v>12</v>
      </c>
      <c r="E342" s="23">
        <v>840</v>
      </c>
      <c r="F342" s="23">
        <v>230</v>
      </c>
      <c r="G342" s="28">
        <v>8</v>
      </c>
      <c r="H342" s="23" t="s">
        <v>622</v>
      </c>
      <c r="I342" s="23">
        <v>15</v>
      </c>
      <c r="J342" s="23">
        <v>3</v>
      </c>
      <c r="K342" t="str">
        <f t="shared" si="12"/>
        <v>Heating</v>
      </c>
      <c r="L342" t="str">
        <f>IF(IFERROR(FIND("1", VAV_Schedule_5_21[[#This Row],[NOTES]]), FALSE), "P70", "P30")</f>
        <v>P30</v>
      </c>
      <c r="M342" t="s">
        <v>597</v>
      </c>
      <c r="N342">
        <f t="shared" si="11"/>
        <v>15011</v>
      </c>
    </row>
    <row r="343" spans="1:14" x14ac:dyDescent="0.2">
      <c r="A343" s="24">
        <v>342</v>
      </c>
      <c r="B343" s="23" t="s">
        <v>687</v>
      </c>
      <c r="C343" s="23" t="s">
        <v>655</v>
      </c>
      <c r="D343" s="23">
        <f>INDEX($P$10:$Q$14, MATCH(VAV_Schedule_5_21[[#This Row],[MARK]], $P$10:$P$14, 0), 2)</f>
        <v>6</v>
      </c>
      <c r="E343" s="23">
        <v>185</v>
      </c>
      <c r="F343" s="23">
        <v>40</v>
      </c>
      <c r="G343" s="28" t="s">
        <v>623</v>
      </c>
      <c r="H343" s="23" t="s">
        <v>624</v>
      </c>
      <c r="I343" s="23">
        <v>15</v>
      </c>
      <c r="J343" s="23">
        <v>3</v>
      </c>
      <c r="K343" t="str">
        <f t="shared" si="12"/>
        <v>Cooling</v>
      </c>
      <c r="L343" t="str">
        <f>IF(IFERROR(FIND("1", VAV_Schedule_5_21[[#This Row],[NOTES]]), FALSE), "P70", "P30")</f>
        <v>P30</v>
      </c>
      <c r="M343" t="s">
        <v>597</v>
      </c>
      <c r="N343">
        <f t="shared" si="11"/>
        <v>15010</v>
      </c>
    </row>
    <row r="344" spans="1:14" x14ac:dyDescent="0.2">
      <c r="A344" s="24">
        <v>343</v>
      </c>
      <c r="B344" s="23" t="s">
        <v>688</v>
      </c>
      <c r="C344" s="23" t="s">
        <v>649</v>
      </c>
      <c r="D344" s="23">
        <f>INDEX($P$10:$Q$14, MATCH(VAV_Schedule_5_21[[#This Row],[MARK]], $P$10:$P$14, 0), 2)</f>
        <v>10</v>
      </c>
      <c r="E344" s="23">
        <v>680</v>
      </c>
      <c r="F344" s="23">
        <v>160</v>
      </c>
      <c r="G344" s="28">
        <v>5</v>
      </c>
      <c r="H344" s="23" t="s">
        <v>620</v>
      </c>
      <c r="I344" s="23">
        <v>15</v>
      </c>
      <c r="J344" s="23">
        <v>3</v>
      </c>
      <c r="K344" t="str">
        <f t="shared" si="12"/>
        <v>Heating</v>
      </c>
      <c r="L344" t="str">
        <f>IF(IFERROR(FIND("1", VAV_Schedule_5_21[[#This Row],[NOTES]]), FALSE), "P70", "P30")</f>
        <v>P30</v>
      </c>
      <c r="M344" t="s">
        <v>597</v>
      </c>
      <c r="N344">
        <f t="shared" si="11"/>
        <v>15011</v>
      </c>
    </row>
    <row r="345" spans="1:14" x14ac:dyDescent="0.2">
      <c r="A345" s="24">
        <v>344</v>
      </c>
      <c r="B345" s="23" t="s">
        <v>689</v>
      </c>
      <c r="C345" s="23" t="s">
        <v>649</v>
      </c>
      <c r="D345" s="23">
        <f>INDEX($P$10:$Q$14, MATCH(VAV_Schedule_5_21[[#This Row],[MARK]], $P$10:$P$14, 0), 2)</f>
        <v>10</v>
      </c>
      <c r="E345" s="23">
        <v>1000</v>
      </c>
      <c r="F345" s="23">
        <v>210</v>
      </c>
      <c r="G345" s="28">
        <v>6</v>
      </c>
      <c r="H345" s="23" t="s">
        <v>620</v>
      </c>
      <c r="I345" s="23">
        <v>15</v>
      </c>
      <c r="J345" s="23">
        <v>3</v>
      </c>
      <c r="K345" t="str">
        <f t="shared" si="12"/>
        <v>Heating</v>
      </c>
      <c r="L345" t="str">
        <f>IF(IFERROR(FIND("1", VAV_Schedule_5_21[[#This Row],[NOTES]]), FALSE), "P70", "P30")</f>
        <v>P30</v>
      </c>
      <c r="M345" t="s">
        <v>597</v>
      </c>
      <c r="N345">
        <f t="shared" si="11"/>
        <v>15011</v>
      </c>
    </row>
    <row r="346" spans="1:14" x14ac:dyDescent="0.2">
      <c r="A346" s="24">
        <v>345</v>
      </c>
      <c r="B346" s="23" t="s">
        <v>690</v>
      </c>
      <c r="C346" s="23" t="s">
        <v>649</v>
      </c>
      <c r="D346" s="23">
        <f>INDEX($P$10:$Q$14, MATCH(VAV_Schedule_5_21[[#This Row],[MARK]], $P$10:$P$14, 0), 2)</f>
        <v>10</v>
      </c>
      <c r="E346" s="23">
        <v>840</v>
      </c>
      <c r="F346" s="23">
        <v>170</v>
      </c>
      <c r="G346" s="28">
        <v>6</v>
      </c>
      <c r="H346" s="23" t="s">
        <v>620</v>
      </c>
      <c r="I346" s="23">
        <v>15</v>
      </c>
      <c r="J346" s="23">
        <v>3</v>
      </c>
      <c r="K346" t="str">
        <f t="shared" si="12"/>
        <v>Heating</v>
      </c>
      <c r="L346" t="str">
        <f>IF(IFERROR(FIND("1", VAV_Schedule_5_21[[#This Row],[NOTES]]), FALSE), "P70", "P30")</f>
        <v>P30</v>
      </c>
      <c r="M346" t="s">
        <v>597</v>
      </c>
      <c r="N346">
        <f t="shared" si="11"/>
        <v>15011</v>
      </c>
    </row>
    <row r="347" spans="1:14" x14ac:dyDescent="0.2">
      <c r="A347" s="24">
        <v>346</v>
      </c>
      <c r="B347" s="23" t="s">
        <v>691</v>
      </c>
      <c r="C347" s="23" t="s">
        <v>649</v>
      </c>
      <c r="D347" s="23">
        <f>INDEX($P$10:$Q$14, MATCH(VAV_Schedule_5_21[[#This Row],[MARK]], $P$10:$P$14, 0), 2)</f>
        <v>10</v>
      </c>
      <c r="E347" s="23">
        <v>820</v>
      </c>
      <c r="F347" s="23">
        <v>165</v>
      </c>
      <c r="G347" s="28">
        <v>5</v>
      </c>
      <c r="H347" s="23" t="s">
        <v>620</v>
      </c>
      <c r="I347" s="23">
        <v>15</v>
      </c>
      <c r="J347" s="23">
        <v>3</v>
      </c>
      <c r="K347" t="str">
        <f t="shared" si="12"/>
        <v>Heating</v>
      </c>
      <c r="L347" t="str">
        <f>IF(IFERROR(FIND("1", VAV_Schedule_5_21[[#This Row],[NOTES]]), FALSE), "P70", "P30")</f>
        <v>P30</v>
      </c>
      <c r="M347" t="s">
        <v>597</v>
      </c>
      <c r="N347">
        <f t="shared" si="11"/>
        <v>15011</v>
      </c>
    </row>
    <row r="348" spans="1:14" x14ac:dyDescent="0.2">
      <c r="A348" s="24">
        <v>347</v>
      </c>
      <c r="B348" s="23" t="s">
        <v>692</v>
      </c>
      <c r="C348" s="23" t="s">
        <v>655</v>
      </c>
      <c r="D348" s="23">
        <f>INDEX($P$10:$Q$14, MATCH(VAV_Schedule_5_21[[#This Row],[MARK]], $P$10:$P$14, 0), 2)</f>
        <v>6</v>
      </c>
      <c r="E348" s="23">
        <v>100</v>
      </c>
      <c r="F348" s="23">
        <v>20</v>
      </c>
      <c r="G348" s="28" t="s">
        <v>623</v>
      </c>
      <c r="H348" s="23" t="s">
        <v>624</v>
      </c>
      <c r="I348" s="23">
        <v>15</v>
      </c>
      <c r="J348" s="23">
        <v>3</v>
      </c>
      <c r="K348" t="str">
        <f t="shared" si="12"/>
        <v>Cooling</v>
      </c>
      <c r="L348" t="str">
        <f>IF(IFERROR(FIND("1", VAV_Schedule_5_21[[#This Row],[NOTES]]), FALSE), "P70", "P30")</f>
        <v>P30</v>
      </c>
      <c r="M348" t="s">
        <v>597</v>
      </c>
      <c r="N348">
        <f t="shared" si="11"/>
        <v>15010</v>
      </c>
    </row>
    <row r="349" spans="1:14" x14ac:dyDescent="0.2">
      <c r="A349" s="24">
        <v>348</v>
      </c>
      <c r="B349" s="23" t="s">
        <v>986</v>
      </c>
      <c r="C349" s="23" t="s">
        <v>625</v>
      </c>
      <c r="D349" s="23">
        <f>INDEX($P$10:$Q$14, MATCH(VAV_Schedule_5_21[[#This Row],[MARK]], $P$10:$P$14, 0), 2)</f>
        <v>8</v>
      </c>
      <c r="E349">
        <v>640</v>
      </c>
      <c r="F349">
        <v>100</v>
      </c>
      <c r="G349" s="30" t="s">
        <v>619</v>
      </c>
      <c r="H349" s="30" t="s">
        <v>620</v>
      </c>
      <c r="I349" s="23">
        <v>9</v>
      </c>
      <c r="J349" s="30"/>
      <c r="K349" t="str">
        <f t="shared" ref="K349:K412" si="13">IF(G349="-","Cooling","Heating")</f>
        <v>Heating</v>
      </c>
      <c r="L349" t="str">
        <f>IF(IFERROR(FIND("1", VAV_Schedule_5_21[[#This Row],[NOTES]]), FALSE), "P70", "P30")</f>
        <v>P30</v>
      </c>
      <c r="M349" t="s">
        <v>597</v>
      </c>
      <c r="N349">
        <f t="shared" ref="N349:N412" si="14">INDEX($P$2:$Q$9, MATCH(_xlfn.CONCAT($K349,$L349,M349), $P$2:$P$9, 0), 2)</f>
        <v>15011</v>
      </c>
    </row>
    <row r="350" spans="1:14" x14ac:dyDescent="0.2">
      <c r="A350" s="24">
        <v>349</v>
      </c>
      <c r="B350" s="23" t="s">
        <v>987</v>
      </c>
      <c r="C350" s="23" t="s">
        <v>625</v>
      </c>
      <c r="D350" s="23">
        <f>INDEX($P$10:$Q$14, MATCH(VAV_Schedule_5_21[[#This Row],[MARK]], $P$10:$P$14, 0), 2)</f>
        <v>8</v>
      </c>
      <c r="E350">
        <v>680</v>
      </c>
      <c r="F350">
        <v>105</v>
      </c>
      <c r="G350" s="30" t="s">
        <v>619</v>
      </c>
      <c r="H350" s="30" t="s">
        <v>620</v>
      </c>
      <c r="I350" s="23">
        <v>9</v>
      </c>
      <c r="J350" s="30"/>
      <c r="K350" t="str">
        <f t="shared" si="13"/>
        <v>Heating</v>
      </c>
      <c r="L350" t="str">
        <f>IF(IFERROR(FIND("1", VAV_Schedule_5_21[[#This Row],[NOTES]]), FALSE), "P70", "P30")</f>
        <v>P30</v>
      </c>
      <c r="M350" t="s">
        <v>597</v>
      </c>
      <c r="N350">
        <f t="shared" si="14"/>
        <v>15011</v>
      </c>
    </row>
    <row r="351" spans="1:14" x14ac:dyDescent="0.2">
      <c r="A351" s="24">
        <v>350</v>
      </c>
      <c r="B351" s="23" t="s">
        <v>988</v>
      </c>
      <c r="C351" s="23" t="s">
        <v>625</v>
      </c>
      <c r="D351" s="23">
        <f>INDEX($P$10:$Q$14, MATCH(VAV_Schedule_5_21[[#This Row],[MARK]], $P$10:$P$14, 0), 2)</f>
        <v>8</v>
      </c>
      <c r="E351">
        <v>600</v>
      </c>
      <c r="F351">
        <v>90</v>
      </c>
      <c r="G351" s="30" t="s">
        <v>619</v>
      </c>
      <c r="H351" s="30" t="s">
        <v>620</v>
      </c>
      <c r="I351" s="23">
        <v>9</v>
      </c>
      <c r="J351" s="30"/>
      <c r="K351" t="str">
        <f t="shared" si="13"/>
        <v>Heating</v>
      </c>
      <c r="L351" t="str">
        <f>IF(IFERROR(FIND("1", VAV_Schedule_5_21[[#This Row],[NOTES]]), FALSE), "P70", "P30")</f>
        <v>P30</v>
      </c>
      <c r="M351" t="s">
        <v>597</v>
      </c>
      <c r="N351">
        <f t="shared" si="14"/>
        <v>15011</v>
      </c>
    </row>
    <row r="352" spans="1:14" x14ac:dyDescent="0.2">
      <c r="A352" s="24">
        <v>351</v>
      </c>
      <c r="B352" s="23" t="s">
        <v>989</v>
      </c>
      <c r="C352" s="23" t="s">
        <v>618</v>
      </c>
      <c r="D352" s="23">
        <f>INDEX($P$10:$Q$14, MATCH(VAV_Schedule_5_21[[#This Row],[MARK]], $P$10:$P$14, 0), 2)</f>
        <v>10</v>
      </c>
      <c r="E352">
        <v>840</v>
      </c>
      <c r="F352">
        <v>130</v>
      </c>
      <c r="G352" s="30" t="s">
        <v>619</v>
      </c>
      <c r="H352" s="30" t="s">
        <v>620</v>
      </c>
      <c r="I352" s="23">
        <v>9</v>
      </c>
      <c r="J352" s="30"/>
      <c r="K352" t="str">
        <f t="shared" si="13"/>
        <v>Heating</v>
      </c>
      <c r="L352" t="str">
        <f>IF(IFERROR(FIND("1", VAV_Schedule_5_21[[#This Row],[NOTES]]), FALSE), "P70", "P30")</f>
        <v>P30</v>
      </c>
      <c r="M352" t="s">
        <v>597</v>
      </c>
      <c r="N352">
        <f t="shared" si="14"/>
        <v>15011</v>
      </c>
    </row>
    <row r="353" spans="1:14" x14ac:dyDescent="0.2">
      <c r="A353" s="24">
        <v>352</v>
      </c>
      <c r="B353" s="23" t="s">
        <v>990</v>
      </c>
      <c r="C353" s="23" t="s">
        <v>628</v>
      </c>
      <c r="D353" s="23">
        <f>INDEX($P$10:$Q$14, MATCH(VAV_Schedule_5_21[[#This Row],[MARK]], $P$10:$P$14, 0), 2)</f>
        <v>12</v>
      </c>
      <c r="E353">
        <v>1330</v>
      </c>
      <c r="F353">
        <v>200</v>
      </c>
      <c r="G353" s="30" t="s">
        <v>623</v>
      </c>
      <c r="H353" s="30" t="s">
        <v>624</v>
      </c>
      <c r="I353" s="23">
        <v>9</v>
      </c>
      <c r="J353" s="30"/>
      <c r="K353" t="str">
        <f t="shared" si="13"/>
        <v>Cooling</v>
      </c>
      <c r="L353" t="str">
        <f>IF(IFERROR(FIND("1", VAV_Schedule_5_21[[#This Row],[NOTES]]), FALSE), "P70", "P30")</f>
        <v>P30</v>
      </c>
      <c r="M353" t="s">
        <v>597</v>
      </c>
      <c r="N353">
        <f t="shared" si="14"/>
        <v>15010</v>
      </c>
    </row>
    <row r="354" spans="1:14" x14ac:dyDescent="0.2">
      <c r="A354" s="24">
        <v>353</v>
      </c>
      <c r="B354" s="23" t="s">
        <v>991</v>
      </c>
      <c r="C354" s="23" t="s">
        <v>618</v>
      </c>
      <c r="D354" s="23">
        <f>INDEX($P$10:$Q$14, MATCH(VAV_Schedule_5_21[[#This Row],[MARK]], $P$10:$P$14, 0), 2)</f>
        <v>10</v>
      </c>
      <c r="E354">
        <v>1120</v>
      </c>
      <c r="F354">
        <v>170</v>
      </c>
      <c r="G354" s="30" t="s">
        <v>623</v>
      </c>
      <c r="H354" s="30" t="s">
        <v>624</v>
      </c>
      <c r="I354" s="23">
        <v>9</v>
      </c>
      <c r="J354" s="30"/>
      <c r="K354" t="str">
        <f t="shared" si="13"/>
        <v>Cooling</v>
      </c>
      <c r="L354" t="str">
        <f>IF(IFERROR(FIND("1", VAV_Schedule_5_21[[#This Row],[NOTES]]), FALSE), "P70", "P30")</f>
        <v>P30</v>
      </c>
      <c r="M354" t="s">
        <v>597</v>
      </c>
      <c r="N354">
        <f t="shared" si="14"/>
        <v>15010</v>
      </c>
    </row>
    <row r="355" spans="1:14" x14ac:dyDescent="0.2">
      <c r="A355" s="24">
        <v>354</v>
      </c>
      <c r="B355" s="23" t="s">
        <v>992</v>
      </c>
      <c r="C355" s="23" t="s">
        <v>625</v>
      </c>
      <c r="D355" s="23">
        <f>INDEX($P$10:$Q$14, MATCH(VAV_Schedule_5_21[[#This Row],[MARK]], $P$10:$P$14, 0), 2)</f>
        <v>8</v>
      </c>
      <c r="E355">
        <v>600</v>
      </c>
      <c r="F355">
        <v>90</v>
      </c>
      <c r="G355" s="30" t="s">
        <v>623</v>
      </c>
      <c r="H355" s="30" t="s">
        <v>624</v>
      </c>
      <c r="I355" s="23">
        <v>9</v>
      </c>
      <c r="J355" s="30"/>
      <c r="K355" t="str">
        <f t="shared" si="13"/>
        <v>Cooling</v>
      </c>
      <c r="L355" t="str">
        <f>IF(IFERROR(FIND("1", VAV_Schedule_5_21[[#This Row],[NOTES]]), FALSE), "P70", "P30")</f>
        <v>P30</v>
      </c>
      <c r="M355" t="s">
        <v>597</v>
      </c>
      <c r="N355">
        <f t="shared" si="14"/>
        <v>15010</v>
      </c>
    </row>
    <row r="356" spans="1:14" x14ac:dyDescent="0.2">
      <c r="A356" s="24">
        <v>355</v>
      </c>
      <c r="B356" s="23" t="s">
        <v>993</v>
      </c>
      <c r="C356" s="23" t="s">
        <v>625</v>
      </c>
      <c r="D356" s="23">
        <f>INDEX($P$10:$Q$14, MATCH(VAV_Schedule_5_21[[#This Row],[MARK]], $P$10:$P$14, 0), 2)</f>
        <v>8</v>
      </c>
      <c r="E356">
        <v>500</v>
      </c>
      <c r="F356">
        <v>75</v>
      </c>
      <c r="G356" s="30" t="s">
        <v>623</v>
      </c>
      <c r="H356" s="30" t="s">
        <v>624</v>
      </c>
      <c r="I356" s="23">
        <v>9</v>
      </c>
      <c r="J356" s="30"/>
      <c r="K356" t="str">
        <f t="shared" si="13"/>
        <v>Cooling</v>
      </c>
      <c r="L356" t="str">
        <f>IF(IFERROR(FIND("1", VAV_Schedule_5_21[[#This Row],[NOTES]]), FALSE), "P70", "P30")</f>
        <v>P30</v>
      </c>
      <c r="M356" t="s">
        <v>597</v>
      </c>
      <c r="N356">
        <f t="shared" si="14"/>
        <v>15010</v>
      </c>
    </row>
    <row r="357" spans="1:14" x14ac:dyDescent="0.2">
      <c r="A357" s="24">
        <v>356</v>
      </c>
      <c r="B357" s="23" t="s">
        <v>994</v>
      </c>
      <c r="C357" s="23" t="s">
        <v>628</v>
      </c>
      <c r="D357" s="23">
        <f>INDEX($P$10:$Q$14, MATCH(VAV_Schedule_5_21[[#This Row],[MARK]], $P$10:$P$14, 0), 2)</f>
        <v>12</v>
      </c>
      <c r="E357">
        <v>1200</v>
      </c>
      <c r="F357">
        <v>180</v>
      </c>
      <c r="G357" s="30" t="s">
        <v>623</v>
      </c>
      <c r="H357" s="30" t="s">
        <v>624</v>
      </c>
      <c r="I357" s="23">
        <v>9</v>
      </c>
      <c r="J357" s="30"/>
      <c r="K357" t="str">
        <f t="shared" si="13"/>
        <v>Cooling</v>
      </c>
      <c r="L357" t="str">
        <f>IF(IFERROR(FIND("1", VAV_Schedule_5_21[[#This Row],[NOTES]]), FALSE), "P70", "P30")</f>
        <v>P30</v>
      </c>
      <c r="M357" t="s">
        <v>597</v>
      </c>
      <c r="N357">
        <f t="shared" si="14"/>
        <v>15010</v>
      </c>
    </row>
    <row r="358" spans="1:14" x14ac:dyDescent="0.2">
      <c r="A358" s="24">
        <v>357</v>
      </c>
      <c r="B358" s="23" t="s">
        <v>995</v>
      </c>
      <c r="C358" s="23" t="s">
        <v>625</v>
      </c>
      <c r="D358" s="23">
        <f>INDEX($P$10:$Q$14, MATCH(VAV_Schedule_5_21[[#This Row],[MARK]], $P$10:$P$14, 0), 2)</f>
        <v>8</v>
      </c>
      <c r="E358">
        <v>550</v>
      </c>
      <c r="F358">
        <v>85</v>
      </c>
      <c r="G358" s="30" t="s">
        <v>623</v>
      </c>
      <c r="H358" s="30" t="s">
        <v>624</v>
      </c>
      <c r="I358" s="23">
        <v>9</v>
      </c>
      <c r="J358" s="30"/>
      <c r="K358" t="str">
        <f t="shared" si="13"/>
        <v>Cooling</v>
      </c>
      <c r="L358" t="str">
        <f>IF(IFERROR(FIND("1", VAV_Schedule_5_21[[#This Row],[NOTES]]), FALSE), "P70", "P30")</f>
        <v>P30</v>
      </c>
      <c r="M358" t="s">
        <v>597</v>
      </c>
      <c r="N358">
        <f t="shared" si="14"/>
        <v>15010</v>
      </c>
    </row>
    <row r="359" spans="1:14" x14ac:dyDescent="0.2">
      <c r="A359" s="24">
        <v>358</v>
      </c>
      <c r="B359" s="23" t="s">
        <v>996</v>
      </c>
      <c r="C359" s="23" t="s">
        <v>625</v>
      </c>
      <c r="D359" s="23">
        <f>INDEX($P$10:$Q$14, MATCH(VAV_Schedule_5_21[[#This Row],[MARK]], $P$10:$P$14, 0), 2)</f>
        <v>8</v>
      </c>
      <c r="E359">
        <v>410</v>
      </c>
      <c r="F359">
        <v>65</v>
      </c>
      <c r="G359" s="30" t="s">
        <v>623</v>
      </c>
      <c r="H359" s="30" t="s">
        <v>624</v>
      </c>
      <c r="I359" s="23">
        <v>9</v>
      </c>
      <c r="J359" s="30" t="s">
        <v>630</v>
      </c>
      <c r="K359" t="str">
        <f t="shared" si="13"/>
        <v>Cooling</v>
      </c>
      <c r="L359" t="str">
        <f>IF(IFERROR(FIND("1", VAV_Schedule_5_21[[#This Row],[NOTES]]), FALSE), "P70", "P30")</f>
        <v>P30</v>
      </c>
      <c r="M359" t="s">
        <v>597</v>
      </c>
      <c r="N359">
        <f t="shared" si="14"/>
        <v>15010</v>
      </c>
    </row>
    <row r="360" spans="1:14" x14ac:dyDescent="0.2">
      <c r="A360" s="24">
        <v>359</v>
      </c>
      <c r="B360" s="23" t="s">
        <v>997</v>
      </c>
      <c r="C360" s="23" t="s">
        <v>628</v>
      </c>
      <c r="D360" s="23">
        <f>INDEX($P$10:$Q$14, MATCH(VAV_Schedule_5_21[[#This Row],[MARK]], $P$10:$P$14, 0), 2)</f>
        <v>12</v>
      </c>
      <c r="E360">
        <v>1380</v>
      </c>
      <c r="F360">
        <v>210</v>
      </c>
      <c r="G360" s="30" t="s">
        <v>623</v>
      </c>
      <c r="H360" s="30" t="s">
        <v>624</v>
      </c>
      <c r="I360" s="23">
        <v>9</v>
      </c>
      <c r="J360" s="30" t="s">
        <v>630</v>
      </c>
      <c r="K360" t="str">
        <f t="shared" si="13"/>
        <v>Cooling</v>
      </c>
      <c r="L360" t="str">
        <f>IF(IFERROR(FIND("1", VAV_Schedule_5_21[[#This Row],[NOTES]]), FALSE), "P70", "P30")</f>
        <v>P30</v>
      </c>
      <c r="M360" t="s">
        <v>597</v>
      </c>
      <c r="N360">
        <f t="shared" si="14"/>
        <v>15010</v>
      </c>
    </row>
    <row r="361" spans="1:14" x14ac:dyDescent="0.2">
      <c r="A361" s="24">
        <v>360</v>
      </c>
      <c r="B361" s="23" t="s">
        <v>998</v>
      </c>
      <c r="C361" s="23" t="s">
        <v>628</v>
      </c>
      <c r="D361" s="23">
        <f>INDEX($P$10:$Q$14, MATCH(VAV_Schedule_5_21[[#This Row],[MARK]], $P$10:$P$14, 0), 2)</f>
        <v>12</v>
      </c>
      <c r="E361">
        <v>1385</v>
      </c>
      <c r="F361">
        <v>210</v>
      </c>
      <c r="G361" s="30" t="s">
        <v>623</v>
      </c>
      <c r="H361" s="30" t="s">
        <v>624</v>
      </c>
      <c r="I361" s="23">
        <v>9</v>
      </c>
      <c r="J361" s="30"/>
      <c r="K361" t="str">
        <f t="shared" si="13"/>
        <v>Cooling</v>
      </c>
      <c r="L361" t="str">
        <f>IF(IFERROR(FIND("1", VAV_Schedule_5_21[[#This Row],[NOTES]]), FALSE), "P70", "P30")</f>
        <v>P30</v>
      </c>
      <c r="M361" t="s">
        <v>597</v>
      </c>
      <c r="N361">
        <f t="shared" si="14"/>
        <v>15010</v>
      </c>
    </row>
    <row r="362" spans="1:14" x14ac:dyDescent="0.2">
      <c r="A362" s="24">
        <v>361</v>
      </c>
      <c r="B362" s="23" t="s">
        <v>999</v>
      </c>
      <c r="C362" s="23" t="s">
        <v>618</v>
      </c>
      <c r="D362" s="23">
        <f>INDEX($P$10:$Q$14, MATCH(VAV_Schedule_5_21[[#This Row],[MARK]], $P$10:$P$14, 0), 2)</f>
        <v>10</v>
      </c>
      <c r="E362">
        <v>1120</v>
      </c>
      <c r="F362">
        <v>170</v>
      </c>
      <c r="G362" s="30" t="s">
        <v>623</v>
      </c>
      <c r="H362" s="30" t="s">
        <v>624</v>
      </c>
      <c r="I362" s="23">
        <v>9</v>
      </c>
      <c r="J362" s="30"/>
      <c r="K362" t="str">
        <f t="shared" si="13"/>
        <v>Cooling</v>
      </c>
      <c r="L362" t="str">
        <f>IF(IFERROR(FIND("1", VAV_Schedule_5_21[[#This Row],[NOTES]]), FALSE), "P70", "P30")</f>
        <v>P30</v>
      </c>
      <c r="M362" t="s">
        <v>597</v>
      </c>
      <c r="N362">
        <f t="shared" si="14"/>
        <v>15010</v>
      </c>
    </row>
    <row r="363" spans="1:14" x14ac:dyDescent="0.2">
      <c r="A363" s="24">
        <v>362</v>
      </c>
      <c r="B363" s="23" t="s">
        <v>1000</v>
      </c>
      <c r="C363" s="23" t="s">
        <v>618</v>
      </c>
      <c r="D363" s="23">
        <f>INDEX($P$10:$Q$14, MATCH(VAV_Schedule_5_21[[#This Row],[MARK]], $P$10:$P$14, 0), 2)</f>
        <v>10</v>
      </c>
      <c r="E363">
        <v>840</v>
      </c>
      <c r="F363">
        <v>130</v>
      </c>
      <c r="G363" s="30" t="s">
        <v>619</v>
      </c>
      <c r="H363" s="30" t="s">
        <v>620</v>
      </c>
      <c r="I363" s="23">
        <v>9</v>
      </c>
      <c r="J363" s="30"/>
      <c r="K363" t="str">
        <f t="shared" si="13"/>
        <v>Heating</v>
      </c>
      <c r="L363" t="str">
        <f>IF(IFERROR(FIND("1", VAV_Schedule_5_21[[#This Row],[NOTES]]), FALSE), "P70", "P30")</f>
        <v>P30</v>
      </c>
      <c r="M363" t="s">
        <v>597</v>
      </c>
      <c r="N363">
        <f t="shared" si="14"/>
        <v>15011</v>
      </c>
    </row>
    <row r="364" spans="1:14" x14ac:dyDescent="0.2">
      <c r="A364" s="24">
        <v>363</v>
      </c>
      <c r="B364" s="23" t="s">
        <v>1001</v>
      </c>
      <c r="C364" s="23" t="s">
        <v>625</v>
      </c>
      <c r="D364" s="23">
        <f>INDEX($P$10:$Q$14, MATCH(VAV_Schedule_5_21[[#This Row],[MARK]], $P$10:$P$14, 0), 2)</f>
        <v>8</v>
      </c>
      <c r="E364">
        <v>640</v>
      </c>
      <c r="F364">
        <v>100</v>
      </c>
      <c r="G364" s="30" t="s">
        <v>619</v>
      </c>
      <c r="H364" s="30" t="s">
        <v>620</v>
      </c>
      <c r="I364" s="23">
        <v>9</v>
      </c>
      <c r="J364" s="30"/>
      <c r="K364" t="str">
        <f t="shared" si="13"/>
        <v>Heating</v>
      </c>
      <c r="L364" t="str">
        <f>IF(IFERROR(FIND("1", VAV_Schedule_5_21[[#This Row],[NOTES]]), FALSE), "P70", "P30")</f>
        <v>P30</v>
      </c>
      <c r="M364" t="s">
        <v>597</v>
      </c>
      <c r="N364">
        <f t="shared" si="14"/>
        <v>15011</v>
      </c>
    </row>
    <row r="365" spans="1:14" x14ac:dyDescent="0.2">
      <c r="A365" s="24">
        <v>364</v>
      </c>
      <c r="B365" s="23" t="s">
        <v>1002</v>
      </c>
      <c r="C365" s="23" t="s">
        <v>625</v>
      </c>
      <c r="D365" s="23">
        <f>INDEX($P$10:$Q$14, MATCH(VAV_Schedule_5_21[[#This Row],[MARK]], $P$10:$P$14, 0), 2)</f>
        <v>8</v>
      </c>
      <c r="E365">
        <v>685</v>
      </c>
      <c r="F365">
        <v>105</v>
      </c>
      <c r="G365" s="30" t="s">
        <v>619</v>
      </c>
      <c r="H365" s="30" t="s">
        <v>620</v>
      </c>
      <c r="I365" s="23">
        <v>9</v>
      </c>
      <c r="J365" s="30" t="s">
        <v>630</v>
      </c>
      <c r="K365" t="str">
        <f t="shared" si="13"/>
        <v>Heating</v>
      </c>
      <c r="L365" t="str">
        <f>IF(IFERROR(FIND("1", VAV_Schedule_5_21[[#This Row],[NOTES]]), FALSE), "P70", "P30")</f>
        <v>P30</v>
      </c>
      <c r="M365" t="s">
        <v>597</v>
      </c>
      <c r="N365">
        <f t="shared" si="14"/>
        <v>15011</v>
      </c>
    </row>
    <row r="366" spans="1:14" x14ac:dyDescent="0.2">
      <c r="A366" s="24">
        <v>365</v>
      </c>
      <c r="B366" s="23" t="s">
        <v>1003</v>
      </c>
      <c r="C366" s="23" t="s">
        <v>625</v>
      </c>
      <c r="D366" s="23">
        <f>INDEX($P$10:$Q$14, MATCH(VAV_Schedule_5_21[[#This Row],[MARK]], $P$10:$P$14, 0), 2)</f>
        <v>8</v>
      </c>
      <c r="E366">
        <v>600</v>
      </c>
      <c r="F366">
        <v>90</v>
      </c>
      <c r="G366" s="30" t="s">
        <v>619</v>
      </c>
      <c r="H366" s="30" t="s">
        <v>620</v>
      </c>
      <c r="I366" s="23">
        <v>9</v>
      </c>
      <c r="J366" s="30"/>
      <c r="K366" t="str">
        <f t="shared" si="13"/>
        <v>Heating</v>
      </c>
      <c r="L366" t="str">
        <f>IF(IFERROR(FIND("1", VAV_Schedule_5_21[[#This Row],[NOTES]]), FALSE), "P70", "P30")</f>
        <v>P30</v>
      </c>
      <c r="M366" t="s">
        <v>597</v>
      </c>
      <c r="N366">
        <f t="shared" si="14"/>
        <v>15011</v>
      </c>
    </row>
    <row r="367" spans="1:14" x14ac:dyDescent="0.2">
      <c r="A367" s="24">
        <v>366</v>
      </c>
      <c r="B367" s="23" t="s">
        <v>1004</v>
      </c>
      <c r="C367" s="23" t="s">
        <v>632</v>
      </c>
      <c r="D367" s="23">
        <f>INDEX($P$10:$Q$14, MATCH(VAV_Schedule_5_21[[#This Row],[MARK]], $P$10:$P$14, 0), 2)</f>
        <v>6</v>
      </c>
      <c r="E367">
        <v>200</v>
      </c>
      <c r="F367">
        <v>30</v>
      </c>
      <c r="G367" s="30" t="s">
        <v>623</v>
      </c>
      <c r="H367" s="30" t="s">
        <v>624</v>
      </c>
      <c r="I367" s="23">
        <v>9</v>
      </c>
      <c r="J367" s="30"/>
      <c r="K367" t="str">
        <f t="shared" si="13"/>
        <v>Cooling</v>
      </c>
      <c r="L367" t="str">
        <f>IF(IFERROR(FIND("1", VAV_Schedule_5_21[[#This Row],[NOTES]]), FALSE), "P70", "P30")</f>
        <v>P30</v>
      </c>
      <c r="M367" t="s">
        <v>597</v>
      </c>
      <c r="N367">
        <f t="shared" si="14"/>
        <v>15010</v>
      </c>
    </row>
    <row r="368" spans="1:14" x14ac:dyDescent="0.2">
      <c r="A368" s="24">
        <v>367</v>
      </c>
      <c r="B368" s="23" t="s">
        <v>1005</v>
      </c>
      <c r="C368" s="23" t="s">
        <v>625</v>
      </c>
      <c r="D368" s="23">
        <f>INDEX($P$10:$Q$14, MATCH(VAV_Schedule_5_21[[#This Row],[MARK]], $P$10:$P$14, 0), 2)</f>
        <v>8</v>
      </c>
      <c r="E368">
        <v>680</v>
      </c>
      <c r="F368">
        <v>105</v>
      </c>
      <c r="G368" s="30" t="s">
        <v>623</v>
      </c>
      <c r="H368" s="30" t="s">
        <v>624</v>
      </c>
      <c r="I368" s="23">
        <v>9</v>
      </c>
      <c r="J368" s="30" t="s">
        <v>630</v>
      </c>
      <c r="K368" t="str">
        <f t="shared" si="13"/>
        <v>Cooling</v>
      </c>
      <c r="L368" t="str">
        <f>IF(IFERROR(FIND("1", VAV_Schedule_5_21[[#This Row],[NOTES]]), FALSE), "P70", "P30")</f>
        <v>P30</v>
      </c>
      <c r="M368" t="s">
        <v>597</v>
      </c>
      <c r="N368">
        <f t="shared" si="14"/>
        <v>15010</v>
      </c>
    </row>
    <row r="369" spans="1:14" x14ac:dyDescent="0.2">
      <c r="A369" s="24">
        <v>368</v>
      </c>
      <c r="B369" s="23" t="s">
        <v>1006</v>
      </c>
      <c r="C369" s="23" t="s">
        <v>618</v>
      </c>
      <c r="D369" s="23">
        <f>INDEX($P$10:$Q$14, MATCH(VAV_Schedule_5_21[[#This Row],[MARK]], $P$10:$P$14, 0), 2)</f>
        <v>10</v>
      </c>
      <c r="E369">
        <v>1085</v>
      </c>
      <c r="F369">
        <v>165</v>
      </c>
      <c r="G369" s="30" t="s">
        <v>631</v>
      </c>
      <c r="H369" s="30" t="s">
        <v>622</v>
      </c>
      <c r="I369" s="23">
        <v>9</v>
      </c>
      <c r="J369" s="30"/>
      <c r="K369" t="str">
        <f t="shared" si="13"/>
        <v>Heating</v>
      </c>
      <c r="L369" t="str">
        <f>IF(IFERROR(FIND("1", VAV_Schedule_5_21[[#This Row],[NOTES]]), FALSE), "P70", "P30")</f>
        <v>P30</v>
      </c>
      <c r="M369" t="s">
        <v>597</v>
      </c>
      <c r="N369">
        <f t="shared" si="14"/>
        <v>15011</v>
      </c>
    </row>
    <row r="370" spans="1:14" x14ac:dyDescent="0.2">
      <c r="A370" s="24">
        <v>369</v>
      </c>
      <c r="B370" s="23" t="s">
        <v>1007</v>
      </c>
      <c r="C370" s="23" t="s">
        <v>618</v>
      </c>
      <c r="D370" s="23">
        <f>INDEX($P$10:$Q$14, MATCH(VAV_Schedule_5_21[[#This Row],[MARK]], $P$10:$P$14, 0), 2)</f>
        <v>10</v>
      </c>
      <c r="E370">
        <v>840</v>
      </c>
      <c r="F370">
        <v>130</v>
      </c>
      <c r="G370" s="30" t="s">
        <v>619</v>
      </c>
      <c r="H370" s="30" t="s">
        <v>620</v>
      </c>
      <c r="I370" s="23">
        <v>9</v>
      </c>
      <c r="J370" s="30"/>
      <c r="K370" t="str">
        <f t="shared" si="13"/>
        <v>Heating</v>
      </c>
      <c r="L370" t="str">
        <f>IF(IFERROR(FIND("1", VAV_Schedule_5_21[[#This Row],[NOTES]]), FALSE), "P70", "P30")</f>
        <v>P30</v>
      </c>
      <c r="M370" t="s">
        <v>597</v>
      </c>
      <c r="N370">
        <f t="shared" si="14"/>
        <v>15011</v>
      </c>
    </row>
    <row r="371" spans="1:14" x14ac:dyDescent="0.2">
      <c r="A371" s="24">
        <v>370</v>
      </c>
      <c r="B371" s="23" t="s">
        <v>1008</v>
      </c>
      <c r="C371" s="23" t="s">
        <v>632</v>
      </c>
      <c r="D371" s="23">
        <f>INDEX($P$10:$Q$14, MATCH(VAV_Schedule_5_21[[#This Row],[MARK]], $P$10:$P$14, 0), 2)</f>
        <v>6</v>
      </c>
      <c r="E371">
        <v>350</v>
      </c>
      <c r="F371">
        <v>55</v>
      </c>
      <c r="G371" s="30" t="s">
        <v>623</v>
      </c>
      <c r="H371" s="30" t="s">
        <v>624</v>
      </c>
      <c r="I371" s="23">
        <v>9</v>
      </c>
      <c r="J371" s="30"/>
      <c r="K371" t="str">
        <f t="shared" si="13"/>
        <v>Cooling</v>
      </c>
      <c r="L371" t="str">
        <f>IF(IFERROR(FIND("1", VAV_Schedule_5_21[[#This Row],[NOTES]]), FALSE), "P70", "P30")</f>
        <v>P30</v>
      </c>
      <c r="M371" t="s">
        <v>597</v>
      </c>
      <c r="N371">
        <f t="shared" si="14"/>
        <v>15010</v>
      </c>
    </row>
    <row r="372" spans="1:14" x14ac:dyDescent="0.2">
      <c r="A372" s="24">
        <v>371</v>
      </c>
      <c r="B372" s="23" t="s">
        <v>1009</v>
      </c>
      <c r="C372" s="23" t="s">
        <v>632</v>
      </c>
      <c r="D372" s="23">
        <f>INDEX($P$10:$Q$14, MATCH(VAV_Schedule_5_21[[#This Row],[MARK]], $P$10:$P$14, 0), 2)</f>
        <v>6</v>
      </c>
      <c r="E372">
        <v>200</v>
      </c>
      <c r="F372">
        <v>30</v>
      </c>
      <c r="G372" s="30" t="s">
        <v>623</v>
      </c>
      <c r="H372" s="30" t="s">
        <v>624</v>
      </c>
      <c r="I372" s="23">
        <v>9</v>
      </c>
      <c r="J372" s="30"/>
      <c r="K372" t="str">
        <f t="shared" si="13"/>
        <v>Cooling</v>
      </c>
      <c r="L372" t="str">
        <f>IF(IFERROR(FIND("1", VAV_Schedule_5_21[[#This Row],[NOTES]]), FALSE), "P70", "P30")</f>
        <v>P30</v>
      </c>
      <c r="M372" t="s">
        <v>597</v>
      </c>
      <c r="N372">
        <f t="shared" si="14"/>
        <v>15010</v>
      </c>
    </row>
    <row r="373" spans="1:14" x14ac:dyDescent="0.2">
      <c r="A373" s="24">
        <v>372</v>
      </c>
      <c r="B373" s="23" t="s">
        <v>1010</v>
      </c>
      <c r="C373" s="23" t="s">
        <v>618</v>
      </c>
      <c r="D373" s="23">
        <f>INDEX($P$10:$Q$14, MATCH(VAV_Schedule_5_21[[#This Row],[MARK]], $P$10:$P$14, 0), 2)</f>
        <v>10</v>
      </c>
      <c r="E373">
        <v>1050</v>
      </c>
      <c r="F373">
        <v>160</v>
      </c>
      <c r="G373" s="30" t="s">
        <v>631</v>
      </c>
      <c r="H373" s="30" t="s">
        <v>622</v>
      </c>
      <c r="I373" s="23">
        <v>9</v>
      </c>
      <c r="J373" s="30" t="s">
        <v>630</v>
      </c>
      <c r="K373" t="str">
        <f t="shared" si="13"/>
        <v>Heating</v>
      </c>
      <c r="L373" t="str">
        <f>IF(IFERROR(FIND("1", VAV_Schedule_5_21[[#This Row],[NOTES]]), FALSE), "P70", "P30")</f>
        <v>P30</v>
      </c>
      <c r="M373" t="s">
        <v>597</v>
      </c>
      <c r="N373">
        <f t="shared" si="14"/>
        <v>15011</v>
      </c>
    </row>
    <row r="374" spans="1:14" x14ac:dyDescent="0.2">
      <c r="A374" s="24">
        <v>373</v>
      </c>
      <c r="B374" s="23" t="s">
        <v>1011</v>
      </c>
      <c r="C374" s="23" t="s">
        <v>625</v>
      </c>
      <c r="D374" s="23">
        <f>INDEX($P$10:$Q$14, MATCH(VAV_Schedule_5_21[[#This Row],[MARK]], $P$10:$P$14, 0), 2)</f>
        <v>8</v>
      </c>
      <c r="E374">
        <v>640</v>
      </c>
      <c r="F374">
        <v>100</v>
      </c>
      <c r="G374" s="30" t="s">
        <v>619</v>
      </c>
      <c r="H374" s="30" t="s">
        <v>620</v>
      </c>
      <c r="I374" s="23">
        <v>9</v>
      </c>
      <c r="J374" s="30"/>
      <c r="K374" t="str">
        <f t="shared" si="13"/>
        <v>Heating</v>
      </c>
      <c r="L374" t="str">
        <f>IF(IFERROR(FIND("1", VAV_Schedule_5_21[[#This Row],[NOTES]]), FALSE), "P70", "P30")</f>
        <v>P30</v>
      </c>
      <c r="M374" t="s">
        <v>597</v>
      </c>
      <c r="N374">
        <f t="shared" si="14"/>
        <v>15011</v>
      </c>
    </row>
    <row r="375" spans="1:14" x14ac:dyDescent="0.2">
      <c r="A375" s="24">
        <v>374</v>
      </c>
      <c r="B375" s="23" t="s">
        <v>1012</v>
      </c>
      <c r="C375" s="23" t="s">
        <v>618</v>
      </c>
      <c r="D375" s="23">
        <f>INDEX($P$10:$Q$14, MATCH(VAV_Schedule_5_21[[#This Row],[MARK]], $P$10:$P$14, 0), 2)</f>
        <v>10</v>
      </c>
      <c r="E375">
        <v>860</v>
      </c>
      <c r="F375">
        <v>130</v>
      </c>
      <c r="G375" s="30" t="s">
        <v>619</v>
      </c>
      <c r="H375" s="30" t="s">
        <v>620</v>
      </c>
      <c r="I375" s="23">
        <v>9</v>
      </c>
      <c r="J375" s="30"/>
      <c r="K375" t="str">
        <f t="shared" si="13"/>
        <v>Heating</v>
      </c>
      <c r="L375" t="str">
        <f>IF(IFERROR(FIND("1", VAV_Schedule_5_21[[#This Row],[NOTES]]), FALSE), "P70", "P30")</f>
        <v>P30</v>
      </c>
      <c r="M375" t="s">
        <v>597</v>
      </c>
      <c r="N375">
        <f t="shared" si="14"/>
        <v>15011</v>
      </c>
    </row>
    <row r="376" spans="1:14" x14ac:dyDescent="0.2">
      <c r="A376" s="24">
        <v>375</v>
      </c>
      <c r="B376" s="23" t="s">
        <v>1013</v>
      </c>
      <c r="C376" s="23" t="s">
        <v>625</v>
      </c>
      <c r="D376" s="23">
        <f>INDEX($P$10:$Q$14, MATCH(VAV_Schedule_5_21[[#This Row],[MARK]], $P$10:$P$14, 0), 2)</f>
        <v>8</v>
      </c>
      <c r="E376">
        <v>690</v>
      </c>
      <c r="F376">
        <v>105</v>
      </c>
      <c r="G376" s="30" t="s">
        <v>619</v>
      </c>
      <c r="H376" s="30" t="s">
        <v>620</v>
      </c>
      <c r="I376" s="23">
        <v>9</v>
      </c>
      <c r="J376" s="30"/>
      <c r="K376" t="str">
        <f t="shared" si="13"/>
        <v>Heating</v>
      </c>
      <c r="L376" t="str">
        <f>IF(IFERROR(FIND("1", VAV_Schedule_5_21[[#This Row],[NOTES]]), FALSE), "P70", "P30")</f>
        <v>P30</v>
      </c>
      <c r="M376" t="s">
        <v>597</v>
      </c>
      <c r="N376">
        <f t="shared" si="14"/>
        <v>15011</v>
      </c>
    </row>
    <row r="377" spans="1:14" x14ac:dyDescent="0.2">
      <c r="A377" s="24">
        <v>376</v>
      </c>
      <c r="B377" s="23" t="s">
        <v>1014</v>
      </c>
      <c r="C377" s="23" t="s">
        <v>628</v>
      </c>
      <c r="D377" s="23">
        <f>INDEX($P$10:$Q$14, MATCH(VAV_Schedule_5_21[[#This Row],[MARK]], $P$10:$P$14, 0), 2)</f>
        <v>12</v>
      </c>
      <c r="E377">
        <v>1310</v>
      </c>
      <c r="F377">
        <v>200</v>
      </c>
      <c r="G377" s="30" t="s">
        <v>623</v>
      </c>
      <c r="H377" s="30" t="s">
        <v>624</v>
      </c>
      <c r="I377" s="23">
        <v>9</v>
      </c>
      <c r="J377" s="30"/>
      <c r="K377" t="str">
        <f t="shared" si="13"/>
        <v>Cooling</v>
      </c>
      <c r="L377" t="str">
        <f>IF(IFERROR(FIND("1", VAV_Schedule_5_21[[#This Row],[NOTES]]), FALSE), "P70", "P30")</f>
        <v>P30</v>
      </c>
      <c r="M377" t="s">
        <v>597</v>
      </c>
      <c r="N377">
        <f t="shared" si="14"/>
        <v>15010</v>
      </c>
    </row>
    <row r="378" spans="1:14" x14ac:dyDescent="0.2">
      <c r="A378" s="24">
        <v>377</v>
      </c>
      <c r="B378" s="23" t="s">
        <v>1015</v>
      </c>
      <c r="C378" s="23" t="s">
        <v>618</v>
      </c>
      <c r="D378" s="23">
        <f>INDEX($P$10:$Q$14, MATCH(VAV_Schedule_5_21[[#This Row],[MARK]], $P$10:$P$14, 0), 2)</f>
        <v>10</v>
      </c>
      <c r="E378">
        <v>925</v>
      </c>
      <c r="F378">
        <v>140</v>
      </c>
      <c r="G378" s="30" t="s">
        <v>623</v>
      </c>
      <c r="H378" s="30" t="s">
        <v>624</v>
      </c>
      <c r="I378" s="23">
        <v>9</v>
      </c>
      <c r="J378" s="30" t="s">
        <v>630</v>
      </c>
      <c r="K378" t="str">
        <f t="shared" si="13"/>
        <v>Cooling</v>
      </c>
      <c r="L378" t="str">
        <f>IF(IFERROR(FIND("1", VAV_Schedule_5_21[[#This Row],[NOTES]]), FALSE), "P70", "P30")</f>
        <v>P30</v>
      </c>
      <c r="M378" t="s">
        <v>597</v>
      </c>
      <c r="N378">
        <f t="shared" si="14"/>
        <v>15010</v>
      </c>
    </row>
    <row r="379" spans="1:14" x14ac:dyDescent="0.2">
      <c r="A379" s="24">
        <v>378</v>
      </c>
      <c r="B379" s="23" t="s">
        <v>1016</v>
      </c>
      <c r="C379" s="23" t="s">
        <v>628</v>
      </c>
      <c r="D379" s="23">
        <f>INDEX($P$10:$Q$14, MATCH(VAV_Schedule_5_21[[#This Row],[MARK]], $P$10:$P$14, 0), 2)</f>
        <v>12</v>
      </c>
      <c r="E379">
        <v>1510</v>
      </c>
      <c r="F379">
        <v>230</v>
      </c>
      <c r="G379" s="30" t="s">
        <v>623</v>
      </c>
      <c r="H379" s="30" t="s">
        <v>624</v>
      </c>
      <c r="I379" s="23">
        <v>9</v>
      </c>
      <c r="J379" s="30" t="s">
        <v>630</v>
      </c>
      <c r="K379" t="str">
        <f t="shared" si="13"/>
        <v>Cooling</v>
      </c>
      <c r="L379" t="str">
        <f>IF(IFERROR(FIND("1", VAV_Schedule_5_21[[#This Row],[NOTES]]), FALSE), "P70", "P30")</f>
        <v>P30</v>
      </c>
      <c r="M379" t="s">
        <v>597</v>
      </c>
      <c r="N379">
        <f t="shared" si="14"/>
        <v>15010</v>
      </c>
    </row>
    <row r="380" spans="1:14" x14ac:dyDescent="0.2">
      <c r="A380" s="24">
        <v>379</v>
      </c>
      <c r="B380" s="23" t="s">
        <v>1017</v>
      </c>
      <c r="C380" s="23" t="s">
        <v>618</v>
      </c>
      <c r="D380" s="23">
        <f>INDEX($P$10:$Q$14, MATCH(VAV_Schedule_5_21[[#This Row],[MARK]], $P$10:$P$14, 0), 2)</f>
        <v>10</v>
      </c>
      <c r="E380">
        <v>800</v>
      </c>
      <c r="F380">
        <v>120</v>
      </c>
      <c r="G380" s="30" t="s">
        <v>621</v>
      </c>
      <c r="H380" s="30" t="s">
        <v>622</v>
      </c>
      <c r="I380" s="23">
        <v>9</v>
      </c>
      <c r="J380" s="30"/>
      <c r="K380" t="str">
        <f t="shared" si="13"/>
        <v>Heating</v>
      </c>
      <c r="L380" t="str">
        <f>IF(IFERROR(FIND("1", VAV_Schedule_5_21[[#This Row],[NOTES]]), FALSE), "P70", "P30")</f>
        <v>P30</v>
      </c>
      <c r="M380" t="s">
        <v>597</v>
      </c>
      <c r="N380">
        <f t="shared" si="14"/>
        <v>15011</v>
      </c>
    </row>
    <row r="381" spans="1:14" x14ac:dyDescent="0.2">
      <c r="A381" s="24">
        <v>380</v>
      </c>
      <c r="B381" s="23" t="s">
        <v>1018</v>
      </c>
      <c r="C381" s="23" t="s">
        <v>628</v>
      </c>
      <c r="D381" s="23">
        <f>INDEX($P$10:$Q$14, MATCH(VAV_Schedule_5_21[[#This Row],[MARK]], $P$10:$P$14, 0), 2)</f>
        <v>12</v>
      </c>
      <c r="E381">
        <v>1400</v>
      </c>
      <c r="F381">
        <v>210</v>
      </c>
      <c r="G381" s="30" t="s">
        <v>621</v>
      </c>
      <c r="H381" s="30" t="s">
        <v>622</v>
      </c>
      <c r="I381" s="23">
        <v>9</v>
      </c>
      <c r="J381" s="30"/>
      <c r="K381" t="str">
        <f t="shared" si="13"/>
        <v>Heating</v>
      </c>
      <c r="L381" t="str">
        <f>IF(IFERROR(FIND("1", VAV_Schedule_5_21[[#This Row],[NOTES]]), FALSE), "P70", "P30")</f>
        <v>P30</v>
      </c>
      <c r="M381" t="s">
        <v>597</v>
      </c>
      <c r="N381">
        <f t="shared" si="14"/>
        <v>15011</v>
      </c>
    </row>
    <row r="382" spans="1:14" x14ac:dyDescent="0.2">
      <c r="A382" s="24">
        <v>381</v>
      </c>
      <c r="B382" s="23" t="s">
        <v>1019</v>
      </c>
      <c r="C382" s="23" t="s">
        <v>625</v>
      </c>
      <c r="D382" s="23">
        <f>INDEX($P$10:$Q$14, MATCH(VAV_Schedule_5_21[[#This Row],[MARK]], $P$10:$P$14, 0), 2)</f>
        <v>8</v>
      </c>
      <c r="E382">
        <v>560</v>
      </c>
      <c r="F382">
        <v>85</v>
      </c>
      <c r="G382" s="30" t="s">
        <v>623</v>
      </c>
      <c r="H382" s="30" t="s">
        <v>624</v>
      </c>
      <c r="I382" s="23">
        <v>9</v>
      </c>
      <c r="J382" s="30"/>
      <c r="K382" t="str">
        <f t="shared" si="13"/>
        <v>Cooling</v>
      </c>
      <c r="L382" t="str">
        <f>IF(IFERROR(FIND("1", VAV_Schedule_5_21[[#This Row],[NOTES]]), FALSE), "P70", "P30")</f>
        <v>P30</v>
      </c>
      <c r="M382" t="s">
        <v>597</v>
      </c>
      <c r="N382">
        <f t="shared" si="14"/>
        <v>15010</v>
      </c>
    </row>
    <row r="383" spans="1:14" x14ac:dyDescent="0.2">
      <c r="A383" s="24">
        <v>382</v>
      </c>
      <c r="B383" s="23" t="s">
        <v>1020</v>
      </c>
      <c r="C383" s="23" t="s">
        <v>628</v>
      </c>
      <c r="D383" s="23">
        <f>INDEX($P$10:$Q$14, MATCH(VAV_Schedule_5_21[[#This Row],[MARK]], $P$10:$P$14, 0), 2)</f>
        <v>12</v>
      </c>
      <c r="E383">
        <v>1200</v>
      </c>
      <c r="F383">
        <v>180</v>
      </c>
      <c r="G383" s="30" t="s">
        <v>623</v>
      </c>
      <c r="H383" s="30" t="s">
        <v>624</v>
      </c>
      <c r="I383" s="23">
        <v>9</v>
      </c>
      <c r="J383" s="30"/>
      <c r="K383" t="str">
        <f t="shared" si="13"/>
        <v>Cooling</v>
      </c>
      <c r="L383" t="str">
        <f>IF(IFERROR(FIND("1", VAV_Schedule_5_21[[#This Row],[NOTES]]), FALSE), "P70", "P30")</f>
        <v>P30</v>
      </c>
      <c r="M383" t="s">
        <v>597</v>
      </c>
      <c r="N383">
        <f t="shared" si="14"/>
        <v>15010</v>
      </c>
    </row>
    <row r="384" spans="1:14" x14ac:dyDescent="0.2">
      <c r="A384" s="24">
        <v>383</v>
      </c>
      <c r="B384" s="23" t="s">
        <v>1021</v>
      </c>
      <c r="C384" s="23" t="s">
        <v>628</v>
      </c>
      <c r="D384" s="23">
        <f>INDEX($P$10:$Q$14, MATCH(VAV_Schedule_5_21[[#This Row],[MARK]], $P$10:$P$14, 0), 2)</f>
        <v>12</v>
      </c>
      <c r="E384">
        <v>1350</v>
      </c>
      <c r="F384">
        <v>205</v>
      </c>
      <c r="G384" s="30" t="s">
        <v>623</v>
      </c>
      <c r="H384" s="30" t="s">
        <v>624</v>
      </c>
      <c r="I384" s="23">
        <v>9</v>
      </c>
      <c r="J384" s="30"/>
      <c r="K384" t="str">
        <f t="shared" si="13"/>
        <v>Cooling</v>
      </c>
      <c r="L384" t="str">
        <f>IF(IFERROR(FIND("1", VAV_Schedule_5_21[[#This Row],[NOTES]]), FALSE), "P70", "P30")</f>
        <v>P30</v>
      </c>
      <c r="M384" t="s">
        <v>597</v>
      </c>
      <c r="N384">
        <f t="shared" si="14"/>
        <v>15010</v>
      </c>
    </row>
    <row r="385" spans="1:14" x14ac:dyDescent="0.2">
      <c r="A385" s="24">
        <v>384</v>
      </c>
      <c r="B385" s="23" t="s">
        <v>1022</v>
      </c>
      <c r="C385" s="23" t="s">
        <v>618</v>
      </c>
      <c r="D385" s="23">
        <f>INDEX($P$10:$Q$14, MATCH(VAV_Schedule_5_21[[#This Row],[MARK]], $P$10:$P$14, 0), 2)</f>
        <v>10</v>
      </c>
      <c r="E385">
        <v>800</v>
      </c>
      <c r="F385">
        <v>120</v>
      </c>
      <c r="G385" s="30" t="s">
        <v>621</v>
      </c>
      <c r="H385" s="30" t="s">
        <v>622</v>
      </c>
      <c r="I385" s="23">
        <v>9</v>
      </c>
      <c r="J385" s="30" t="s">
        <v>630</v>
      </c>
      <c r="K385" t="str">
        <f t="shared" si="13"/>
        <v>Heating</v>
      </c>
      <c r="L385" t="str">
        <f>IF(IFERROR(FIND("1", VAV_Schedule_5_21[[#This Row],[NOTES]]), FALSE), "P70", "P30")</f>
        <v>P30</v>
      </c>
      <c r="M385" t="s">
        <v>597</v>
      </c>
      <c r="N385">
        <f t="shared" si="14"/>
        <v>15011</v>
      </c>
    </row>
    <row r="386" spans="1:14" x14ac:dyDescent="0.2">
      <c r="A386" s="24">
        <v>385</v>
      </c>
      <c r="B386" s="23" t="s">
        <v>1023</v>
      </c>
      <c r="C386" s="23" t="s">
        <v>625</v>
      </c>
      <c r="D386" s="23">
        <f>INDEX($P$10:$Q$14, MATCH(VAV_Schedule_5_21[[#This Row],[MARK]], $P$10:$P$14, 0), 2)</f>
        <v>8</v>
      </c>
      <c r="E386">
        <v>640</v>
      </c>
      <c r="F386">
        <v>100</v>
      </c>
      <c r="G386" s="30" t="s">
        <v>619</v>
      </c>
      <c r="H386" s="30" t="s">
        <v>620</v>
      </c>
      <c r="I386" s="23">
        <v>9</v>
      </c>
      <c r="J386" s="30"/>
      <c r="K386" t="str">
        <f t="shared" si="13"/>
        <v>Heating</v>
      </c>
      <c r="L386" t="str">
        <f>IF(IFERROR(FIND("1", VAV_Schedule_5_21[[#This Row],[NOTES]]), FALSE), "P70", "P30")</f>
        <v>P30</v>
      </c>
      <c r="M386" t="s">
        <v>597</v>
      </c>
      <c r="N386">
        <f t="shared" si="14"/>
        <v>15011</v>
      </c>
    </row>
    <row r="387" spans="1:14" x14ac:dyDescent="0.2">
      <c r="A387" s="24">
        <v>386</v>
      </c>
      <c r="B387" s="23" t="s">
        <v>1024</v>
      </c>
      <c r="C387" s="23" t="s">
        <v>618</v>
      </c>
      <c r="D387" s="23">
        <f>INDEX($P$10:$Q$14, MATCH(VAV_Schedule_5_21[[#This Row],[MARK]], $P$10:$P$14, 0), 2)</f>
        <v>10</v>
      </c>
      <c r="E387">
        <v>860</v>
      </c>
      <c r="F387">
        <v>130</v>
      </c>
      <c r="G387" s="30" t="s">
        <v>619</v>
      </c>
      <c r="H387" s="30" t="s">
        <v>620</v>
      </c>
      <c r="I387" s="23">
        <v>9</v>
      </c>
      <c r="J387" s="30"/>
      <c r="K387" t="str">
        <f t="shared" si="13"/>
        <v>Heating</v>
      </c>
      <c r="L387" t="str">
        <f>IF(IFERROR(FIND("1", VAV_Schedule_5_21[[#This Row],[NOTES]]), FALSE), "P70", "P30")</f>
        <v>P30</v>
      </c>
      <c r="M387" t="s">
        <v>597</v>
      </c>
      <c r="N387">
        <f t="shared" si="14"/>
        <v>15011</v>
      </c>
    </row>
    <row r="388" spans="1:14" x14ac:dyDescent="0.2">
      <c r="A388" s="24">
        <v>387</v>
      </c>
      <c r="B388" s="23" t="s">
        <v>1025</v>
      </c>
      <c r="C388" s="23" t="s">
        <v>625</v>
      </c>
      <c r="D388" s="23">
        <f>INDEX($P$10:$Q$14, MATCH(VAV_Schedule_5_21[[#This Row],[MARK]], $P$10:$P$14, 0), 2)</f>
        <v>8</v>
      </c>
      <c r="E388">
        <v>700</v>
      </c>
      <c r="F388">
        <v>105</v>
      </c>
      <c r="G388" s="30" t="s">
        <v>619</v>
      </c>
      <c r="H388" s="30" t="s">
        <v>620</v>
      </c>
      <c r="I388" s="23">
        <v>9</v>
      </c>
      <c r="J388" s="30"/>
      <c r="K388" t="str">
        <f t="shared" si="13"/>
        <v>Heating</v>
      </c>
      <c r="L388" t="str">
        <f>IF(IFERROR(FIND("1", VAV_Schedule_5_21[[#This Row],[NOTES]]), FALSE), "P70", "P30")</f>
        <v>P30</v>
      </c>
      <c r="M388" t="s">
        <v>597</v>
      </c>
      <c r="N388">
        <f t="shared" si="14"/>
        <v>15011</v>
      </c>
    </row>
    <row r="389" spans="1:14" x14ac:dyDescent="0.2">
      <c r="A389" s="24">
        <v>388</v>
      </c>
      <c r="B389" s="23" t="s">
        <v>1026</v>
      </c>
      <c r="C389" s="23" t="s">
        <v>618</v>
      </c>
      <c r="D389" s="23">
        <f>INDEX($P$10:$Q$14, MATCH(VAV_Schedule_5_21[[#This Row],[MARK]], $P$10:$P$14, 0), 2)</f>
        <v>10</v>
      </c>
      <c r="E389">
        <v>835</v>
      </c>
      <c r="F389">
        <v>130</v>
      </c>
      <c r="G389" s="30" t="s">
        <v>623</v>
      </c>
      <c r="H389" s="30" t="s">
        <v>624</v>
      </c>
      <c r="I389" s="23">
        <v>9</v>
      </c>
      <c r="J389" s="30"/>
      <c r="K389" t="str">
        <f t="shared" si="13"/>
        <v>Cooling</v>
      </c>
      <c r="L389" t="str">
        <f>IF(IFERROR(FIND("1", VAV_Schedule_5_21[[#This Row],[NOTES]]), FALSE), "P70", "P30")</f>
        <v>P30</v>
      </c>
      <c r="M389" t="s">
        <v>597</v>
      </c>
      <c r="N389">
        <f t="shared" si="14"/>
        <v>15010</v>
      </c>
    </row>
    <row r="390" spans="1:14" x14ac:dyDescent="0.2">
      <c r="A390" s="24">
        <v>389</v>
      </c>
      <c r="B390" s="23" t="s">
        <v>1027</v>
      </c>
      <c r="C390" s="23" t="s">
        <v>632</v>
      </c>
      <c r="D390" s="23">
        <f>INDEX($P$10:$Q$14, MATCH(VAV_Schedule_5_21[[#This Row],[MARK]], $P$10:$P$14, 0), 2)</f>
        <v>6</v>
      </c>
      <c r="E390">
        <v>185</v>
      </c>
      <c r="F390">
        <v>30</v>
      </c>
      <c r="G390" s="30" t="s">
        <v>623</v>
      </c>
      <c r="H390" s="30" t="s">
        <v>624</v>
      </c>
      <c r="I390" s="23">
        <v>9</v>
      </c>
      <c r="J390" s="30"/>
      <c r="K390" t="str">
        <f t="shared" si="13"/>
        <v>Cooling</v>
      </c>
      <c r="L390" t="str">
        <f>IF(IFERROR(FIND("1", VAV_Schedule_5_21[[#This Row],[NOTES]]), FALSE), "P70", "P30")</f>
        <v>P30</v>
      </c>
      <c r="M390" t="s">
        <v>597</v>
      </c>
      <c r="N390">
        <f t="shared" si="14"/>
        <v>15010</v>
      </c>
    </row>
    <row r="391" spans="1:14" x14ac:dyDescent="0.2">
      <c r="A391" s="24">
        <v>390</v>
      </c>
      <c r="B391" s="23" t="s">
        <v>1028</v>
      </c>
      <c r="C391" s="23" t="s">
        <v>628</v>
      </c>
      <c r="D391" s="23">
        <f>INDEX($P$10:$Q$14, MATCH(VAV_Schedule_5_21[[#This Row],[MARK]], $P$10:$P$14, 0), 2)</f>
        <v>12</v>
      </c>
      <c r="E391">
        <v>1220</v>
      </c>
      <c r="F391">
        <v>185</v>
      </c>
      <c r="G391" s="30" t="s">
        <v>631</v>
      </c>
      <c r="H391" s="30" t="s">
        <v>622</v>
      </c>
      <c r="I391" s="23">
        <v>9</v>
      </c>
      <c r="J391" s="30"/>
      <c r="K391" t="str">
        <f t="shared" si="13"/>
        <v>Heating</v>
      </c>
      <c r="L391" t="str">
        <f>IF(IFERROR(FIND("1", VAV_Schedule_5_21[[#This Row],[NOTES]]), FALSE), "P70", "P30")</f>
        <v>P30</v>
      </c>
      <c r="M391" t="s">
        <v>597</v>
      </c>
      <c r="N391">
        <f t="shared" si="14"/>
        <v>15011</v>
      </c>
    </row>
    <row r="392" spans="1:14" x14ac:dyDescent="0.2">
      <c r="A392" s="24">
        <v>391</v>
      </c>
      <c r="B392" s="23" t="s">
        <v>1029</v>
      </c>
      <c r="C392" s="23" t="s">
        <v>618</v>
      </c>
      <c r="D392" s="23">
        <f>INDEX($P$10:$Q$14, MATCH(VAV_Schedule_5_21[[#This Row],[MARK]], $P$10:$P$14, 0), 2)</f>
        <v>10</v>
      </c>
      <c r="E392">
        <v>960</v>
      </c>
      <c r="F392">
        <v>145</v>
      </c>
      <c r="G392" s="30" t="s">
        <v>619</v>
      </c>
      <c r="H392" s="30" t="s">
        <v>620</v>
      </c>
      <c r="I392" s="23">
        <v>9</v>
      </c>
      <c r="J392" s="30"/>
      <c r="K392" t="str">
        <f t="shared" si="13"/>
        <v>Heating</v>
      </c>
      <c r="L392" t="str">
        <f>IF(IFERROR(FIND("1", VAV_Schedule_5_21[[#This Row],[NOTES]]), FALSE), "P70", "P30")</f>
        <v>P30</v>
      </c>
      <c r="M392" t="s">
        <v>597</v>
      </c>
      <c r="N392">
        <f t="shared" si="14"/>
        <v>15011</v>
      </c>
    </row>
    <row r="393" spans="1:14" x14ac:dyDescent="0.2">
      <c r="A393" s="24">
        <v>392</v>
      </c>
      <c r="B393" s="23" t="s">
        <v>1030</v>
      </c>
      <c r="C393" s="23" t="s">
        <v>628</v>
      </c>
      <c r="D393" s="23">
        <f>INDEX($P$10:$Q$14, MATCH(VAV_Schedule_5_21[[#This Row],[MARK]], $P$10:$P$14, 0), 2)</f>
        <v>12</v>
      </c>
      <c r="E393">
        <v>1220</v>
      </c>
      <c r="F393">
        <v>185</v>
      </c>
      <c r="G393" s="30" t="s">
        <v>631</v>
      </c>
      <c r="H393" s="30" t="s">
        <v>622</v>
      </c>
      <c r="I393" s="23">
        <v>9</v>
      </c>
      <c r="J393" s="30" t="s">
        <v>630</v>
      </c>
      <c r="K393" t="str">
        <f t="shared" si="13"/>
        <v>Heating</v>
      </c>
      <c r="L393" t="str">
        <f>IF(IFERROR(FIND("1", VAV_Schedule_5_21[[#This Row],[NOTES]]), FALSE), "P70", "P30")</f>
        <v>P30</v>
      </c>
      <c r="M393" t="s">
        <v>597</v>
      </c>
      <c r="N393">
        <f t="shared" si="14"/>
        <v>15011</v>
      </c>
    </row>
    <row r="394" spans="1:14" x14ac:dyDescent="0.2">
      <c r="A394" s="24">
        <v>393</v>
      </c>
      <c r="B394" s="23" t="s">
        <v>1031</v>
      </c>
      <c r="C394" s="23" t="s">
        <v>632</v>
      </c>
      <c r="D394" s="23">
        <f>INDEX($P$10:$Q$14, MATCH(VAV_Schedule_5_21[[#This Row],[MARK]], $P$10:$P$14, 0), 2)</f>
        <v>6</v>
      </c>
      <c r="E394">
        <v>200</v>
      </c>
      <c r="F394">
        <v>30</v>
      </c>
      <c r="G394" s="30" t="s">
        <v>623</v>
      </c>
      <c r="H394" s="30" t="s">
        <v>624</v>
      </c>
      <c r="I394" s="23">
        <v>9</v>
      </c>
      <c r="J394" s="30"/>
      <c r="K394" t="str">
        <f t="shared" si="13"/>
        <v>Cooling</v>
      </c>
      <c r="L394" t="str">
        <f>IF(IFERROR(FIND("1", VAV_Schedule_5_21[[#This Row],[NOTES]]), FALSE), "P70", "P30")</f>
        <v>P30</v>
      </c>
      <c r="M394" t="s">
        <v>597</v>
      </c>
      <c r="N394">
        <f t="shared" si="14"/>
        <v>15010</v>
      </c>
    </row>
    <row r="395" spans="1:14" x14ac:dyDescent="0.2">
      <c r="A395" s="24">
        <v>394</v>
      </c>
      <c r="B395" s="23" t="s">
        <v>1032</v>
      </c>
      <c r="C395" s="23" t="s">
        <v>625</v>
      </c>
      <c r="D395" s="23">
        <f>INDEX($P$10:$Q$14, MATCH(VAV_Schedule_5_21[[#This Row],[MARK]], $P$10:$P$14, 0), 2)</f>
        <v>8</v>
      </c>
      <c r="E395">
        <v>640</v>
      </c>
      <c r="F395">
        <v>100</v>
      </c>
      <c r="G395" s="30" t="s">
        <v>619</v>
      </c>
      <c r="H395" s="30" t="s">
        <v>620</v>
      </c>
      <c r="I395" s="23">
        <v>10</v>
      </c>
      <c r="J395" s="30"/>
      <c r="K395" t="str">
        <f t="shared" si="13"/>
        <v>Heating</v>
      </c>
      <c r="L395" t="str">
        <f>IF(IFERROR(FIND("1", VAV_Schedule_5_21[[#This Row],[NOTES]]), FALSE), "P70", "P30")</f>
        <v>P30</v>
      </c>
      <c r="M395" t="s">
        <v>597</v>
      </c>
      <c r="N395">
        <f t="shared" si="14"/>
        <v>15011</v>
      </c>
    </row>
    <row r="396" spans="1:14" x14ac:dyDescent="0.2">
      <c r="A396" s="24">
        <v>395</v>
      </c>
      <c r="B396" s="23" t="s">
        <v>1033</v>
      </c>
      <c r="C396" s="23" t="s">
        <v>625</v>
      </c>
      <c r="D396" s="23">
        <f>INDEX($P$10:$Q$14, MATCH(VAV_Schedule_5_21[[#This Row],[MARK]], $P$10:$P$14, 0), 2)</f>
        <v>8</v>
      </c>
      <c r="E396">
        <v>680</v>
      </c>
      <c r="F396">
        <v>105</v>
      </c>
      <c r="G396" s="30" t="s">
        <v>619</v>
      </c>
      <c r="H396" s="30" t="s">
        <v>620</v>
      </c>
      <c r="I396" s="23">
        <v>10</v>
      </c>
      <c r="J396" s="30"/>
      <c r="K396" t="str">
        <f t="shared" si="13"/>
        <v>Heating</v>
      </c>
      <c r="L396" t="str">
        <f>IF(IFERROR(FIND("1", VAV_Schedule_5_21[[#This Row],[NOTES]]), FALSE), "P70", "P30")</f>
        <v>P30</v>
      </c>
      <c r="M396" t="s">
        <v>597</v>
      </c>
      <c r="N396">
        <f t="shared" si="14"/>
        <v>15011</v>
      </c>
    </row>
    <row r="397" spans="1:14" x14ac:dyDescent="0.2">
      <c r="A397" s="24">
        <v>396</v>
      </c>
      <c r="B397" s="23" t="s">
        <v>1034</v>
      </c>
      <c r="C397" s="23" t="s">
        <v>625</v>
      </c>
      <c r="D397" s="23">
        <f>INDEX($P$10:$Q$14, MATCH(VAV_Schedule_5_21[[#This Row],[MARK]], $P$10:$P$14, 0), 2)</f>
        <v>8</v>
      </c>
      <c r="E397">
        <v>600</v>
      </c>
      <c r="F397">
        <v>90</v>
      </c>
      <c r="G397" s="30" t="s">
        <v>619</v>
      </c>
      <c r="H397" s="30" t="s">
        <v>620</v>
      </c>
      <c r="I397" s="23">
        <v>10</v>
      </c>
      <c r="J397" s="30"/>
      <c r="K397" t="str">
        <f t="shared" si="13"/>
        <v>Heating</v>
      </c>
      <c r="L397" t="str">
        <f>IF(IFERROR(FIND("1", VAV_Schedule_5_21[[#This Row],[NOTES]]), FALSE), "P70", "P30")</f>
        <v>P30</v>
      </c>
      <c r="M397" t="s">
        <v>597</v>
      </c>
      <c r="N397">
        <f t="shared" si="14"/>
        <v>15011</v>
      </c>
    </row>
    <row r="398" spans="1:14" x14ac:dyDescent="0.2">
      <c r="A398" s="24">
        <v>397</v>
      </c>
      <c r="B398" s="23" t="s">
        <v>1035</v>
      </c>
      <c r="C398" s="23" t="s">
        <v>618</v>
      </c>
      <c r="D398" s="23">
        <f>INDEX($P$10:$Q$14, MATCH(VAV_Schedule_5_21[[#This Row],[MARK]], $P$10:$P$14, 0), 2)</f>
        <v>10</v>
      </c>
      <c r="E398">
        <v>840</v>
      </c>
      <c r="F398">
        <v>130</v>
      </c>
      <c r="G398" s="30" t="s">
        <v>619</v>
      </c>
      <c r="H398" s="30" t="s">
        <v>620</v>
      </c>
      <c r="I398" s="23">
        <v>10</v>
      </c>
      <c r="J398" s="30"/>
      <c r="K398" t="str">
        <f t="shared" si="13"/>
        <v>Heating</v>
      </c>
      <c r="L398" t="str">
        <f>IF(IFERROR(FIND("1", VAV_Schedule_5_21[[#This Row],[NOTES]]), FALSE), "P70", "P30")</f>
        <v>P30</v>
      </c>
      <c r="M398" t="s">
        <v>597</v>
      </c>
      <c r="N398">
        <f t="shared" si="14"/>
        <v>15011</v>
      </c>
    </row>
    <row r="399" spans="1:14" x14ac:dyDescent="0.2">
      <c r="A399" s="24">
        <v>398</v>
      </c>
      <c r="B399" s="23" t="s">
        <v>1036</v>
      </c>
      <c r="C399" s="23" t="s">
        <v>628</v>
      </c>
      <c r="D399" s="23">
        <f>INDEX($P$10:$Q$14, MATCH(VAV_Schedule_5_21[[#This Row],[MARK]], $P$10:$P$14, 0), 2)</f>
        <v>12</v>
      </c>
      <c r="E399">
        <v>1330</v>
      </c>
      <c r="F399">
        <v>200</v>
      </c>
      <c r="G399" s="30" t="s">
        <v>623</v>
      </c>
      <c r="H399" s="30" t="s">
        <v>624</v>
      </c>
      <c r="I399" s="23">
        <v>10</v>
      </c>
      <c r="J399" s="30"/>
      <c r="K399" t="str">
        <f t="shared" si="13"/>
        <v>Cooling</v>
      </c>
      <c r="L399" t="str">
        <f>IF(IFERROR(FIND("1", VAV_Schedule_5_21[[#This Row],[NOTES]]), FALSE), "P70", "P30")</f>
        <v>P30</v>
      </c>
      <c r="M399" t="s">
        <v>597</v>
      </c>
      <c r="N399">
        <f t="shared" si="14"/>
        <v>15010</v>
      </c>
    </row>
    <row r="400" spans="1:14" x14ac:dyDescent="0.2">
      <c r="A400" s="24">
        <v>399</v>
      </c>
      <c r="B400" s="23" t="s">
        <v>1037</v>
      </c>
      <c r="C400" s="23" t="s">
        <v>618</v>
      </c>
      <c r="D400" s="23">
        <f>INDEX($P$10:$Q$14, MATCH(VAV_Schedule_5_21[[#This Row],[MARK]], $P$10:$P$14, 0), 2)</f>
        <v>10</v>
      </c>
      <c r="E400">
        <v>1120</v>
      </c>
      <c r="F400">
        <v>170</v>
      </c>
      <c r="G400" s="30" t="s">
        <v>623</v>
      </c>
      <c r="H400" s="30" t="s">
        <v>624</v>
      </c>
      <c r="I400" s="23">
        <v>10</v>
      </c>
      <c r="J400" s="30"/>
      <c r="K400" t="str">
        <f t="shared" si="13"/>
        <v>Cooling</v>
      </c>
      <c r="L400" t="str">
        <f>IF(IFERROR(FIND("1", VAV_Schedule_5_21[[#This Row],[NOTES]]), FALSE), "P70", "P30")</f>
        <v>P30</v>
      </c>
      <c r="M400" t="s">
        <v>597</v>
      </c>
      <c r="N400">
        <f t="shared" si="14"/>
        <v>15010</v>
      </c>
    </row>
    <row r="401" spans="1:14" x14ac:dyDescent="0.2">
      <c r="A401" s="24">
        <v>400</v>
      </c>
      <c r="B401" s="23" t="s">
        <v>1038</v>
      </c>
      <c r="C401" s="23" t="s">
        <v>625</v>
      </c>
      <c r="D401" s="23">
        <f>INDEX($P$10:$Q$14, MATCH(VAV_Schedule_5_21[[#This Row],[MARK]], $P$10:$P$14, 0), 2)</f>
        <v>8</v>
      </c>
      <c r="E401">
        <v>600</v>
      </c>
      <c r="F401">
        <v>90</v>
      </c>
      <c r="G401" s="30" t="s">
        <v>623</v>
      </c>
      <c r="H401" s="30" t="s">
        <v>624</v>
      </c>
      <c r="I401" s="23">
        <v>10</v>
      </c>
      <c r="J401" s="30"/>
      <c r="K401" t="str">
        <f t="shared" si="13"/>
        <v>Cooling</v>
      </c>
      <c r="L401" t="str">
        <f>IF(IFERROR(FIND("1", VAV_Schedule_5_21[[#This Row],[NOTES]]), FALSE), "P70", "P30")</f>
        <v>P30</v>
      </c>
      <c r="M401" t="s">
        <v>597</v>
      </c>
      <c r="N401">
        <f t="shared" si="14"/>
        <v>15010</v>
      </c>
    </row>
    <row r="402" spans="1:14" x14ac:dyDescent="0.2">
      <c r="A402" s="24">
        <v>401</v>
      </c>
      <c r="B402" s="23" t="s">
        <v>1039</v>
      </c>
      <c r="C402" s="23" t="s">
        <v>625</v>
      </c>
      <c r="D402" s="23">
        <f>INDEX($P$10:$Q$14, MATCH(VAV_Schedule_5_21[[#This Row],[MARK]], $P$10:$P$14, 0), 2)</f>
        <v>8</v>
      </c>
      <c r="E402">
        <v>500</v>
      </c>
      <c r="F402">
        <v>75</v>
      </c>
      <c r="G402" s="30" t="s">
        <v>623</v>
      </c>
      <c r="H402" s="30" t="s">
        <v>624</v>
      </c>
      <c r="I402" s="23">
        <v>10</v>
      </c>
      <c r="J402" s="30"/>
      <c r="K402" t="str">
        <f t="shared" si="13"/>
        <v>Cooling</v>
      </c>
      <c r="L402" t="str">
        <f>IF(IFERROR(FIND("1", VAV_Schedule_5_21[[#This Row],[NOTES]]), FALSE), "P70", "P30")</f>
        <v>P30</v>
      </c>
      <c r="M402" t="s">
        <v>597</v>
      </c>
      <c r="N402">
        <f t="shared" si="14"/>
        <v>15010</v>
      </c>
    </row>
    <row r="403" spans="1:14" x14ac:dyDescent="0.2">
      <c r="A403" s="24">
        <v>402</v>
      </c>
      <c r="B403" s="23" t="s">
        <v>1040</v>
      </c>
      <c r="C403" s="23" t="s">
        <v>628</v>
      </c>
      <c r="D403" s="23">
        <f>INDEX($P$10:$Q$14, MATCH(VAV_Schedule_5_21[[#This Row],[MARK]], $P$10:$P$14, 0), 2)</f>
        <v>12</v>
      </c>
      <c r="E403">
        <v>1200</v>
      </c>
      <c r="F403">
        <v>180</v>
      </c>
      <c r="G403" s="30" t="s">
        <v>623</v>
      </c>
      <c r="H403" s="30" t="s">
        <v>624</v>
      </c>
      <c r="I403" s="23">
        <v>10</v>
      </c>
      <c r="J403" s="30"/>
      <c r="K403" t="str">
        <f t="shared" si="13"/>
        <v>Cooling</v>
      </c>
      <c r="L403" t="str">
        <f>IF(IFERROR(FIND("1", VAV_Schedule_5_21[[#This Row],[NOTES]]), FALSE), "P70", "P30")</f>
        <v>P30</v>
      </c>
      <c r="M403" t="s">
        <v>597</v>
      </c>
      <c r="N403">
        <f t="shared" si="14"/>
        <v>15010</v>
      </c>
    </row>
    <row r="404" spans="1:14" x14ac:dyDescent="0.2">
      <c r="A404" s="24">
        <v>403</v>
      </c>
      <c r="B404" s="23" t="s">
        <v>1041</v>
      </c>
      <c r="C404" s="23" t="s">
        <v>625</v>
      </c>
      <c r="D404" s="23">
        <f>INDEX($P$10:$Q$14, MATCH(VAV_Schedule_5_21[[#This Row],[MARK]], $P$10:$P$14, 0), 2)</f>
        <v>8</v>
      </c>
      <c r="E404">
        <v>550</v>
      </c>
      <c r="F404">
        <v>85</v>
      </c>
      <c r="G404" s="30" t="s">
        <v>623</v>
      </c>
      <c r="H404" s="30" t="s">
        <v>624</v>
      </c>
      <c r="I404" s="23">
        <v>10</v>
      </c>
      <c r="J404" s="30"/>
      <c r="K404" t="str">
        <f t="shared" si="13"/>
        <v>Cooling</v>
      </c>
      <c r="L404" t="str">
        <f>IF(IFERROR(FIND("1", VAV_Schedule_5_21[[#This Row],[NOTES]]), FALSE), "P70", "P30")</f>
        <v>P30</v>
      </c>
      <c r="M404" t="s">
        <v>597</v>
      </c>
      <c r="N404">
        <f t="shared" si="14"/>
        <v>15010</v>
      </c>
    </row>
    <row r="405" spans="1:14" x14ac:dyDescent="0.2">
      <c r="A405" s="24">
        <v>404</v>
      </c>
      <c r="B405" s="23" t="s">
        <v>1042</v>
      </c>
      <c r="C405" s="23" t="s">
        <v>625</v>
      </c>
      <c r="D405" s="23">
        <f>INDEX($P$10:$Q$14, MATCH(VAV_Schedule_5_21[[#This Row],[MARK]], $P$10:$P$14, 0), 2)</f>
        <v>8</v>
      </c>
      <c r="E405">
        <v>485</v>
      </c>
      <c r="F405">
        <v>75</v>
      </c>
      <c r="G405" s="30" t="s">
        <v>623</v>
      </c>
      <c r="H405" s="30" t="s">
        <v>624</v>
      </c>
      <c r="I405" s="23">
        <v>10</v>
      </c>
      <c r="J405" s="30" t="s">
        <v>630</v>
      </c>
      <c r="K405" t="str">
        <f t="shared" si="13"/>
        <v>Cooling</v>
      </c>
      <c r="L405" t="str">
        <f>IF(IFERROR(FIND("1", VAV_Schedule_5_21[[#This Row],[NOTES]]), FALSE), "P70", "P30")</f>
        <v>P30</v>
      </c>
      <c r="M405" t="s">
        <v>597</v>
      </c>
      <c r="N405">
        <f t="shared" si="14"/>
        <v>15010</v>
      </c>
    </row>
    <row r="406" spans="1:14" x14ac:dyDescent="0.2">
      <c r="A406" s="24">
        <v>405</v>
      </c>
      <c r="B406" s="23" t="s">
        <v>1043</v>
      </c>
      <c r="C406" s="23" t="s">
        <v>628</v>
      </c>
      <c r="D406" s="23">
        <f>INDEX($P$10:$Q$14, MATCH(VAV_Schedule_5_21[[#This Row],[MARK]], $P$10:$P$14, 0), 2)</f>
        <v>12</v>
      </c>
      <c r="E406">
        <v>1220</v>
      </c>
      <c r="F406">
        <v>185</v>
      </c>
      <c r="G406" s="30" t="s">
        <v>623</v>
      </c>
      <c r="H406" s="30" t="s">
        <v>624</v>
      </c>
      <c r="I406" s="23">
        <v>10</v>
      </c>
      <c r="J406" s="30"/>
      <c r="K406" t="str">
        <f t="shared" si="13"/>
        <v>Cooling</v>
      </c>
      <c r="L406" t="str">
        <f>IF(IFERROR(FIND("1", VAV_Schedule_5_21[[#This Row],[NOTES]]), FALSE), "P70", "P30")</f>
        <v>P30</v>
      </c>
      <c r="M406" t="s">
        <v>597</v>
      </c>
      <c r="N406">
        <f t="shared" si="14"/>
        <v>15010</v>
      </c>
    </row>
    <row r="407" spans="1:14" x14ac:dyDescent="0.2">
      <c r="A407" s="24">
        <v>406</v>
      </c>
      <c r="B407" s="23" t="s">
        <v>1044</v>
      </c>
      <c r="C407" s="23" t="s">
        <v>628</v>
      </c>
      <c r="D407" s="23">
        <f>INDEX($P$10:$Q$14, MATCH(VAV_Schedule_5_21[[#This Row],[MARK]], $P$10:$P$14, 0), 2)</f>
        <v>12</v>
      </c>
      <c r="E407">
        <v>1385</v>
      </c>
      <c r="F407">
        <v>210</v>
      </c>
      <c r="G407" s="30" t="s">
        <v>623</v>
      </c>
      <c r="H407" s="30" t="s">
        <v>624</v>
      </c>
      <c r="I407" s="23">
        <v>10</v>
      </c>
      <c r="J407" s="30"/>
      <c r="K407" t="str">
        <f t="shared" si="13"/>
        <v>Cooling</v>
      </c>
      <c r="L407" t="str">
        <f>IF(IFERROR(FIND("1", VAV_Schedule_5_21[[#This Row],[NOTES]]), FALSE), "P70", "P30")</f>
        <v>P30</v>
      </c>
      <c r="M407" t="s">
        <v>597</v>
      </c>
      <c r="N407">
        <f t="shared" si="14"/>
        <v>15010</v>
      </c>
    </row>
    <row r="408" spans="1:14" x14ac:dyDescent="0.2">
      <c r="A408" s="24">
        <v>407</v>
      </c>
      <c r="B408" s="23" t="s">
        <v>1045</v>
      </c>
      <c r="C408" s="23" t="s">
        <v>618</v>
      </c>
      <c r="D408" s="23">
        <f>INDEX($P$10:$Q$14, MATCH(VAV_Schedule_5_21[[#This Row],[MARK]], $P$10:$P$14, 0), 2)</f>
        <v>10</v>
      </c>
      <c r="E408">
        <v>1120</v>
      </c>
      <c r="F408">
        <v>170</v>
      </c>
      <c r="G408" s="30" t="s">
        <v>623</v>
      </c>
      <c r="H408" s="30" t="s">
        <v>624</v>
      </c>
      <c r="I408" s="23">
        <v>10</v>
      </c>
      <c r="J408" s="30"/>
      <c r="K408" t="str">
        <f t="shared" si="13"/>
        <v>Cooling</v>
      </c>
      <c r="L408" t="str">
        <f>IF(IFERROR(FIND("1", VAV_Schedule_5_21[[#This Row],[NOTES]]), FALSE), "P70", "P30")</f>
        <v>P30</v>
      </c>
      <c r="M408" t="s">
        <v>597</v>
      </c>
      <c r="N408">
        <f t="shared" si="14"/>
        <v>15010</v>
      </c>
    </row>
    <row r="409" spans="1:14" x14ac:dyDescent="0.2">
      <c r="A409" s="24">
        <v>408</v>
      </c>
      <c r="B409" s="23" t="s">
        <v>1046</v>
      </c>
      <c r="C409" s="23" t="s">
        <v>618</v>
      </c>
      <c r="D409" s="23">
        <f>INDEX($P$10:$Q$14, MATCH(VAV_Schedule_5_21[[#This Row],[MARK]], $P$10:$P$14, 0), 2)</f>
        <v>10</v>
      </c>
      <c r="E409">
        <v>840</v>
      </c>
      <c r="F409">
        <v>130</v>
      </c>
      <c r="G409" s="30" t="s">
        <v>619</v>
      </c>
      <c r="H409" s="30" t="s">
        <v>620</v>
      </c>
      <c r="I409" s="23">
        <v>10</v>
      </c>
      <c r="J409" s="30"/>
      <c r="K409" t="str">
        <f t="shared" si="13"/>
        <v>Heating</v>
      </c>
      <c r="L409" t="str">
        <f>IF(IFERROR(FIND("1", VAV_Schedule_5_21[[#This Row],[NOTES]]), FALSE), "P70", "P30")</f>
        <v>P30</v>
      </c>
      <c r="M409" t="s">
        <v>597</v>
      </c>
      <c r="N409">
        <f t="shared" si="14"/>
        <v>15011</v>
      </c>
    </row>
    <row r="410" spans="1:14" x14ac:dyDescent="0.2">
      <c r="A410" s="24">
        <v>409</v>
      </c>
      <c r="B410" s="23" t="s">
        <v>1047</v>
      </c>
      <c r="C410" s="23" t="s">
        <v>625</v>
      </c>
      <c r="D410" s="23">
        <f>INDEX($P$10:$Q$14, MATCH(VAV_Schedule_5_21[[#This Row],[MARK]], $P$10:$P$14, 0), 2)</f>
        <v>8</v>
      </c>
      <c r="E410">
        <v>640</v>
      </c>
      <c r="F410">
        <v>100</v>
      </c>
      <c r="G410" s="30" t="s">
        <v>619</v>
      </c>
      <c r="H410" s="30" t="s">
        <v>620</v>
      </c>
      <c r="I410" s="23">
        <v>10</v>
      </c>
      <c r="J410" s="30"/>
      <c r="K410" t="str">
        <f t="shared" si="13"/>
        <v>Heating</v>
      </c>
      <c r="L410" t="str">
        <f>IF(IFERROR(FIND("1", VAV_Schedule_5_21[[#This Row],[NOTES]]), FALSE), "P70", "P30")</f>
        <v>P30</v>
      </c>
      <c r="M410" t="s">
        <v>597</v>
      </c>
      <c r="N410">
        <f t="shared" si="14"/>
        <v>15011</v>
      </c>
    </row>
    <row r="411" spans="1:14" x14ac:dyDescent="0.2">
      <c r="A411" s="24">
        <v>410</v>
      </c>
      <c r="B411" s="23" t="s">
        <v>1048</v>
      </c>
      <c r="C411" s="23" t="s">
        <v>625</v>
      </c>
      <c r="D411" s="23">
        <f>INDEX($P$10:$Q$14, MATCH(VAV_Schedule_5_21[[#This Row],[MARK]], $P$10:$P$14, 0), 2)</f>
        <v>8</v>
      </c>
      <c r="E411">
        <v>685</v>
      </c>
      <c r="F411">
        <v>105</v>
      </c>
      <c r="G411" s="30" t="s">
        <v>619</v>
      </c>
      <c r="H411" s="30" t="s">
        <v>620</v>
      </c>
      <c r="I411" s="23">
        <v>10</v>
      </c>
      <c r="J411" s="30" t="s">
        <v>630</v>
      </c>
      <c r="K411" t="str">
        <f t="shared" si="13"/>
        <v>Heating</v>
      </c>
      <c r="L411" t="str">
        <f>IF(IFERROR(FIND("1", VAV_Schedule_5_21[[#This Row],[NOTES]]), FALSE), "P70", "P30")</f>
        <v>P30</v>
      </c>
      <c r="M411" t="s">
        <v>597</v>
      </c>
      <c r="N411">
        <f t="shared" si="14"/>
        <v>15011</v>
      </c>
    </row>
    <row r="412" spans="1:14" x14ac:dyDescent="0.2">
      <c r="A412" s="24">
        <v>411</v>
      </c>
      <c r="B412" s="23" t="s">
        <v>1049</v>
      </c>
      <c r="C412" s="23" t="s">
        <v>625</v>
      </c>
      <c r="D412" s="23">
        <f>INDEX($P$10:$Q$14, MATCH(VAV_Schedule_5_21[[#This Row],[MARK]], $P$10:$P$14, 0), 2)</f>
        <v>8</v>
      </c>
      <c r="E412">
        <v>600</v>
      </c>
      <c r="F412">
        <v>90</v>
      </c>
      <c r="G412" s="30" t="s">
        <v>619</v>
      </c>
      <c r="H412" s="30" t="s">
        <v>620</v>
      </c>
      <c r="I412" s="23">
        <v>10</v>
      </c>
      <c r="J412" s="30" t="s">
        <v>630</v>
      </c>
      <c r="K412" t="str">
        <f t="shared" si="13"/>
        <v>Heating</v>
      </c>
      <c r="L412" t="str">
        <f>IF(IFERROR(FIND("1", VAV_Schedule_5_21[[#This Row],[NOTES]]), FALSE), "P70", "P30")</f>
        <v>P30</v>
      </c>
      <c r="M412" t="s">
        <v>597</v>
      </c>
      <c r="N412">
        <f t="shared" si="14"/>
        <v>15011</v>
      </c>
    </row>
    <row r="413" spans="1:14" x14ac:dyDescent="0.2">
      <c r="A413" s="24">
        <v>412</v>
      </c>
      <c r="B413" s="23" t="s">
        <v>1050</v>
      </c>
      <c r="C413" s="23" t="s">
        <v>632</v>
      </c>
      <c r="D413" s="23">
        <f>INDEX($P$10:$Q$14, MATCH(VAV_Schedule_5_21[[#This Row],[MARK]], $P$10:$P$14, 0), 2)</f>
        <v>6</v>
      </c>
      <c r="E413">
        <v>200</v>
      </c>
      <c r="F413">
        <v>30</v>
      </c>
      <c r="G413" s="30" t="s">
        <v>623</v>
      </c>
      <c r="H413" s="30" t="s">
        <v>624</v>
      </c>
      <c r="I413" s="23">
        <v>10</v>
      </c>
      <c r="J413" s="30" t="s">
        <v>630</v>
      </c>
      <c r="K413" t="str">
        <f t="shared" ref="K413:K476" si="15">IF(G413="-","Cooling","Heating")</f>
        <v>Cooling</v>
      </c>
      <c r="L413" t="str">
        <f>IF(IFERROR(FIND("1", VAV_Schedule_5_21[[#This Row],[NOTES]]), FALSE), "P70", "P30")</f>
        <v>P30</v>
      </c>
      <c r="M413" t="s">
        <v>597</v>
      </c>
      <c r="N413">
        <f t="shared" ref="N413:N476" si="16">INDEX($P$2:$Q$9, MATCH(_xlfn.CONCAT($K413,$L413,M413), $P$2:$P$9, 0), 2)</f>
        <v>15010</v>
      </c>
    </row>
    <row r="414" spans="1:14" x14ac:dyDescent="0.2">
      <c r="A414" s="24">
        <v>413</v>
      </c>
      <c r="B414" s="23" t="s">
        <v>1051</v>
      </c>
      <c r="C414" s="23" t="s">
        <v>625</v>
      </c>
      <c r="D414" s="23">
        <f>INDEX($P$10:$Q$14, MATCH(VAV_Schedule_5_21[[#This Row],[MARK]], $P$10:$P$14, 0), 2)</f>
        <v>8</v>
      </c>
      <c r="E414">
        <v>680</v>
      </c>
      <c r="F414">
        <v>105</v>
      </c>
      <c r="G414" s="30" t="s">
        <v>623</v>
      </c>
      <c r="H414" s="30" t="s">
        <v>624</v>
      </c>
      <c r="I414" s="23">
        <v>10</v>
      </c>
      <c r="J414" s="30" t="s">
        <v>630</v>
      </c>
      <c r="K414" t="str">
        <f t="shared" si="15"/>
        <v>Cooling</v>
      </c>
      <c r="L414" t="str">
        <f>IF(IFERROR(FIND("1", VAV_Schedule_5_21[[#This Row],[NOTES]]), FALSE), "P70", "P30")</f>
        <v>P30</v>
      </c>
      <c r="M414" t="s">
        <v>597</v>
      </c>
      <c r="N414">
        <f t="shared" si="16"/>
        <v>15010</v>
      </c>
    </row>
    <row r="415" spans="1:14" x14ac:dyDescent="0.2">
      <c r="A415" s="24">
        <v>414</v>
      </c>
      <c r="B415" s="23" t="s">
        <v>1052</v>
      </c>
      <c r="C415" s="23" t="s">
        <v>618</v>
      </c>
      <c r="D415" s="23">
        <f>INDEX($P$10:$Q$14, MATCH(VAV_Schedule_5_21[[#This Row],[MARK]], $P$10:$P$14, 0), 2)</f>
        <v>10</v>
      </c>
      <c r="E415">
        <v>1085</v>
      </c>
      <c r="F415">
        <v>165</v>
      </c>
      <c r="G415" s="30" t="s">
        <v>631</v>
      </c>
      <c r="H415" s="30" t="s">
        <v>622</v>
      </c>
      <c r="I415" s="23">
        <v>10</v>
      </c>
      <c r="J415" s="30"/>
      <c r="K415" t="str">
        <f t="shared" si="15"/>
        <v>Heating</v>
      </c>
      <c r="L415" t="str">
        <f>IF(IFERROR(FIND("1", VAV_Schedule_5_21[[#This Row],[NOTES]]), FALSE), "P70", "P30")</f>
        <v>P30</v>
      </c>
      <c r="M415" t="s">
        <v>597</v>
      </c>
      <c r="N415">
        <f t="shared" si="16"/>
        <v>15011</v>
      </c>
    </row>
    <row r="416" spans="1:14" x14ac:dyDescent="0.2">
      <c r="A416" s="24">
        <v>415</v>
      </c>
      <c r="B416" s="23" t="s">
        <v>1053</v>
      </c>
      <c r="C416" s="23" t="s">
        <v>618</v>
      </c>
      <c r="D416" s="23">
        <f>INDEX($P$10:$Q$14, MATCH(VAV_Schedule_5_21[[#This Row],[MARK]], $P$10:$P$14, 0), 2)</f>
        <v>10</v>
      </c>
      <c r="E416">
        <v>840</v>
      </c>
      <c r="F416">
        <v>130</v>
      </c>
      <c r="G416" s="30" t="s">
        <v>619</v>
      </c>
      <c r="H416" s="30" t="s">
        <v>620</v>
      </c>
      <c r="I416" s="23">
        <v>10</v>
      </c>
      <c r="J416" s="30"/>
      <c r="K416" t="str">
        <f t="shared" si="15"/>
        <v>Heating</v>
      </c>
      <c r="L416" t="str">
        <f>IF(IFERROR(FIND("1", VAV_Schedule_5_21[[#This Row],[NOTES]]), FALSE), "P70", "P30")</f>
        <v>P30</v>
      </c>
      <c r="M416" t="s">
        <v>597</v>
      </c>
      <c r="N416">
        <f t="shared" si="16"/>
        <v>15011</v>
      </c>
    </row>
    <row r="417" spans="1:14" x14ac:dyDescent="0.2">
      <c r="A417" s="24">
        <v>416</v>
      </c>
      <c r="B417" s="23" t="s">
        <v>1054</v>
      </c>
      <c r="C417" s="23" t="s">
        <v>632</v>
      </c>
      <c r="D417" s="23">
        <f>INDEX($P$10:$Q$14, MATCH(VAV_Schedule_5_21[[#This Row],[MARK]], $P$10:$P$14, 0), 2)</f>
        <v>6</v>
      </c>
      <c r="E417">
        <v>185</v>
      </c>
      <c r="F417">
        <v>30</v>
      </c>
      <c r="G417" s="30" t="s">
        <v>623</v>
      </c>
      <c r="H417" s="30" t="s">
        <v>624</v>
      </c>
      <c r="I417" s="23">
        <v>10</v>
      </c>
      <c r="J417" s="30"/>
      <c r="K417" t="str">
        <f t="shared" si="15"/>
        <v>Cooling</v>
      </c>
      <c r="L417" t="str">
        <f>IF(IFERROR(FIND("1", VAV_Schedule_5_21[[#This Row],[NOTES]]), FALSE), "P70", "P30")</f>
        <v>P30</v>
      </c>
      <c r="M417" t="s">
        <v>597</v>
      </c>
      <c r="N417">
        <f t="shared" si="16"/>
        <v>15010</v>
      </c>
    </row>
    <row r="418" spans="1:14" x14ac:dyDescent="0.2">
      <c r="A418" s="24">
        <v>417</v>
      </c>
      <c r="B418" s="23" t="s">
        <v>1055</v>
      </c>
      <c r="C418" s="23" t="s">
        <v>618</v>
      </c>
      <c r="D418" s="23">
        <f>INDEX($P$10:$Q$14, MATCH(VAV_Schedule_5_21[[#This Row],[MARK]], $P$10:$P$14, 0), 2)</f>
        <v>10</v>
      </c>
      <c r="E418">
        <v>1050</v>
      </c>
      <c r="F418">
        <v>160</v>
      </c>
      <c r="G418" s="30" t="s">
        <v>631</v>
      </c>
      <c r="H418" s="30" t="s">
        <v>622</v>
      </c>
      <c r="I418" s="23">
        <v>10</v>
      </c>
      <c r="J418" s="30"/>
      <c r="K418" t="str">
        <f t="shared" si="15"/>
        <v>Heating</v>
      </c>
      <c r="L418" t="str">
        <f>IF(IFERROR(FIND("1", VAV_Schedule_5_21[[#This Row],[NOTES]]), FALSE), "P70", "P30")</f>
        <v>P30</v>
      </c>
      <c r="M418" t="s">
        <v>597</v>
      </c>
      <c r="N418">
        <f t="shared" si="16"/>
        <v>15011</v>
      </c>
    </row>
    <row r="419" spans="1:14" x14ac:dyDescent="0.2">
      <c r="A419" s="24">
        <v>418</v>
      </c>
      <c r="B419" s="23" t="s">
        <v>1056</v>
      </c>
      <c r="C419" s="23" t="s">
        <v>625</v>
      </c>
      <c r="D419" s="23">
        <f>INDEX($P$10:$Q$14, MATCH(VAV_Schedule_5_21[[#This Row],[MARK]], $P$10:$P$14, 0), 2)</f>
        <v>8</v>
      </c>
      <c r="E419">
        <v>640</v>
      </c>
      <c r="F419">
        <v>100</v>
      </c>
      <c r="G419" s="30" t="s">
        <v>619</v>
      </c>
      <c r="H419" s="30" t="s">
        <v>620</v>
      </c>
      <c r="I419" s="23">
        <v>10</v>
      </c>
      <c r="J419" s="30"/>
      <c r="K419" t="str">
        <f t="shared" si="15"/>
        <v>Heating</v>
      </c>
      <c r="L419" t="str">
        <f>IF(IFERROR(FIND("1", VAV_Schedule_5_21[[#This Row],[NOTES]]), FALSE), "P70", "P30")</f>
        <v>P30</v>
      </c>
      <c r="M419" t="s">
        <v>597</v>
      </c>
      <c r="N419">
        <f t="shared" si="16"/>
        <v>15011</v>
      </c>
    </row>
    <row r="420" spans="1:14" x14ac:dyDescent="0.2">
      <c r="A420" s="24">
        <v>419</v>
      </c>
      <c r="B420" s="23" t="s">
        <v>1057</v>
      </c>
      <c r="C420" s="23" t="s">
        <v>618</v>
      </c>
      <c r="D420" s="23">
        <f>INDEX($P$10:$Q$14, MATCH(VAV_Schedule_5_21[[#This Row],[MARK]], $P$10:$P$14, 0), 2)</f>
        <v>10</v>
      </c>
      <c r="E420">
        <v>860</v>
      </c>
      <c r="F420">
        <v>130</v>
      </c>
      <c r="G420" s="30" t="s">
        <v>619</v>
      </c>
      <c r="H420" s="30" t="s">
        <v>620</v>
      </c>
      <c r="I420" s="23">
        <v>10</v>
      </c>
      <c r="J420" s="30"/>
      <c r="K420" t="str">
        <f t="shared" si="15"/>
        <v>Heating</v>
      </c>
      <c r="L420" t="str">
        <f>IF(IFERROR(FIND("1", VAV_Schedule_5_21[[#This Row],[NOTES]]), FALSE), "P70", "P30")</f>
        <v>P30</v>
      </c>
      <c r="M420" t="s">
        <v>597</v>
      </c>
      <c r="N420">
        <f t="shared" si="16"/>
        <v>15011</v>
      </c>
    </row>
    <row r="421" spans="1:14" x14ac:dyDescent="0.2">
      <c r="A421" s="24">
        <v>420</v>
      </c>
      <c r="B421" s="23" t="s">
        <v>1058</v>
      </c>
      <c r="C421" s="23" t="s">
        <v>625</v>
      </c>
      <c r="D421" s="23">
        <f>INDEX($P$10:$Q$14, MATCH(VAV_Schedule_5_21[[#This Row],[MARK]], $P$10:$P$14, 0), 2)</f>
        <v>8</v>
      </c>
      <c r="E421">
        <v>690</v>
      </c>
      <c r="F421">
        <v>105</v>
      </c>
      <c r="G421" s="30" t="s">
        <v>619</v>
      </c>
      <c r="H421" s="30" t="s">
        <v>620</v>
      </c>
      <c r="I421" s="23">
        <v>10</v>
      </c>
      <c r="J421" s="30"/>
      <c r="K421" t="str">
        <f t="shared" si="15"/>
        <v>Heating</v>
      </c>
      <c r="L421" t="str">
        <f>IF(IFERROR(FIND("1", VAV_Schedule_5_21[[#This Row],[NOTES]]), FALSE), "P70", "P30")</f>
        <v>P30</v>
      </c>
      <c r="M421" t="s">
        <v>597</v>
      </c>
      <c r="N421">
        <f t="shared" si="16"/>
        <v>15011</v>
      </c>
    </row>
    <row r="422" spans="1:14" x14ac:dyDescent="0.2">
      <c r="A422" s="24">
        <v>421</v>
      </c>
      <c r="B422" s="23" t="s">
        <v>1059</v>
      </c>
      <c r="C422" s="23" t="s">
        <v>628</v>
      </c>
      <c r="D422" s="23">
        <f>INDEX($P$10:$Q$14, MATCH(VAV_Schedule_5_21[[#This Row],[MARK]], $P$10:$P$14, 0), 2)</f>
        <v>12</v>
      </c>
      <c r="E422">
        <v>1310</v>
      </c>
      <c r="F422">
        <v>200</v>
      </c>
      <c r="G422" s="30" t="s">
        <v>623</v>
      </c>
      <c r="H422" s="30" t="s">
        <v>624</v>
      </c>
      <c r="I422" s="23">
        <v>10</v>
      </c>
      <c r="J422" s="30"/>
      <c r="K422" t="str">
        <f t="shared" si="15"/>
        <v>Cooling</v>
      </c>
      <c r="L422" t="str">
        <f>IF(IFERROR(FIND("1", VAV_Schedule_5_21[[#This Row],[NOTES]]), FALSE), "P70", "P30")</f>
        <v>P30</v>
      </c>
      <c r="M422" t="s">
        <v>597</v>
      </c>
      <c r="N422">
        <f t="shared" si="16"/>
        <v>15010</v>
      </c>
    </row>
    <row r="423" spans="1:14" x14ac:dyDescent="0.2">
      <c r="A423" s="24">
        <v>422</v>
      </c>
      <c r="B423" s="23" t="s">
        <v>1060</v>
      </c>
      <c r="C423" s="23" t="s">
        <v>625</v>
      </c>
      <c r="D423" s="23">
        <f>INDEX($P$10:$Q$14, MATCH(VAV_Schedule_5_21[[#This Row],[MARK]], $P$10:$P$14, 0), 2)</f>
        <v>8</v>
      </c>
      <c r="E423">
        <v>680</v>
      </c>
      <c r="F423">
        <v>105</v>
      </c>
      <c r="G423" s="30" t="s">
        <v>623</v>
      </c>
      <c r="H423" s="30" t="s">
        <v>624</v>
      </c>
      <c r="I423" s="23">
        <v>10</v>
      </c>
      <c r="J423" s="30"/>
      <c r="K423" t="str">
        <f t="shared" si="15"/>
        <v>Cooling</v>
      </c>
      <c r="L423" t="str">
        <f>IF(IFERROR(FIND("1", VAV_Schedule_5_21[[#This Row],[NOTES]]), FALSE), "P70", "P30")</f>
        <v>P30</v>
      </c>
      <c r="M423" t="s">
        <v>597</v>
      </c>
      <c r="N423">
        <f t="shared" si="16"/>
        <v>15010</v>
      </c>
    </row>
    <row r="424" spans="1:14" x14ac:dyDescent="0.2">
      <c r="A424" s="24">
        <v>423</v>
      </c>
      <c r="B424" s="23" t="s">
        <v>1061</v>
      </c>
      <c r="C424" s="23" t="s">
        <v>628</v>
      </c>
      <c r="D424" s="23">
        <f>INDEX($P$10:$Q$14, MATCH(VAV_Schedule_5_21[[#This Row],[MARK]], $P$10:$P$14, 0), 2)</f>
        <v>12</v>
      </c>
      <c r="E424">
        <v>1510</v>
      </c>
      <c r="F424">
        <v>230</v>
      </c>
      <c r="G424" s="30" t="s">
        <v>623</v>
      </c>
      <c r="H424" s="30" t="s">
        <v>624</v>
      </c>
      <c r="I424" s="23">
        <v>10</v>
      </c>
      <c r="J424" s="30"/>
      <c r="K424" t="str">
        <f t="shared" si="15"/>
        <v>Cooling</v>
      </c>
      <c r="L424" t="str">
        <f>IF(IFERROR(FIND("1", VAV_Schedule_5_21[[#This Row],[NOTES]]), FALSE), "P70", "P30")</f>
        <v>P30</v>
      </c>
      <c r="M424" t="s">
        <v>597</v>
      </c>
      <c r="N424">
        <f t="shared" si="16"/>
        <v>15010</v>
      </c>
    </row>
    <row r="425" spans="1:14" x14ac:dyDescent="0.2">
      <c r="A425" s="24">
        <v>424</v>
      </c>
      <c r="B425" s="23" t="s">
        <v>1062</v>
      </c>
      <c r="C425" s="23" t="s">
        <v>618</v>
      </c>
      <c r="D425" s="23">
        <f>INDEX($P$10:$Q$14, MATCH(VAV_Schedule_5_21[[#This Row],[MARK]], $P$10:$P$14, 0), 2)</f>
        <v>10</v>
      </c>
      <c r="E425">
        <v>800</v>
      </c>
      <c r="F425">
        <v>120</v>
      </c>
      <c r="G425" s="30" t="s">
        <v>621</v>
      </c>
      <c r="H425" s="30" t="s">
        <v>622</v>
      </c>
      <c r="I425" s="23">
        <v>10</v>
      </c>
      <c r="J425" s="30"/>
      <c r="K425" t="str">
        <f t="shared" si="15"/>
        <v>Heating</v>
      </c>
      <c r="L425" t="str">
        <f>IF(IFERROR(FIND("1", VAV_Schedule_5_21[[#This Row],[NOTES]]), FALSE), "P70", "P30")</f>
        <v>P30</v>
      </c>
      <c r="M425" t="s">
        <v>597</v>
      </c>
      <c r="N425">
        <f t="shared" si="16"/>
        <v>15011</v>
      </c>
    </row>
    <row r="426" spans="1:14" x14ac:dyDescent="0.2">
      <c r="A426" s="24">
        <v>425</v>
      </c>
      <c r="B426" s="23" t="s">
        <v>1063</v>
      </c>
      <c r="C426" s="23" t="s">
        <v>628</v>
      </c>
      <c r="D426" s="23">
        <f>INDEX($P$10:$Q$14, MATCH(VAV_Schedule_5_21[[#This Row],[MARK]], $P$10:$P$14, 0), 2)</f>
        <v>12</v>
      </c>
      <c r="E426">
        <v>1400</v>
      </c>
      <c r="F426">
        <v>210</v>
      </c>
      <c r="G426" s="30" t="s">
        <v>621</v>
      </c>
      <c r="H426" s="30" t="s">
        <v>622</v>
      </c>
      <c r="I426" s="23">
        <v>10</v>
      </c>
      <c r="J426" s="30"/>
      <c r="K426" t="str">
        <f t="shared" si="15"/>
        <v>Heating</v>
      </c>
      <c r="L426" t="str">
        <f>IF(IFERROR(FIND("1", VAV_Schedule_5_21[[#This Row],[NOTES]]), FALSE), "P70", "P30")</f>
        <v>P30</v>
      </c>
      <c r="M426" t="s">
        <v>597</v>
      </c>
      <c r="N426">
        <f t="shared" si="16"/>
        <v>15011</v>
      </c>
    </row>
    <row r="427" spans="1:14" x14ac:dyDescent="0.2">
      <c r="A427" s="24">
        <v>426</v>
      </c>
      <c r="B427" s="23" t="s">
        <v>1064</v>
      </c>
      <c r="C427" s="23" t="s">
        <v>625</v>
      </c>
      <c r="D427" s="23">
        <f>INDEX($P$10:$Q$14, MATCH(VAV_Schedule_5_21[[#This Row],[MARK]], $P$10:$P$14, 0), 2)</f>
        <v>8</v>
      </c>
      <c r="E427">
        <v>595</v>
      </c>
      <c r="F427">
        <v>90</v>
      </c>
      <c r="G427" s="30" t="s">
        <v>623</v>
      </c>
      <c r="H427" s="30" t="s">
        <v>624</v>
      </c>
      <c r="I427" s="23">
        <v>10</v>
      </c>
      <c r="J427" s="30"/>
      <c r="K427" t="str">
        <f t="shared" si="15"/>
        <v>Cooling</v>
      </c>
      <c r="L427" t="str">
        <f>IF(IFERROR(FIND("1", VAV_Schedule_5_21[[#This Row],[NOTES]]), FALSE), "P70", "P30")</f>
        <v>P30</v>
      </c>
      <c r="M427" t="s">
        <v>597</v>
      </c>
      <c r="N427">
        <f t="shared" si="16"/>
        <v>15010</v>
      </c>
    </row>
    <row r="428" spans="1:14" x14ac:dyDescent="0.2">
      <c r="A428" s="24">
        <v>427</v>
      </c>
      <c r="B428" s="23" t="s">
        <v>1065</v>
      </c>
      <c r="C428" s="23" t="s">
        <v>628</v>
      </c>
      <c r="D428" s="23">
        <f>INDEX($P$10:$Q$14, MATCH(VAV_Schedule_5_21[[#This Row],[MARK]], $P$10:$P$14, 0), 2)</f>
        <v>12</v>
      </c>
      <c r="E428">
        <v>1350</v>
      </c>
      <c r="F428">
        <v>205</v>
      </c>
      <c r="G428" s="30" t="s">
        <v>623</v>
      </c>
      <c r="H428" s="30" t="s">
        <v>624</v>
      </c>
      <c r="I428" s="23">
        <v>10</v>
      </c>
      <c r="J428" s="30"/>
      <c r="K428" t="str">
        <f t="shared" si="15"/>
        <v>Cooling</v>
      </c>
      <c r="L428" t="str">
        <f>IF(IFERROR(FIND("1", VAV_Schedule_5_21[[#This Row],[NOTES]]), FALSE), "P70", "P30")</f>
        <v>P30</v>
      </c>
      <c r="M428" t="s">
        <v>597</v>
      </c>
      <c r="N428">
        <f t="shared" si="16"/>
        <v>15010</v>
      </c>
    </row>
    <row r="429" spans="1:14" x14ac:dyDescent="0.2">
      <c r="A429" s="24">
        <v>428</v>
      </c>
      <c r="B429" s="23" t="s">
        <v>1066</v>
      </c>
      <c r="C429" s="23" t="s">
        <v>628</v>
      </c>
      <c r="D429" s="23">
        <f>INDEX($P$10:$Q$14, MATCH(VAV_Schedule_5_21[[#This Row],[MARK]], $P$10:$P$14, 0), 2)</f>
        <v>12</v>
      </c>
      <c r="E429">
        <v>1200</v>
      </c>
      <c r="F429">
        <v>180</v>
      </c>
      <c r="G429" s="30" t="s">
        <v>623</v>
      </c>
      <c r="H429" s="30" t="s">
        <v>624</v>
      </c>
      <c r="I429" s="23">
        <v>10</v>
      </c>
      <c r="J429" s="30"/>
      <c r="K429" t="str">
        <f t="shared" si="15"/>
        <v>Cooling</v>
      </c>
      <c r="L429" t="str">
        <f>IF(IFERROR(FIND("1", VAV_Schedule_5_21[[#This Row],[NOTES]]), FALSE), "P70", "P30")</f>
        <v>P30</v>
      </c>
      <c r="M429" t="s">
        <v>597</v>
      </c>
      <c r="N429">
        <f t="shared" si="16"/>
        <v>15010</v>
      </c>
    </row>
    <row r="430" spans="1:14" x14ac:dyDescent="0.2">
      <c r="A430" s="24">
        <v>429</v>
      </c>
      <c r="B430" s="23" t="s">
        <v>1067</v>
      </c>
      <c r="C430" s="23" t="s">
        <v>618</v>
      </c>
      <c r="D430" s="23">
        <f>INDEX($P$10:$Q$14, MATCH(VAV_Schedule_5_21[[#This Row],[MARK]], $P$10:$P$14, 0), 2)</f>
        <v>10</v>
      </c>
      <c r="E430">
        <v>800</v>
      </c>
      <c r="F430">
        <v>120</v>
      </c>
      <c r="G430" s="30" t="s">
        <v>621</v>
      </c>
      <c r="H430" s="30" t="s">
        <v>622</v>
      </c>
      <c r="I430" s="23">
        <v>10</v>
      </c>
      <c r="J430" s="30"/>
      <c r="K430" t="str">
        <f t="shared" si="15"/>
        <v>Heating</v>
      </c>
      <c r="L430" t="str">
        <f>IF(IFERROR(FIND("1", VAV_Schedule_5_21[[#This Row],[NOTES]]), FALSE), "P70", "P30")</f>
        <v>P30</v>
      </c>
      <c r="M430" t="s">
        <v>597</v>
      </c>
      <c r="N430">
        <f t="shared" si="16"/>
        <v>15011</v>
      </c>
    </row>
    <row r="431" spans="1:14" x14ac:dyDescent="0.2">
      <c r="A431" s="24">
        <v>430</v>
      </c>
      <c r="B431" s="23" t="s">
        <v>1068</v>
      </c>
      <c r="C431" s="23" t="s">
        <v>625</v>
      </c>
      <c r="D431" s="23">
        <f>INDEX($P$10:$Q$14, MATCH(VAV_Schedule_5_21[[#This Row],[MARK]], $P$10:$P$14, 0), 2)</f>
        <v>8</v>
      </c>
      <c r="E431">
        <v>640</v>
      </c>
      <c r="F431">
        <v>100</v>
      </c>
      <c r="G431" s="30" t="s">
        <v>619</v>
      </c>
      <c r="H431" s="30" t="s">
        <v>620</v>
      </c>
      <c r="I431" s="23">
        <v>10</v>
      </c>
      <c r="J431" s="30"/>
      <c r="K431" t="str">
        <f t="shared" si="15"/>
        <v>Heating</v>
      </c>
      <c r="L431" t="str">
        <f>IF(IFERROR(FIND("1", VAV_Schedule_5_21[[#This Row],[NOTES]]), FALSE), "P70", "P30")</f>
        <v>P30</v>
      </c>
      <c r="M431" t="s">
        <v>597</v>
      </c>
      <c r="N431">
        <f t="shared" si="16"/>
        <v>15011</v>
      </c>
    </row>
    <row r="432" spans="1:14" x14ac:dyDescent="0.2">
      <c r="A432" s="24">
        <v>431</v>
      </c>
      <c r="B432" s="23" t="s">
        <v>1069</v>
      </c>
      <c r="C432" s="23" t="s">
        <v>618</v>
      </c>
      <c r="D432" s="23">
        <f>INDEX($P$10:$Q$14, MATCH(VAV_Schedule_5_21[[#This Row],[MARK]], $P$10:$P$14, 0), 2)</f>
        <v>10</v>
      </c>
      <c r="E432">
        <v>860</v>
      </c>
      <c r="F432">
        <v>130</v>
      </c>
      <c r="G432" s="30" t="s">
        <v>619</v>
      </c>
      <c r="H432" s="30" t="s">
        <v>620</v>
      </c>
      <c r="I432" s="23">
        <v>10</v>
      </c>
      <c r="J432" s="30"/>
      <c r="K432" t="str">
        <f t="shared" si="15"/>
        <v>Heating</v>
      </c>
      <c r="L432" t="str">
        <f>IF(IFERROR(FIND("1", VAV_Schedule_5_21[[#This Row],[NOTES]]), FALSE), "P70", "P30")</f>
        <v>P30</v>
      </c>
      <c r="M432" t="s">
        <v>597</v>
      </c>
      <c r="N432">
        <f t="shared" si="16"/>
        <v>15011</v>
      </c>
    </row>
    <row r="433" spans="1:14" x14ac:dyDescent="0.2">
      <c r="A433" s="24">
        <v>432</v>
      </c>
      <c r="B433" s="23" t="s">
        <v>1070</v>
      </c>
      <c r="C433" s="23" t="s">
        <v>625</v>
      </c>
      <c r="D433" s="23">
        <f>INDEX($P$10:$Q$14, MATCH(VAV_Schedule_5_21[[#This Row],[MARK]], $P$10:$P$14, 0), 2)</f>
        <v>8</v>
      </c>
      <c r="E433">
        <v>700</v>
      </c>
      <c r="F433">
        <v>105</v>
      </c>
      <c r="G433" s="30" t="s">
        <v>619</v>
      </c>
      <c r="H433" s="30" t="s">
        <v>620</v>
      </c>
      <c r="I433" s="23">
        <v>10</v>
      </c>
      <c r="J433" s="30"/>
      <c r="K433" t="str">
        <f t="shared" si="15"/>
        <v>Heating</v>
      </c>
      <c r="L433" t="str">
        <f>IF(IFERROR(FIND("1", VAV_Schedule_5_21[[#This Row],[NOTES]]), FALSE), "P70", "P30")</f>
        <v>P30</v>
      </c>
      <c r="M433" t="s">
        <v>597</v>
      </c>
      <c r="N433">
        <f t="shared" si="16"/>
        <v>15011</v>
      </c>
    </row>
    <row r="434" spans="1:14" x14ac:dyDescent="0.2">
      <c r="A434" s="24">
        <v>433</v>
      </c>
      <c r="B434" s="23" t="s">
        <v>1071</v>
      </c>
      <c r="C434" s="23" t="s">
        <v>618</v>
      </c>
      <c r="D434" s="23">
        <f>INDEX($P$10:$Q$14, MATCH(VAV_Schedule_5_21[[#This Row],[MARK]], $P$10:$P$14, 0), 2)</f>
        <v>10</v>
      </c>
      <c r="E434">
        <v>835</v>
      </c>
      <c r="F434">
        <v>130</v>
      </c>
      <c r="G434" s="30" t="s">
        <v>623</v>
      </c>
      <c r="H434" s="30" t="s">
        <v>624</v>
      </c>
      <c r="I434" s="23">
        <v>10</v>
      </c>
      <c r="J434" s="30"/>
      <c r="K434" t="str">
        <f t="shared" si="15"/>
        <v>Cooling</v>
      </c>
      <c r="L434" t="str">
        <f>IF(IFERROR(FIND("1", VAV_Schedule_5_21[[#This Row],[NOTES]]), FALSE), "P70", "P30")</f>
        <v>P30</v>
      </c>
      <c r="M434" t="s">
        <v>597</v>
      </c>
      <c r="N434">
        <f t="shared" si="16"/>
        <v>15010</v>
      </c>
    </row>
    <row r="435" spans="1:14" x14ac:dyDescent="0.2">
      <c r="A435" s="24">
        <v>434</v>
      </c>
      <c r="B435" s="23" t="s">
        <v>1072</v>
      </c>
      <c r="C435" s="23" t="s">
        <v>632</v>
      </c>
      <c r="D435" s="23">
        <f>INDEX($P$10:$Q$14, MATCH(VAV_Schedule_5_21[[#This Row],[MARK]], $P$10:$P$14, 0), 2)</f>
        <v>6</v>
      </c>
      <c r="E435">
        <v>185</v>
      </c>
      <c r="F435">
        <v>30</v>
      </c>
      <c r="G435" s="30" t="s">
        <v>623</v>
      </c>
      <c r="H435" s="30" t="s">
        <v>624</v>
      </c>
      <c r="I435" s="23">
        <v>10</v>
      </c>
      <c r="J435" s="30"/>
      <c r="K435" t="str">
        <f t="shared" si="15"/>
        <v>Cooling</v>
      </c>
      <c r="L435" t="str">
        <f>IF(IFERROR(FIND("1", VAV_Schedule_5_21[[#This Row],[NOTES]]), FALSE), "P70", "P30")</f>
        <v>P30</v>
      </c>
      <c r="M435" t="s">
        <v>597</v>
      </c>
      <c r="N435">
        <f t="shared" si="16"/>
        <v>15010</v>
      </c>
    </row>
    <row r="436" spans="1:14" x14ac:dyDescent="0.2">
      <c r="A436" s="24">
        <v>435</v>
      </c>
      <c r="B436" s="23" t="s">
        <v>1073</v>
      </c>
      <c r="C436" s="23" t="s">
        <v>628</v>
      </c>
      <c r="D436" s="23">
        <f>INDEX($P$10:$Q$14, MATCH(VAV_Schedule_5_21[[#This Row],[MARK]], $P$10:$P$14, 0), 2)</f>
        <v>12</v>
      </c>
      <c r="E436">
        <v>1220</v>
      </c>
      <c r="F436">
        <v>185</v>
      </c>
      <c r="G436" s="30" t="s">
        <v>631</v>
      </c>
      <c r="H436" s="30" t="s">
        <v>622</v>
      </c>
      <c r="I436" s="23">
        <v>10</v>
      </c>
      <c r="J436" s="30"/>
      <c r="K436" t="str">
        <f t="shared" si="15"/>
        <v>Heating</v>
      </c>
      <c r="L436" t="str">
        <f>IF(IFERROR(FIND("1", VAV_Schedule_5_21[[#This Row],[NOTES]]), FALSE), "P70", "P30")</f>
        <v>P30</v>
      </c>
      <c r="M436" t="s">
        <v>597</v>
      </c>
      <c r="N436">
        <f t="shared" si="16"/>
        <v>15011</v>
      </c>
    </row>
    <row r="437" spans="1:14" x14ac:dyDescent="0.2">
      <c r="A437" s="24">
        <v>436</v>
      </c>
      <c r="B437" s="23" t="s">
        <v>1074</v>
      </c>
      <c r="C437" s="23" t="s">
        <v>618</v>
      </c>
      <c r="D437" s="23">
        <f>INDEX($P$10:$Q$14, MATCH(VAV_Schedule_5_21[[#This Row],[MARK]], $P$10:$P$14, 0), 2)</f>
        <v>10</v>
      </c>
      <c r="E437">
        <v>960</v>
      </c>
      <c r="F437">
        <v>145</v>
      </c>
      <c r="G437" s="30" t="s">
        <v>619</v>
      </c>
      <c r="H437" s="30" t="s">
        <v>620</v>
      </c>
      <c r="I437" s="23">
        <v>10</v>
      </c>
      <c r="J437" s="30"/>
      <c r="K437" t="str">
        <f t="shared" si="15"/>
        <v>Heating</v>
      </c>
      <c r="L437" t="str">
        <f>IF(IFERROR(FIND("1", VAV_Schedule_5_21[[#This Row],[NOTES]]), FALSE), "P70", "P30")</f>
        <v>P30</v>
      </c>
      <c r="M437" t="s">
        <v>597</v>
      </c>
      <c r="N437">
        <f t="shared" si="16"/>
        <v>15011</v>
      </c>
    </row>
    <row r="438" spans="1:14" x14ac:dyDescent="0.2">
      <c r="A438" s="24">
        <v>437</v>
      </c>
      <c r="B438" s="23" t="s">
        <v>1075</v>
      </c>
      <c r="C438" s="23" t="s">
        <v>628</v>
      </c>
      <c r="D438" s="23">
        <f>INDEX($P$10:$Q$14, MATCH(VAV_Schedule_5_21[[#This Row],[MARK]], $P$10:$P$14, 0), 2)</f>
        <v>12</v>
      </c>
      <c r="E438">
        <v>1220</v>
      </c>
      <c r="F438">
        <v>185</v>
      </c>
      <c r="G438" s="30" t="s">
        <v>631</v>
      </c>
      <c r="H438" s="30" t="s">
        <v>622</v>
      </c>
      <c r="I438" s="23">
        <v>10</v>
      </c>
      <c r="J438" s="30"/>
      <c r="K438" t="str">
        <f t="shared" si="15"/>
        <v>Heating</v>
      </c>
      <c r="L438" t="str">
        <f>IF(IFERROR(FIND("1", VAV_Schedule_5_21[[#This Row],[NOTES]]), FALSE), "P70", "P30")</f>
        <v>P30</v>
      </c>
      <c r="M438" t="s">
        <v>597</v>
      </c>
      <c r="N438">
        <f t="shared" si="16"/>
        <v>15011</v>
      </c>
    </row>
    <row r="439" spans="1:14" x14ac:dyDescent="0.2">
      <c r="A439" s="24">
        <v>438</v>
      </c>
      <c r="B439" s="23" t="s">
        <v>1076</v>
      </c>
      <c r="C439" s="23" t="s">
        <v>632</v>
      </c>
      <c r="D439" s="23">
        <f>INDEX($P$10:$Q$14, MATCH(VAV_Schedule_5_21[[#This Row],[MARK]], $P$10:$P$14, 0), 2)</f>
        <v>6</v>
      </c>
      <c r="E439">
        <v>200</v>
      </c>
      <c r="F439">
        <v>30</v>
      </c>
      <c r="G439" s="30" t="s">
        <v>623</v>
      </c>
      <c r="H439" s="30" t="s">
        <v>624</v>
      </c>
      <c r="I439" s="23">
        <v>10</v>
      </c>
      <c r="J439" s="30"/>
      <c r="K439" t="str">
        <f t="shared" si="15"/>
        <v>Cooling</v>
      </c>
      <c r="L439" t="str">
        <f>IF(IFERROR(FIND("1", VAV_Schedule_5_21[[#This Row],[NOTES]]), FALSE), "P70", "P30")</f>
        <v>P30</v>
      </c>
      <c r="M439" t="s">
        <v>597</v>
      </c>
      <c r="N439">
        <f t="shared" si="16"/>
        <v>15010</v>
      </c>
    </row>
    <row r="440" spans="1:14" x14ac:dyDescent="0.2">
      <c r="A440" s="24">
        <v>439</v>
      </c>
      <c r="B440" s="23" t="s">
        <v>1077</v>
      </c>
      <c r="C440" s="23" t="s">
        <v>625</v>
      </c>
      <c r="D440" s="23">
        <f>INDEX($P$10:$Q$14, MATCH(VAV_Schedule_5_21[[#This Row],[MARK]], $P$10:$P$14, 0), 2)</f>
        <v>8</v>
      </c>
      <c r="E440">
        <v>640</v>
      </c>
      <c r="F440">
        <v>100</v>
      </c>
      <c r="G440" s="30" t="s">
        <v>619</v>
      </c>
      <c r="H440" s="30" t="s">
        <v>620</v>
      </c>
      <c r="I440" s="23">
        <v>11</v>
      </c>
      <c r="J440" s="30"/>
      <c r="K440" t="str">
        <f t="shared" si="15"/>
        <v>Heating</v>
      </c>
      <c r="L440" t="str">
        <f>IF(IFERROR(FIND("1", VAV_Schedule_5_21[[#This Row],[NOTES]]), FALSE), "P70", "P30")</f>
        <v>P30</v>
      </c>
      <c r="M440" t="s">
        <v>597</v>
      </c>
      <c r="N440">
        <f t="shared" si="16"/>
        <v>15011</v>
      </c>
    </row>
    <row r="441" spans="1:14" x14ac:dyDescent="0.2">
      <c r="A441" s="24">
        <v>440</v>
      </c>
      <c r="B441" s="23" t="s">
        <v>1078</v>
      </c>
      <c r="C441" s="23" t="s">
        <v>625</v>
      </c>
      <c r="D441" s="23">
        <f>INDEX($P$10:$Q$14, MATCH(VAV_Schedule_5_21[[#This Row],[MARK]], $P$10:$P$14, 0), 2)</f>
        <v>8</v>
      </c>
      <c r="E441">
        <v>680</v>
      </c>
      <c r="F441">
        <v>105</v>
      </c>
      <c r="G441" s="30" t="s">
        <v>619</v>
      </c>
      <c r="H441" s="30" t="s">
        <v>620</v>
      </c>
      <c r="I441" s="23">
        <v>11</v>
      </c>
      <c r="J441" s="30"/>
      <c r="K441" t="str">
        <f t="shared" si="15"/>
        <v>Heating</v>
      </c>
      <c r="L441" t="str">
        <f>IF(IFERROR(FIND("1", VAV_Schedule_5_21[[#This Row],[NOTES]]), FALSE), "P70", "P30")</f>
        <v>P30</v>
      </c>
      <c r="M441" t="s">
        <v>597</v>
      </c>
      <c r="N441">
        <f t="shared" si="16"/>
        <v>15011</v>
      </c>
    </row>
    <row r="442" spans="1:14" x14ac:dyDescent="0.2">
      <c r="A442" s="24">
        <v>441</v>
      </c>
      <c r="B442" s="23" t="s">
        <v>1079</v>
      </c>
      <c r="C442" s="23" t="s">
        <v>625</v>
      </c>
      <c r="D442" s="23">
        <f>INDEX($P$10:$Q$14, MATCH(VAV_Schedule_5_21[[#This Row],[MARK]], $P$10:$P$14, 0), 2)</f>
        <v>8</v>
      </c>
      <c r="E442">
        <v>600</v>
      </c>
      <c r="F442">
        <v>90</v>
      </c>
      <c r="G442" s="30" t="s">
        <v>619</v>
      </c>
      <c r="H442" s="30" t="s">
        <v>620</v>
      </c>
      <c r="I442" s="23">
        <v>11</v>
      </c>
      <c r="J442" s="30"/>
      <c r="K442" t="str">
        <f t="shared" si="15"/>
        <v>Heating</v>
      </c>
      <c r="L442" t="str">
        <f>IF(IFERROR(FIND("1", VAV_Schedule_5_21[[#This Row],[NOTES]]), FALSE), "P70", "P30")</f>
        <v>P30</v>
      </c>
      <c r="M442" t="s">
        <v>597</v>
      </c>
      <c r="N442">
        <f t="shared" si="16"/>
        <v>15011</v>
      </c>
    </row>
    <row r="443" spans="1:14" x14ac:dyDescent="0.2">
      <c r="A443" s="24">
        <v>442</v>
      </c>
      <c r="B443" s="23" t="s">
        <v>1080</v>
      </c>
      <c r="C443" s="23" t="s">
        <v>618</v>
      </c>
      <c r="D443" s="23">
        <f>INDEX($P$10:$Q$14, MATCH(VAV_Schedule_5_21[[#This Row],[MARK]], $P$10:$P$14, 0), 2)</f>
        <v>10</v>
      </c>
      <c r="E443">
        <v>840</v>
      </c>
      <c r="F443">
        <v>130</v>
      </c>
      <c r="G443" s="30" t="s">
        <v>619</v>
      </c>
      <c r="H443" s="30" t="s">
        <v>620</v>
      </c>
      <c r="I443" s="23">
        <v>11</v>
      </c>
      <c r="J443" s="30"/>
      <c r="K443" t="str">
        <f t="shared" si="15"/>
        <v>Heating</v>
      </c>
      <c r="L443" t="str">
        <f>IF(IFERROR(FIND("1", VAV_Schedule_5_21[[#This Row],[NOTES]]), FALSE), "P70", "P30")</f>
        <v>P30</v>
      </c>
      <c r="M443" t="s">
        <v>597</v>
      </c>
      <c r="N443">
        <f t="shared" si="16"/>
        <v>15011</v>
      </c>
    </row>
    <row r="444" spans="1:14" x14ac:dyDescent="0.2">
      <c r="A444" s="24">
        <v>443</v>
      </c>
      <c r="B444" s="23" t="s">
        <v>1081</v>
      </c>
      <c r="C444" s="23" t="s">
        <v>628</v>
      </c>
      <c r="D444" s="23">
        <f>INDEX($P$10:$Q$14, MATCH(VAV_Schedule_5_21[[#This Row],[MARK]], $P$10:$P$14, 0), 2)</f>
        <v>12</v>
      </c>
      <c r="E444">
        <v>1330</v>
      </c>
      <c r="F444">
        <v>200</v>
      </c>
      <c r="G444" s="30" t="s">
        <v>623</v>
      </c>
      <c r="H444" s="30" t="s">
        <v>624</v>
      </c>
      <c r="I444" s="23">
        <v>11</v>
      </c>
      <c r="J444" s="30"/>
      <c r="K444" t="str">
        <f t="shared" si="15"/>
        <v>Cooling</v>
      </c>
      <c r="L444" t="str">
        <f>IF(IFERROR(FIND("1", VAV_Schedule_5_21[[#This Row],[NOTES]]), FALSE), "P70", "P30")</f>
        <v>P30</v>
      </c>
      <c r="M444" t="s">
        <v>597</v>
      </c>
      <c r="N444">
        <f t="shared" si="16"/>
        <v>15010</v>
      </c>
    </row>
    <row r="445" spans="1:14" x14ac:dyDescent="0.2">
      <c r="A445" s="24">
        <v>444</v>
      </c>
      <c r="B445" s="23" t="s">
        <v>1082</v>
      </c>
      <c r="C445" s="23" t="s">
        <v>618</v>
      </c>
      <c r="D445" s="23">
        <f>INDEX($P$10:$Q$14, MATCH(VAV_Schedule_5_21[[#This Row],[MARK]], $P$10:$P$14, 0), 2)</f>
        <v>10</v>
      </c>
      <c r="E445">
        <v>1120</v>
      </c>
      <c r="F445">
        <v>170</v>
      </c>
      <c r="G445" s="30" t="s">
        <v>623</v>
      </c>
      <c r="H445" s="30" t="s">
        <v>624</v>
      </c>
      <c r="I445" s="23">
        <v>11</v>
      </c>
      <c r="J445" s="30"/>
      <c r="K445" t="str">
        <f t="shared" si="15"/>
        <v>Cooling</v>
      </c>
      <c r="L445" t="str">
        <f>IF(IFERROR(FIND("1", VAV_Schedule_5_21[[#This Row],[NOTES]]), FALSE), "P70", "P30")</f>
        <v>P30</v>
      </c>
      <c r="M445" t="s">
        <v>597</v>
      </c>
      <c r="N445">
        <f t="shared" si="16"/>
        <v>15010</v>
      </c>
    </row>
    <row r="446" spans="1:14" x14ac:dyDescent="0.2">
      <c r="A446" s="24">
        <v>445</v>
      </c>
      <c r="B446" s="23" t="s">
        <v>1083</v>
      </c>
      <c r="C446" s="23" t="s">
        <v>625</v>
      </c>
      <c r="D446" s="23">
        <f>INDEX($P$10:$Q$14, MATCH(VAV_Schedule_5_21[[#This Row],[MARK]], $P$10:$P$14, 0), 2)</f>
        <v>8</v>
      </c>
      <c r="E446">
        <v>600</v>
      </c>
      <c r="F446">
        <v>90</v>
      </c>
      <c r="G446" s="30" t="s">
        <v>623</v>
      </c>
      <c r="H446" s="30" t="s">
        <v>624</v>
      </c>
      <c r="I446" s="23">
        <v>11</v>
      </c>
      <c r="J446" s="30"/>
      <c r="K446" t="str">
        <f t="shared" si="15"/>
        <v>Cooling</v>
      </c>
      <c r="L446" t="str">
        <f>IF(IFERROR(FIND("1", VAV_Schedule_5_21[[#This Row],[NOTES]]), FALSE), "P70", "P30")</f>
        <v>P30</v>
      </c>
      <c r="M446" t="s">
        <v>597</v>
      </c>
      <c r="N446">
        <f t="shared" si="16"/>
        <v>15010</v>
      </c>
    </row>
    <row r="447" spans="1:14" x14ac:dyDescent="0.2">
      <c r="A447" s="24">
        <v>446</v>
      </c>
      <c r="B447" s="23" t="s">
        <v>1084</v>
      </c>
      <c r="C447" s="23" t="s">
        <v>625</v>
      </c>
      <c r="D447" s="23">
        <f>INDEX($P$10:$Q$14, MATCH(VAV_Schedule_5_21[[#This Row],[MARK]], $P$10:$P$14, 0), 2)</f>
        <v>8</v>
      </c>
      <c r="E447">
        <v>500</v>
      </c>
      <c r="F447">
        <v>75</v>
      </c>
      <c r="G447" s="30" t="s">
        <v>623</v>
      </c>
      <c r="H447" s="30" t="s">
        <v>624</v>
      </c>
      <c r="I447" s="23">
        <v>11</v>
      </c>
      <c r="J447" s="30"/>
      <c r="K447" t="str">
        <f t="shared" si="15"/>
        <v>Cooling</v>
      </c>
      <c r="L447" t="str">
        <f>IF(IFERROR(FIND("1", VAV_Schedule_5_21[[#This Row],[NOTES]]), FALSE), "P70", "P30")</f>
        <v>P30</v>
      </c>
      <c r="M447" t="s">
        <v>597</v>
      </c>
      <c r="N447">
        <f t="shared" si="16"/>
        <v>15010</v>
      </c>
    </row>
    <row r="448" spans="1:14" x14ac:dyDescent="0.2">
      <c r="A448" s="24">
        <v>447</v>
      </c>
      <c r="B448" s="23" t="s">
        <v>1085</v>
      </c>
      <c r="C448" s="23" t="s">
        <v>628</v>
      </c>
      <c r="D448" s="23">
        <f>INDEX($P$10:$Q$14, MATCH(VAV_Schedule_5_21[[#This Row],[MARK]], $P$10:$P$14, 0), 2)</f>
        <v>12</v>
      </c>
      <c r="E448">
        <v>1200</v>
      </c>
      <c r="F448">
        <v>180</v>
      </c>
      <c r="G448" s="30" t="s">
        <v>623</v>
      </c>
      <c r="H448" s="30" t="s">
        <v>624</v>
      </c>
      <c r="I448" s="23">
        <v>11</v>
      </c>
      <c r="J448" s="30"/>
      <c r="K448" t="str">
        <f t="shared" si="15"/>
        <v>Cooling</v>
      </c>
      <c r="L448" t="str">
        <f>IF(IFERROR(FIND("1", VAV_Schedule_5_21[[#This Row],[NOTES]]), FALSE), "P70", "P30")</f>
        <v>P30</v>
      </c>
      <c r="M448" t="s">
        <v>597</v>
      </c>
      <c r="N448">
        <f t="shared" si="16"/>
        <v>15010</v>
      </c>
    </row>
    <row r="449" spans="1:14" x14ac:dyDescent="0.2">
      <c r="A449" s="24">
        <v>448</v>
      </c>
      <c r="B449" s="23" t="s">
        <v>1086</v>
      </c>
      <c r="C449" s="23" t="s">
        <v>625</v>
      </c>
      <c r="D449" s="23">
        <f>INDEX($P$10:$Q$14, MATCH(VAV_Schedule_5_21[[#This Row],[MARK]], $P$10:$P$14, 0), 2)</f>
        <v>8</v>
      </c>
      <c r="E449">
        <v>550</v>
      </c>
      <c r="F449">
        <v>85</v>
      </c>
      <c r="G449" s="30" t="s">
        <v>623</v>
      </c>
      <c r="H449" s="30" t="s">
        <v>624</v>
      </c>
      <c r="I449" s="23">
        <v>11</v>
      </c>
      <c r="J449" s="30"/>
      <c r="K449" t="str">
        <f t="shared" si="15"/>
        <v>Cooling</v>
      </c>
      <c r="L449" t="str">
        <f>IF(IFERROR(FIND("1", VAV_Schedule_5_21[[#This Row],[NOTES]]), FALSE), "P70", "P30")</f>
        <v>P30</v>
      </c>
      <c r="M449" t="s">
        <v>597</v>
      </c>
      <c r="N449">
        <f t="shared" si="16"/>
        <v>15010</v>
      </c>
    </row>
    <row r="450" spans="1:14" x14ac:dyDescent="0.2">
      <c r="A450" s="24">
        <v>449</v>
      </c>
      <c r="B450" s="23" t="s">
        <v>1087</v>
      </c>
      <c r="C450" s="23" t="s">
        <v>625</v>
      </c>
      <c r="D450" s="23">
        <f>INDEX($P$10:$Q$14, MATCH(VAV_Schedule_5_21[[#This Row],[MARK]], $P$10:$P$14, 0), 2)</f>
        <v>8</v>
      </c>
      <c r="E450">
        <v>410</v>
      </c>
      <c r="F450">
        <v>65</v>
      </c>
      <c r="G450" s="30" t="s">
        <v>623</v>
      </c>
      <c r="H450" s="30" t="s">
        <v>624</v>
      </c>
      <c r="I450" s="23">
        <v>11</v>
      </c>
      <c r="J450" s="30"/>
      <c r="K450" t="str">
        <f t="shared" si="15"/>
        <v>Cooling</v>
      </c>
      <c r="L450" t="str">
        <f>IF(IFERROR(FIND("1", VAV_Schedule_5_21[[#This Row],[NOTES]]), FALSE), "P70", "P30")</f>
        <v>P30</v>
      </c>
      <c r="M450" t="s">
        <v>597</v>
      </c>
      <c r="N450">
        <f t="shared" si="16"/>
        <v>15010</v>
      </c>
    </row>
    <row r="451" spans="1:14" x14ac:dyDescent="0.2">
      <c r="A451" s="24">
        <v>450</v>
      </c>
      <c r="B451" s="23" t="s">
        <v>1088</v>
      </c>
      <c r="C451" s="23" t="s">
        <v>628</v>
      </c>
      <c r="D451" s="23">
        <f>INDEX($P$10:$Q$14, MATCH(VAV_Schedule_5_21[[#This Row],[MARK]], $P$10:$P$14, 0), 2)</f>
        <v>12</v>
      </c>
      <c r="E451">
        <v>1380</v>
      </c>
      <c r="F451">
        <v>210</v>
      </c>
      <c r="G451" s="30" t="s">
        <v>623</v>
      </c>
      <c r="H451" s="30" t="s">
        <v>624</v>
      </c>
      <c r="I451" s="23">
        <v>11</v>
      </c>
      <c r="J451" s="30"/>
      <c r="K451" t="str">
        <f t="shared" si="15"/>
        <v>Cooling</v>
      </c>
      <c r="L451" t="str">
        <f>IF(IFERROR(FIND("1", VAV_Schedule_5_21[[#This Row],[NOTES]]), FALSE), "P70", "P30")</f>
        <v>P30</v>
      </c>
      <c r="M451" t="s">
        <v>597</v>
      </c>
      <c r="N451">
        <f t="shared" si="16"/>
        <v>15010</v>
      </c>
    </row>
    <row r="452" spans="1:14" x14ac:dyDescent="0.2">
      <c r="A452" s="24">
        <v>451</v>
      </c>
      <c r="B452" s="23" t="s">
        <v>1089</v>
      </c>
      <c r="C452" s="23" t="s">
        <v>618</v>
      </c>
      <c r="D452" s="23">
        <f>INDEX($P$10:$Q$14, MATCH(VAV_Schedule_5_21[[#This Row],[MARK]], $P$10:$P$14, 0), 2)</f>
        <v>10</v>
      </c>
      <c r="E452">
        <v>1120</v>
      </c>
      <c r="F452">
        <v>170</v>
      </c>
      <c r="G452" s="30" t="s">
        <v>623</v>
      </c>
      <c r="H452" s="30" t="s">
        <v>624</v>
      </c>
      <c r="I452" s="23">
        <v>11</v>
      </c>
      <c r="J452" s="30"/>
      <c r="K452" t="str">
        <f t="shared" si="15"/>
        <v>Cooling</v>
      </c>
      <c r="L452" t="str">
        <f>IF(IFERROR(FIND("1", VAV_Schedule_5_21[[#This Row],[NOTES]]), FALSE), "P70", "P30")</f>
        <v>P30</v>
      </c>
      <c r="M452" t="s">
        <v>597</v>
      </c>
      <c r="N452">
        <f t="shared" si="16"/>
        <v>15010</v>
      </c>
    </row>
    <row r="453" spans="1:14" x14ac:dyDescent="0.2">
      <c r="A453" s="24">
        <v>452</v>
      </c>
      <c r="B453" s="23" t="s">
        <v>1090</v>
      </c>
      <c r="C453" s="23" t="s">
        <v>628</v>
      </c>
      <c r="D453" s="23">
        <f>INDEX($P$10:$Q$14, MATCH(VAV_Schedule_5_21[[#This Row],[MARK]], $P$10:$P$14, 0), 2)</f>
        <v>12</v>
      </c>
      <c r="E453">
        <v>1385</v>
      </c>
      <c r="F453">
        <v>210</v>
      </c>
      <c r="G453" s="30" t="s">
        <v>623</v>
      </c>
      <c r="H453" s="30" t="s">
        <v>624</v>
      </c>
      <c r="I453" s="23">
        <v>11</v>
      </c>
      <c r="J453" s="30"/>
      <c r="K453" t="str">
        <f t="shared" si="15"/>
        <v>Cooling</v>
      </c>
      <c r="L453" t="str">
        <f>IF(IFERROR(FIND("1", VAV_Schedule_5_21[[#This Row],[NOTES]]), FALSE), "P70", "P30")</f>
        <v>P30</v>
      </c>
      <c r="M453" t="s">
        <v>597</v>
      </c>
      <c r="N453">
        <f t="shared" si="16"/>
        <v>15010</v>
      </c>
    </row>
    <row r="454" spans="1:14" x14ac:dyDescent="0.2">
      <c r="A454" s="24">
        <v>453</v>
      </c>
      <c r="B454" s="23" t="s">
        <v>1091</v>
      </c>
      <c r="C454" s="23" t="s">
        <v>618</v>
      </c>
      <c r="D454" s="23">
        <f>INDEX($P$10:$Q$14, MATCH(VAV_Schedule_5_21[[#This Row],[MARK]], $P$10:$P$14, 0), 2)</f>
        <v>10</v>
      </c>
      <c r="E454">
        <v>840</v>
      </c>
      <c r="F454">
        <v>130</v>
      </c>
      <c r="G454" s="30" t="s">
        <v>619</v>
      </c>
      <c r="H454" s="30" t="s">
        <v>620</v>
      </c>
      <c r="I454" s="23">
        <v>11</v>
      </c>
      <c r="J454" s="30" t="s">
        <v>630</v>
      </c>
      <c r="K454" t="str">
        <f t="shared" si="15"/>
        <v>Heating</v>
      </c>
      <c r="L454" t="str">
        <f>IF(IFERROR(FIND("1", VAV_Schedule_5_21[[#This Row],[NOTES]]), FALSE), "P70", "P30")</f>
        <v>P30</v>
      </c>
      <c r="M454" t="s">
        <v>597</v>
      </c>
      <c r="N454">
        <f t="shared" si="16"/>
        <v>15011</v>
      </c>
    </row>
    <row r="455" spans="1:14" x14ac:dyDescent="0.2">
      <c r="A455" s="24">
        <v>454</v>
      </c>
      <c r="B455" s="23" t="s">
        <v>1092</v>
      </c>
      <c r="C455" s="23" t="s">
        <v>625</v>
      </c>
      <c r="D455" s="23">
        <f>INDEX($P$10:$Q$14, MATCH(VAV_Schedule_5_21[[#This Row],[MARK]], $P$10:$P$14, 0), 2)</f>
        <v>8</v>
      </c>
      <c r="E455">
        <v>640</v>
      </c>
      <c r="F455">
        <v>100</v>
      </c>
      <c r="G455" s="30" t="s">
        <v>619</v>
      </c>
      <c r="H455" s="30" t="s">
        <v>620</v>
      </c>
      <c r="I455" s="23">
        <v>11</v>
      </c>
      <c r="J455" s="30"/>
      <c r="K455" t="str">
        <f t="shared" si="15"/>
        <v>Heating</v>
      </c>
      <c r="L455" t="str">
        <f>IF(IFERROR(FIND("1", VAV_Schedule_5_21[[#This Row],[NOTES]]), FALSE), "P70", "P30")</f>
        <v>P30</v>
      </c>
      <c r="M455" t="s">
        <v>597</v>
      </c>
      <c r="N455">
        <f t="shared" si="16"/>
        <v>15011</v>
      </c>
    </row>
    <row r="456" spans="1:14" x14ac:dyDescent="0.2">
      <c r="A456" s="24">
        <v>455</v>
      </c>
      <c r="B456" s="23" t="s">
        <v>1093</v>
      </c>
      <c r="C456" s="23" t="s">
        <v>625</v>
      </c>
      <c r="D456" s="23">
        <f>INDEX($P$10:$Q$14, MATCH(VAV_Schedule_5_21[[#This Row],[MARK]], $P$10:$P$14, 0), 2)</f>
        <v>8</v>
      </c>
      <c r="E456">
        <v>685</v>
      </c>
      <c r="F456">
        <v>105</v>
      </c>
      <c r="G456" s="30" t="s">
        <v>619</v>
      </c>
      <c r="H456" s="30" t="s">
        <v>620</v>
      </c>
      <c r="I456" s="23">
        <v>11</v>
      </c>
      <c r="J456" s="30"/>
      <c r="K456" t="str">
        <f t="shared" si="15"/>
        <v>Heating</v>
      </c>
      <c r="L456" t="str">
        <f>IF(IFERROR(FIND("1", VAV_Schedule_5_21[[#This Row],[NOTES]]), FALSE), "P70", "P30")</f>
        <v>P30</v>
      </c>
      <c r="M456" t="s">
        <v>597</v>
      </c>
      <c r="N456">
        <f t="shared" si="16"/>
        <v>15011</v>
      </c>
    </row>
    <row r="457" spans="1:14" x14ac:dyDescent="0.2">
      <c r="A457" s="24">
        <v>456</v>
      </c>
      <c r="B457" s="23" t="s">
        <v>1094</v>
      </c>
      <c r="C457" s="23" t="s">
        <v>625</v>
      </c>
      <c r="D457" s="23">
        <f>INDEX($P$10:$Q$14, MATCH(VAV_Schedule_5_21[[#This Row],[MARK]], $P$10:$P$14, 0), 2)</f>
        <v>8</v>
      </c>
      <c r="E457">
        <v>600</v>
      </c>
      <c r="F457">
        <v>90</v>
      </c>
      <c r="G457" s="30" t="s">
        <v>619</v>
      </c>
      <c r="H457" s="30" t="s">
        <v>620</v>
      </c>
      <c r="I457" s="23">
        <v>11</v>
      </c>
      <c r="J457" s="30"/>
      <c r="K457" t="str">
        <f t="shared" si="15"/>
        <v>Heating</v>
      </c>
      <c r="L457" t="str">
        <f>IF(IFERROR(FIND("1", VAV_Schedule_5_21[[#This Row],[NOTES]]), FALSE), "P70", "P30")</f>
        <v>P30</v>
      </c>
      <c r="M457" t="s">
        <v>597</v>
      </c>
      <c r="N457">
        <f t="shared" si="16"/>
        <v>15011</v>
      </c>
    </row>
    <row r="458" spans="1:14" x14ac:dyDescent="0.2">
      <c r="A458" s="24">
        <v>457</v>
      </c>
      <c r="B458" s="23" t="s">
        <v>1095</v>
      </c>
      <c r="C458" s="23" t="s">
        <v>632</v>
      </c>
      <c r="D458" s="23">
        <f>INDEX($P$10:$Q$14, MATCH(VAV_Schedule_5_21[[#This Row],[MARK]], $P$10:$P$14, 0), 2)</f>
        <v>6</v>
      </c>
      <c r="E458">
        <v>200</v>
      </c>
      <c r="F458">
        <v>30</v>
      </c>
      <c r="G458" s="30" t="s">
        <v>623</v>
      </c>
      <c r="H458" s="30" t="s">
        <v>624</v>
      </c>
      <c r="I458" s="23">
        <v>11</v>
      </c>
      <c r="J458" s="30"/>
      <c r="K458" t="str">
        <f t="shared" si="15"/>
        <v>Cooling</v>
      </c>
      <c r="L458" t="str">
        <f>IF(IFERROR(FIND("1", VAV_Schedule_5_21[[#This Row],[NOTES]]), FALSE), "P70", "P30")</f>
        <v>P30</v>
      </c>
      <c r="M458" t="s">
        <v>597</v>
      </c>
      <c r="N458">
        <f t="shared" si="16"/>
        <v>15010</v>
      </c>
    </row>
    <row r="459" spans="1:14" x14ac:dyDescent="0.2">
      <c r="A459" s="24">
        <v>458</v>
      </c>
      <c r="B459" s="23" t="s">
        <v>1096</v>
      </c>
      <c r="C459" s="23" t="s">
        <v>625</v>
      </c>
      <c r="D459" s="23">
        <f>INDEX($P$10:$Q$14, MATCH(VAV_Schedule_5_21[[#This Row],[MARK]], $P$10:$P$14, 0), 2)</f>
        <v>8</v>
      </c>
      <c r="E459">
        <v>680</v>
      </c>
      <c r="F459">
        <v>105</v>
      </c>
      <c r="G459" s="30" t="s">
        <v>623</v>
      </c>
      <c r="H459" s="30" t="s">
        <v>624</v>
      </c>
      <c r="I459" s="23">
        <v>11</v>
      </c>
      <c r="J459" s="30"/>
      <c r="K459" t="str">
        <f t="shared" si="15"/>
        <v>Cooling</v>
      </c>
      <c r="L459" t="str">
        <f>IF(IFERROR(FIND("1", VAV_Schedule_5_21[[#This Row],[NOTES]]), FALSE), "P70", "P30")</f>
        <v>P30</v>
      </c>
      <c r="M459" t="s">
        <v>597</v>
      </c>
      <c r="N459">
        <f t="shared" si="16"/>
        <v>15010</v>
      </c>
    </row>
    <row r="460" spans="1:14" x14ac:dyDescent="0.2">
      <c r="A460" s="24">
        <v>459</v>
      </c>
      <c r="B460" s="23" t="s">
        <v>1097</v>
      </c>
      <c r="C460" s="23" t="s">
        <v>618</v>
      </c>
      <c r="D460" s="23">
        <f>INDEX($P$10:$Q$14, MATCH(VAV_Schedule_5_21[[#This Row],[MARK]], $P$10:$P$14, 0), 2)</f>
        <v>10</v>
      </c>
      <c r="E460">
        <v>1085</v>
      </c>
      <c r="F460">
        <v>165</v>
      </c>
      <c r="G460" s="30" t="s">
        <v>631</v>
      </c>
      <c r="H460" s="30" t="s">
        <v>622</v>
      </c>
      <c r="I460" s="23">
        <v>11</v>
      </c>
      <c r="J460" s="30"/>
      <c r="K460" t="str">
        <f t="shared" si="15"/>
        <v>Heating</v>
      </c>
      <c r="L460" t="str">
        <f>IF(IFERROR(FIND("1", VAV_Schedule_5_21[[#This Row],[NOTES]]), FALSE), "P70", "P30")</f>
        <v>P30</v>
      </c>
      <c r="M460" t="s">
        <v>597</v>
      </c>
      <c r="N460">
        <f t="shared" si="16"/>
        <v>15011</v>
      </c>
    </row>
    <row r="461" spans="1:14" x14ac:dyDescent="0.2">
      <c r="A461" s="24">
        <v>460</v>
      </c>
      <c r="B461" s="23" t="s">
        <v>1098</v>
      </c>
      <c r="C461" s="23" t="s">
        <v>618</v>
      </c>
      <c r="D461" s="23">
        <f>INDEX($P$10:$Q$14, MATCH(VAV_Schedule_5_21[[#This Row],[MARK]], $P$10:$P$14, 0), 2)</f>
        <v>10</v>
      </c>
      <c r="E461">
        <v>840</v>
      </c>
      <c r="F461">
        <v>130</v>
      </c>
      <c r="G461" s="30" t="s">
        <v>619</v>
      </c>
      <c r="H461" s="30" t="s">
        <v>620</v>
      </c>
      <c r="I461" s="23">
        <v>11</v>
      </c>
      <c r="J461" s="30"/>
      <c r="K461" t="str">
        <f t="shared" si="15"/>
        <v>Heating</v>
      </c>
      <c r="L461" t="str">
        <f>IF(IFERROR(FIND("1", VAV_Schedule_5_21[[#This Row],[NOTES]]), FALSE), "P70", "P30")</f>
        <v>P30</v>
      </c>
      <c r="M461" t="s">
        <v>597</v>
      </c>
      <c r="N461">
        <f t="shared" si="16"/>
        <v>15011</v>
      </c>
    </row>
    <row r="462" spans="1:14" x14ac:dyDescent="0.2">
      <c r="A462" s="24">
        <v>461</v>
      </c>
      <c r="B462" s="23" t="s">
        <v>1099</v>
      </c>
      <c r="C462" s="23" t="s">
        <v>618</v>
      </c>
      <c r="D462" s="23">
        <f>INDEX($P$10:$Q$14, MATCH(VAV_Schedule_5_21[[#This Row],[MARK]], $P$10:$P$14, 0), 2)</f>
        <v>10</v>
      </c>
      <c r="E462">
        <v>1050</v>
      </c>
      <c r="F462">
        <v>160</v>
      </c>
      <c r="G462" s="30" t="s">
        <v>631</v>
      </c>
      <c r="H462" s="30" t="s">
        <v>622</v>
      </c>
      <c r="I462" s="23">
        <v>11</v>
      </c>
      <c r="J462" s="30"/>
      <c r="K462" t="str">
        <f t="shared" si="15"/>
        <v>Heating</v>
      </c>
      <c r="L462" t="str">
        <f>IF(IFERROR(FIND("1", VAV_Schedule_5_21[[#This Row],[NOTES]]), FALSE), "P70", "P30")</f>
        <v>P30</v>
      </c>
      <c r="M462" t="s">
        <v>597</v>
      </c>
      <c r="N462">
        <f t="shared" si="16"/>
        <v>15011</v>
      </c>
    </row>
    <row r="463" spans="1:14" x14ac:dyDescent="0.2">
      <c r="A463" s="24">
        <v>462</v>
      </c>
      <c r="B463" s="23" t="s">
        <v>1100</v>
      </c>
      <c r="C463" s="23" t="s">
        <v>632</v>
      </c>
      <c r="D463" s="23">
        <f>INDEX($P$10:$Q$14, MATCH(VAV_Schedule_5_21[[#This Row],[MARK]], $P$10:$P$14, 0), 2)</f>
        <v>6</v>
      </c>
      <c r="E463">
        <v>185</v>
      </c>
      <c r="F463">
        <v>30</v>
      </c>
      <c r="G463" s="30" t="s">
        <v>623</v>
      </c>
      <c r="H463" s="30" t="s">
        <v>624</v>
      </c>
      <c r="I463" s="23">
        <v>11</v>
      </c>
      <c r="J463" s="30"/>
      <c r="K463" t="str">
        <f t="shared" si="15"/>
        <v>Cooling</v>
      </c>
      <c r="L463" t="str">
        <f>IF(IFERROR(FIND("1", VAV_Schedule_5_21[[#This Row],[NOTES]]), FALSE), "P70", "P30")</f>
        <v>P30</v>
      </c>
      <c r="M463" t="s">
        <v>597</v>
      </c>
      <c r="N463">
        <f t="shared" si="16"/>
        <v>15010</v>
      </c>
    </row>
    <row r="464" spans="1:14" x14ac:dyDescent="0.2">
      <c r="A464" s="24">
        <v>463</v>
      </c>
      <c r="B464" s="23" t="s">
        <v>1101</v>
      </c>
      <c r="C464" s="23" t="s">
        <v>625</v>
      </c>
      <c r="D464" s="23">
        <f>INDEX($P$10:$Q$14, MATCH(VAV_Schedule_5_21[[#This Row],[MARK]], $P$10:$P$14, 0), 2)</f>
        <v>8</v>
      </c>
      <c r="E464">
        <v>640</v>
      </c>
      <c r="F464">
        <v>100</v>
      </c>
      <c r="G464" s="30" t="s">
        <v>619</v>
      </c>
      <c r="H464" s="30" t="s">
        <v>620</v>
      </c>
      <c r="I464" s="23">
        <v>11</v>
      </c>
      <c r="J464" s="30"/>
      <c r="K464" t="str">
        <f t="shared" si="15"/>
        <v>Heating</v>
      </c>
      <c r="L464" t="str">
        <f>IF(IFERROR(FIND("1", VAV_Schedule_5_21[[#This Row],[NOTES]]), FALSE), "P70", "P30")</f>
        <v>P30</v>
      </c>
      <c r="M464" t="s">
        <v>597</v>
      </c>
      <c r="N464">
        <f t="shared" si="16"/>
        <v>15011</v>
      </c>
    </row>
    <row r="465" spans="1:14" x14ac:dyDescent="0.2">
      <c r="A465" s="24">
        <v>464</v>
      </c>
      <c r="B465" s="23" t="s">
        <v>1102</v>
      </c>
      <c r="C465" s="23" t="s">
        <v>618</v>
      </c>
      <c r="D465" s="23">
        <f>INDEX($P$10:$Q$14, MATCH(VAV_Schedule_5_21[[#This Row],[MARK]], $P$10:$P$14, 0), 2)</f>
        <v>10</v>
      </c>
      <c r="E465">
        <v>860</v>
      </c>
      <c r="F465">
        <v>130</v>
      </c>
      <c r="G465" s="30" t="s">
        <v>619</v>
      </c>
      <c r="H465" s="30" t="s">
        <v>620</v>
      </c>
      <c r="I465" s="23">
        <v>11</v>
      </c>
      <c r="J465" s="30"/>
      <c r="K465" t="str">
        <f t="shared" si="15"/>
        <v>Heating</v>
      </c>
      <c r="L465" t="str">
        <f>IF(IFERROR(FIND("1", VAV_Schedule_5_21[[#This Row],[NOTES]]), FALSE), "P70", "P30")</f>
        <v>P30</v>
      </c>
      <c r="M465" t="s">
        <v>597</v>
      </c>
      <c r="N465">
        <f t="shared" si="16"/>
        <v>15011</v>
      </c>
    </row>
    <row r="466" spans="1:14" x14ac:dyDescent="0.2">
      <c r="A466" s="24">
        <v>465</v>
      </c>
      <c r="B466" s="23" t="s">
        <v>1103</v>
      </c>
      <c r="C466" s="23" t="s">
        <v>625</v>
      </c>
      <c r="D466" s="23">
        <f>INDEX($P$10:$Q$14, MATCH(VAV_Schedule_5_21[[#This Row],[MARK]], $P$10:$P$14, 0), 2)</f>
        <v>8</v>
      </c>
      <c r="E466">
        <v>690</v>
      </c>
      <c r="F466">
        <v>105</v>
      </c>
      <c r="G466" s="30" t="s">
        <v>619</v>
      </c>
      <c r="H466" s="30" t="s">
        <v>620</v>
      </c>
      <c r="I466" s="23">
        <v>11</v>
      </c>
      <c r="J466" s="30"/>
      <c r="K466" t="str">
        <f t="shared" si="15"/>
        <v>Heating</v>
      </c>
      <c r="L466" t="str">
        <f>IF(IFERROR(FIND("1", VAV_Schedule_5_21[[#This Row],[NOTES]]), FALSE), "P70", "P30")</f>
        <v>P30</v>
      </c>
      <c r="M466" t="s">
        <v>597</v>
      </c>
      <c r="N466">
        <f t="shared" si="16"/>
        <v>15011</v>
      </c>
    </row>
    <row r="467" spans="1:14" x14ac:dyDescent="0.2">
      <c r="A467" s="24">
        <v>466</v>
      </c>
      <c r="B467" s="23" t="s">
        <v>1104</v>
      </c>
      <c r="C467" s="23" t="s">
        <v>628</v>
      </c>
      <c r="D467" s="23">
        <f>INDEX($P$10:$Q$14, MATCH(VAV_Schedule_5_21[[#This Row],[MARK]], $P$10:$P$14, 0), 2)</f>
        <v>12</v>
      </c>
      <c r="E467">
        <v>1310</v>
      </c>
      <c r="F467">
        <v>200</v>
      </c>
      <c r="G467" s="30" t="s">
        <v>623</v>
      </c>
      <c r="H467" s="30" t="s">
        <v>624</v>
      </c>
      <c r="I467" s="23">
        <v>11</v>
      </c>
      <c r="J467" s="30"/>
      <c r="K467" t="str">
        <f t="shared" si="15"/>
        <v>Cooling</v>
      </c>
      <c r="L467" t="str">
        <f>IF(IFERROR(FIND("1", VAV_Schedule_5_21[[#This Row],[NOTES]]), FALSE), "P70", "P30")</f>
        <v>P30</v>
      </c>
      <c r="M467" t="s">
        <v>597</v>
      </c>
      <c r="N467">
        <f t="shared" si="16"/>
        <v>15010</v>
      </c>
    </row>
    <row r="468" spans="1:14" x14ac:dyDescent="0.2">
      <c r="A468" s="24">
        <v>467</v>
      </c>
      <c r="B468" s="23" t="s">
        <v>1105</v>
      </c>
      <c r="C468" s="23" t="s">
        <v>625</v>
      </c>
      <c r="D468" s="23">
        <f>INDEX($P$10:$Q$14, MATCH(VAV_Schedule_5_21[[#This Row],[MARK]], $P$10:$P$14, 0), 2)</f>
        <v>8</v>
      </c>
      <c r="E468">
        <v>680</v>
      </c>
      <c r="F468">
        <v>105</v>
      </c>
      <c r="G468" s="30" t="s">
        <v>623</v>
      </c>
      <c r="H468" s="30" t="s">
        <v>624</v>
      </c>
      <c r="I468" s="23">
        <v>11</v>
      </c>
      <c r="J468" s="30"/>
      <c r="K468" t="str">
        <f t="shared" si="15"/>
        <v>Cooling</v>
      </c>
      <c r="L468" t="str">
        <f>IF(IFERROR(FIND("1", VAV_Schedule_5_21[[#This Row],[NOTES]]), FALSE), "P70", "P30")</f>
        <v>P30</v>
      </c>
      <c r="M468" t="s">
        <v>597</v>
      </c>
      <c r="N468">
        <f t="shared" si="16"/>
        <v>15010</v>
      </c>
    </row>
    <row r="469" spans="1:14" x14ac:dyDescent="0.2">
      <c r="A469" s="24">
        <v>468</v>
      </c>
      <c r="B469" s="23" t="s">
        <v>1106</v>
      </c>
      <c r="C469" s="23" t="s">
        <v>628</v>
      </c>
      <c r="D469" s="23">
        <f>INDEX($P$10:$Q$14, MATCH(VAV_Schedule_5_21[[#This Row],[MARK]], $P$10:$P$14, 0), 2)</f>
        <v>12</v>
      </c>
      <c r="E469">
        <v>1510</v>
      </c>
      <c r="F469">
        <v>230</v>
      </c>
      <c r="G469" s="30" t="s">
        <v>623</v>
      </c>
      <c r="H469" s="30" t="s">
        <v>624</v>
      </c>
      <c r="I469" s="23">
        <v>11</v>
      </c>
      <c r="J469" s="30"/>
      <c r="K469" t="str">
        <f t="shared" si="15"/>
        <v>Cooling</v>
      </c>
      <c r="L469" t="str">
        <f>IF(IFERROR(FIND("1", VAV_Schedule_5_21[[#This Row],[NOTES]]), FALSE), "P70", "P30")</f>
        <v>P30</v>
      </c>
      <c r="M469" t="s">
        <v>597</v>
      </c>
      <c r="N469">
        <f t="shared" si="16"/>
        <v>15010</v>
      </c>
    </row>
    <row r="470" spans="1:14" x14ac:dyDescent="0.2">
      <c r="A470" s="24">
        <v>469</v>
      </c>
      <c r="B470" s="23" t="s">
        <v>1107</v>
      </c>
      <c r="C470" s="23" t="s">
        <v>618</v>
      </c>
      <c r="D470" s="23">
        <f>INDEX($P$10:$Q$14, MATCH(VAV_Schedule_5_21[[#This Row],[MARK]], $P$10:$P$14, 0), 2)</f>
        <v>10</v>
      </c>
      <c r="E470">
        <v>800</v>
      </c>
      <c r="F470">
        <v>120</v>
      </c>
      <c r="G470" s="30" t="s">
        <v>621</v>
      </c>
      <c r="H470" s="30" t="s">
        <v>622</v>
      </c>
      <c r="I470" s="23">
        <v>11</v>
      </c>
      <c r="J470" s="30"/>
      <c r="K470" t="str">
        <f t="shared" si="15"/>
        <v>Heating</v>
      </c>
      <c r="L470" t="str">
        <f>IF(IFERROR(FIND("1", VAV_Schedule_5_21[[#This Row],[NOTES]]), FALSE), "P70", "P30")</f>
        <v>P30</v>
      </c>
      <c r="M470" t="s">
        <v>597</v>
      </c>
      <c r="N470">
        <f t="shared" si="16"/>
        <v>15011</v>
      </c>
    </row>
    <row r="471" spans="1:14" x14ac:dyDescent="0.2">
      <c r="A471" s="24">
        <v>470</v>
      </c>
      <c r="B471" s="23" t="s">
        <v>1108</v>
      </c>
      <c r="C471" s="23" t="s">
        <v>628</v>
      </c>
      <c r="D471" s="23">
        <f>INDEX($P$10:$Q$14, MATCH(VAV_Schedule_5_21[[#This Row],[MARK]], $P$10:$P$14, 0), 2)</f>
        <v>12</v>
      </c>
      <c r="E471">
        <v>1400</v>
      </c>
      <c r="F471">
        <v>210</v>
      </c>
      <c r="G471" s="30" t="s">
        <v>621</v>
      </c>
      <c r="H471" s="30" t="s">
        <v>622</v>
      </c>
      <c r="I471" s="23">
        <v>11</v>
      </c>
      <c r="J471" s="30"/>
      <c r="K471" t="str">
        <f t="shared" si="15"/>
        <v>Heating</v>
      </c>
      <c r="L471" t="str">
        <f>IF(IFERROR(FIND("1", VAV_Schedule_5_21[[#This Row],[NOTES]]), FALSE), "P70", "P30")</f>
        <v>P30</v>
      </c>
      <c r="M471" t="s">
        <v>597</v>
      </c>
      <c r="N471">
        <f t="shared" si="16"/>
        <v>15011</v>
      </c>
    </row>
    <row r="472" spans="1:14" x14ac:dyDescent="0.2">
      <c r="A472" s="24">
        <v>471</v>
      </c>
      <c r="B472" s="23" t="s">
        <v>1109</v>
      </c>
      <c r="C472" s="23" t="s">
        <v>625</v>
      </c>
      <c r="D472" s="23">
        <f>INDEX($P$10:$Q$14, MATCH(VAV_Schedule_5_21[[#This Row],[MARK]], $P$10:$P$14, 0), 2)</f>
        <v>8</v>
      </c>
      <c r="E472">
        <v>595</v>
      </c>
      <c r="F472">
        <v>90</v>
      </c>
      <c r="G472" s="30" t="s">
        <v>623</v>
      </c>
      <c r="H472" s="30" t="s">
        <v>624</v>
      </c>
      <c r="I472" s="23">
        <v>11</v>
      </c>
      <c r="J472" s="30"/>
      <c r="K472" t="str">
        <f t="shared" si="15"/>
        <v>Cooling</v>
      </c>
      <c r="L472" t="str">
        <f>IF(IFERROR(FIND("1", VAV_Schedule_5_21[[#This Row],[NOTES]]), FALSE), "P70", "P30")</f>
        <v>P30</v>
      </c>
      <c r="M472" t="s">
        <v>597</v>
      </c>
      <c r="N472">
        <f t="shared" si="16"/>
        <v>15010</v>
      </c>
    </row>
    <row r="473" spans="1:14" x14ac:dyDescent="0.2">
      <c r="A473" s="24">
        <v>472</v>
      </c>
      <c r="B473" s="23" t="s">
        <v>1110</v>
      </c>
      <c r="C473" s="23" t="s">
        <v>628</v>
      </c>
      <c r="D473" s="23">
        <f>INDEX($P$10:$Q$14, MATCH(VAV_Schedule_5_21[[#This Row],[MARK]], $P$10:$P$14, 0), 2)</f>
        <v>12</v>
      </c>
      <c r="E473">
        <v>1350</v>
      </c>
      <c r="F473">
        <v>205</v>
      </c>
      <c r="G473" s="30" t="s">
        <v>623</v>
      </c>
      <c r="H473" s="30" t="s">
        <v>624</v>
      </c>
      <c r="I473" s="23">
        <v>11</v>
      </c>
      <c r="J473" s="30"/>
      <c r="K473" t="str">
        <f t="shared" si="15"/>
        <v>Cooling</v>
      </c>
      <c r="L473" t="str">
        <f>IF(IFERROR(FIND("1", VAV_Schedule_5_21[[#This Row],[NOTES]]), FALSE), "P70", "P30")</f>
        <v>P30</v>
      </c>
      <c r="M473" t="s">
        <v>597</v>
      </c>
      <c r="N473">
        <f t="shared" si="16"/>
        <v>15010</v>
      </c>
    </row>
    <row r="474" spans="1:14" x14ac:dyDescent="0.2">
      <c r="A474" s="24">
        <v>473</v>
      </c>
      <c r="B474" s="23" t="s">
        <v>1111</v>
      </c>
      <c r="C474" s="23" t="s">
        <v>628</v>
      </c>
      <c r="D474" s="23">
        <f>INDEX($P$10:$Q$14, MATCH(VAV_Schedule_5_21[[#This Row],[MARK]], $P$10:$P$14, 0), 2)</f>
        <v>12</v>
      </c>
      <c r="E474">
        <v>1200</v>
      </c>
      <c r="F474">
        <v>180</v>
      </c>
      <c r="G474" s="30" t="s">
        <v>623</v>
      </c>
      <c r="H474" s="30" t="s">
        <v>624</v>
      </c>
      <c r="I474" s="23">
        <v>11</v>
      </c>
      <c r="J474" s="30"/>
      <c r="K474" t="str">
        <f t="shared" si="15"/>
        <v>Cooling</v>
      </c>
      <c r="L474" t="str">
        <f>IF(IFERROR(FIND("1", VAV_Schedule_5_21[[#This Row],[NOTES]]), FALSE), "P70", "P30")</f>
        <v>P30</v>
      </c>
      <c r="M474" t="s">
        <v>597</v>
      </c>
      <c r="N474">
        <f t="shared" si="16"/>
        <v>15010</v>
      </c>
    </row>
    <row r="475" spans="1:14" x14ac:dyDescent="0.2">
      <c r="A475" s="24">
        <v>474</v>
      </c>
      <c r="B475" s="23" t="s">
        <v>1112</v>
      </c>
      <c r="C475" s="23" t="s">
        <v>618</v>
      </c>
      <c r="D475" s="23">
        <f>INDEX($P$10:$Q$14, MATCH(VAV_Schedule_5_21[[#This Row],[MARK]], $P$10:$P$14, 0), 2)</f>
        <v>10</v>
      </c>
      <c r="E475">
        <v>800</v>
      </c>
      <c r="F475">
        <v>120</v>
      </c>
      <c r="G475" s="30" t="s">
        <v>621</v>
      </c>
      <c r="H475" s="30" t="s">
        <v>622</v>
      </c>
      <c r="I475" s="23">
        <v>11</v>
      </c>
      <c r="J475" s="30" t="s">
        <v>630</v>
      </c>
      <c r="K475" t="str">
        <f t="shared" si="15"/>
        <v>Heating</v>
      </c>
      <c r="L475" t="str">
        <f>IF(IFERROR(FIND("1", VAV_Schedule_5_21[[#This Row],[NOTES]]), FALSE), "P70", "P30")</f>
        <v>P30</v>
      </c>
      <c r="M475" t="s">
        <v>597</v>
      </c>
      <c r="N475">
        <f t="shared" si="16"/>
        <v>15011</v>
      </c>
    </row>
    <row r="476" spans="1:14" x14ac:dyDescent="0.2">
      <c r="A476" s="24">
        <v>475</v>
      </c>
      <c r="B476" s="23" t="s">
        <v>1113</v>
      </c>
      <c r="C476" s="23" t="s">
        <v>625</v>
      </c>
      <c r="D476" s="23">
        <f>INDEX($P$10:$Q$14, MATCH(VAV_Schedule_5_21[[#This Row],[MARK]], $P$10:$P$14, 0), 2)</f>
        <v>8</v>
      </c>
      <c r="E476">
        <v>640</v>
      </c>
      <c r="F476">
        <v>100</v>
      </c>
      <c r="G476" s="30" t="s">
        <v>619</v>
      </c>
      <c r="H476" s="30" t="s">
        <v>620</v>
      </c>
      <c r="I476" s="23">
        <v>11</v>
      </c>
      <c r="J476" s="30"/>
      <c r="K476" t="str">
        <f t="shared" si="15"/>
        <v>Heating</v>
      </c>
      <c r="L476" t="str">
        <f>IF(IFERROR(FIND("1", VAV_Schedule_5_21[[#This Row],[NOTES]]), FALSE), "P70", "P30")</f>
        <v>P30</v>
      </c>
      <c r="M476" t="s">
        <v>597</v>
      </c>
      <c r="N476">
        <f t="shared" si="16"/>
        <v>15011</v>
      </c>
    </row>
    <row r="477" spans="1:14" x14ac:dyDescent="0.2">
      <c r="A477" s="24">
        <v>476</v>
      </c>
      <c r="B477" s="23" t="s">
        <v>1114</v>
      </c>
      <c r="C477" s="23" t="s">
        <v>618</v>
      </c>
      <c r="D477" s="23">
        <f>INDEX($P$10:$Q$14, MATCH(VAV_Schedule_5_21[[#This Row],[MARK]], $P$10:$P$14, 0), 2)</f>
        <v>10</v>
      </c>
      <c r="E477">
        <v>860</v>
      </c>
      <c r="F477">
        <v>130</v>
      </c>
      <c r="G477" s="30" t="s">
        <v>619</v>
      </c>
      <c r="H477" s="30" t="s">
        <v>620</v>
      </c>
      <c r="I477" s="23">
        <v>11</v>
      </c>
      <c r="J477" s="30"/>
      <c r="K477" t="str">
        <f t="shared" ref="K477:K540" si="17">IF(G477="-","Cooling","Heating")</f>
        <v>Heating</v>
      </c>
      <c r="L477" t="str">
        <f>IF(IFERROR(FIND("1", VAV_Schedule_5_21[[#This Row],[NOTES]]), FALSE), "P70", "P30")</f>
        <v>P30</v>
      </c>
      <c r="M477" t="s">
        <v>597</v>
      </c>
      <c r="N477">
        <f t="shared" ref="N477:N540" si="18">INDEX($P$2:$Q$9, MATCH(_xlfn.CONCAT($K477,$L477,M477), $P$2:$P$9, 0), 2)</f>
        <v>15011</v>
      </c>
    </row>
    <row r="478" spans="1:14" x14ac:dyDescent="0.2">
      <c r="A478" s="24">
        <v>477</v>
      </c>
      <c r="B478" s="23" t="s">
        <v>1115</v>
      </c>
      <c r="C478" s="23" t="s">
        <v>625</v>
      </c>
      <c r="D478" s="23">
        <f>INDEX($P$10:$Q$14, MATCH(VAV_Schedule_5_21[[#This Row],[MARK]], $P$10:$P$14, 0), 2)</f>
        <v>8</v>
      </c>
      <c r="E478">
        <v>700</v>
      </c>
      <c r="F478">
        <v>105</v>
      </c>
      <c r="G478" s="30" t="s">
        <v>619</v>
      </c>
      <c r="H478" s="30" t="s">
        <v>620</v>
      </c>
      <c r="I478" s="23">
        <v>11</v>
      </c>
      <c r="J478" s="30"/>
      <c r="K478" t="str">
        <f t="shared" si="17"/>
        <v>Heating</v>
      </c>
      <c r="L478" t="str">
        <f>IF(IFERROR(FIND("1", VAV_Schedule_5_21[[#This Row],[NOTES]]), FALSE), "P70", "P30")</f>
        <v>P30</v>
      </c>
      <c r="M478" t="s">
        <v>597</v>
      </c>
      <c r="N478">
        <f t="shared" si="18"/>
        <v>15011</v>
      </c>
    </row>
    <row r="479" spans="1:14" x14ac:dyDescent="0.2">
      <c r="A479" s="24">
        <v>478</v>
      </c>
      <c r="B479" s="23" t="s">
        <v>1116</v>
      </c>
      <c r="C479" s="23" t="s">
        <v>618</v>
      </c>
      <c r="D479" s="23">
        <f>INDEX($P$10:$Q$14, MATCH(VAV_Schedule_5_21[[#This Row],[MARK]], $P$10:$P$14, 0), 2)</f>
        <v>10</v>
      </c>
      <c r="E479">
        <v>835</v>
      </c>
      <c r="F479">
        <v>130</v>
      </c>
      <c r="G479" s="30" t="s">
        <v>623</v>
      </c>
      <c r="H479" s="30" t="s">
        <v>624</v>
      </c>
      <c r="I479" s="23">
        <v>11</v>
      </c>
      <c r="J479" s="30"/>
      <c r="K479" t="str">
        <f t="shared" si="17"/>
        <v>Cooling</v>
      </c>
      <c r="L479" t="str">
        <f>IF(IFERROR(FIND("1", VAV_Schedule_5_21[[#This Row],[NOTES]]), FALSE), "P70", "P30")</f>
        <v>P30</v>
      </c>
      <c r="M479" t="s">
        <v>597</v>
      </c>
      <c r="N479">
        <f t="shared" si="18"/>
        <v>15010</v>
      </c>
    </row>
    <row r="480" spans="1:14" x14ac:dyDescent="0.2">
      <c r="A480" s="24">
        <v>479</v>
      </c>
      <c r="B480" s="23" t="s">
        <v>1117</v>
      </c>
      <c r="C480" s="23" t="s">
        <v>632</v>
      </c>
      <c r="D480" s="23">
        <f>INDEX($P$10:$Q$14, MATCH(VAV_Schedule_5_21[[#This Row],[MARK]], $P$10:$P$14, 0), 2)</f>
        <v>6</v>
      </c>
      <c r="E480">
        <v>185</v>
      </c>
      <c r="F480">
        <v>30</v>
      </c>
      <c r="G480" s="30" t="s">
        <v>623</v>
      </c>
      <c r="H480" s="30" t="s">
        <v>624</v>
      </c>
      <c r="I480" s="23">
        <v>11</v>
      </c>
      <c r="J480" s="30"/>
      <c r="K480" t="str">
        <f t="shared" si="17"/>
        <v>Cooling</v>
      </c>
      <c r="L480" t="str">
        <f>IF(IFERROR(FIND("1", VAV_Schedule_5_21[[#This Row],[NOTES]]), FALSE), "P70", "P30")</f>
        <v>P30</v>
      </c>
      <c r="M480" t="s">
        <v>597</v>
      </c>
      <c r="N480">
        <f t="shared" si="18"/>
        <v>15010</v>
      </c>
    </row>
    <row r="481" spans="1:14" x14ac:dyDescent="0.2">
      <c r="A481" s="24">
        <v>480</v>
      </c>
      <c r="B481" s="23" t="s">
        <v>1118</v>
      </c>
      <c r="C481" s="23" t="s">
        <v>628</v>
      </c>
      <c r="D481" s="23">
        <f>INDEX($P$10:$Q$14, MATCH(VAV_Schedule_5_21[[#This Row],[MARK]], $P$10:$P$14, 0), 2)</f>
        <v>12</v>
      </c>
      <c r="E481">
        <v>1220</v>
      </c>
      <c r="F481">
        <v>185</v>
      </c>
      <c r="G481" s="30" t="s">
        <v>631</v>
      </c>
      <c r="H481" s="30" t="s">
        <v>622</v>
      </c>
      <c r="I481" s="23">
        <v>11</v>
      </c>
      <c r="J481" s="30"/>
      <c r="K481" t="str">
        <f t="shared" si="17"/>
        <v>Heating</v>
      </c>
      <c r="L481" t="str">
        <f>IF(IFERROR(FIND("1", VAV_Schedule_5_21[[#This Row],[NOTES]]), FALSE), "P70", "P30")</f>
        <v>P30</v>
      </c>
      <c r="M481" t="s">
        <v>597</v>
      </c>
      <c r="N481">
        <f t="shared" si="18"/>
        <v>15011</v>
      </c>
    </row>
    <row r="482" spans="1:14" x14ac:dyDescent="0.2">
      <c r="A482" s="24">
        <v>481</v>
      </c>
      <c r="B482" s="23" t="s">
        <v>1119</v>
      </c>
      <c r="C482" s="23" t="s">
        <v>618</v>
      </c>
      <c r="D482" s="23">
        <f>INDEX($P$10:$Q$14, MATCH(VAV_Schedule_5_21[[#This Row],[MARK]], $P$10:$P$14, 0), 2)</f>
        <v>10</v>
      </c>
      <c r="E482">
        <v>960</v>
      </c>
      <c r="F482">
        <v>145</v>
      </c>
      <c r="G482" s="30" t="s">
        <v>619</v>
      </c>
      <c r="H482" s="30" t="s">
        <v>620</v>
      </c>
      <c r="I482" s="23">
        <v>11</v>
      </c>
      <c r="J482" s="30"/>
      <c r="K482" t="str">
        <f t="shared" si="17"/>
        <v>Heating</v>
      </c>
      <c r="L482" t="str">
        <f>IF(IFERROR(FIND("1", VAV_Schedule_5_21[[#This Row],[NOTES]]), FALSE), "P70", "P30")</f>
        <v>P30</v>
      </c>
      <c r="M482" t="s">
        <v>597</v>
      </c>
      <c r="N482">
        <f t="shared" si="18"/>
        <v>15011</v>
      </c>
    </row>
    <row r="483" spans="1:14" x14ac:dyDescent="0.2">
      <c r="A483" s="24">
        <v>482</v>
      </c>
      <c r="B483" s="23" t="s">
        <v>1120</v>
      </c>
      <c r="C483" s="23" t="s">
        <v>628</v>
      </c>
      <c r="D483" s="23">
        <f>INDEX($P$10:$Q$14, MATCH(VAV_Schedule_5_21[[#This Row],[MARK]], $P$10:$P$14, 0), 2)</f>
        <v>12</v>
      </c>
      <c r="E483">
        <v>1220</v>
      </c>
      <c r="F483">
        <v>185</v>
      </c>
      <c r="G483" s="30" t="s">
        <v>631</v>
      </c>
      <c r="H483" s="30" t="s">
        <v>622</v>
      </c>
      <c r="I483" s="23">
        <v>11</v>
      </c>
      <c r="J483" s="30"/>
      <c r="K483" t="str">
        <f t="shared" si="17"/>
        <v>Heating</v>
      </c>
      <c r="L483" t="str">
        <f>IF(IFERROR(FIND("1", VAV_Schedule_5_21[[#This Row],[NOTES]]), FALSE), "P70", "P30")</f>
        <v>P30</v>
      </c>
      <c r="M483" t="s">
        <v>597</v>
      </c>
      <c r="N483">
        <f t="shared" si="18"/>
        <v>15011</v>
      </c>
    </row>
    <row r="484" spans="1:14" x14ac:dyDescent="0.2">
      <c r="A484" s="24">
        <v>483</v>
      </c>
      <c r="B484" s="23" t="s">
        <v>1121</v>
      </c>
      <c r="C484" s="23" t="s">
        <v>632</v>
      </c>
      <c r="D484" s="23">
        <f>INDEX($P$10:$Q$14, MATCH(VAV_Schedule_5_21[[#This Row],[MARK]], $P$10:$P$14, 0), 2)</f>
        <v>6</v>
      </c>
      <c r="E484">
        <v>200</v>
      </c>
      <c r="F484">
        <v>30</v>
      </c>
      <c r="G484" s="30" t="s">
        <v>623</v>
      </c>
      <c r="H484" s="30" t="s">
        <v>624</v>
      </c>
      <c r="I484" s="23">
        <v>11</v>
      </c>
      <c r="J484" s="30" t="s">
        <v>630</v>
      </c>
      <c r="K484" t="str">
        <f t="shared" si="17"/>
        <v>Cooling</v>
      </c>
      <c r="L484" t="str">
        <f>IF(IFERROR(FIND("1", VAV_Schedule_5_21[[#This Row],[NOTES]]), FALSE), "P70", "P30")</f>
        <v>P30</v>
      </c>
      <c r="M484" t="s">
        <v>597</v>
      </c>
      <c r="N484">
        <f t="shared" si="18"/>
        <v>15010</v>
      </c>
    </row>
    <row r="485" spans="1:14" x14ac:dyDescent="0.2">
      <c r="A485" s="24">
        <v>484</v>
      </c>
      <c r="B485" s="23" t="s">
        <v>1122</v>
      </c>
      <c r="C485" s="23" t="s">
        <v>618</v>
      </c>
      <c r="D485" s="23">
        <f>INDEX($P$10:$Q$14, MATCH(VAV_Schedule_5_21[[#This Row],[MARK]], $P$10:$P$14, 0), 2)</f>
        <v>10</v>
      </c>
      <c r="E485">
        <v>990</v>
      </c>
      <c r="F485">
        <v>150</v>
      </c>
      <c r="G485" s="30" t="s">
        <v>1123</v>
      </c>
      <c r="H485" s="30" t="s">
        <v>622</v>
      </c>
      <c r="I485" s="23">
        <v>12</v>
      </c>
      <c r="J485" s="30"/>
      <c r="K485" t="str">
        <f t="shared" si="17"/>
        <v>Heating</v>
      </c>
      <c r="L485" t="str">
        <f>IF(IFERROR(FIND("1", VAV_Schedule_5_21[[#This Row],[NOTES]]), FALSE), "P70", "P30")</f>
        <v>P30</v>
      </c>
      <c r="M485" t="s">
        <v>597</v>
      </c>
      <c r="N485">
        <f t="shared" si="18"/>
        <v>15011</v>
      </c>
    </row>
    <row r="486" spans="1:14" x14ac:dyDescent="0.2">
      <c r="A486" s="24">
        <v>485</v>
      </c>
      <c r="B486" s="23" t="s">
        <v>1124</v>
      </c>
      <c r="C486" s="23" t="s">
        <v>625</v>
      </c>
      <c r="D486" s="23">
        <f>INDEX($P$10:$Q$14, MATCH(VAV_Schedule_5_21[[#This Row],[MARK]], $P$10:$P$14, 0), 2)</f>
        <v>8</v>
      </c>
      <c r="E486">
        <v>600</v>
      </c>
      <c r="F486">
        <v>90</v>
      </c>
      <c r="G486" s="30" t="s">
        <v>619</v>
      </c>
      <c r="H486" s="30" t="s">
        <v>620</v>
      </c>
      <c r="I486" s="23">
        <v>12</v>
      </c>
      <c r="J486" s="30"/>
      <c r="K486" t="str">
        <f t="shared" si="17"/>
        <v>Heating</v>
      </c>
      <c r="L486" t="str">
        <f>IF(IFERROR(FIND("1", VAV_Schedule_5_21[[#This Row],[NOTES]]), FALSE), "P70", "P30")</f>
        <v>P30</v>
      </c>
      <c r="M486" t="s">
        <v>597</v>
      </c>
      <c r="N486">
        <f t="shared" si="18"/>
        <v>15011</v>
      </c>
    </row>
    <row r="487" spans="1:14" x14ac:dyDescent="0.2">
      <c r="A487" s="24">
        <v>486</v>
      </c>
      <c r="B487" s="23" t="s">
        <v>1125</v>
      </c>
      <c r="C487" s="23" t="s">
        <v>618</v>
      </c>
      <c r="D487" s="23">
        <f>INDEX($P$10:$Q$14, MATCH(VAV_Schedule_5_21[[#This Row],[MARK]], $P$10:$P$14, 0), 2)</f>
        <v>10</v>
      </c>
      <c r="E487">
        <v>840</v>
      </c>
      <c r="F487">
        <v>130</v>
      </c>
      <c r="G487" s="30" t="s">
        <v>619</v>
      </c>
      <c r="H487" s="30" t="s">
        <v>620</v>
      </c>
      <c r="I487" s="23">
        <v>12</v>
      </c>
      <c r="J487" s="30"/>
      <c r="K487" t="str">
        <f t="shared" si="17"/>
        <v>Heating</v>
      </c>
      <c r="L487" t="str">
        <f>IF(IFERROR(FIND("1", VAV_Schedule_5_21[[#This Row],[NOTES]]), FALSE), "P70", "P30")</f>
        <v>P30</v>
      </c>
      <c r="M487" t="s">
        <v>597</v>
      </c>
      <c r="N487">
        <f t="shared" si="18"/>
        <v>15011</v>
      </c>
    </row>
    <row r="488" spans="1:14" x14ac:dyDescent="0.2">
      <c r="A488" s="24">
        <v>487</v>
      </c>
      <c r="B488" s="23" t="s">
        <v>1126</v>
      </c>
      <c r="C488" s="23" t="s">
        <v>628</v>
      </c>
      <c r="D488" s="23">
        <f>INDEX($P$10:$Q$14, MATCH(VAV_Schedule_5_21[[#This Row],[MARK]], $P$10:$P$14, 0), 2)</f>
        <v>12</v>
      </c>
      <c r="E488">
        <v>1370</v>
      </c>
      <c r="F488">
        <v>210</v>
      </c>
      <c r="G488" s="30" t="s">
        <v>623</v>
      </c>
      <c r="H488" s="30" t="s">
        <v>624</v>
      </c>
      <c r="I488" s="23">
        <v>12</v>
      </c>
      <c r="J488" s="30"/>
      <c r="K488" t="str">
        <f t="shared" si="17"/>
        <v>Cooling</v>
      </c>
      <c r="L488" t="str">
        <f>IF(IFERROR(FIND("1", VAV_Schedule_5_21[[#This Row],[NOTES]]), FALSE), "P70", "P30")</f>
        <v>P30</v>
      </c>
      <c r="M488" t="s">
        <v>597</v>
      </c>
      <c r="N488">
        <f t="shared" si="18"/>
        <v>15010</v>
      </c>
    </row>
    <row r="489" spans="1:14" x14ac:dyDescent="0.2">
      <c r="A489" s="24">
        <v>488</v>
      </c>
      <c r="B489" s="23" t="s">
        <v>1127</v>
      </c>
      <c r="C489" s="23" t="s">
        <v>618</v>
      </c>
      <c r="D489" s="23">
        <f>INDEX($P$10:$Q$14, MATCH(VAV_Schedule_5_21[[#This Row],[MARK]], $P$10:$P$14, 0), 2)</f>
        <v>10</v>
      </c>
      <c r="E489">
        <v>1075</v>
      </c>
      <c r="F489">
        <v>165</v>
      </c>
      <c r="G489" s="30" t="s">
        <v>623</v>
      </c>
      <c r="H489" s="30" t="s">
        <v>624</v>
      </c>
      <c r="I489" s="23">
        <v>12</v>
      </c>
      <c r="J489" s="30"/>
      <c r="K489" t="str">
        <f t="shared" si="17"/>
        <v>Cooling</v>
      </c>
      <c r="L489" t="str">
        <f>IF(IFERROR(FIND("1", VAV_Schedule_5_21[[#This Row],[NOTES]]), FALSE), "P70", "P30")</f>
        <v>P30</v>
      </c>
      <c r="M489" t="s">
        <v>597</v>
      </c>
      <c r="N489">
        <f t="shared" si="18"/>
        <v>15010</v>
      </c>
    </row>
    <row r="490" spans="1:14" x14ac:dyDescent="0.2">
      <c r="A490" s="24">
        <v>489</v>
      </c>
      <c r="B490" s="23" t="s">
        <v>1128</v>
      </c>
      <c r="C490" s="23" t="s">
        <v>625</v>
      </c>
      <c r="D490" s="23">
        <f>INDEX($P$10:$Q$14, MATCH(VAV_Schedule_5_21[[#This Row],[MARK]], $P$10:$P$14, 0), 2)</f>
        <v>8</v>
      </c>
      <c r="E490">
        <v>600</v>
      </c>
      <c r="F490">
        <v>90</v>
      </c>
      <c r="G490" s="30" t="s">
        <v>623</v>
      </c>
      <c r="H490" s="30" t="s">
        <v>624</v>
      </c>
      <c r="I490" s="23">
        <v>12</v>
      </c>
      <c r="J490" s="30" t="s">
        <v>630</v>
      </c>
      <c r="K490" t="str">
        <f t="shared" si="17"/>
        <v>Cooling</v>
      </c>
      <c r="L490" t="str">
        <f>IF(IFERROR(FIND("1", VAV_Schedule_5_21[[#This Row],[NOTES]]), FALSE), "P70", "P30")</f>
        <v>P30</v>
      </c>
      <c r="M490" t="s">
        <v>597</v>
      </c>
      <c r="N490">
        <f t="shared" si="18"/>
        <v>15010</v>
      </c>
    </row>
    <row r="491" spans="1:14" x14ac:dyDescent="0.2">
      <c r="A491" s="24">
        <v>490</v>
      </c>
      <c r="B491" s="23" t="s">
        <v>1129</v>
      </c>
      <c r="C491" s="23" t="s">
        <v>625</v>
      </c>
      <c r="D491" s="23">
        <f>INDEX($P$10:$Q$14, MATCH(VAV_Schedule_5_21[[#This Row],[MARK]], $P$10:$P$14, 0), 2)</f>
        <v>8</v>
      </c>
      <c r="E491">
        <v>600</v>
      </c>
      <c r="F491">
        <v>90</v>
      </c>
      <c r="G491" s="30" t="s">
        <v>623</v>
      </c>
      <c r="H491" s="30" t="s">
        <v>624</v>
      </c>
      <c r="I491" s="23">
        <v>12</v>
      </c>
      <c r="J491" s="30"/>
      <c r="K491" t="str">
        <f t="shared" si="17"/>
        <v>Cooling</v>
      </c>
      <c r="L491" t="str">
        <f>IF(IFERROR(FIND("1", VAV_Schedule_5_21[[#This Row],[NOTES]]), FALSE), "P70", "P30")</f>
        <v>P30</v>
      </c>
      <c r="M491" t="s">
        <v>597</v>
      </c>
      <c r="N491">
        <f t="shared" si="18"/>
        <v>15010</v>
      </c>
    </row>
    <row r="492" spans="1:14" x14ac:dyDescent="0.2">
      <c r="A492" s="24">
        <v>491</v>
      </c>
      <c r="B492" s="23" t="s">
        <v>1130</v>
      </c>
      <c r="C492" s="23" t="s">
        <v>628</v>
      </c>
      <c r="D492" s="23">
        <f>INDEX($P$10:$Q$14, MATCH(VAV_Schedule_5_21[[#This Row],[MARK]], $P$10:$P$14, 0), 2)</f>
        <v>12</v>
      </c>
      <c r="E492">
        <v>1200</v>
      </c>
      <c r="F492">
        <v>180</v>
      </c>
      <c r="G492" s="30" t="s">
        <v>623</v>
      </c>
      <c r="H492" s="30" t="s">
        <v>624</v>
      </c>
      <c r="I492" s="23">
        <v>12</v>
      </c>
      <c r="J492" s="30"/>
      <c r="K492" t="str">
        <f t="shared" si="17"/>
        <v>Cooling</v>
      </c>
      <c r="L492" t="str">
        <f>IF(IFERROR(FIND("1", VAV_Schedule_5_21[[#This Row],[NOTES]]), FALSE), "P70", "P30")</f>
        <v>P30</v>
      </c>
      <c r="M492" t="s">
        <v>597</v>
      </c>
      <c r="N492">
        <f t="shared" si="18"/>
        <v>15010</v>
      </c>
    </row>
    <row r="493" spans="1:14" x14ac:dyDescent="0.2">
      <c r="A493" s="24">
        <v>492</v>
      </c>
      <c r="B493" s="23" t="s">
        <v>1131</v>
      </c>
      <c r="C493" s="23" t="s">
        <v>625</v>
      </c>
      <c r="D493" s="23">
        <f>INDEX($P$10:$Q$14, MATCH(VAV_Schedule_5_21[[#This Row],[MARK]], $P$10:$P$14, 0), 2)</f>
        <v>8</v>
      </c>
      <c r="E493">
        <v>550</v>
      </c>
      <c r="F493">
        <v>85</v>
      </c>
      <c r="G493" s="30" t="s">
        <v>623</v>
      </c>
      <c r="H493" s="30" t="s">
        <v>624</v>
      </c>
      <c r="I493" s="23">
        <v>12</v>
      </c>
      <c r="J493" s="30"/>
      <c r="K493" t="str">
        <f t="shared" si="17"/>
        <v>Cooling</v>
      </c>
      <c r="L493" t="str">
        <f>IF(IFERROR(FIND("1", VAV_Schedule_5_21[[#This Row],[NOTES]]), FALSE), "P70", "P30")</f>
        <v>P30</v>
      </c>
      <c r="M493" t="s">
        <v>597</v>
      </c>
      <c r="N493">
        <f t="shared" si="18"/>
        <v>15010</v>
      </c>
    </row>
    <row r="494" spans="1:14" x14ac:dyDescent="0.2">
      <c r="A494" s="24">
        <v>493</v>
      </c>
      <c r="B494" s="23" t="s">
        <v>1132</v>
      </c>
      <c r="C494" s="23" t="s">
        <v>625</v>
      </c>
      <c r="D494" s="23">
        <f>INDEX($P$10:$Q$14, MATCH(VAV_Schedule_5_21[[#This Row],[MARK]], $P$10:$P$14, 0), 2)</f>
        <v>8</v>
      </c>
      <c r="E494">
        <v>500</v>
      </c>
      <c r="F494">
        <v>75</v>
      </c>
      <c r="G494" s="30" t="s">
        <v>623</v>
      </c>
      <c r="H494" s="30" t="s">
        <v>624</v>
      </c>
      <c r="I494" s="23">
        <v>12</v>
      </c>
      <c r="J494" s="30"/>
      <c r="K494" t="str">
        <f t="shared" si="17"/>
        <v>Cooling</v>
      </c>
      <c r="L494" t="str">
        <f>IF(IFERROR(FIND("1", VAV_Schedule_5_21[[#This Row],[NOTES]]), FALSE), "P70", "P30")</f>
        <v>P30</v>
      </c>
      <c r="M494" t="s">
        <v>597</v>
      </c>
      <c r="N494">
        <f t="shared" si="18"/>
        <v>15010</v>
      </c>
    </row>
    <row r="495" spans="1:14" x14ac:dyDescent="0.2">
      <c r="A495" s="24">
        <v>494</v>
      </c>
      <c r="B495" s="23" t="s">
        <v>1133</v>
      </c>
      <c r="C495" s="23" t="s">
        <v>628</v>
      </c>
      <c r="D495" s="23">
        <f>INDEX($P$10:$Q$14, MATCH(VAV_Schedule_5_21[[#This Row],[MARK]], $P$10:$P$14, 0), 2)</f>
        <v>12</v>
      </c>
      <c r="E495">
        <v>1340</v>
      </c>
      <c r="F495">
        <v>205</v>
      </c>
      <c r="G495" s="30" t="s">
        <v>623</v>
      </c>
      <c r="H495" s="30" t="s">
        <v>624</v>
      </c>
      <c r="I495" s="23">
        <v>12</v>
      </c>
      <c r="J495" s="30"/>
      <c r="K495" t="str">
        <f t="shared" si="17"/>
        <v>Cooling</v>
      </c>
      <c r="L495" t="str">
        <f>IF(IFERROR(FIND("1", VAV_Schedule_5_21[[#This Row],[NOTES]]), FALSE), "P70", "P30")</f>
        <v>P30</v>
      </c>
      <c r="M495" t="s">
        <v>597</v>
      </c>
      <c r="N495">
        <f t="shared" si="18"/>
        <v>15010</v>
      </c>
    </row>
    <row r="496" spans="1:14" x14ac:dyDescent="0.2">
      <c r="A496" s="24">
        <v>495</v>
      </c>
      <c r="B496" s="23" t="s">
        <v>1134</v>
      </c>
      <c r="C496" s="23" t="s">
        <v>618</v>
      </c>
      <c r="D496" s="23">
        <f>INDEX($P$10:$Q$14, MATCH(VAV_Schedule_5_21[[#This Row],[MARK]], $P$10:$P$14, 0), 2)</f>
        <v>10</v>
      </c>
      <c r="E496">
        <v>1070</v>
      </c>
      <c r="F496">
        <v>165</v>
      </c>
      <c r="G496" s="30" t="s">
        <v>623</v>
      </c>
      <c r="H496" s="30" t="s">
        <v>624</v>
      </c>
      <c r="I496" s="23">
        <v>12</v>
      </c>
      <c r="J496" s="30"/>
      <c r="K496" t="str">
        <f t="shared" si="17"/>
        <v>Cooling</v>
      </c>
      <c r="L496" t="str">
        <f>IF(IFERROR(FIND("1", VAV_Schedule_5_21[[#This Row],[NOTES]]), FALSE), "P70", "P30")</f>
        <v>P30</v>
      </c>
      <c r="M496" t="s">
        <v>597</v>
      </c>
      <c r="N496">
        <f t="shared" si="18"/>
        <v>15010</v>
      </c>
    </row>
    <row r="497" spans="1:14" x14ac:dyDescent="0.2">
      <c r="A497" s="24">
        <v>496</v>
      </c>
      <c r="B497" s="23" t="s">
        <v>1135</v>
      </c>
      <c r="C497" s="23" t="s">
        <v>628</v>
      </c>
      <c r="D497" s="23">
        <f>INDEX($P$10:$Q$14, MATCH(VAV_Schedule_5_21[[#This Row],[MARK]], $P$10:$P$14, 0), 2)</f>
        <v>12</v>
      </c>
      <c r="E497">
        <v>1350</v>
      </c>
      <c r="F497">
        <v>205</v>
      </c>
      <c r="G497" s="30" t="s">
        <v>623</v>
      </c>
      <c r="H497" s="30" t="s">
        <v>624</v>
      </c>
      <c r="I497" s="23">
        <v>12</v>
      </c>
      <c r="J497" s="30"/>
      <c r="K497" t="str">
        <f t="shared" si="17"/>
        <v>Cooling</v>
      </c>
      <c r="L497" t="str">
        <f>IF(IFERROR(FIND("1", VAV_Schedule_5_21[[#This Row],[NOTES]]), FALSE), "P70", "P30")</f>
        <v>P30</v>
      </c>
      <c r="M497" t="s">
        <v>597</v>
      </c>
      <c r="N497">
        <f t="shared" si="18"/>
        <v>15010</v>
      </c>
    </row>
    <row r="498" spans="1:14" x14ac:dyDescent="0.2">
      <c r="A498" s="24">
        <v>497</v>
      </c>
      <c r="B498" s="23" t="s">
        <v>1136</v>
      </c>
      <c r="C498" s="23" t="s">
        <v>618</v>
      </c>
      <c r="D498" s="23">
        <f>INDEX($P$10:$Q$14, MATCH(VAV_Schedule_5_21[[#This Row],[MARK]], $P$10:$P$14, 0), 2)</f>
        <v>10</v>
      </c>
      <c r="E498">
        <v>840</v>
      </c>
      <c r="F498">
        <v>130</v>
      </c>
      <c r="G498" s="30" t="s">
        <v>619</v>
      </c>
      <c r="H498" s="30" t="s">
        <v>620</v>
      </c>
      <c r="I498" s="23">
        <v>12</v>
      </c>
      <c r="J498" s="30"/>
      <c r="K498" t="str">
        <f t="shared" si="17"/>
        <v>Heating</v>
      </c>
      <c r="L498" t="str">
        <f>IF(IFERROR(FIND("1", VAV_Schedule_5_21[[#This Row],[NOTES]]), FALSE), "P70", "P30")</f>
        <v>P30</v>
      </c>
      <c r="M498" t="s">
        <v>597</v>
      </c>
      <c r="N498">
        <f t="shared" si="18"/>
        <v>15011</v>
      </c>
    </row>
    <row r="499" spans="1:14" x14ac:dyDescent="0.2">
      <c r="A499" s="24">
        <v>498</v>
      </c>
      <c r="B499" s="23" t="s">
        <v>1137</v>
      </c>
      <c r="C499" s="23" t="s">
        <v>625</v>
      </c>
      <c r="D499" s="23">
        <f>INDEX($P$10:$Q$14, MATCH(VAV_Schedule_5_21[[#This Row],[MARK]], $P$10:$P$14, 0), 2)</f>
        <v>8</v>
      </c>
      <c r="E499">
        <v>640</v>
      </c>
      <c r="F499">
        <v>100</v>
      </c>
      <c r="G499" s="30" t="s">
        <v>619</v>
      </c>
      <c r="H499" s="30" t="s">
        <v>620</v>
      </c>
      <c r="I499" s="23">
        <v>12</v>
      </c>
      <c r="J499" s="30"/>
      <c r="K499" t="str">
        <f t="shared" si="17"/>
        <v>Heating</v>
      </c>
      <c r="L499" t="str">
        <f>IF(IFERROR(FIND("1", VAV_Schedule_5_21[[#This Row],[NOTES]]), FALSE), "P70", "P30")</f>
        <v>P30</v>
      </c>
      <c r="M499" t="s">
        <v>597</v>
      </c>
      <c r="N499">
        <f t="shared" si="18"/>
        <v>15011</v>
      </c>
    </row>
    <row r="500" spans="1:14" x14ac:dyDescent="0.2">
      <c r="A500" s="24">
        <v>499</v>
      </c>
      <c r="B500" s="23" t="s">
        <v>1138</v>
      </c>
      <c r="C500" s="23" t="s">
        <v>618</v>
      </c>
      <c r="D500" s="23">
        <f>INDEX($P$10:$Q$14, MATCH(VAV_Schedule_5_21[[#This Row],[MARK]], $P$10:$P$14, 0), 2)</f>
        <v>10</v>
      </c>
      <c r="E500">
        <v>1100</v>
      </c>
      <c r="F500">
        <v>165</v>
      </c>
      <c r="G500" s="30" t="s">
        <v>1123</v>
      </c>
      <c r="H500" s="30" t="s">
        <v>622</v>
      </c>
      <c r="I500" s="23">
        <v>12</v>
      </c>
      <c r="J500" s="30" t="s">
        <v>630</v>
      </c>
      <c r="K500" t="str">
        <f t="shared" si="17"/>
        <v>Heating</v>
      </c>
      <c r="L500" t="str">
        <f>IF(IFERROR(FIND("1", VAV_Schedule_5_21[[#This Row],[NOTES]]), FALSE), "P70", "P30")</f>
        <v>P30</v>
      </c>
      <c r="M500" t="s">
        <v>597</v>
      </c>
      <c r="N500">
        <f t="shared" si="18"/>
        <v>15011</v>
      </c>
    </row>
    <row r="501" spans="1:14" x14ac:dyDescent="0.2">
      <c r="A501" s="24">
        <v>500</v>
      </c>
      <c r="B501" s="23" t="s">
        <v>1139</v>
      </c>
      <c r="C501" s="23" t="s">
        <v>625</v>
      </c>
      <c r="D501" s="23">
        <f>INDEX($P$10:$Q$14, MATCH(VAV_Schedule_5_21[[#This Row],[MARK]], $P$10:$P$14, 0), 2)</f>
        <v>8</v>
      </c>
      <c r="E501">
        <v>600</v>
      </c>
      <c r="F501">
        <v>90</v>
      </c>
      <c r="G501" s="30" t="s">
        <v>619</v>
      </c>
      <c r="H501" s="30" t="s">
        <v>620</v>
      </c>
      <c r="I501" s="23">
        <v>12</v>
      </c>
      <c r="J501" s="30"/>
      <c r="K501" t="str">
        <f t="shared" si="17"/>
        <v>Heating</v>
      </c>
      <c r="L501" t="str">
        <f>IF(IFERROR(FIND("1", VAV_Schedule_5_21[[#This Row],[NOTES]]), FALSE), "P70", "P30")</f>
        <v>P30</v>
      </c>
      <c r="M501" t="s">
        <v>597</v>
      </c>
      <c r="N501">
        <f t="shared" si="18"/>
        <v>15011</v>
      </c>
    </row>
    <row r="502" spans="1:14" x14ac:dyDescent="0.2">
      <c r="A502" s="24">
        <v>501</v>
      </c>
      <c r="B502" s="23" t="s">
        <v>1140</v>
      </c>
      <c r="C502" s="23" t="s">
        <v>632</v>
      </c>
      <c r="D502" s="23">
        <f>INDEX($P$10:$Q$14, MATCH(VAV_Schedule_5_21[[#This Row],[MARK]], $P$10:$P$14, 0), 2)</f>
        <v>6</v>
      </c>
      <c r="E502">
        <v>200</v>
      </c>
      <c r="F502">
        <v>30</v>
      </c>
      <c r="G502" s="30" t="s">
        <v>623</v>
      </c>
      <c r="H502" s="30" t="s">
        <v>624</v>
      </c>
      <c r="I502" s="23">
        <v>12</v>
      </c>
      <c r="J502" s="30"/>
      <c r="K502" t="str">
        <f t="shared" si="17"/>
        <v>Cooling</v>
      </c>
      <c r="L502" t="str">
        <f>IF(IFERROR(FIND("1", VAV_Schedule_5_21[[#This Row],[NOTES]]), FALSE), "P70", "P30")</f>
        <v>P30</v>
      </c>
      <c r="M502" t="s">
        <v>597</v>
      </c>
      <c r="N502">
        <f t="shared" si="18"/>
        <v>15010</v>
      </c>
    </row>
    <row r="503" spans="1:14" x14ac:dyDescent="0.2">
      <c r="A503" s="24">
        <v>502</v>
      </c>
      <c r="B503" s="23" t="s">
        <v>1141</v>
      </c>
      <c r="C503" s="23" t="s">
        <v>625</v>
      </c>
      <c r="D503" s="23">
        <f>INDEX($P$10:$Q$14, MATCH(VAV_Schedule_5_21[[#This Row],[MARK]], $P$10:$P$14, 0), 2)</f>
        <v>8</v>
      </c>
      <c r="E503">
        <v>700</v>
      </c>
      <c r="F503">
        <v>105</v>
      </c>
      <c r="G503" s="30" t="s">
        <v>623</v>
      </c>
      <c r="H503" s="30" t="s">
        <v>624</v>
      </c>
      <c r="I503" s="23">
        <v>12</v>
      </c>
      <c r="J503" s="30"/>
      <c r="K503" t="str">
        <f t="shared" si="17"/>
        <v>Cooling</v>
      </c>
      <c r="L503" t="str">
        <f>IF(IFERROR(FIND("1", VAV_Schedule_5_21[[#This Row],[NOTES]]), FALSE), "P70", "P30")</f>
        <v>P30</v>
      </c>
      <c r="M503" t="s">
        <v>597</v>
      </c>
      <c r="N503">
        <f t="shared" si="18"/>
        <v>15010</v>
      </c>
    </row>
    <row r="504" spans="1:14" x14ac:dyDescent="0.2">
      <c r="A504" s="24">
        <v>503</v>
      </c>
      <c r="B504" s="23" t="s">
        <v>1142</v>
      </c>
      <c r="C504" s="23" t="s">
        <v>625</v>
      </c>
      <c r="D504" s="23">
        <f>INDEX($P$10:$Q$14, MATCH(VAV_Schedule_5_21[[#This Row],[MARK]], $P$10:$P$14, 0), 2)</f>
        <v>8</v>
      </c>
      <c r="E504">
        <v>700</v>
      </c>
      <c r="F504">
        <v>105</v>
      </c>
      <c r="G504" s="30" t="s">
        <v>633</v>
      </c>
      <c r="H504" s="30" t="s">
        <v>620</v>
      </c>
      <c r="I504" s="23">
        <v>12</v>
      </c>
      <c r="J504" s="30" t="s">
        <v>630</v>
      </c>
      <c r="K504" t="str">
        <f t="shared" si="17"/>
        <v>Heating</v>
      </c>
      <c r="L504" t="str">
        <f>IF(IFERROR(FIND("1", VAV_Schedule_5_21[[#This Row],[NOTES]]), FALSE), "P70", "P30")</f>
        <v>P30</v>
      </c>
      <c r="M504" t="s">
        <v>597</v>
      </c>
      <c r="N504">
        <f t="shared" si="18"/>
        <v>15011</v>
      </c>
    </row>
    <row r="505" spans="1:14" x14ac:dyDescent="0.2">
      <c r="A505" s="24">
        <v>504</v>
      </c>
      <c r="B505" s="23" t="s">
        <v>1143</v>
      </c>
      <c r="C505" s="23" t="s">
        <v>618</v>
      </c>
      <c r="D505" s="23">
        <f>INDEX($P$10:$Q$14, MATCH(VAV_Schedule_5_21[[#This Row],[MARK]], $P$10:$P$14, 0), 2)</f>
        <v>10</v>
      </c>
      <c r="E505">
        <v>840</v>
      </c>
      <c r="F505">
        <v>130</v>
      </c>
      <c r="G505" s="30" t="s">
        <v>619</v>
      </c>
      <c r="H505" s="30" t="s">
        <v>620</v>
      </c>
      <c r="I505" s="23">
        <v>12</v>
      </c>
      <c r="J505" s="30"/>
      <c r="K505" t="str">
        <f t="shared" si="17"/>
        <v>Heating</v>
      </c>
      <c r="L505" t="str">
        <f>IF(IFERROR(FIND("1", VAV_Schedule_5_21[[#This Row],[NOTES]]), FALSE), "P70", "P30")</f>
        <v>P30</v>
      </c>
      <c r="M505" t="s">
        <v>597</v>
      </c>
      <c r="N505">
        <f t="shared" si="18"/>
        <v>15011</v>
      </c>
    </row>
    <row r="506" spans="1:14" x14ac:dyDescent="0.2">
      <c r="A506" s="24">
        <v>505</v>
      </c>
      <c r="B506" s="23" t="s">
        <v>1144</v>
      </c>
      <c r="C506" s="23" t="s">
        <v>632</v>
      </c>
      <c r="D506" s="23">
        <f>INDEX($P$10:$Q$14, MATCH(VAV_Schedule_5_21[[#This Row],[MARK]], $P$10:$P$14, 0), 2)</f>
        <v>6</v>
      </c>
      <c r="E506">
        <v>350</v>
      </c>
      <c r="F506">
        <v>55</v>
      </c>
      <c r="G506" s="30" t="s">
        <v>623</v>
      </c>
      <c r="H506" s="30" t="s">
        <v>624</v>
      </c>
      <c r="I506" s="23">
        <v>12</v>
      </c>
      <c r="J506" s="30"/>
      <c r="K506" t="str">
        <f t="shared" si="17"/>
        <v>Cooling</v>
      </c>
      <c r="L506" t="str">
        <f>IF(IFERROR(FIND("1", VAV_Schedule_5_21[[#This Row],[NOTES]]), FALSE), "P70", "P30")</f>
        <v>P30</v>
      </c>
      <c r="M506" t="s">
        <v>597</v>
      </c>
      <c r="N506">
        <f t="shared" si="18"/>
        <v>15010</v>
      </c>
    </row>
    <row r="507" spans="1:14" x14ac:dyDescent="0.2">
      <c r="A507" s="24">
        <v>506</v>
      </c>
      <c r="B507" s="23" t="s">
        <v>1145</v>
      </c>
      <c r="C507" s="23" t="s">
        <v>632</v>
      </c>
      <c r="D507" s="23">
        <f>INDEX($P$10:$Q$14, MATCH(VAV_Schedule_5_21[[#This Row],[MARK]], $P$10:$P$14, 0), 2)</f>
        <v>6</v>
      </c>
      <c r="E507">
        <v>185</v>
      </c>
      <c r="F507">
        <v>30</v>
      </c>
      <c r="G507" s="30" t="s">
        <v>623</v>
      </c>
      <c r="H507" s="30" t="s">
        <v>624</v>
      </c>
      <c r="I507" s="23">
        <v>12</v>
      </c>
      <c r="J507" s="30"/>
      <c r="K507" t="str">
        <f t="shared" si="17"/>
        <v>Cooling</v>
      </c>
      <c r="L507" t="str">
        <f>IF(IFERROR(FIND("1", VAV_Schedule_5_21[[#This Row],[NOTES]]), FALSE), "P70", "P30")</f>
        <v>P30</v>
      </c>
      <c r="M507" t="s">
        <v>597</v>
      </c>
      <c r="N507">
        <f t="shared" si="18"/>
        <v>15010</v>
      </c>
    </row>
    <row r="508" spans="1:14" x14ac:dyDescent="0.2">
      <c r="A508" s="24">
        <v>507</v>
      </c>
      <c r="B508" s="23" t="s">
        <v>1146</v>
      </c>
      <c r="C508" s="23" t="s">
        <v>625</v>
      </c>
      <c r="D508" s="23">
        <f>INDEX($P$10:$Q$14, MATCH(VAV_Schedule_5_21[[#This Row],[MARK]], $P$10:$P$14, 0), 2)</f>
        <v>8</v>
      </c>
      <c r="E508">
        <v>630</v>
      </c>
      <c r="F508">
        <v>95</v>
      </c>
      <c r="G508" s="30" t="s">
        <v>633</v>
      </c>
      <c r="H508" s="30" t="s">
        <v>620</v>
      </c>
      <c r="I508" s="23">
        <v>12</v>
      </c>
      <c r="J508" s="30"/>
      <c r="K508" t="str">
        <f t="shared" si="17"/>
        <v>Heating</v>
      </c>
      <c r="L508" t="str">
        <f>IF(IFERROR(FIND("1", VAV_Schedule_5_21[[#This Row],[NOTES]]), FALSE), "P70", "P30")</f>
        <v>P30</v>
      </c>
      <c r="M508" t="s">
        <v>597</v>
      </c>
      <c r="N508">
        <f t="shared" si="18"/>
        <v>15011</v>
      </c>
    </row>
    <row r="509" spans="1:14" x14ac:dyDescent="0.2">
      <c r="A509" s="24">
        <v>508</v>
      </c>
      <c r="B509" s="23" t="s">
        <v>1147</v>
      </c>
      <c r="C509" s="23" t="s">
        <v>625</v>
      </c>
      <c r="D509" s="23">
        <f>INDEX($P$10:$Q$14, MATCH(VAV_Schedule_5_21[[#This Row],[MARK]], $P$10:$P$14, 0), 2)</f>
        <v>8</v>
      </c>
      <c r="E509">
        <v>700</v>
      </c>
      <c r="F509">
        <v>105</v>
      </c>
      <c r="G509" s="30" t="s">
        <v>619</v>
      </c>
      <c r="H509" s="30" t="s">
        <v>620</v>
      </c>
      <c r="I509" s="23">
        <v>12</v>
      </c>
      <c r="J509" s="30"/>
      <c r="K509" t="str">
        <f t="shared" si="17"/>
        <v>Heating</v>
      </c>
      <c r="L509" t="str">
        <f>IF(IFERROR(FIND("1", VAV_Schedule_5_21[[#This Row],[NOTES]]), FALSE), "P70", "P30")</f>
        <v>P30</v>
      </c>
      <c r="M509" t="s">
        <v>597</v>
      </c>
      <c r="N509">
        <f t="shared" si="18"/>
        <v>15011</v>
      </c>
    </row>
    <row r="510" spans="1:14" x14ac:dyDescent="0.2">
      <c r="A510" s="24">
        <v>509</v>
      </c>
      <c r="B510" s="23" t="s">
        <v>1148</v>
      </c>
      <c r="C510" s="23" t="s">
        <v>618</v>
      </c>
      <c r="D510" s="23">
        <f>INDEX($P$10:$Q$14, MATCH(VAV_Schedule_5_21[[#This Row],[MARK]], $P$10:$P$14, 0), 2)</f>
        <v>10</v>
      </c>
      <c r="E510">
        <v>1100</v>
      </c>
      <c r="F510">
        <v>165</v>
      </c>
      <c r="G510" s="30" t="s">
        <v>1123</v>
      </c>
      <c r="H510" s="30" t="s">
        <v>622</v>
      </c>
      <c r="I510" s="23">
        <v>12</v>
      </c>
      <c r="J510" s="30"/>
      <c r="K510" t="str">
        <f t="shared" si="17"/>
        <v>Heating</v>
      </c>
      <c r="L510" t="str">
        <f>IF(IFERROR(FIND("1", VAV_Schedule_5_21[[#This Row],[NOTES]]), FALSE), "P70", "P30")</f>
        <v>P30</v>
      </c>
      <c r="M510" t="s">
        <v>597</v>
      </c>
      <c r="N510">
        <f t="shared" si="18"/>
        <v>15011</v>
      </c>
    </row>
    <row r="511" spans="1:14" x14ac:dyDescent="0.2">
      <c r="A511" s="24">
        <v>510</v>
      </c>
      <c r="B511" s="23" t="s">
        <v>1149</v>
      </c>
      <c r="C511" s="23" t="s">
        <v>625</v>
      </c>
      <c r="D511" s="23">
        <f>INDEX($P$10:$Q$14, MATCH(VAV_Schedule_5_21[[#This Row],[MARK]], $P$10:$P$14, 0), 2)</f>
        <v>8</v>
      </c>
      <c r="E511">
        <v>700</v>
      </c>
      <c r="F511">
        <v>105</v>
      </c>
      <c r="G511" s="30" t="s">
        <v>619</v>
      </c>
      <c r="H511" s="30" t="s">
        <v>620</v>
      </c>
      <c r="I511" s="23">
        <v>12</v>
      </c>
      <c r="J511" s="30" t="s">
        <v>630</v>
      </c>
      <c r="K511" t="str">
        <f t="shared" si="17"/>
        <v>Heating</v>
      </c>
      <c r="L511" t="str">
        <f>IF(IFERROR(FIND("1", VAV_Schedule_5_21[[#This Row],[NOTES]]), FALSE), "P70", "P30")</f>
        <v>P30</v>
      </c>
      <c r="M511" t="s">
        <v>597</v>
      </c>
      <c r="N511">
        <f t="shared" si="18"/>
        <v>15011</v>
      </c>
    </row>
    <row r="512" spans="1:14" x14ac:dyDescent="0.2">
      <c r="A512" s="24">
        <v>511</v>
      </c>
      <c r="B512" s="23" t="s">
        <v>1150</v>
      </c>
      <c r="C512" s="23" t="s">
        <v>628</v>
      </c>
      <c r="D512" s="23">
        <f>INDEX($P$10:$Q$14, MATCH(VAV_Schedule_5_21[[#This Row],[MARK]], $P$10:$P$14, 0), 2)</f>
        <v>12</v>
      </c>
      <c r="E512">
        <v>1300</v>
      </c>
      <c r="F512">
        <v>195</v>
      </c>
      <c r="G512" s="30" t="s">
        <v>623</v>
      </c>
      <c r="H512" s="30" t="s">
        <v>624</v>
      </c>
      <c r="I512" s="23">
        <v>12</v>
      </c>
      <c r="J512" s="30"/>
      <c r="K512" t="str">
        <f t="shared" si="17"/>
        <v>Cooling</v>
      </c>
      <c r="L512" t="str">
        <f>IF(IFERROR(FIND("1", VAV_Schedule_5_21[[#This Row],[NOTES]]), FALSE), "P70", "P30")</f>
        <v>P30</v>
      </c>
      <c r="M512" t="s">
        <v>597</v>
      </c>
      <c r="N512">
        <f t="shared" si="18"/>
        <v>15010</v>
      </c>
    </row>
    <row r="513" spans="1:14" x14ac:dyDescent="0.2">
      <c r="A513" s="24">
        <v>512</v>
      </c>
      <c r="B513" s="23" t="s">
        <v>1151</v>
      </c>
      <c r="C513" s="23" t="s">
        <v>618</v>
      </c>
      <c r="D513" s="23">
        <f>INDEX($P$10:$Q$14, MATCH(VAV_Schedule_5_21[[#This Row],[MARK]], $P$10:$P$14, 0), 2)</f>
        <v>10</v>
      </c>
      <c r="E513">
        <v>1100</v>
      </c>
      <c r="F513">
        <v>165</v>
      </c>
      <c r="G513" s="30" t="s">
        <v>623</v>
      </c>
      <c r="H513" s="30" t="s">
        <v>624</v>
      </c>
      <c r="I513" s="23">
        <v>12</v>
      </c>
      <c r="J513" s="30" t="s">
        <v>630</v>
      </c>
      <c r="K513" t="str">
        <f t="shared" si="17"/>
        <v>Cooling</v>
      </c>
      <c r="L513" t="str">
        <f>IF(IFERROR(FIND("1", VAV_Schedule_5_21[[#This Row],[NOTES]]), FALSE), "P70", "P30")</f>
        <v>P30</v>
      </c>
      <c r="M513" t="s">
        <v>597</v>
      </c>
      <c r="N513">
        <f t="shared" si="18"/>
        <v>15010</v>
      </c>
    </row>
    <row r="514" spans="1:14" x14ac:dyDescent="0.2">
      <c r="A514" s="24">
        <v>513</v>
      </c>
      <c r="B514" s="23" t="s">
        <v>1152</v>
      </c>
      <c r="C514" s="23" t="s">
        <v>628</v>
      </c>
      <c r="D514" s="23">
        <f>INDEX($P$10:$Q$14, MATCH(VAV_Schedule_5_21[[#This Row],[MARK]], $P$10:$P$14, 0), 2)</f>
        <v>12</v>
      </c>
      <c r="E514">
        <v>1600</v>
      </c>
      <c r="F514">
        <v>240</v>
      </c>
      <c r="G514" s="30" t="s">
        <v>623</v>
      </c>
      <c r="H514" s="30" t="s">
        <v>624</v>
      </c>
      <c r="I514" s="23">
        <v>12</v>
      </c>
      <c r="J514" s="30" t="s">
        <v>630</v>
      </c>
      <c r="K514" t="str">
        <f t="shared" si="17"/>
        <v>Cooling</v>
      </c>
      <c r="L514" t="str">
        <f>IF(IFERROR(FIND("1", VAV_Schedule_5_21[[#This Row],[NOTES]]), FALSE), "P70", "P30")</f>
        <v>P30</v>
      </c>
      <c r="M514" t="s">
        <v>597</v>
      </c>
      <c r="N514">
        <f t="shared" si="18"/>
        <v>15010</v>
      </c>
    </row>
    <row r="515" spans="1:14" x14ac:dyDescent="0.2">
      <c r="A515" s="24">
        <v>514</v>
      </c>
      <c r="B515" s="23" t="s">
        <v>1153</v>
      </c>
      <c r="C515" s="23" t="s">
        <v>618</v>
      </c>
      <c r="D515" s="23">
        <f>INDEX($P$10:$Q$14, MATCH(VAV_Schedule_5_21[[#This Row],[MARK]], $P$10:$P$14, 0), 2)</f>
        <v>10</v>
      </c>
      <c r="E515">
        <v>800</v>
      </c>
      <c r="F515">
        <v>120</v>
      </c>
      <c r="G515" s="30" t="s">
        <v>621</v>
      </c>
      <c r="H515" s="30" t="s">
        <v>622</v>
      </c>
      <c r="I515" s="23">
        <v>12</v>
      </c>
      <c r="J515" s="30"/>
      <c r="K515" t="str">
        <f t="shared" si="17"/>
        <v>Heating</v>
      </c>
      <c r="L515" t="str">
        <f>IF(IFERROR(FIND("1", VAV_Schedule_5_21[[#This Row],[NOTES]]), FALSE), "P70", "P30")</f>
        <v>P30</v>
      </c>
      <c r="M515" t="s">
        <v>597</v>
      </c>
      <c r="N515">
        <f t="shared" si="18"/>
        <v>15011</v>
      </c>
    </row>
    <row r="516" spans="1:14" x14ac:dyDescent="0.2">
      <c r="A516" s="24">
        <v>515</v>
      </c>
      <c r="B516" s="23" t="s">
        <v>1154</v>
      </c>
      <c r="C516" s="23" t="s">
        <v>628</v>
      </c>
      <c r="D516" s="23">
        <f>INDEX($P$10:$Q$14, MATCH(VAV_Schedule_5_21[[#This Row],[MARK]], $P$10:$P$14, 0), 2)</f>
        <v>12</v>
      </c>
      <c r="E516">
        <v>1400</v>
      </c>
      <c r="F516">
        <v>210</v>
      </c>
      <c r="G516" s="30" t="s">
        <v>621</v>
      </c>
      <c r="H516" s="30" t="s">
        <v>622</v>
      </c>
      <c r="I516" s="23">
        <v>12</v>
      </c>
      <c r="J516" s="30"/>
      <c r="K516" t="str">
        <f t="shared" si="17"/>
        <v>Heating</v>
      </c>
      <c r="L516" t="str">
        <f>IF(IFERROR(FIND("1", VAV_Schedule_5_21[[#This Row],[NOTES]]), FALSE), "P70", "P30")</f>
        <v>P30</v>
      </c>
      <c r="M516" t="s">
        <v>597</v>
      </c>
      <c r="N516">
        <f t="shared" si="18"/>
        <v>15011</v>
      </c>
    </row>
    <row r="517" spans="1:14" x14ac:dyDescent="0.2">
      <c r="A517" s="24">
        <v>516</v>
      </c>
      <c r="B517" s="23" t="s">
        <v>1155</v>
      </c>
      <c r="C517" s="23" t="s">
        <v>625</v>
      </c>
      <c r="D517" s="23">
        <f>INDEX($P$10:$Q$14, MATCH(VAV_Schedule_5_21[[#This Row],[MARK]], $P$10:$P$14, 0), 2)</f>
        <v>8</v>
      </c>
      <c r="E517">
        <v>645</v>
      </c>
      <c r="F517">
        <v>100</v>
      </c>
      <c r="G517" s="30" t="s">
        <v>623</v>
      </c>
      <c r="H517" s="30" t="s">
        <v>624</v>
      </c>
      <c r="I517" s="23">
        <v>12</v>
      </c>
      <c r="J517" s="30"/>
      <c r="K517" t="str">
        <f t="shared" si="17"/>
        <v>Cooling</v>
      </c>
      <c r="L517" t="str">
        <f>IF(IFERROR(FIND("1", VAV_Schedule_5_21[[#This Row],[NOTES]]), FALSE), "P70", "P30")</f>
        <v>P30</v>
      </c>
      <c r="M517" t="s">
        <v>597</v>
      </c>
      <c r="N517">
        <f t="shared" si="18"/>
        <v>15010</v>
      </c>
    </row>
    <row r="518" spans="1:14" x14ac:dyDescent="0.2">
      <c r="A518" s="24">
        <v>517</v>
      </c>
      <c r="B518" s="23" t="s">
        <v>1156</v>
      </c>
      <c r="C518" s="23" t="s">
        <v>628</v>
      </c>
      <c r="D518" s="23">
        <f>INDEX($P$10:$Q$14, MATCH(VAV_Schedule_5_21[[#This Row],[MARK]], $P$10:$P$14, 0), 2)</f>
        <v>12</v>
      </c>
      <c r="E518">
        <v>1600</v>
      </c>
      <c r="F518">
        <v>240</v>
      </c>
      <c r="G518" s="30" t="s">
        <v>623</v>
      </c>
      <c r="H518" s="30" t="s">
        <v>624</v>
      </c>
      <c r="I518" s="23">
        <v>12</v>
      </c>
      <c r="J518" s="30" t="s">
        <v>630</v>
      </c>
      <c r="K518" t="str">
        <f t="shared" si="17"/>
        <v>Cooling</v>
      </c>
      <c r="L518" t="str">
        <f>IF(IFERROR(FIND("1", VAV_Schedule_5_21[[#This Row],[NOTES]]), FALSE), "P70", "P30")</f>
        <v>P30</v>
      </c>
      <c r="M518" t="s">
        <v>597</v>
      </c>
      <c r="N518">
        <f t="shared" si="18"/>
        <v>15010</v>
      </c>
    </row>
    <row r="519" spans="1:14" x14ac:dyDescent="0.2">
      <c r="A519" s="24">
        <v>518</v>
      </c>
      <c r="B519" s="23" t="s">
        <v>1157</v>
      </c>
      <c r="C519" s="23" t="s">
        <v>628</v>
      </c>
      <c r="D519" s="23">
        <f>INDEX($P$10:$Q$14, MATCH(VAV_Schedule_5_21[[#This Row],[MARK]], $P$10:$P$14, 0), 2)</f>
        <v>12</v>
      </c>
      <c r="E519">
        <v>1200</v>
      </c>
      <c r="F519">
        <v>180</v>
      </c>
      <c r="G519" s="30" t="s">
        <v>623</v>
      </c>
      <c r="H519" s="30" t="s">
        <v>624</v>
      </c>
      <c r="I519" s="23">
        <v>12</v>
      </c>
      <c r="J519" s="30"/>
      <c r="K519" t="str">
        <f t="shared" si="17"/>
        <v>Cooling</v>
      </c>
      <c r="L519" t="str">
        <f>IF(IFERROR(FIND("1", VAV_Schedule_5_21[[#This Row],[NOTES]]), FALSE), "P70", "P30")</f>
        <v>P30</v>
      </c>
      <c r="M519" t="s">
        <v>597</v>
      </c>
      <c r="N519">
        <f t="shared" si="18"/>
        <v>15010</v>
      </c>
    </row>
    <row r="520" spans="1:14" x14ac:dyDescent="0.2">
      <c r="A520" s="24">
        <v>519</v>
      </c>
      <c r="B520" s="23" t="s">
        <v>1158</v>
      </c>
      <c r="C520" s="23" t="s">
        <v>618</v>
      </c>
      <c r="D520" s="23">
        <f>INDEX($P$10:$Q$14, MATCH(VAV_Schedule_5_21[[#This Row],[MARK]], $P$10:$P$14, 0), 2)</f>
        <v>10</v>
      </c>
      <c r="E520">
        <v>800</v>
      </c>
      <c r="F520">
        <v>120</v>
      </c>
      <c r="G520" s="30" t="s">
        <v>621</v>
      </c>
      <c r="H520" s="30" t="s">
        <v>622</v>
      </c>
      <c r="I520" s="23">
        <v>12</v>
      </c>
      <c r="J520" s="30"/>
      <c r="K520" t="str">
        <f t="shared" si="17"/>
        <v>Heating</v>
      </c>
      <c r="L520" t="str">
        <f>IF(IFERROR(FIND("1", VAV_Schedule_5_21[[#This Row],[NOTES]]), FALSE), "P70", "P30")</f>
        <v>P30</v>
      </c>
      <c r="M520" t="s">
        <v>597</v>
      </c>
      <c r="N520">
        <f t="shared" si="18"/>
        <v>15011</v>
      </c>
    </row>
    <row r="521" spans="1:14" x14ac:dyDescent="0.2">
      <c r="A521" s="24">
        <v>520</v>
      </c>
      <c r="B521" s="23" t="s">
        <v>1159</v>
      </c>
      <c r="C521" s="23" t="s">
        <v>625</v>
      </c>
      <c r="D521" s="23">
        <f>INDEX($P$10:$Q$14, MATCH(VAV_Schedule_5_21[[#This Row],[MARK]], $P$10:$P$14, 0), 2)</f>
        <v>8</v>
      </c>
      <c r="E521">
        <v>640</v>
      </c>
      <c r="F521">
        <v>100</v>
      </c>
      <c r="G521" s="30" t="s">
        <v>619</v>
      </c>
      <c r="H521" s="30" t="s">
        <v>620</v>
      </c>
      <c r="I521" s="23">
        <v>12</v>
      </c>
      <c r="J521" s="30"/>
      <c r="K521" t="str">
        <f t="shared" si="17"/>
        <v>Heating</v>
      </c>
      <c r="L521" t="str">
        <f>IF(IFERROR(FIND("1", VAV_Schedule_5_21[[#This Row],[NOTES]]), FALSE), "P70", "P30")</f>
        <v>P30</v>
      </c>
      <c r="M521" t="s">
        <v>597</v>
      </c>
      <c r="N521">
        <f t="shared" si="18"/>
        <v>15011</v>
      </c>
    </row>
    <row r="522" spans="1:14" x14ac:dyDescent="0.2">
      <c r="A522" s="24">
        <v>521</v>
      </c>
      <c r="B522" s="23" t="s">
        <v>1160</v>
      </c>
      <c r="C522" s="23" t="s">
        <v>628</v>
      </c>
      <c r="D522" s="23">
        <f>INDEX($P$10:$Q$14, MATCH(VAV_Schedule_5_21[[#This Row],[MARK]], $P$10:$P$14, 0), 2)</f>
        <v>12</v>
      </c>
      <c r="E522">
        <v>1140</v>
      </c>
      <c r="F522">
        <v>175</v>
      </c>
      <c r="G522" s="30" t="s">
        <v>1123</v>
      </c>
      <c r="H522" s="30" t="s">
        <v>622</v>
      </c>
      <c r="I522" s="23">
        <v>12</v>
      </c>
      <c r="J522" s="30"/>
      <c r="K522" t="str">
        <f t="shared" si="17"/>
        <v>Heating</v>
      </c>
      <c r="L522" t="str">
        <f>IF(IFERROR(FIND("1", VAV_Schedule_5_21[[#This Row],[NOTES]]), FALSE), "P70", "P30")</f>
        <v>P30</v>
      </c>
      <c r="M522" t="s">
        <v>597</v>
      </c>
      <c r="N522">
        <f t="shared" si="18"/>
        <v>15011</v>
      </c>
    </row>
    <row r="523" spans="1:14" x14ac:dyDescent="0.2">
      <c r="A523" s="24">
        <v>522</v>
      </c>
      <c r="B523" s="23" t="s">
        <v>1161</v>
      </c>
      <c r="C523" s="23" t="s">
        <v>625</v>
      </c>
      <c r="D523" s="23">
        <f>INDEX($P$10:$Q$14, MATCH(VAV_Schedule_5_21[[#This Row],[MARK]], $P$10:$P$14, 0), 2)</f>
        <v>8</v>
      </c>
      <c r="E523">
        <v>700</v>
      </c>
      <c r="F523">
        <v>105</v>
      </c>
      <c r="G523" s="30" t="s">
        <v>619</v>
      </c>
      <c r="H523" s="30" t="s">
        <v>620</v>
      </c>
      <c r="I523" s="23">
        <v>12</v>
      </c>
      <c r="J523" s="30"/>
      <c r="K523" t="str">
        <f t="shared" si="17"/>
        <v>Heating</v>
      </c>
      <c r="L523" t="str">
        <f>IF(IFERROR(FIND("1", VAV_Schedule_5_21[[#This Row],[NOTES]]), FALSE), "P70", "P30")</f>
        <v>P30</v>
      </c>
      <c r="M523" t="s">
        <v>597</v>
      </c>
      <c r="N523">
        <f t="shared" si="18"/>
        <v>15011</v>
      </c>
    </row>
    <row r="524" spans="1:14" x14ac:dyDescent="0.2">
      <c r="A524" s="24">
        <v>523</v>
      </c>
      <c r="B524" s="23" t="s">
        <v>1162</v>
      </c>
      <c r="C524" s="23" t="s">
        <v>618</v>
      </c>
      <c r="D524" s="23">
        <f>INDEX($P$10:$Q$14, MATCH(VAV_Schedule_5_21[[#This Row],[MARK]], $P$10:$P$14, 0), 2)</f>
        <v>10</v>
      </c>
      <c r="E524">
        <v>730</v>
      </c>
      <c r="F524">
        <v>110</v>
      </c>
      <c r="G524" s="30" t="s">
        <v>623</v>
      </c>
      <c r="H524" s="30" t="s">
        <v>624</v>
      </c>
      <c r="I524" s="23">
        <v>12</v>
      </c>
      <c r="J524" s="30"/>
      <c r="K524" t="str">
        <f t="shared" si="17"/>
        <v>Cooling</v>
      </c>
      <c r="L524" t="str">
        <f>IF(IFERROR(FIND("1", VAV_Schedule_5_21[[#This Row],[NOTES]]), FALSE), "P70", "P30")</f>
        <v>P30</v>
      </c>
      <c r="M524" t="s">
        <v>597</v>
      </c>
      <c r="N524">
        <f t="shared" si="18"/>
        <v>15010</v>
      </c>
    </row>
    <row r="525" spans="1:14" x14ac:dyDescent="0.2">
      <c r="A525" s="24">
        <v>524</v>
      </c>
      <c r="B525" s="23" t="s">
        <v>1163</v>
      </c>
      <c r="C525" s="23" t="s">
        <v>618</v>
      </c>
      <c r="D525" s="23">
        <f>INDEX($P$10:$Q$14, MATCH(VAV_Schedule_5_21[[#This Row],[MARK]], $P$10:$P$14, 0), 2)</f>
        <v>10</v>
      </c>
      <c r="E525">
        <v>920</v>
      </c>
      <c r="F525">
        <v>140</v>
      </c>
      <c r="G525" s="30" t="s">
        <v>633</v>
      </c>
      <c r="H525" s="30" t="s">
        <v>620</v>
      </c>
      <c r="I525" s="23">
        <v>12</v>
      </c>
      <c r="J525" s="30"/>
      <c r="K525" t="str">
        <f t="shared" si="17"/>
        <v>Heating</v>
      </c>
      <c r="L525" t="str">
        <f>IF(IFERROR(FIND("1", VAV_Schedule_5_21[[#This Row],[NOTES]]), FALSE), "P70", "P30")</f>
        <v>P30</v>
      </c>
      <c r="M525" t="s">
        <v>597</v>
      </c>
      <c r="N525">
        <f t="shared" si="18"/>
        <v>15011</v>
      </c>
    </row>
    <row r="526" spans="1:14" x14ac:dyDescent="0.2">
      <c r="A526" s="24">
        <v>525</v>
      </c>
      <c r="B526" s="23" t="s">
        <v>1164</v>
      </c>
      <c r="C526" s="23" t="s">
        <v>618</v>
      </c>
      <c r="D526" s="23">
        <f>INDEX($P$10:$Q$14, MATCH(VAV_Schedule_5_21[[#This Row],[MARK]], $P$10:$P$14, 0), 2)</f>
        <v>10</v>
      </c>
      <c r="E526">
        <v>960</v>
      </c>
      <c r="F526">
        <v>145</v>
      </c>
      <c r="G526" s="30" t="s">
        <v>619</v>
      </c>
      <c r="H526" s="30" t="s">
        <v>620</v>
      </c>
      <c r="I526" s="23">
        <v>12</v>
      </c>
      <c r="J526" s="30"/>
      <c r="K526" t="str">
        <f t="shared" si="17"/>
        <v>Heating</v>
      </c>
      <c r="L526" t="str">
        <f>IF(IFERROR(FIND("1", VAV_Schedule_5_21[[#This Row],[NOTES]]), FALSE), "P70", "P30")</f>
        <v>P30</v>
      </c>
      <c r="M526" t="s">
        <v>597</v>
      </c>
      <c r="N526">
        <f t="shared" si="18"/>
        <v>15011</v>
      </c>
    </row>
    <row r="527" spans="1:14" x14ac:dyDescent="0.2">
      <c r="A527" s="24">
        <v>526</v>
      </c>
      <c r="B527" s="23" t="s">
        <v>1165</v>
      </c>
      <c r="C527" s="23" t="s">
        <v>618</v>
      </c>
      <c r="D527" s="23">
        <f>INDEX($P$10:$Q$14, MATCH(VAV_Schedule_5_21[[#This Row],[MARK]], $P$10:$P$14, 0), 2)</f>
        <v>10</v>
      </c>
      <c r="E527">
        <v>920</v>
      </c>
      <c r="F527">
        <v>140</v>
      </c>
      <c r="G527" s="30" t="s">
        <v>631</v>
      </c>
      <c r="H527" s="30" t="s">
        <v>622</v>
      </c>
      <c r="I527" s="23">
        <v>12</v>
      </c>
      <c r="J527" s="30"/>
      <c r="K527" t="str">
        <f t="shared" si="17"/>
        <v>Heating</v>
      </c>
      <c r="L527" t="str">
        <f>IF(IFERROR(FIND("1", VAV_Schedule_5_21[[#This Row],[NOTES]]), FALSE), "P70", "P30")</f>
        <v>P30</v>
      </c>
      <c r="M527" t="s">
        <v>597</v>
      </c>
      <c r="N527">
        <f t="shared" si="18"/>
        <v>15011</v>
      </c>
    </row>
    <row r="528" spans="1:14" x14ac:dyDescent="0.2">
      <c r="A528" s="24">
        <v>527</v>
      </c>
      <c r="B528" s="23" t="s">
        <v>1166</v>
      </c>
      <c r="C528" s="23" t="s">
        <v>625</v>
      </c>
      <c r="D528" s="23">
        <f>INDEX($P$10:$Q$14, MATCH(VAV_Schedule_5_21[[#This Row],[MARK]], $P$10:$P$14, 0), 2)</f>
        <v>8</v>
      </c>
      <c r="E528">
        <v>660</v>
      </c>
      <c r="F528">
        <v>100</v>
      </c>
      <c r="G528" s="30" t="s">
        <v>619</v>
      </c>
      <c r="H528" s="30" t="s">
        <v>620</v>
      </c>
      <c r="I528" s="23">
        <v>12</v>
      </c>
      <c r="J528" s="30"/>
      <c r="K528" t="str">
        <f t="shared" si="17"/>
        <v>Heating</v>
      </c>
      <c r="L528" t="str">
        <f>IF(IFERROR(FIND("1", VAV_Schedule_5_21[[#This Row],[NOTES]]), FALSE), "P70", "P30")</f>
        <v>P30</v>
      </c>
      <c r="M528" t="s">
        <v>597</v>
      </c>
      <c r="N528">
        <f t="shared" si="18"/>
        <v>15011</v>
      </c>
    </row>
    <row r="529" spans="1:14" x14ac:dyDescent="0.2">
      <c r="A529" s="24">
        <v>528</v>
      </c>
      <c r="B529" s="23" t="s">
        <v>1167</v>
      </c>
      <c r="C529" s="23" t="s">
        <v>618</v>
      </c>
      <c r="D529" s="23">
        <f>INDEX($P$10:$Q$14, MATCH(VAV_Schedule_5_21[[#This Row],[MARK]], $P$10:$P$14, 0), 2)</f>
        <v>10</v>
      </c>
      <c r="E529">
        <v>1050</v>
      </c>
      <c r="F529">
        <v>160</v>
      </c>
      <c r="G529" s="30" t="s">
        <v>1123</v>
      </c>
      <c r="H529" s="30" t="s">
        <v>622</v>
      </c>
      <c r="I529" s="23">
        <v>14</v>
      </c>
      <c r="J529" s="30"/>
      <c r="K529" t="str">
        <f t="shared" si="17"/>
        <v>Heating</v>
      </c>
      <c r="L529" t="str">
        <f>IF(IFERROR(FIND("1", VAV_Schedule_5_21[[#This Row],[NOTES]]), FALSE), "P70", "P30")</f>
        <v>P30</v>
      </c>
      <c r="M529" t="s">
        <v>597</v>
      </c>
      <c r="N529">
        <f t="shared" si="18"/>
        <v>15011</v>
      </c>
    </row>
    <row r="530" spans="1:14" x14ac:dyDescent="0.2">
      <c r="A530" s="24">
        <v>529</v>
      </c>
      <c r="B530" s="23" t="s">
        <v>1168</v>
      </c>
      <c r="C530" s="23" t="s">
        <v>625</v>
      </c>
      <c r="D530" s="23">
        <f>INDEX($P$10:$Q$14, MATCH(VAV_Schedule_5_21[[#This Row],[MARK]], $P$10:$P$14, 0), 2)</f>
        <v>8</v>
      </c>
      <c r="E530">
        <v>640</v>
      </c>
      <c r="F530">
        <v>100</v>
      </c>
      <c r="G530" s="30" t="s">
        <v>619</v>
      </c>
      <c r="H530" s="30" t="s">
        <v>620</v>
      </c>
      <c r="I530" s="23">
        <v>14</v>
      </c>
      <c r="J530" s="30"/>
      <c r="K530" t="str">
        <f t="shared" si="17"/>
        <v>Heating</v>
      </c>
      <c r="L530" t="str">
        <f>IF(IFERROR(FIND("1", VAV_Schedule_5_21[[#This Row],[NOTES]]), FALSE), "P70", "P30")</f>
        <v>P30</v>
      </c>
      <c r="M530" t="s">
        <v>597</v>
      </c>
      <c r="N530">
        <f t="shared" si="18"/>
        <v>15011</v>
      </c>
    </row>
    <row r="531" spans="1:14" x14ac:dyDescent="0.2">
      <c r="A531" s="24">
        <v>530</v>
      </c>
      <c r="B531" s="23" t="s">
        <v>1169</v>
      </c>
      <c r="C531" s="23" t="s">
        <v>625</v>
      </c>
      <c r="D531" s="23">
        <f>INDEX($P$10:$Q$14, MATCH(VAV_Schedule_5_21[[#This Row],[MARK]], $P$10:$P$14, 0), 2)</f>
        <v>8</v>
      </c>
      <c r="E531">
        <v>640</v>
      </c>
      <c r="F531">
        <v>100</v>
      </c>
      <c r="G531" s="30" t="s">
        <v>619</v>
      </c>
      <c r="H531" s="30" t="s">
        <v>620</v>
      </c>
      <c r="I531" s="23">
        <v>14</v>
      </c>
      <c r="J531" s="30"/>
      <c r="K531" t="str">
        <f t="shared" si="17"/>
        <v>Heating</v>
      </c>
      <c r="L531" t="str">
        <f>IF(IFERROR(FIND("1", VAV_Schedule_5_21[[#This Row],[NOTES]]), FALSE), "P70", "P30")</f>
        <v>P30</v>
      </c>
      <c r="M531" t="s">
        <v>597</v>
      </c>
      <c r="N531">
        <f t="shared" si="18"/>
        <v>15011</v>
      </c>
    </row>
    <row r="532" spans="1:14" x14ac:dyDescent="0.2">
      <c r="A532" s="24">
        <v>531</v>
      </c>
      <c r="B532" s="23" t="s">
        <v>1170</v>
      </c>
      <c r="C532" s="23" t="s">
        <v>618</v>
      </c>
      <c r="D532" s="23">
        <f>INDEX($P$10:$Q$14, MATCH(VAV_Schedule_5_21[[#This Row],[MARK]], $P$10:$P$14, 0), 2)</f>
        <v>10</v>
      </c>
      <c r="E532">
        <v>840</v>
      </c>
      <c r="F532">
        <v>130</v>
      </c>
      <c r="G532" s="30" t="s">
        <v>619</v>
      </c>
      <c r="H532" s="30" t="s">
        <v>620</v>
      </c>
      <c r="I532" s="23">
        <v>14</v>
      </c>
      <c r="J532" s="30"/>
      <c r="K532" t="str">
        <f t="shared" si="17"/>
        <v>Heating</v>
      </c>
      <c r="L532" t="str">
        <f>IF(IFERROR(FIND("1", VAV_Schedule_5_21[[#This Row],[NOTES]]), FALSE), "P70", "P30")</f>
        <v>P30</v>
      </c>
      <c r="M532" t="s">
        <v>597</v>
      </c>
      <c r="N532">
        <f t="shared" si="18"/>
        <v>15011</v>
      </c>
    </row>
    <row r="533" spans="1:14" x14ac:dyDescent="0.2">
      <c r="A533" s="24">
        <v>532</v>
      </c>
      <c r="B533" s="23" t="s">
        <v>1171</v>
      </c>
      <c r="C533" s="23" t="s">
        <v>628</v>
      </c>
      <c r="D533" s="23">
        <f>INDEX($P$10:$Q$14, MATCH(VAV_Schedule_5_21[[#This Row],[MARK]], $P$10:$P$14, 0), 2)</f>
        <v>12</v>
      </c>
      <c r="E533">
        <v>1200</v>
      </c>
      <c r="F533">
        <v>180</v>
      </c>
      <c r="G533" s="30" t="s">
        <v>623</v>
      </c>
      <c r="H533" s="30" t="s">
        <v>624</v>
      </c>
      <c r="I533" s="23">
        <v>14</v>
      </c>
      <c r="J533" s="30"/>
      <c r="K533" t="str">
        <f t="shared" si="17"/>
        <v>Cooling</v>
      </c>
      <c r="L533" t="str">
        <f>IF(IFERROR(FIND("1", VAV_Schedule_5_21[[#This Row],[NOTES]]), FALSE), "P70", "P30")</f>
        <v>P30</v>
      </c>
      <c r="M533" t="s">
        <v>597</v>
      </c>
      <c r="N533">
        <f t="shared" si="18"/>
        <v>15010</v>
      </c>
    </row>
    <row r="534" spans="1:14" x14ac:dyDescent="0.2">
      <c r="A534" s="24">
        <v>533</v>
      </c>
      <c r="B534" s="23" t="s">
        <v>1172</v>
      </c>
      <c r="C534" s="23" t="s">
        <v>618</v>
      </c>
      <c r="D534" s="23">
        <f>INDEX($P$10:$Q$14, MATCH(VAV_Schedule_5_21[[#This Row],[MARK]], $P$10:$P$14, 0), 2)</f>
        <v>10</v>
      </c>
      <c r="E534">
        <v>1120</v>
      </c>
      <c r="F534">
        <v>170</v>
      </c>
      <c r="G534" s="30" t="s">
        <v>623</v>
      </c>
      <c r="H534" s="30" t="s">
        <v>624</v>
      </c>
      <c r="I534" s="23">
        <v>14</v>
      </c>
      <c r="J534" s="30"/>
      <c r="K534" t="str">
        <f t="shared" si="17"/>
        <v>Cooling</v>
      </c>
      <c r="L534" t="str">
        <f>IF(IFERROR(FIND("1", VAV_Schedule_5_21[[#This Row],[NOTES]]), FALSE), "P70", "P30")</f>
        <v>P30</v>
      </c>
      <c r="M534" t="s">
        <v>597</v>
      </c>
      <c r="N534">
        <f t="shared" si="18"/>
        <v>15010</v>
      </c>
    </row>
    <row r="535" spans="1:14" x14ac:dyDescent="0.2">
      <c r="A535" s="24">
        <v>534</v>
      </c>
      <c r="B535" s="23" t="s">
        <v>1173</v>
      </c>
      <c r="C535" s="23" t="s">
        <v>625</v>
      </c>
      <c r="D535" s="23">
        <f>INDEX($P$10:$Q$14, MATCH(VAV_Schedule_5_21[[#This Row],[MARK]], $P$10:$P$14, 0), 2)</f>
        <v>8</v>
      </c>
      <c r="E535">
        <v>600</v>
      </c>
      <c r="F535">
        <v>90</v>
      </c>
      <c r="G535" s="30" t="s">
        <v>623</v>
      </c>
      <c r="H535" s="30" t="s">
        <v>624</v>
      </c>
      <c r="I535" s="23">
        <v>14</v>
      </c>
      <c r="J535" s="30"/>
      <c r="K535" t="str">
        <f t="shared" si="17"/>
        <v>Cooling</v>
      </c>
      <c r="L535" t="str">
        <f>IF(IFERROR(FIND("1", VAV_Schedule_5_21[[#This Row],[NOTES]]), FALSE), "P70", "P30")</f>
        <v>P30</v>
      </c>
      <c r="M535" t="s">
        <v>597</v>
      </c>
      <c r="N535">
        <f t="shared" si="18"/>
        <v>15010</v>
      </c>
    </row>
    <row r="536" spans="1:14" x14ac:dyDescent="0.2">
      <c r="A536" s="24">
        <v>535</v>
      </c>
      <c r="B536" s="23" t="s">
        <v>1174</v>
      </c>
      <c r="C536" s="23" t="s">
        <v>628</v>
      </c>
      <c r="D536" s="23">
        <f>INDEX($P$10:$Q$14, MATCH(VAV_Schedule_5_21[[#This Row],[MARK]], $P$10:$P$14, 0), 2)</f>
        <v>12</v>
      </c>
      <c r="E536">
        <v>1370</v>
      </c>
      <c r="F536">
        <v>210</v>
      </c>
      <c r="G536" s="30" t="s">
        <v>623</v>
      </c>
      <c r="H536" s="30" t="s">
        <v>624</v>
      </c>
      <c r="I536" s="23">
        <v>14</v>
      </c>
      <c r="J536" s="30"/>
      <c r="K536" t="str">
        <f t="shared" si="17"/>
        <v>Cooling</v>
      </c>
      <c r="L536" t="str">
        <f>IF(IFERROR(FIND("1", VAV_Schedule_5_21[[#This Row],[NOTES]]), FALSE), "P70", "P30")</f>
        <v>P30</v>
      </c>
      <c r="M536" t="s">
        <v>597</v>
      </c>
      <c r="N536">
        <f t="shared" si="18"/>
        <v>15010</v>
      </c>
    </row>
    <row r="537" spans="1:14" x14ac:dyDescent="0.2">
      <c r="A537" s="24">
        <v>536</v>
      </c>
      <c r="B537" s="23" t="s">
        <v>1175</v>
      </c>
      <c r="C537" s="23" t="s">
        <v>625</v>
      </c>
      <c r="D537" s="23">
        <f>INDEX($P$10:$Q$14, MATCH(VAV_Schedule_5_21[[#This Row],[MARK]], $P$10:$P$14, 0), 2)</f>
        <v>8</v>
      </c>
      <c r="E537">
        <v>550</v>
      </c>
      <c r="F537">
        <v>85</v>
      </c>
      <c r="G537" s="30" t="s">
        <v>623</v>
      </c>
      <c r="H537" s="30" t="s">
        <v>624</v>
      </c>
      <c r="I537" s="23">
        <v>14</v>
      </c>
      <c r="J537" s="30"/>
      <c r="K537" t="str">
        <f t="shared" si="17"/>
        <v>Cooling</v>
      </c>
      <c r="L537" t="str">
        <f>IF(IFERROR(FIND("1", VAV_Schedule_5_21[[#This Row],[NOTES]]), FALSE), "P70", "P30")</f>
        <v>P30</v>
      </c>
      <c r="M537" t="s">
        <v>597</v>
      </c>
      <c r="N537">
        <f t="shared" si="18"/>
        <v>15010</v>
      </c>
    </row>
    <row r="538" spans="1:14" x14ac:dyDescent="0.2">
      <c r="A538" s="24">
        <v>537</v>
      </c>
      <c r="B538" s="23" t="s">
        <v>1176</v>
      </c>
      <c r="C538" s="23" t="s">
        <v>618</v>
      </c>
      <c r="D538" s="23">
        <f>INDEX($P$10:$Q$14, MATCH(VAV_Schedule_5_21[[#This Row],[MARK]], $P$10:$P$14, 0), 2)</f>
        <v>10</v>
      </c>
      <c r="E538">
        <v>750</v>
      </c>
      <c r="F538">
        <v>115</v>
      </c>
      <c r="G538" s="30" t="s">
        <v>623</v>
      </c>
      <c r="H538" s="30" t="s">
        <v>624</v>
      </c>
      <c r="I538" s="23">
        <v>14</v>
      </c>
      <c r="J538" s="30"/>
      <c r="K538" t="str">
        <f t="shared" si="17"/>
        <v>Cooling</v>
      </c>
      <c r="L538" t="str">
        <f>IF(IFERROR(FIND("1", VAV_Schedule_5_21[[#This Row],[NOTES]]), FALSE), "P70", "P30")</f>
        <v>P30</v>
      </c>
      <c r="M538" t="s">
        <v>597</v>
      </c>
      <c r="N538">
        <f t="shared" si="18"/>
        <v>15010</v>
      </c>
    </row>
    <row r="539" spans="1:14" x14ac:dyDescent="0.2">
      <c r="A539" s="24">
        <v>538</v>
      </c>
      <c r="B539" s="23" t="s">
        <v>1177</v>
      </c>
      <c r="C539" s="23" t="s">
        <v>628</v>
      </c>
      <c r="D539" s="23">
        <f>INDEX($P$10:$Q$14, MATCH(VAV_Schedule_5_21[[#This Row],[MARK]], $P$10:$P$14, 0), 2)</f>
        <v>12</v>
      </c>
      <c r="E539">
        <v>1200</v>
      </c>
      <c r="F539">
        <v>180</v>
      </c>
      <c r="G539" s="30" t="s">
        <v>623</v>
      </c>
      <c r="H539" s="30" t="s">
        <v>624</v>
      </c>
      <c r="I539" s="23">
        <v>14</v>
      </c>
      <c r="J539" s="30"/>
      <c r="K539" t="str">
        <f t="shared" si="17"/>
        <v>Cooling</v>
      </c>
      <c r="L539" t="str">
        <f>IF(IFERROR(FIND("1", VAV_Schedule_5_21[[#This Row],[NOTES]]), FALSE), "P70", "P30")</f>
        <v>P30</v>
      </c>
      <c r="M539" t="s">
        <v>597</v>
      </c>
      <c r="N539">
        <f t="shared" si="18"/>
        <v>15010</v>
      </c>
    </row>
    <row r="540" spans="1:14" x14ac:dyDescent="0.2">
      <c r="A540" s="24">
        <v>539</v>
      </c>
      <c r="B540" s="23" t="s">
        <v>1178</v>
      </c>
      <c r="C540" s="23" t="s">
        <v>632</v>
      </c>
      <c r="D540" s="23">
        <f>INDEX($P$10:$Q$14, MATCH(VAV_Schedule_5_21[[#This Row],[MARK]], $P$10:$P$14, 0), 2)</f>
        <v>6</v>
      </c>
      <c r="E540">
        <v>240</v>
      </c>
      <c r="F540">
        <v>40</v>
      </c>
      <c r="G540" s="30" t="s">
        <v>623</v>
      </c>
      <c r="H540" s="30" t="s">
        <v>624</v>
      </c>
      <c r="I540" s="23">
        <v>14</v>
      </c>
      <c r="J540" s="30"/>
      <c r="K540" t="str">
        <f t="shared" si="17"/>
        <v>Cooling</v>
      </c>
      <c r="L540" t="str">
        <f>IF(IFERROR(FIND("1", VAV_Schedule_5_21[[#This Row],[NOTES]]), FALSE), "P70", "P30")</f>
        <v>P30</v>
      </c>
      <c r="M540" t="s">
        <v>597</v>
      </c>
      <c r="N540">
        <f t="shared" si="18"/>
        <v>15010</v>
      </c>
    </row>
    <row r="541" spans="1:14" x14ac:dyDescent="0.2">
      <c r="A541" s="24">
        <v>540</v>
      </c>
      <c r="B541" s="23" t="s">
        <v>1179</v>
      </c>
      <c r="C541" s="23" t="s">
        <v>628</v>
      </c>
      <c r="D541" s="23">
        <f>INDEX($P$10:$Q$14, MATCH(VAV_Schedule_5_21[[#This Row],[MARK]], $P$10:$P$14, 0), 2)</f>
        <v>12</v>
      </c>
      <c r="E541">
        <v>1360</v>
      </c>
      <c r="F541">
        <v>205</v>
      </c>
      <c r="G541" s="30" t="s">
        <v>623</v>
      </c>
      <c r="H541" s="30" t="s">
        <v>624</v>
      </c>
      <c r="I541" s="23">
        <v>14</v>
      </c>
      <c r="J541" s="30"/>
      <c r="K541" t="str">
        <f t="shared" ref="K541:K571" si="19">IF(G541="-","Cooling","Heating")</f>
        <v>Cooling</v>
      </c>
      <c r="L541" t="str">
        <f>IF(IFERROR(FIND("1", VAV_Schedule_5_21[[#This Row],[NOTES]]), FALSE), "P70", "P30")</f>
        <v>P30</v>
      </c>
      <c r="M541" t="s">
        <v>597</v>
      </c>
      <c r="N541">
        <f t="shared" ref="N541:N571" si="20">INDEX($P$2:$Q$9, MATCH(_xlfn.CONCAT($K541,$L541,M541), $P$2:$P$9, 0), 2)</f>
        <v>15010</v>
      </c>
    </row>
    <row r="542" spans="1:14" x14ac:dyDescent="0.2">
      <c r="A542" s="24">
        <v>541</v>
      </c>
      <c r="B542" s="23" t="s">
        <v>1180</v>
      </c>
      <c r="C542" s="23" t="s">
        <v>632</v>
      </c>
      <c r="D542" s="23">
        <f>INDEX($P$10:$Q$14, MATCH(VAV_Schedule_5_21[[#This Row],[MARK]], $P$10:$P$14, 0), 2)</f>
        <v>6</v>
      </c>
      <c r="E542">
        <v>240</v>
      </c>
      <c r="F542">
        <v>40</v>
      </c>
      <c r="G542" s="30" t="s">
        <v>623</v>
      </c>
      <c r="H542" s="30" t="s">
        <v>624</v>
      </c>
      <c r="I542" s="23">
        <v>14</v>
      </c>
      <c r="J542" s="30"/>
      <c r="K542" t="str">
        <f t="shared" si="19"/>
        <v>Cooling</v>
      </c>
      <c r="L542" t="str">
        <f>IF(IFERROR(FIND("1", VAV_Schedule_5_21[[#This Row],[NOTES]]), FALSE), "P70", "P30")</f>
        <v>P30</v>
      </c>
      <c r="M542" t="s">
        <v>597</v>
      </c>
      <c r="N542">
        <f t="shared" si="20"/>
        <v>15010</v>
      </c>
    </row>
    <row r="543" spans="1:14" x14ac:dyDescent="0.2">
      <c r="A543" s="24">
        <v>542</v>
      </c>
      <c r="B543" s="23" t="s">
        <v>1181</v>
      </c>
      <c r="C543" s="23" t="s">
        <v>628</v>
      </c>
      <c r="D543" s="23">
        <f>INDEX($P$10:$Q$14, MATCH(VAV_Schedule_5_21[[#This Row],[MARK]], $P$10:$P$14, 0), 2)</f>
        <v>12</v>
      </c>
      <c r="E543">
        <v>1200</v>
      </c>
      <c r="F543">
        <v>180</v>
      </c>
      <c r="G543" s="30" t="s">
        <v>623</v>
      </c>
      <c r="H543" s="30" t="s">
        <v>624</v>
      </c>
      <c r="I543" s="23">
        <v>14</v>
      </c>
      <c r="J543" s="30"/>
      <c r="K543" t="str">
        <f t="shared" si="19"/>
        <v>Cooling</v>
      </c>
      <c r="L543" t="str">
        <f>IF(IFERROR(FIND("1", VAV_Schedule_5_21[[#This Row],[NOTES]]), FALSE), "P70", "P30")</f>
        <v>P30</v>
      </c>
      <c r="M543" t="s">
        <v>597</v>
      </c>
      <c r="N543">
        <f t="shared" si="20"/>
        <v>15010</v>
      </c>
    </row>
    <row r="544" spans="1:14" x14ac:dyDescent="0.2">
      <c r="A544" s="24">
        <v>543</v>
      </c>
      <c r="B544" s="23" t="s">
        <v>1182</v>
      </c>
      <c r="C544" s="23" t="s">
        <v>618</v>
      </c>
      <c r="D544" s="23">
        <f>INDEX($P$10:$Q$14, MATCH(VAV_Schedule_5_21[[#This Row],[MARK]], $P$10:$P$14, 0), 2)</f>
        <v>10</v>
      </c>
      <c r="E544">
        <v>840</v>
      </c>
      <c r="F544">
        <v>130</v>
      </c>
      <c r="G544" s="30" t="s">
        <v>619</v>
      </c>
      <c r="H544" s="30" t="s">
        <v>620</v>
      </c>
      <c r="I544" s="23">
        <v>14</v>
      </c>
      <c r="J544" s="30"/>
      <c r="K544" t="str">
        <f t="shared" si="19"/>
        <v>Heating</v>
      </c>
      <c r="L544" t="str">
        <f>IF(IFERROR(FIND("1", VAV_Schedule_5_21[[#This Row],[NOTES]]), FALSE), "P70", "P30")</f>
        <v>P30</v>
      </c>
      <c r="M544" t="s">
        <v>597</v>
      </c>
      <c r="N544">
        <f t="shared" si="20"/>
        <v>15011</v>
      </c>
    </row>
    <row r="545" spans="1:14" x14ac:dyDescent="0.2">
      <c r="A545" s="24">
        <v>544</v>
      </c>
      <c r="B545" s="23" t="s">
        <v>1183</v>
      </c>
      <c r="C545" s="23" t="s">
        <v>625</v>
      </c>
      <c r="D545" s="23">
        <f>INDEX($P$10:$Q$14, MATCH(VAV_Schedule_5_21[[#This Row],[MARK]], $P$10:$P$14, 0), 2)</f>
        <v>8</v>
      </c>
      <c r="E545">
        <v>640</v>
      </c>
      <c r="F545">
        <v>100</v>
      </c>
      <c r="G545" s="30" t="s">
        <v>619</v>
      </c>
      <c r="H545" s="30" t="s">
        <v>620</v>
      </c>
      <c r="I545" s="23">
        <v>14</v>
      </c>
      <c r="J545" s="30"/>
      <c r="K545" t="str">
        <f t="shared" si="19"/>
        <v>Heating</v>
      </c>
      <c r="L545" t="str">
        <f>IF(IFERROR(FIND("1", VAV_Schedule_5_21[[#This Row],[NOTES]]), FALSE), "P70", "P30")</f>
        <v>P30</v>
      </c>
      <c r="M545" t="s">
        <v>597</v>
      </c>
      <c r="N545">
        <f t="shared" si="20"/>
        <v>15011</v>
      </c>
    </row>
    <row r="546" spans="1:14" x14ac:dyDescent="0.2">
      <c r="A546" s="24">
        <v>545</v>
      </c>
      <c r="B546" s="23" t="s">
        <v>1184</v>
      </c>
      <c r="C546" s="23" t="s">
        <v>625</v>
      </c>
      <c r="D546" s="23">
        <f>INDEX($P$10:$Q$14, MATCH(VAV_Schedule_5_21[[#This Row],[MARK]], $P$10:$P$14, 0), 2)</f>
        <v>8</v>
      </c>
      <c r="E546">
        <v>600</v>
      </c>
      <c r="F546">
        <v>90</v>
      </c>
      <c r="G546" s="30" t="s">
        <v>633</v>
      </c>
      <c r="H546" s="30" t="s">
        <v>620</v>
      </c>
      <c r="I546" s="23">
        <v>14</v>
      </c>
      <c r="J546" s="30"/>
      <c r="K546" t="str">
        <f t="shared" si="19"/>
        <v>Heating</v>
      </c>
      <c r="L546" t="str">
        <f>IF(IFERROR(FIND("1", VAV_Schedule_5_21[[#This Row],[NOTES]]), FALSE), "P70", "P30")</f>
        <v>P30</v>
      </c>
      <c r="M546" t="s">
        <v>597</v>
      </c>
      <c r="N546">
        <f t="shared" si="20"/>
        <v>15011</v>
      </c>
    </row>
    <row r="547" spans="1:14" x14ac:dyDescent="0.2">
      <c r="A547" s="24">
        <v>546</v>
      </c>
      <c r="B547" s="23" t="s">
        <v>1185</v>
      </c>
      <c r="C547" s="23" t="s">
        <v>618</v>
      </c>
      <c r="D547" s="23">
        <f>INDEX($P$10:$Q$14, MATCH(VAV_Schedule_5_21[[#This Row],[MARK]], $P$10:$P$14, 0), 2)</f>
        <v>10</v>
      </c>
      <c r="E547">
        <v>960</v>
      </c>
      <c r="F547">
        <v>145</v>
      </c>
      <c r="G547" s="30" t="s">
        <v>1123</v>
      </c>
      <c r="H547" s="30" t="s">
        <v>622</v>
      </c>
      <c r="I547" s="23">
        <v>14</v>
      </c>
      <c r="J547" s="30"/>
      <c r="K547" t="str">
        <f t="shared" si="19"/>
        <v>Heating</v>
      </c>
      <c r="L547" t="str">
        <f>IF(IFERROR(FIND("1", VAV_Schedule_5_21[[#This Row],[NOTES]]), FALSE), "P70", "P30")</f>
        <v>P30</v>
      </c>
      <c r="M547" t="s">
        <v>597</v>
      </c>
      <c r="N547">
        <f t="shared" si="20"/>
        <v>15011</v>
      </c>
    </row>
    <row r="548" spans="1:14" x14ac:dyDescent="0.2">
      <c r="A548" s="24">
        <v>547</v>
      </c>
      <c r="B548" s="23" t="s">
        <v>1186</v>
      </c>
      <c r="C548" s="23" t="s">
        <v>632</v>
      </c>
      <c r="D548" s="23">
        <f>INDEX($P$10:$Q$14, MATCH(VAV_Schedule_5_21[[#This Row],[MARK]], $P$10:$P$14, 0), 2)</f>
        <v>6</v>
      </c>
      <c r="E548">
        <v>200</v>
      </c>
      <c r="F548">
        <v>30</v>
      </c>
      <c r="G548" s="30" t="s">
        <v>623</v>
      </c>
      <c r="H548" s="30" t="s">
        <v>624</v>
      </c>
      <c r="I548" s="23">
        <v>14</v>
      </c>
      <c r="J548" s="30"/>
      <c r="K548" t="str">
        <f t="shared" si="19"/>
        <v>Cooling</v>
      </c>
      <c r="L548" t="str">
        <f>IF(IFERROR(FIND("1", VAV_Schedule_5_21[[#This Row],[NOTES]]), FALSE), "P70", "P30")</f>
        <v>P30</v>
      </c>
      <c r="M548" t="s">
        <v>597</v>
      </c>
      <c r="N548">
        <f t="shared" si="20"/>
        <v>15010</v>
      </c>
    </row>
    <row r="549" spans="1:14" x14ac:dyDescent="0.2">
      <c r="A549" s="24">
        <v>548</v>
      </c>
      <c r="B549" s="23" t="s">
        <v>1187</v>
      </c>
      <c r="C549" s="23" t="s">
        <v>625</v>
      </c>
      <c r="D549" s="23">
        <f>INDEX($P$10:$Q$14, MATCH(VAV_Schedule_5_21[[#This Row],[MARK]], $P$10:$P$14, 0), 2)</f>
        <v>8</v>
      </c>
      <c r="E549">
        <v>690</v>
      </c>
      <c r="F549">
        <v>105</v>
      </c>
      <c r="G549" s="30" t="s">
        <v>633</v>
      </c>
      <c r="H549" s="30" t="s">
        <v>620</v>
      </c>
      <c r="I549" s="23">
        <v>14</v>
      </c>
      <c r="J549" s="30"/>
      <c r="K549" t="str">
        <f t="shared" si="19"/>
        <v>Heating</v>
      </c>
      <c r="L549" t="str">
        <f>IF(IFERROR(FIND("1", VAV_Schedule_5_21[[#This Row],[NOTES]]), FALSE), "P70", "P30")</f>
        <v>P30</v>
      </c>
      <c r="M549" t="s">
        <v>597</v>
      </c>
      <c r="N549">
        <f t="shared" si="20"/>
        <v>15011</v>
      </c>
    </row>
    <row r="550" spans="1:14" x14ac:dyDescent="0.2">
      <c r="A550" s="24">
        <v>549</v>
      </c>
      <c r="B550" s="23" t="s">
        <v>1188</v>
      </c>
      <c r="C550" s="23" t="s">
        <v>618</v>
      </c>
      <c r="D550" s="23">
        <f>INDEX($P$10:$Q$14, MATCH(VAV_Schedule_5_21[[#This Row],[MARK]], $P$10:$P$14, 0), 2)</f>
        <v>10</v>
      </c>
      <c r="E550">
        <v>880</v>
      </c>
      <c r="F550">
        <v>135</v>
      </c>
      <c r="G550" s="30" t="s">
        <v>619</v>
      </c>
      <c r="H550" s="30" t="s">
        <v>620</v>
      </c>
      <c r="I550" s="23">
        <v>14</v>
      </c>
      <c r="J550" s="30"/>
      <c r="K550" t="str">
        <f t="shared" si="19"/>
        <v>Heating</v>
      </c>
      <c r="L550" t="str">
        <f>IF(IFERROR(FIND("1", VAV_Schedule_5_21[[#This Row],[NOTES]]), FALSE), "P70", "P30")</f>
        <v>P30</v>
      </c>
      <c r="M550" t="s">
        <v>597</v>
      </c>
      <c r="N550">
        <f t="shared" si="20"/>
        <v>15011</v>
      </c>
    </row>
    <row r="551" spans="1:14" x14ac:dyDescent="0.2">
      <c r="A551" s="24">
        <v>550</v>
      </c>
      <c r="B551" s="23" t="s">
        <v>1189</v>
      </c>
      <c r="C551" s="23" t="s">
        <v>625</v>
      </c>
      <c r="D551" s="23">
        <f>INDEX($P$10:$Q$14, MATCH(VAV_Schedule_5_21[[#This Row],[MARK]], $P$10:$P$14, 0), 2)</f>
        <v>8</v>
      </c>
      <c r="E551">
        <v>660</v>
      </c>
      <c r="F551">
        <v>100</v>
      </c>
      <c r="G551" s="30" t="s">
        <v>633</v>
      </c>
      <c r="H551" s="30" t="s">
        <v>620</v>
      </c>
      <c r="I551" s="23">
        <v>14</v>
      </c>
      <c r="J551" s="30"/>
      <c r="K551" t="str">
        <f t="shared" si="19"/>
        <v>Heating</v>
      </c>
      <c r="L551" t="str">
        <f>IF(IFERROR(FIND("1", VAV_Schedule_5_21[[#This Row],[NOTES]]), FALSE), "P70", "P30")</f>
        <v>P30</v>
      </c>
      <c r="M551" t="s">
        <v>597</v>
      </c>
      <c r="N551">
        <f t="shared" si="20"/>
        <v>15011</v>
      </c>
    </row>
    <row r="552" spans="1:14" x14ac:dyDescent="0.2">
      <c r="A552" s="24">
        <v>551</v>
      </c>
      <c r="B552" s="23" t="s">
        <v>1190</v>
      </c>
      <c r="C552" s="23" t="s">
        <v>628</v>
      </c>
      <c r="D552" s="23">
        <f>INDEX($P$10:$Q$14, MATCH(VAV_Schedule_5_21[[#This Row],[MARK]], $P$10:$P$14, 0), 2)</f>
        <v>12</v>
      </c>
      <c r="E552">
        <v>1150</v>
      </c>
      <c r="F552">
        <v>175</v>
      </c>
      <c r="G552" s="30" t="s">
        <v>623</v>
      </c>
      <c r="H552" s="30" t="s">
        <v>624</v>
      </c>
      <c r="I552" s="23">
        <v>14</v>
      </c>
      <c r="J552" s="30"/>
      <c r="K552" t="str">
        <f t="shared" si="19"/>
        <v>Cooling</v>
      </c>
      <c r="L552" t="str">
        <f>IF(IFERROR(FIND("1", VAV_Schedule_5_21[[#This Row],[NOTES]]), FALSE), "P70", "P30")</f>
        <v>P30</v>
      </c>
      <c r="M552" t="s">
        <v>597</v>
      </c>
      <c r="N552">
        <f t="shared" si="20"/>
        <v>15010</v>
      </c>
    </row>
    <row r="553" spans="1:14" x14ac:dyDescent="0.2">
      <c r="A553" s="24">
        <v>552</v>
      </c>
      <c r="B553" s="23" t="s">
        <v>1191</v>
      </c>
      <c r="C553" s="23" t="s">
        <v>632</v>
      </c>
      <c r="D553" s="23">
        <f>INDEX($P$10:$Q$14, MATCH(VAV_Schedule_5_21[[#This Row],[MARK]], $P$10:$P$14, 0), 2)</f>
        <v>6</v>
      </c>
      <c r="E553">
        <v>200</v>
      </c>
      <c r="F553">
        <v>30</v>
      </c>
      <c r="G553" s="30" t="s">
        <v>623</v>
      </c>
      <c r="H553" s="30" t="s">
        <v>624</v>
      </c>
      <c r="I553" s="23">
        <v>14</v>
      </c>
      <c r="J553" s="30"/>
      <c r="K553" t="str">
        <f t="shared" si="19"/>
        <v>Cooling</v>
      </c>
      <c r="L553" t="str">
        <f>IF(IFERROR(FIND("1", VAV_Schedule_5_21[[#This Row],[NOTES]]), FALSE), "P70", "P30")</f>
        <v>P30</v>
      </c>
      <c r="M553" t="s">
        <v>597</v>
      </c>
      <c r="N553">
        <f t="shared" si="20"/>
        <v>15010</v>
      </c>
    </row>
    <row r="554" spans="1:14" x14ac:dyDescent="0.2">
      <c r="A554" s="24">
        <v>553</v>
      </c>
      <c r="B554" s="23" t="s">
        <v>1192</v>
      </c>
      <c r="C554" s="23" t="s">
        <v>628</v>
      </c>
      <c r="D554" s="23">
        <f>INDEX($P$10:$Q$14, MATCH(VAV_Schedule_5_21[[#This Row],[MARK]], $P$10:$P$14, 0), 2)</f>
        <v>12</v>
      </c>
      <c r="E554">
        <v>1140</v>
      </c>
      <c r="F554">
        <v>175</v>
      </c>
      <c r="G554" s="30" t="s">
        <v>1123</v>
      </c>
      <c r="H554" s="30" t="s">
        <v>622</v>
      </c>
      <c r="I554" s="23">
        <v>14</v>
      </c>
      <c r="J554" s="30"/>
      <c r="K554" t="str">
        <f t="shared" si="19"/>
        <v>Heating</v>
      </c>
      <c r="L554" t="str">
        <f>IF(IFERROR(FIND("1", VAV_Schedule_5_21[[#This Row],[NOTES]]), FALSE), "P70", "P30")</f>
        <v>P30</v>
      </c>
      <c r="M554" t="s">
        <v>597</v>
      </c>
      <c r="N554">
        <f t="shared" si="20"/>
        <v>15011</v>
      </c>
    </row>
    <row r="555" spans="1:14" x14ac:dyDescent="0.2">
      <c r="A555" s="24">
        <v>554</v>
      </c>
      <c r="B555" s="23" t="s">
        <v>1193</v>
      </c>
      <c r="C555" s="23" t="s">
        <v>625</v>
      </c>
      <c r="D555" s="23">
        <f>INDEX($P$10:$Q$14, MATCH(VAV_Schedule_5_21[[#This Row],[MARK]], $P$10:$P$14, 0), 2)</f>
        <v>8</v>
      </c>
      <c r="E555">
        <v>700</v>
      </c>
      <c r="F555">
        <v>105</v>
      </c>
      <c r="G555" s="30" t="s">
        <v>619</v>
      </c>
      <c r="H555" s="30" t="s">
        <v>620</v>
      </c>
      <c r="I555" s="23">
        <v>14</v>
      </c>
      <c r="J555" s="30"/>
      <c r="K555" t="str">
        <f t="shared" si="19"/>
        <v>Heating</v>
      </c>
      <c r="L555" t="str">
        <f>IF(IFERROR(FIND("1", VAV_Schedule_5_21[[#This Row],[NOTES]]), FALSE), "P70", "P30")</f>
        <v>P30</v>
      </c>
      <c r="M555" t="s">
        <v>597</v>
      </c>
      <c r="N555">
        <f t="shared" si="20"/>
        <v>15011</v>
      </c>
    </row>
    <row r="556" spans="1:14" x14ac:dyDescent="0.2">
      <c r="A556" s="24">
        <v>555</v>
      </c>
      <c r="B556" s="23" t="s">
        <v>1194</v>
      </c>
      <c r="C556" s="23" t="s">
        <v>625</v>
      </c>
      <c r="D556" s="23">
        <f>INDEX($P$10:$Q$14, MATCH(VAV_Schedule_5_21[[#This Row],[MARK]], $P$10:$P$14, 0), 2)</f>
        <v>8</v>
      </c>
      <c r="E556">
        <v>700</v>
      </c>
      <c r="F556">
        <v>105</v>
      </c>
      <c r="G556" s="30" t="s">
        <v>619</v>
      </c>
      <c r="H556" s="30" t="s">
        <v>620</v>
      </c>
      <c r="I556" s="23">
        <v>14</v>
      </c>
      <c r="J556" s="30"/>
      <c r="K556" t="str">
        <f t="shared" si="19"/>
        <v>Heating</v>
      </c>
      <c r="L556" t="str">
        <f>IF(IFERROR(FIND("1", VAV_Schedule_5_21[[#This Row],[NOTES]]), FALSE), "P70", "P30")</f>
        <v>P30</v>
      </c>
      <c r="M556" t="s">
        <v>597</v>
      </c>
      <c r="N556">
        <f t="shared" si="20"/>
        <v>15011</v>
      </c>
    </row>
    <row r="557" spans="1:14" x14ac:dyDescent="0.2">
      <c r="A557" s="24">
        <v>556</v>
      </c>
      <c r="B557" s="23" t="s">
        <v>1195</v>
      </c>
      <c r="C557" s="23" t="s">
        <v>618</v>
      </c>
      <c r="D557" s="23">
        <f>INDEX($P$10:$Q$14, MATCH(VAV_Schedule_5_21[[#This Row],[MARK]], $P$10:$P$14, 0), 2)</f>
        <v>10</v>
      </c>
      <c r="E557">
        <v>770</v>
      </c>
      <c r="F557">
        <v>120</v>
      </c>
      <c r="G557" s="30" t="s">
        <v>623</v>
      </c>
      <c r="H557" s="30" t="s">
        <v>624</v>
      </c>
      <c r="I557" s="23">
        <v>14</v>
      </c>
      <c r="J557" s="30"/>
      <c r="K557" t="str">
        <f t="shared" si="19"/>
        <v>Cooling</v>
      </c>
      <c r="L557" t="str">
        <f>IF(IFERROR(FIND("1", VAV_Schedule_5_21[[#This Row],[NOTES]]), FALSE), "P70", "P30")</f>
        <v>P30</v>
      </c>
      <c r="M557" t="s">
        <v>597</v>
      </c>
      <c r="N557">
        <f t="shared" si="20"/>
        <v>15010</v>
      </c>
    </row>
    <row r="558" spans="1:14" x14ac:dyDescent="0.2">
      <c r="A558" s="24">
        <v>557</v>
      </c>
      <c r="B558" s="23" t="s">
        <v>1196</v>
      </c>
      <c r="C558" s="23" t="s">
        <v>628</v>
      </c>
      <c r="D558" s="23">
        <f>INDEX($P$10:$Q$14, MATCH(VAV_Schedule_5_21[[#This Row],[MARK]], $P$10:$P$14, 0), 2)</f>
        <v>12</v>
      </c>
      <c r="E558">
        <v>1305</v>
      </c>
      <c r="F558">
        <v>200</v>
      </c>
      <c r="G558" s="30" t="s">
        <v>623</v>
      </c>
      <c r="H558" s="30" t="s">
        <v>624</v>
      </c>
      <c r="I558" s="23">
        <v>14</v>
      </c>
      <c r="J558" s="30"/>
      <c r="K558" t="str">
        <f t="shared" si="19"/>
        <v>Cooling</v>
      </c>
      <c r="L558" t="str">
        <f>IF(IFERROR(FIND("1", VAV_Schedule_5_21[[#This Row],[NOTES]]), FALSE), "P70", "P30")</f>
        <v>P30</v>
      </c>
      <c r="M558" t="s">
        <v>597</v>
      </c>
      <c r="N558">
        <f t="shared" si="20"/>
        <v>15010</v>
      </c>
    </row>
    <row r="559" spans="1:14" x14ac:dyDescent="0.2">
      <c r="A559" s="24">
        <v>558</v>
      </c>
      <c r="B559" s="23" t="s">
        <v>1197</v>
      </c>
      <c r="C559" s="23" t="s">
        <v>618</v>
      </c>
      <c r="D559" s="23">
        <f>INDEX($P$10:$Q$14, MATCH(VAV_Schedule_5_21[[#This Row],[MARK]], $P$10:$P$14, 0), 2)</f>
        <v>10</v>
      </c>
      <c r="E559">
        <v>1000</v>
      </c>
      <c r="F559">
        <v>150</v>
      </c>
      <c r="G559" s="30" t="s">
        <v>621</v>
      </c>
      <c r="H559" s="30" t="s">
        <v>622</v>
      </c>
      <c r="I559" s="23">
        <v>14</v>
      </c>
      <c r="J559" s="30"/>
      <c r="K559" t="str">
        <f t="shared" si="19"/>
        <v>Heating</v>
      </c>
      <c r="L559" t="str">
        <f>IF(IFERROR(FIND("1", VAV_Schedule_5_21[[#This Row],[NOTES]]), FALSE), "P70", "P30")</f>
        <v>P30</v>
      </c>
      <c r="M559" t="s">
        <v>597</v>
      </c>
      <c r="N559">
        <f t="shared" si="20"/>
        <v>15011</v>
      </c>
    </row>
    <row r="560" spans="1:14" x14ac:dyDescent="0.2">
      <c r="A560" s="24">
        <v>559</v>
      </c>
      <c r="B560" s="23" t="s">
        <v>1198</v>
      </c>
      <c r="C560" s="23" t="s">
        <v>628</v>
      </c>
      <c r="D560" s="23">
        <f>INDEX($P$10:$Q$14, MATCH(VAV_Schedule_5_21[[#This Row],[MARK]], $P$10:$P$14, 0), 2)</f>
        <v>12</v>
      </c>
      <c r="E560">
        <v>1300</v>
      </c>
      <c r="F560">
        <v>195</v>
      </c>
      <c r="G560" s="30" t="s">
        <v>621</v>
      </c>
      <c r="H560" s="30" t="s">
        <v>622</v>
      </c>
      <c r="I560" s="23">
        <v>14</v>
      </c>
      <c r="J560" s="30"/>
      <c r="K560" t="str">
        <f t="shared" si="19"/>
        <v>Heating</v>
      </c>
      <c r="L560" t="str">
        <f>IF(IFERROR(FIND("1", VAV_Schedule_5_21[[#This Row],[NOTES]]), FALSE), "P70", "P30")</f>
        <v>P30</v>
      </c>
      <c r="M560" t="s">
        <v>597</v>
      </c>
      <c r="N560">
        <f t="shared" si="20"/>
        <v>15011</v>
      </c>
    </row>
    <row r="561" spans="1:14" x14ac:dyDescent="0.2">
      <c r="A561" s="24">
        <v>560</v>
      </c>
      <c r="B561" s="23" t="s">
        <v>1199</v>
      </c>
      <c r="C561" s="23" t="s">
        <v>625</v>
      </c>
      <c r="D561" s="23">
        <f>INDEX($P$10:$Q$14, MATCH(VAV_Schedule_5_21[[#This Row],[MARK]], $P$10:$P$14, 0), 2)</f>
        <v>8</v>
      </c>
      <c r="E561">
        <v>645</v>
      </c>
      <c r="F561">
        <v>100</v>
      </c>
      <c r="G561" s="30" t="s">
        <v>623</v>
      </c>
      <c r="H561" s="30" t="s">
        <v>624</v>
      </c>
      <c r="I561" s="23">
        <v>14</v>
      </c>
      <c r="J561" s="30"/>
      <c r="K561" t="str">
        <f t="shared" si="19"/>
        <v>Cooling</v>
      </c>
      <c r="L561" t="str">
        <f>IF(IFERROR(FIND("1", VAV_Schedule_5_21[[#This Row],[NOTES]]), FALSE), "P70", "P30")</f>
        <v>P30</v>
      </c>
      <c r="M561" t="s">
        <v>597</v>
      </c>
      <c r="N561">
        <f t="shared" si="20"/>
        <v>15010</v>
      </c>
    </row>
    <row r="562" spans="1:14" x14ac:dyDescent="0.2">
      <c r="A562" s="24">
        <v>561</v>
      </c>
      <c r="B562" s="23" t="s">
        <v>1200</v>
      </c>
      <c r="C562" s="23" t="s">
        <v>628</v>
      </c>
      <c r="D562" s="23">
        <f>INDEX($P$10:$Q$14, MATCH(VAV_Schedule_5_21[[#This Row],[MARK]], $P$10:$P$14, 0), 2)</f>
        <v>12</v>
      </c>
      <c r="E562">
        <v>1200</v>
      </c>
      <c r="F562">
        <v>180</v>
      </c>
      <c r="G562" s="30" t="s">
        <v>623</v>
      </c>
      <c r="H562" s="30" t="s">
        <v>624</v>
      </c>
      <c r="I562" s="23">
        <v>14</v>
      </c>
      <c r="J562" s="30"/>
      <c r="K562" t="str">
        <f t="shared" si="19"/>
        <v>Cooling</v>
      </c>
      <c r="L562" t="str">
        <f>IF(IFERROR(FIND("1", VAV_Schedule_5_21[[#This Row],[NOTES]]), FALSE), "P70", "P30")</f>
        <v>P30</v>
      </c>
      <c r="M562" t="s">
        <v>597</v>
      </c>
      <c r="N562">
        <f t="shared" si="20"/>
        <v>15010</v>
      </c>
    </row>
    <row r="563" spans="1:14" x14ac:dyDescent="0.2">
      <c r="A563" s="24">
        <v>562</v>
      </c>
      <c r="B563" s="23" t="s">
        <v>1201</v>
      </c>
      <c r="C563" s="23" t="s">
        <v>625</v>
      </c>
      <c r="D563" s="23">
        <f>INDEX($P$10:$Q$14, MATCH(VAV_Schedule_5_21[[#This Row],[MARK]], $P$10:$P$14, 0), 2)</f>
        <v>8</v>
      </c>
      <c r="E563">
        <v>640</v>
      </c>
      <c r="F563">
        <v>100</v>
      </c>
      <c r="G563" s="30" t="s">
        <v>619</v>
      </c>
      <c r="H563" s="30" t="s">
        <v>620</v>
      </c>
      <c r="I563" s="23">
        <v>14</v>
      </c>
      <c r="J563" s="30"/>
      <c r="K563" t="str">
        <f t="shared" si="19"/>
        <v>Heating</v>
      </c>
      <c r="L563" t="str">
        <f>IF(IFERROR(FIND("1", VAV_Schedule_5_21[[#This Row],[NOTES]]), FALSE), "P70", "P30")</f>
        <v>P30</v>
      </c>
      <c r="M563" t="s">
        <v>597</v>
      </c>
      <c r="N563">
        <f t="shared" si="20"/>
        <v>15011</v>
      </c>
    </row>
    <row r="564" spans="1:14" x14ac:dyDescent="0.2">
      <c r="A564" s="24">
        <v>563</v>
      </c>
      <c r="B564" s="23" t="s">
        <v>1202</v>
      </c>
      <c r="C564" s="23" t="s">
        <v>625</v>
      </c>
      <c r="D564" s="23">
        <f>INDEX($P$10:$Q$14, MATCH(VAV_Schedule_5_21[[#This Row],[MARK]], $P$10:$P$14, 0), 2)</f>
        <v>8</v>
      </c>
      <c r="E564">
        <v>700</v>
      </c>
      <c r="F564">
        <v>105</v>
      </c>
      <c r="G564" s="30" t="s">
        <v>619</v>
      </c>
      <c r="H564" s="30" t="s">
        <v>620</v>
      </c>
      <c r="I564" s="23">
        <v>14</v>
      </c>
      <c r="J564" s="30"/>
      <c r="K564" t="str">
        <f t="shared" si="19"/>
        <v>Heating</v>
      </c>
      <c r="L564" t="str">
        <f>IF(IFERROR(FIND("1", VAV_Schedule_5_21[[#This Row],[NOTES]]), FALSE), "P70", "P30")</f>
        <v>P30</v>
      </c>
      <c r="M564" t="s">
        <v>597</v>
      </c>
      <c r="N564">
        <f t="shared" si="20"/>
        <v>15011</v>
      </c>
    </row>
    <row r="565" spans="1:14" x14ac:dyDescent="0.2">
      <c r="A565" s="24">
        <v>564</v>
      </c>
      <c r="B565" s="23" t="s">
        <v>1203</v>
      </c>
      <c r="C565" s="23" t="s">
        <v>628</v>
      </c>
      <c r="D565" s="23">
        <f>INDEX($P$10:$Q$14, MATCH(VAV_Schedule_5_21[[#This Row],[MARK]], $P$10:$P$14, 0), 2)</f>
        <v>12</v>
      </c>
      <c r="E565">
        <v>1150</v>
      </c>
      <c r="F565">
        <v>175</v>
      </c>
      <c r="G565" s="30" t="s">
        <v>623</v>
      </c>
      <c r="H565" s="30" t="s">
        <v>624</v>
      </c>
      <c r="I565" s="23">
        <v>14</v>
      </c>
      <c r="J565" s="30"/>
      <c r="K565" t="str">
        <f t="shared" si="19"/>
        <v>Cooling</v>
      </c>
      <c r="L565" t="str">
        <f>IF(IFERROR(FIND("1", VAV_Schedule_5_21[[#This Row],[NOTES]]), FALSE), "P70", "P30")</f>
        <v>P30</v>
      </c>
      <c r="M565" t="s">
        <v>597</v>
      </c>
      <c r="N565">
        <f t="shared" si="20"/>
        <v>15010</v>
      </c>
    </row>
    <row r="566" spans="1:14" x14ac:dyDescent="0.2">
      <c r="A566" s="24">
        <v>565</v>
      </c>
      <c r="B566" s="23" t="s">
        <v>1204</v>
      </c>
      <c r="C566" s="23" t="s">
        <v>628</v>
      </c>
      <c r="D566" s="23">
        <f>INDEX($P$10:$Q$14, MATCH(VAV_Schedule_5_21[[#This Row],[MARK]], $P$10:$P$14, 0), 2)</f>
        <v>12</v>
      </c>
      <c r="E566">
        <v>1200</v>
      </c>
      <c r="F566">
        <v>180</v>
      </c>
      <c r="G566" s="30" t="s">
        <v>1123</v>
      </c>
      <c r="H566" s="30" t="s">
        <v>622</v>
      </c>
      <c r="I566" s="23">
        <v>14</v>
      </c>
      <c r="J566" s="30"/>
      <c r="K566" t="str">
        <f t="shared" si="19"/>
        <v>Heating</v>
      </c>
      <c r="L566" t="str">
        <f>IF(IFERROR(FIND("1", VAV_Schedule_5_21[[#This Row],[NOTES]]), FALSE), "P70", "P30")</f>
        <v>P30</v>
      </c>
      <c r="M566" t="s">
        <v>597</v>
      </c>
      <c r="N566">
        <f t="shared" si="20"/>
        <v>15011</v>
      </c>
    </row>
    <row r="567" spans="1:14" x14ac:dyDescent="0.2">
      <c r="A567" s="24">
        <v>566</v>
      </c>
      <c r="B567" s="23" t="s">
        <v>1205</v>
      </c>
      <c r="C567" s="23" t="s">
        <v>632</v>
      </c>
      <c r="D567" s="23">
        <f>INDEX($P$10:$Q$14, MATCH(VAV_Schedule_5_21[[#This Row],[MARK]], $P$10:$P$14, 0), 2)</f>
        <v>6</v>
      </c>
      <c r="E567">
        <v>185</v>
      </c>
      <c r="F567">
        <v>30</v>
      </c>
      <c r="G567" s="30" t="s">
        <v>623</v>
      </c>
      <c r="H567" s="30" t="s">
        <v>624</v>
      </c>
      <c r="I567" s="23">
        <v>14</v>
      </c>
      <c r="J567" s="30"/>
      <c r="K567" t="str">
        <f t="shared" si="19"/>
        <v>Cooling</v>
      </c>
      <c r="L567" t="str">
        <f>IF(IFERROR(FIND("1", VAV_Schedule_5_21[[#This Row],[NOTES]]), FALSE), "P70", "P30")</f>
        <v>P30</v>
      </c>
      <c r="M567" t="s">
        <v>597</v>
      </c>
      <c r="N567">
        <f t="shared" si="20"/>
        <v>15010</v>
      </c>
    </row>
    <row r="568" spans="1:14" x14ac:dyDescent="0.2">
      <c r="A568" s="24">
        <v>567</v>
      </c>
      <c r="B568" s="23" t="s">
        <v>1206</v>
      </c>
      <c r="C568" s="23" t="s">
        <v>618</v>
      </c>
      <c r="D568" s="23">
        <f>INDEX($P$10:$Q$14, MATCH(VAV_Schedule_5_21[[#This Row],[MARK]], $P$10:$P$14, 0), 2)</f>
        <v>10</v>
      </c>
      <c r="E568">
        <v>780</v>
      </c>
      <c r="F568">
        <v>120</v>
      </c>
      <c r="G568" s="30" t="s">
        <v>633</v>
      </c>
      <c r="H568" s="30" t="s">
        <v>620</v>
      </c>
      <c r="I568" s="23">
        <v>14</v>
      </c>
      <c r="J568" s="30"/>
      <c r="K568" t="str">
        <f t="shared" si="19"/>
        <v>Heating</v>
      </c>
      <c r="L568" t="str">
        <f>IF(IFERROR(FIND("1", VAV_Schedule_5_21[[#This Row],[NOTES]]), FALSE), "P70", "P30")</f>
        <v>P30</v>
      </c>
      <c r="M568" t="s">
        <v>597</v>
      </c>
      <c r="N568">
        <f t="shared" si="20"/>
        <v>15011</v>
      </c>
    </row>
    <row r="569" spans="1:14" x14ac:dyDescent="0.2">
      <c r="A569" s="24">
        <v>568</v>
      </c>
      <c r="B569" s="23" t="s">
        <v>1207</v>
      </c>
      <c r="C569" s="23" t="s">
        <v>618</v>
      </c>
      <c r="D569" s="23">
        <f>INDEX($P$10:$Q$14, MATCH(VAV_Schedule_5_21[[#This Row],[MARK]], $P$10:$P$14, 0), 2)</f>
        <v>10</v>
      </c>
      <c r="E569">
        <v>1040</v>
      </c>
      <c r="F569">
        <v>160</v>
      </c>
      <c r="G569" s="30" t="s">
        <v>619</v>
      </c>
      <c r="H569" s="30" t="s">
        <v>620</v>
      </c>
      <c r="I569" s="23">
        <v>14</v>
      </c>
      <c r="J569" s="30"/>
      <c r="K569" t="str">
        <f t="shared" si="19"/>
        <v>Heating</v>
      </c>
      <c r="L569" t="str">
        <f>IF(IFERROR(FIND("1", VAV_Schedule_5_21[[#This Row],[NOTES]]), FALSE), "P70", "P30")</f>
        <v>P30</v>
      </c>
      <c r="M569" t="s">
        <v>597</v>
      </c>
      <c r="N569">
        <f t="shared" si="20"/>
        <v>15011</v>
      </c>
    </row>
    <row r="570" spans="1:14" x14ac:dyDescent="0.2">
      <c r="A570" s="24">
        <v>569</v>
      </c>
      <c r="B570" s="23" t="s">
        <v>1208</v>
      </c>
      <c r="C570" s="23" t="s">
        <v>618</v>
      </c>
      <c r="D570" s="23">
        <f>INDEX($P$10:$Q$14, MATCH(VAV_Schedule_5_21[[#This Row],[MARK]], $P$10:$P$14, 0), 2)</f>
        <v>10</v>
      </c>
      <c r="E570">
        <v>820</v>
      </c>
      <c r="F570">
        <v>125</v>
      </c>
      <c r="G570" s="30" t="s">
        <v>633</v>
      </c>
      <c r="H570" s="30" t="s">
        <v>620</v>
      </c>
      <c r="I570" s="23">
        <v>14</v>
      </c>
      <c r="J570" s="30"/>
      <c r="K570" t="str">
        <f t="shared" si="19"/>
        <v>Heating</v>
      </c>
      <c r="L570" t="str">
        <f>IF(IFERROR(FIND("1", VAV_Schedule_5_21[[#This Row],[NOTES]]), FALSE), "P70", "P30")</f>
        <v>P30</v>
      </c>
      <c r="M570" t="s">
        <v>597</v>
      </c>
      <c r="N570">
        <f t="shared" si="20"/>
        <v>15011</v>
      </c>
    </row>
    <row r="571" spans="1:14" x14ac:dyDescent="0.2">
      <c r="A571" s="24">
        <v>570</v>
      </c>
      <c r="B571" s="23" t="s">
        <v>1209</v>
      </c>
      <c r="C571" s="23" t="s">
        <v>632</v>
      </c>
      <c r="D571" s="23">
        <f>INDEX($P$10:$Q$14, MATCH(VAV_Schedule_5_21[[#This Row],[MARK]], $P$10:$P$14, 0), 2)</f>
        <v>6</v>
      </c>
      <c r="E571">
        <v>100</v>
      </c>
      <c r="F571">
        <v>15</v>
      </c>
      <c r="G571" s="30" t="s">
        <v>623</v>
      </c>
      <c r="H571" s="30" t="s">
        <v>624</v>
      </c>
      <c r="I571" s="23">
        <v>14</v>
      </c>
      <c r="J571" s="30"/>
      <c r="K571" t="str">
        <f t="shared" si="19"/>
        <v>Cooling</v>
      </c>
      <c r="L571" t="str">
        <f>IF(IFERROR(FIND("1", VAV_Schedule_5_21[[#This Row],[NOTES]]), FALSE), "P70", "P30")</f>
        <v>P30</v>
      </c>
      <c r="M571" t="s">
        <v>597</v>
      </c>
      <c r="N571">
        <f t="shared" si="20"/>
        <v>15010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776C0-E0C9-4C5A-91B0-6666B9D1A6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Joined</vt:lpstr>
      <vt:lpstr>PanelInstance</vt:lpstr>
      <vt:lpstr>ABT</vt:lpstr>
      <vt:lpstr>Schedule</vt:lpstr>
      <vt:lpstr>Joined!Criteria</vt:lpstr>
      <vt:lpstr>Joined</vt:lpstr>
      <vt:lpstr>SystemName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JONES, MEGAN (BT AM SE ENB)</dc:creator>
  <cp:keywords>C_Unrestricted</cp:keywords>
  <cp:lastModifiedBy>Vorsten, John (RC-US BT FLD Z2 AUS)</cp:lastModifiedBy>
  <cp:lastPrinted>2018-09-20T16:11:02Z</cp:lastPrinted>
  <dcterms:created xsi:type="dcterms:W3CDTF">2018-07-31T15:18:43Z</dcterms:created>
  <dcterms:modified xsi:type="dcterms:W3CDTF">2019-07-03T16:23:40Z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</Properties>
</file>